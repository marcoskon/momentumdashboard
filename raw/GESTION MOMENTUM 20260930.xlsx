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8181" documentId="8_{EB75218D-2B89-4C0B-9C31-74AD954AF6A1}" xr6:coauthVersionLast="47" xr6:coauthVersionMax="47" xr10:uidLastSave="{E71367B4-9E66-4ED9-B272-DCFF9533D401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oncentración" sheetId="55" r:id="rId3"/>
    <sheet name="Cheques pendientes" sheetId="3" r:id="rId4"/>
    <sheet name="Reporte de Cheques" sheetId="7" r:id="rId5"/>
    <sheet name="Posicion cuotapartista" sheetId="56" r:id="rId6"/>
  </sheets>
  <definedNames>
    <definedName name="_xlnm._FilterDatabase" localSheetId="3" hidden="1">'Cheques pendientes'!$A$1:$V$101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Cheques'!$A$3:$AI$2436</definedName>
    <definedName name="DatosExternos_1" localSheetId="0" hidden="1">'GESTION MOMENTUM'!$U$66:$W$70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L62" i="1" s="1"/>
  <c r="I100" i="3"/>
  <c r="L12" i="1"/>
  <c r="L11" i="1"/>
  <c r="L61" i="1"/>
  <c r="L60" i="1"/>
  <c r="L72" i="1" l="1" a="1"/>
  <c r="M72" i="1" a="1"/>
  <c r="L65" i="1"/>
  <c r="L23" i="1" l="1"/>
  <c r="I99" i="3"/>
  <c r="L13" i="1"/>
  <c r="K76" i="1" l="1" a="1"/>
  <c r="L57" i="1"/>
  <c r="I98" i="3" l="1"/>
  <c r="I97" i="3" l="1"/>
  <c r="I96" i="3" l="1"/>
  <c r="I95" i="3" l="1"/>
  <c r="P11" i="1" l="1"/>
  <c r="Q11" i="1"/>
  <c r="R11" i="1"/>
  <c r="S11" i="1"/>
  <c r="T11" i="1"/>
  <c r="L10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18" i="1" s="1"/>
  <c r="L70" i="1" l="1"/>
  <c r="N70" i="1" s="1"/>
  <c r="L67" i="1"/>
  <c r="N67" i="1" s="1"/>
  <c r="L68" i="1"/>
  <c r="N68" i="1" s="1"/>
  <c r="L69" i="1"/>
  <c r="N69" i="1" s="1"/>
  <c r="F11" i="2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898" i="7" l="1"/>
  <c r="W2409" i="7"/>
  <c r="W2397" i="7"/>
  <c r="W1847" i="7"/>
  <c r="W2252" i="7"/>
  <c r="W1756" i="7"/>
  <c r="W2226" i="7"/>
  <c r="W904" i="7"/>
  <c r="W2378" i="7"/>
  <c r="W494" i="7"/>
  <c r="W1437" i="7"/>
  <c r="W1474" i="7"/>
  <c r="W495" i="7"/>
  <c r="W2101" i="7"/>
  <c r="W993" i="7"/>
  <c r="W794" i="7"/>
  <c r="W2259" i="7"/>
  <c r="W793" i="7"/>
  <c r="W2048" i="7"/>
  <c r="W1848" i="7"/>
  <c r="W2260" i="7"/>
  <c r="W1020" i="7"/>
  <c r="W1003" i="7"/>
  <c r="W567" i="7"/>
  <c r="W2348" i="7"/>
  <c r="W1139" i="7"/>
  <c r="W771" i="7"/>
  <c r="W381" i="7"/>
  <c r="W998" i="7"/>
  <c r="W1169" i="7"/>
  <c r="W1784" i="7"/>
  <c r="W1914" i="7"/>
  <c r="W1308" i="7"/>
  <c r="W1913" i="7"/>
  <c r="W849" i="7"/>
  <c r="W2303" i="7"/>
  <c r="W727" i="7"/>
  <c r="W1266" i="7"/>
  <c r="W1716" i="7"/>
  <c r="W488" i="7"/>
  <c r="W511" i="7"/>
  <c r="W1047" i="7"/>
  <c r="W1785" i="7"/>
  <c r="W548" i="7"/>
  <c r="W1650" i="7"/>
  <c r="W2416" i="7"/>
  <c r="W2195" i="7"/>
  <c r="W1257" i="7"/>
  <c r="W420" i="7"/>
  <c r="W2452" i="7"/>
  <c r="W2267" i="7"/>
  <c r="W683" i="7"/>
  <c r="W888" i="7"/>
  <c r="W2509" i="7"/>
  <c r="W2130" i="7"/>
  <c r="W632" i="7"/>
  <c r="W2448" i="7"/>
  <c r="W1722" i="7"/>
  <c r="W1849" i="7"/>
  <c r="W1872" i="7"/>
  <c r="W2079" i="7"/>
  <c r="W1629" i="7"/>
  <c r="W2275" i="7"/>
  <c r="W2215" i="7"/>
  <c r="W531" i="7"/>
  <c r="W1007" i="7"/>
  <c r="W82" i="7"/>
  <c r="W1708" i="7"/>
  <c r="W1066" i="7"/>
  <c r="W29" i="7"/>
  <c r="W2148" i="7"/>
  <c r="W680" i="7"/>
  <c r="W1807" i="7"/>
  <c r="W1465" i="7"/>
  <c r="W1126" i="7"/>
  <c r="W1222" i="7"/>
  <c r="W1414" i="7"/>
  <c r="W2065" i="7"/>
  <c r="W1934" i="7"/>
  <c r="W1688" i="7"/>
  <c r="W1509" i="7"/>
  <c r="W2387" i="7"/>
  <c r="W1711" i="7"/>
  <c r="W742" i="7"/>
  <c r="W2161" i="7"/>
  <c r="W1228" i="7"/>
  <c r="W2439" i="7"/>
  <c r="W800" i="7"/>
  <c r="W1513" i="7"/>
  <c r="W847" i="7"/>
  <c r="W1069" i="7"/>
  <c r="W198" i="7"/>
  <c r="W1498" i="7"/>
  <c r="W9" i="7"/>
  <c r="W857" i="7"/>
  <c r="W1282" i="7"/>
  <c r="W2537" i="7"/>
  <c r="W1238" i="7"/>
  <c r="W2290" i="7"/>
  <c r="W2234" i="7"/>
  <c r="W686" i="7"/>
  <c r="W366" i="7"/>
  <c r="W1617" i="7"/>
  <c r="W2389" i="7"/>
  <c r="W127" i="7"/>
  <c r="W1808" i="7"/>
  <c r="W925" i="7"/>
  <c r="W593" i="7"/>
  <c r="W334" i="7"/>
  <c r="W932" i="7"/>
  <c r="W1393" i="7"/>
  <c r="W1086" i="7"/>
  <c r="W1845" i="7"/>
  <c r="W1041" i="7"/>
  <c r="W636" i="7"/>
  <c r="W1799" i="7"/>
  <c r="W483" i="7"/>
  <c r="W1397" i="7"/>
  <c r="W1996" i="7"/>
  <c r="W1772" i="7"/>
  <c r="W1100" i="7"/>
  <c r="W952" i="7"/>
  <c r="W1838" i="7"/>
  <c r="W701" i="7"/>
  <c r="W382" i="7"/>
  <c r="W423" i="7"/>
  <c r="W157" i="7"/>
  <c r="W121" i="7"/>
  <c r="W467" i="7"/>
  <c r="W1713" i="7"/>
  <c r="W2515" i="7"/>
  <c r="W1840" i="7"/>
  <c r="W499" i="7"/>
  <c r="W46" i="7"/>
  <c r="W1516" i="7"/>
  <c r="W2347" i="7"/>
  <c r="W1594" i="7"/>
  <c r="W1138" i="7"/>
  <c r="W1421" i="7"/>
  <c r="W1550" i="7"/>
  <c r="W2487" i="7"/>
  <c r="W1870" i="7"/>
  <c r="W558" i="7"/>
  <c r="W1561" i="7"/>
  <c r="W1773" i="7"/>
  <c r="W75" i="7"/>
  <c r="W355" i="7"/>
  <c r="W2073" i="7"/>
  <c r="W1584" i="7"/>
  <c r="W1942" i="7"/>
  <c r="W2392" i="7"/>
  <c r="W1071" i="7"/>
  <c r="W944" i="7"/>
  <c r="W965" i="7"/>
  <c r="W2376" i="7"/>
  <c r="W508" i="7"/>
  <c r="W1206" i="7"/>
  <c r="W459" i="7"/>
  <c r="W1176" i="7"/>
  <c r="W2394" i="7"/>
  <c r="W45" i="7"/>
  <c r="W325" i="7"/>
  <c r="W2403" i="7"/>
  <c r="W928" i="7"/>
  <c r="W339" i="7"/>
  <c r="W2491" i="7"/>
  <c r="W886" i="7"/>
  <c r="W2410" i="7"/>
  <c r="W2340" i="7"/>
  <c r="W1354" i="7"/>
  <c r="W811" i="7"/>
  <c r="W2145" i="7"/>
  <c r="W955" i="7"/>
  <c r="W2069" i="7"/>
  <c r="W2071" i="7"/>
  <c r="W101" i="7"/>
  <c r="W2097" i="7"/>
  <c r="W1175" i="7"/>
  <c r="W1907" i="7"/>
  <c r="W342" i="7"/>
  <c r="W2025" i="7"/>
  <c r="W2505" i="7"/>
  <c r="W2050" i="7"/>
  <c r="W1631" i="7"/>
  <c r="W2269" i="7"/>
  <c r="W1592" i="7"/>
  <c r="W250" i="7"/>
  <c r="W2212" i="7"/>
  <c r="W514" i="7"/>
  <c r="W2532" i="7"/>
  <c r="W2225" i="7"/>
  <c r="W2153" i="7"/>
  <c r="W111" i="7"/>
  <c r="W2430" i="7"/>
  <c r="W52" i="7"/>
  <c r="W1307" i="7"/>
  <c r="W2188" i="7"/>
  <c r="W1791" i="7"/>
  <c r="W2406" i="7"/>
  <c r="W33" i="7"/>
  <c r="W1147" i="7"/>
  <c r="W1906" i="7"/>
  <c r="W1246" i="7"/>
  <c r="W1612" i="7"/>
  <c r="W1633" i="7"/>
  <c r="W1352" i="7"/>
  <c r="W1017" i="7"/>
  <c r="W2255" i="7"/>
  <c r="W61" i="7"/>
  <c r="W2199" i="7"/>
  <c r="W2320" i="7"/>
  <c r="W323" i="7"/>
  <c r="W67" i="7"/>
  <c r="W1443" i="7"/>
  <c r="W473" i="7"/>
  <c r="W1748" i="7"/>
  <c r="W2112" i="7"/>
  <c r="W1105" i="7"/>
  <c r="W42" i="7"/>
  <c r="W225" i="7"/>
  <c r="W2176" i="7"/>
  <c r="W876" i="7"/>
  <c r="W1083" i="7"/>
  <c r="W2485" i="7"/>
  <c r="W341" i="7"/>
  <c r="W640" i="7"/>
  <c r="W2424" i="7"/>
  <c r="W634" i="7"/>
  <c r="W1518" i="7"/>
  <c r="W2457" i="7"/>
  <c r="W535" i="7"/>
  <c r="W369" i="7"/>
  <c r="W92" i="7"/>
  <c r="W2506" i="7"/>
  <c r="W1503" i="7"/>
  <c r="W2250" i="7"/>
  <c r="W1094" i="7"/>
  <c r="W1317" i="7"/>
  <c r="W25" i="7"/>
  <c r="W936" i="7"/>
  <c r="W926" i="7"/>
  <c r="W1896" i="7"/>
  <c r="W1700" i="7"/>
  <c r="W2359" i="7"/>
  <c r="W626" i="7"/>
  <c r="W254" i="7"/>
  <c r="W269" i="7"/>
  <c r="W1113" i="7"/>
  <c r="W2004" i="7"/>
  <c r="W405" i="7"/>
  <c r="W49" i="7"/>
  <c r="W1188" i="7"/>
  <c r="W363" i="7"/>
  <c r="W1627" i="7"/>
  <c r="W605" i="7"/>
  <c r="W1884" i="7"/>
  <c r="W2013" i="7"/>
  <c r="W833" i="7"/>
  <c r="W1573" i="7"/>
  <c r="W1923" i="7"/>
  <c r="W2367" i="7"/>
  <c r="W2287" i="7"/>
  <c r="W1771" i="7"/>
  <c r="W1591" i="7"/>
  <c r="W881" i="7"/>
  <c r="W1834" i="7"/>
  <c r="W566" i="7"/>
  <c r="W2370" i="7"/>
  <c r="W1894" i="7"/>
  <c r="W1507" i="7"/>
  <c r="W1049" i="7"/>
  <c r="W90" i="7"/>
  <c r="W616" i="7"/>
  <c r="W2296" i="7"/>
  <c r="W1394" i="7"/>
  <c r="W57" i="7"/>
  <c r="W2141" i="7"/>
  <c r="W1442" i="7"/>
  <c r="W2077" i="7"/>
  <c r="W931" i="7"/>
  <c r="W1224" i="7"/>
  <c r="W1368" i="7"/>
  <c r="W235" i="7"/>
  <c r="W1171" i="7"/>
  <c r="W80" i="7"/>
  <c r="W191" i="7"/>
  <c r="W2171" i="7"/>
  <c r="W277" i="7"/>
  <c r="W1022" i="7"/>
  <c r="W38" i="7"/>
  <c r="W2354" i="7"/>
  <c r="W664" i="7"/>
  <c r="W1073" i="7"/>
  <c r="W2038" i="7"/>
  <c r="W799" i="7"/>
  <c r="W832" i="7"/>
  <c r="W1466" i="7"/>
  <c r="W878" i="7"/>
  <c r="W2243" i="7"/>
  <c r="W1667" i="7"/>
  <c r="W465" i="7"/>
  <c r="W196" i="7"/>
  <c r="W747" i="7"/>
  <c r="W1085" i="7"/>
  <c r="W222" i="7"/>
  <c r="W2124" i="7"/>
  <c r="W1112" i="7"/>
  <c r="W1298" i="7"/>
  <c r="W2472" i="7"/>
  <c r="W1601" i="7"/>
  <c r="W1389" i="7"/>
  <c r="W853" i="7"/>
  <c r="W2206" i="7"/>
  <c r="W627" i="7"/>
  <c r="W1142" i="7"/>
  <c r="W72" i="7"/>
  <c r="W500" i="7"/>
  <c r="W288" i="7"/>
  <c r="W611" i="7"/>
  <c r="W1614" i="7"/>
  <c r="W644" i="7"/>
  <c r="W755" i="7"/>
  <c r="W460" i="7"/>
  <c r="W1448" i="7"/>
  <c r="W970" i="7"/>
  <c r="W804" i="7"/>
  <c r="W1182" i="7"/>
  <c r="W1191" i="7"/>
  <c r="W1406" i="7"/>
  <c r="W17" i="7"/>
  <c r="W1559" i="7"/>
  <c r="W479" i="7"/>
  <c r="W1002" i="7"/>
  <c r="W1532" i="7"/>
  <c r="W2162" i="7"/>
  <c r="W2538" i="7"/>
  <c r="W1641" i="7"/>
  <c r="W1803" i="7"/>
  <c r="W1311" i="7"/>
  <c r="W1542" i="7"/>
  <c r="W534" i="7"/>
  <c r="W929" i="7"/>
  <c r="W646" i="7"/>
  <c r="W750" i="7"/>
  <c r="W1121" i="7"/>
  <c r="W1558" i="7"/>
  <c r="W802" i="7"/>
  <c r="W575" i="7"/>
  <c r="W2375" i="7"/>
  <c r="W1454" i="7"/>
  <c r="W2060" i="7"/>
  <c r="W620" i="7"/>
  <c r="W446" i="7"/>
  <c r="W2227" i="7"/>
  <c r="W1202" i="7"/>
  <c r="W2193" i="7"/>
  <c r="W2436" i="7"/>
  <c r="W388" i="7"/>
  <c r="W1320" i="7"/>
  <c r="W2401" i="7"/>
  <c r="W1018" i="7"/>
  <c r="W1745" i="7"/>
  <c r="W136" i="7"/>
  <c r="W398" i="7"/>
  <c r="W1879" i="7"/>
  <c r="W1200" i="7"/>
  <c r="W1727" i="7"/>
  <c r="W1005" i="7"/>
  <c r="W538" i="7"/>
  <c r="W1130" i="7"/>
  <c r="W1684" i="7"/>
  <c r="W1156" i="7"/>
  <c r="W332" i="7"/>
  <c r="W1815" i="7"/>
  <c r="W2053" i="7"/>
  <c r="W1753" i="7"/>
  <c r="W133" i="7"/>
  <c r="W2017" i="7"/>
  <c r="W204" i="7"/>
  <c r="W1483" i="7"/>
  <c r="W1122" i="7"/>
  <c r="W237" i="7"/>
  <c r="W1024" i="7"/>
  <c r="W326" i="7"/>
  <c r="W1372" i="7"/>
  <c r="W2240" i="7"/>
  <c r="W2236" i="7"/>
  <c r="W2180" i="7"/>
  <c r="W1053" i="7"/>
  <c r="W1935" i="7"/>
  <c r="W206" i="7"/>
  <c r="W2540" i="7"/>
  <c r="W2256" i="7"/>
  <c r="W999" i="7"/>
  <c r="W2429" i="7"/>
  <c r="W1342" i="7"/>
  <c r="W2104" i="7"/>
  <c r="W1233" i="7"/>
  <c r="W555" i="7"/>
  <c r="W1522" i="7"/>
  <c r="W732" i="7"/>
  <c r="W1765" i="7"/>
  <c r="W1399" i="7"/>
  <c r="W1922" i="7"/>
  <c r="W230" i="7"/>
  <c r="W1431" i="7"/>
  <c r="W1398" i="7"/>
  <c r="W68" i="7"/>
  <c r="W249" i="7"/>
  <c r="W442" i="7"/>
  <c r="W2516" i="7"/>
  <c r="W78" i="7"/>
  <c r="W97" i="7"/>
  <c r="W1605" i="7"/>
  <c r="W659" i="7"/>
  <c r="W321" i="7"/>
  <c r="W1500" i="7"/>
  <c r="W768" i="7"/>
  <c r="W1343" i="7"/>
  <c r="W2265" i="7"/>
  <c r="W492" i="7"/>
  <c r="W307" i="7"/>
  <c r="W2519" i="7"/>
  <c r="W678" i="7"/>
  <c r="W331" i="7"/>
  <c r="W474" i="7"/>
  <c r="W2365" i="7"/>
  <c r="W1379" i="7"/>
  <c r="W1595" i="7"/>
  <c r="W480" i="7"/>
  <c r="W665" i="7"/>
  <c r="W1928" i="7"/>
  <c r="W1373" i="7"/>
  <c r="W954" i="7"/>
  <c r="W373" i="7"/>
  <c r="W1537" i="7"/>
  <c r="W2483" i="7"/>
  <c r="W26" i="7"/>
  <c r="W1369" i="7"/>
  <c r="W1674" i="7"/>
  <c r="W1458" i="7"/>
  <c r="W824" i="7"/>
  <c r="W1227" i="7"/>
  <c r="W2391" i="7"/>
  <c r="W2522" i="7"/>
  <c r="W1515" i="7"/>
  <c r="W186" i="7"/>
  <c r="W265" i="7"/>
  <c r="W1988" i="7"/>
  <c r="W2302" i="7"/>
  <c r="W835" i="7"/>
  <c r="W2034" i="7"/>
  <c r="W188" i="7"/>
  <c r="W40" i="7"/>
  <c r="W1501" i="7"/>
  <c r="W2440" i="7"/>
  <c r="W300" i="7"/>
  <c r="W1181" i="7"/>
  <c r="W2492" i="7"/>
  <c r="W2074" i="7"/>
  <c r="W1813" i="7"/>
  <c r="W910" i="7"/>
  <c r="W2244" i="7"/>
  <c r="W1163" i="7"/>
  <c r="W1093" i="7"/>
  <c r="W1057" i="7"/>
  <c r="W498" i="7"/>
  <c r="W510" i="7"/>
  <c r="W672" i="7"/>
  <c r="W1385" i="7"/>
  <c r="W2371" i="7"/>
  <c r="W205" i="7"/>
  <c r="W1032" i="7"/>
  <c r="W2418" i="7"/>
  <c r="W671" i="7"/>
  <c r="W289" i="7"/>
  <c r="W2147" i="7"/>
  <c r="W850" i="7"/>
  <c r="W66" i="7"/>
  <c r="W2476" i="7"/>
  <c r="W1111" i="7"/>
  <c r="W215" i="7"/>
  <c r="W754" i="7"/>
  <c r="W1337" i="7"/>
  <c r="W1149" i="7"/>
  <c r="W908" i="7"/>
  <c r="W2122" i="7"/>
  <c r="W160" i="7"/>
  <c r="W350" i="7"/>
  <c r="W1505" i="7"/>
  <c r="W2462" i="7"/>
  <c r="W1000" i="7"/>
  <c r="W1718" i="7"/>
  <c r="W1618" i="7"/>
  <c r="W1273" i="7"/>
  <c r="W1628" i="7"/>
  <c r="W1957" i="7"/>
  <c r="W2513" i="7"/>
  <c r="W1380" i="7"/>
  <c r="W733" i="7"/>
  <c r="W2222" i="7"/>
  <c r="W549" i="7"/>
  <c r="W1642" i="7"/>
  <c r="W1155" i="7"/>
  <c r="W1344" i="7"/>
  <c r="W513" i="7"/>
  <c r="W809" i="7"/>
  <c r="W1816" i="7"/>
  <c r="W1551" i="7"/>
  <c r="W1029" i="7"/>
  <c r="W1985" i="7"/>
  <c r="W986" i="7"/>
  <c r="W826" i="7"/>
  <c r="W409" i="7"/>
  <c r="W1390" i="7"/>
  <c r="W2196" i="7"/>
  <c r="W2415" i="7"/>
  <c r="W623" i="7"/>
  <c r="W2449" i="7"/>
  <c r="W367" i="7"/>
  <c r="W2488" i="7"/>
  <c r="W2447" i="7"/>
  <c r="W1157" i="7"/>
  <c r="W117" i="7"/>
  <c r="W1151" i="7"/>
  <c r="W180" i="7"/>
  <c r="W1766" i="7"/>
  <c r="W1475" i="7"/>
  <c r="W1782" i="7"/>
  <c r="W1407" i="7"/>
  <c r="W125" i="7"/>
  <c r="W47" i="7"/>
  <c r="W1332" i="7"/>
  <c r="W2121" i="7"/>
  <c r="W1008" i="7"/>
  <c r="W607" i="7"/>
  <c r="W1866" i="7"/>
  <c r="W1767" i="7"/>
  <c r="W1673" i="7"/>
  <c r="W1331" i="7"/>
  <c r="W1732" i="7"/>
  <c r="W519" i="7"/>
  <c r="W2496" i="7"/>
  <c r="W2201" i="7"/>
  <c r="W600" i="7"/>
  <c r="W966" i="7"/>
  <c r="W1217" i="7"/>
  <c r="W1958" i="7"/>
  <c r="W1011" i="7"/>
  <c r="W134" i="7"/>
  <c r="W84" i="7"/>
  <c r="W1714" i="7"/>
  <c r="W2486" i="7"/>
  <c r="W846" i="7"/>
  <c r="W163" i="7"/>
  <c r="W240" i="7"/>
  <c r="W430" i="7"/>
  <c r="W997" i="7"/>
  <c r="W1579" i="7"/>
  <c r="W1916" i="7"/>
  <c r="W821" i="7"/>
  <c r="W663" i="7"/>
  <c r="W2095" i="7"/>
  <c r="W1883" i="7"/>
  <c r="W119" i="7"/>
  <c r="W1868" i="7"/>
  <c r="W565" i="7"/>
  <c r="W2012" i="7"/>
  <c r="W533" i="7"/>
  <c r="W1769" i="7"/>
  <c r="W2501" i="7"/>
  <c r="W194" i="7"/>
  <c r="W1676" i="7"/>
  <c r="W278" i="7"/>
  <c r="W2165" i="7"/>
  <c r="W735" i="7"/>
  <c r="W1165" i="7"/>
  <c r="W179" i="7"/>
  <c r="W903" i="7"/>
  <c r="W681" i="7"/>
  <c r="W765" i="7"/>
  <c r="W2235" i="7"/>
  <c r="W1433" i="7"/>
  <c r="W1590" i="7"/>
  <c r="W851" i="7"/>
  <c r="W1109" i="7"/>
  <c r="W2154" i="7"/>
  <c r="W1717" i="7"/>
  <c r="W978" i="7"/>
  <c r="W242" i="7"/>
  <c r="W105" i="7"/>
  <c r="W2315" i="7"/>
  <c r="W1626" i="7"/>
  <c r="W957" i="7"/>
  <c r="W2001" i="7"/>
  <c r="W1948" i="7"/>
  <c r="W2054" i="7"/>
  <c r="W2099" i="7"/>
  <c r="W2312" i="7"/>
  <c r="W1141" i="7"/>
  <c r="W1778" i="7"/>
  <c r="W502" i="7"/>
  <c r="W1965" i="7"/>
  <c r="W2000" i="7"/>
  <c r="W1940" i="7"/>
  <c r="W1267" i="7"/>
  <c r="W836" i="7"/>
  <c r="W1275" i="7"/>
  <c r="W1388" i="7"/>
  <c r="W2309" i="7"/>
  <c r="W1457" i="7"/>
  <c r="W837" i="7"/>
  <c r="W2549" i="7"/>
  <c r="W604" i="7"/>
  <c r="W2305" i="7"/>
  <c r="W2127" i="7"/>
  <c r="W911" i="7"/>
  <c r="W619" i="7"/>
  <c r="W1577" i="7"/>
  <c r="W2512" i="7"/>
  <c r="W651" i="7"/>
  <c r="W1427" i="7"/>
  <c r="W1063" i="7"/>
  <c r="W213" i="7"/>
  <c r="W602" i="7"/>
  <c r="W129" i="7"/>
  <c r="W1028" i="7"/>
  <c r="W1634" i="7"/>
  <c r="W1199" i="7"/>
  <c r="W159" i="7"/>
  <c r="W327" i="7"/>
  <c r="W2482" i="7"/>
  <c r="W689" i="7"/>
  <c r="W894" i="7"/>
  <c r="W2168" i="7"/>
  <c r="W141" i="7"/>
  <c r="W282" i="7"/>
  <c r="W1286" i="7"/>
  <c r="W2495" i="7"/>
  <c r="W1902" i="7"/>
  <c r="W870" i="7"/>
  <c r="W2166" i="7"/>
  <c r="W892" i="7"/>
  <c r="W1930" i="7"/>
  <c r="W13" i="7"/>
  <c r="W360" i="7"/>
  <c r="W384" i="7"/>
  <c r="W1477" i="7"/>
  <c r="W1468" i="7"/>
  <c r="W431" i="7"/>
  <c r="W1564" i="7"/>
  <c r="W697" i="7"/>
  <c r="W1133" i="7"/>
  <c r="W1383" i="7"/>
  <c r="W2493" i="7"/>
  <c r="W2470" i="7"/>
  <c r="W1901" i="7"/>
  <c r="W1429" i="7"/>
  <c r="W899" i="7"/>
  <c r="W5" i="7"/>
  <c r="W1586" i="7"/>
  <c r="W592" i="7"/>
  <c r="W2335" i="7"/>
  <c r="W487" i="7"/>
  <c r="W2134" i="7"/>
  <c r="W1545" i="7"/>
  <c r="W2133" i="7"/>
  <c r="W69" i="7"/>
  <c r="W1672" i="7"/>
  <c r="W1252" i="7"/>
  <c r="W402" i="7"/>
  <c r="W1107" i="7"/>
  <c r="W2086" i="7"/>
  <c r="W829" i="7"/>
  <c r="W1832" i="7"/>
  <c r="W317" i="7"/>
  <c r="W1758" i="7"/>
  <c r="W1609" i="7"/>
  <c r="W930" i="7"/>
  <c r="W2451" i="7"/>
  <c r="W787" i="7"/>
  <c r="W1657" i="7"/>
  <c r="W1244" i="7"/>
  <c r="W1611" i="7"/>
  <c r="W1953" i="7"/>
  <c r="W1040" i="7"/>
  <c r="W1070" i="7"/>
  <c r="W1089" i="7"/>
  <c r="W2358" i="7"/>
  <c r="W1326" i="7"/>
  <c r="W589" i="7"/>
  <c r="W729" i="7"/>
  <c r="W1540" i="7"/>
  <c r="W819" i="7"/>
  <c r="W1812" i="7"/>
  <c r="W23" i="7"/>
  <c r="W895" i="7"/>
  <c r="W1216" i="7"/>
  <c r="W489" i="7"/>
  <c r="W551" i="7"/>
  <c r="W1565" i="7"/>
  <c r="W879" i="7"/>
  <c r="W110" i="7"/>
  <c r="W1698" i="7"/>
  <c r="W2352" i="7"/>
  <c r="W710" i="7"/>
  <c r="W677" i="7"/>
  <c r="W301" i="7"/>
  <c r="W1793" i="7"/>
  <c r="W2111" i="7"/>
  <c r="W1744" i="7"/>
  <c r="W1405" i="7"/>
  <c r="W1960" i="7"/>
  <c r="W552" i="7"/>
  <c r="W1783" i="7"/>
  <c r="W2434" i="7"/>
  <c r="W77" i="7"/>
  <c r="W1954" i="7"/>
  <c r="W1738" i="7"/>
  <c r="W2049" i="7"/>
  <c r="W2280" i="7"/>
  <c r="W648" i="7"/>
  <c r="W891" i="7"/>
  <c r="W53" i="7"/>
  <c r="W1207" i="7"/>
  <c r="W2003" i="7"/>
  <c r="W518" i="7"/>
  <c r="W526" i="7"/>
  <c r="W2458" i="7"/>
  <c r="W2362" i="7"/>
  <c r="W2052" i="7"/>
  <c r="W763" i="7"/>
  <c r="W2360" i="7"/>
  <c r="W1582" i="7"/>
  <c r="W1097" i="7"/>
  <c r="W458" i="7"/>
  <c r="W2264" i="7"/>
  <c r="W813" i="7"/>
  <c r="W24" i="7"/>
  <c r="W815" i="7"/>
  <c r="W439" i="7"/>
  <c r="W920" i="7"/>
  <c r="W922" i="7"/>
  <c r="W1328" i="7"/>
  <c r="W2329" i="7"/>
  <c r="W712" i="7"/>
  <c r="W877" i="7"/>
  <c r="W252" i="7"/>
  <c r="W2109" i="7"/>
  <c r="W1026" i="7"/>
  <c r="W44" i="7"/>
  <c r="W1890" i="7"/>
  <c r="W1035" i="7"/>
  <c r="W112" i="7"/>
  <c r="W1270" i="7"/>
  <c r="W509" i="7"/>
  <c r="W2062" i="7"/>
  <c r="W1709" i="7"/>
  <c r="W1370" i="7"/>
  <c r="W1461" i="7"/>
  <c r="W545" i="7"/>
  <c r="W62" i="7"/>
  <c r="W718" i="7"/>
  <c r="W322" i="7"/>
  <c r="W1119" i="7"/>
  <c r="W715" i="7"/>
  <c r="W942" i="7"/>
  <c r="W390" i="7"/>
  <c r="W996" i="7"/>
  <c r="W642" i="7"/>
  <c r="W2421" i="7"/>
  <c r="W717" i="7"/>
  <c r="W994" i="7"/>
  <c r="W1367" i="7"/>
  <c r="W1241" i="7"/>
  <c r="W130" i="7"/>
  <c r="W37" i="7"/>
  <c r="W1193" i="7"/>
  <c r="W1306" i="7"/>
  <c r="W1009" i="7"/>
  <c r="W1546" i="7"/>
  <c r="W1610" i="7"/>
  <c r="W2528" i="7"/>
  <c r="W1376" i="7"/>
  <c r="W2336" i="7"/>
  <c r="W1703" i="7"/>
  <c r="W1039" i="7"/>
  <c r="W48" i="7"/>
  <c r="W1295" i="7"/>
  <c r="W1729" i="7"/>
  <c r="W475" i="7"/>
  <c r="W2524" i="7"/>
  <c r="W427" i="7"/>
  <c r="W432" i="7"/>
  <c r="W1060" i="7"/>
  <c r="W1796" i="7"/>
  <c r="W1229" i="7"/>
  <c r="W16" i="7"/>
  <c r="W2511" i="7"/>
  <c r="W2051" i="7"/>
  <c r="W1801" i="7"/>
  <c r="W2411" i="7"/>
  <c r="W2078" i="7"/>
  <c r="W2521" i="7"/>
  <c r="W2114" i="7"/>
  <c r="W1967" i="7"/>
  <c r="W352" i="7"/>
  <c r="W476" i="7"/>
  <c r="W1822" i="7"/>
  <c r="W1115" i="7"/>
  <c r="W1604" i="7"/>
  <c r="W1387" i="7"/>
  <c r="W805" i="7"/>
  <c r="W1777" i="7"/>
  <c r="W337" i="7"/>
  <c r="W693" i="7"/>
  <c r="W885" i="7"/>
  <c r="W1339" i="7"/>
  <c r="W673" i="7"/>
  <c r="W1240" i="7"/>
  <c r="W2055" i="7"/>
  <c r="W79" i="7"/>
  <c r="W1359" i="7"/>
  <c r="W560" i="7"/>
  <c r="W1316" i="7"/>
  <c r="W389" i="7"/>
  <c r="W1548" i="7"/>
  <c r="W1568" i="7"/>
  <c r="W93" i="7"/>
  <c r="W1056" i="7"/>
  <c r="W2377" i="7"/>
  <c r="W22" i="7"/>
  <c r="W792" i="7"/>
  <c r="W610" i="7"/>
  <c r="W848" i="7"/>
  <c r="W2177" i="7"/>
  <c r="W1701" i="7"/>
  <c r="W542" i="7"/>
  <c r="W426" i="7"/>
  <c r="W1833" i="7"/>
  <c r="W1183" i="7"/>
  <c r="W2213" i="7"/>
  <c r="W2233" i="7"/>
  <c r="W1919" i="7"/>
  <c r="W279" i="7"/>
  <c r="W314" i="7"/>
  <c r="W801" i="7"/>
  <c r="W1036" i="7"/>
  <c r="W688" i="7"/>
  <c r="W769" i="7"/>
  <c r="W581" i="7"/>
  <c r="W1990" i="7"/>
  <c r="W2293" i="7"/>
  <c r="W1110" i="7"/>
  <c r="W556" i="7"/>
  <c r="W820" i="7"/>
  <c r="W2463" i="7"/>
  <c r="W576" i="7"/>
  <c r="W1425" i="7"/>
  <c r="W1809" i="7"/>
  <c r="W897" i="7"/>
  <c r="W758" i="7"/>
  <c r="W1779" i="7"/>
  <c r="W1208" i="7"/>
  <c r="W14" i="7"/>
  <c r="W2431" i="7"/>
  <c r="W1853" i="7"/>
  <c r="W1929" i="7"/>
  <c r="W2138" i="7"/>
  <c r="W2218" i="7"/>
  <c r="W1349" i="7"/>
  <c r="W436" i="7"/>
  <c r="W298" i="7"/>
  <c r="W862" i="7"/>
  <c r="W1878" i="7"/>
  <c r="W21" i="7"/>
  <c r="W2330" i="7"/>
  <c r="W434" i="7"/>
  <c r="W676" i="7"/>
  <c r="W365" i="7"/>
  <c r="W1264" i="7"/>
  <c r="W1075" i="7"/>
  <c r="W748" i="7"/>
  <c r="W2444" i="7"/>
  <c r="W1134" i="7"/>
  <c r="W1255" i="7"/>
  <c r="W1544" i="7"/>
  <c r="W1663" i="7"/>
  <c r="W1234" i="7"/>
  <c r="W1223" i="7"/>
  <c r="W1566" i="7"/>
  <c r="W654" i="7"/>
  <c r="W1305" i="7"/>
  <c r="W1265" i="7"/>
  <c r="W2288" i="7"/>
  <c r="W1164" i="7"/>
  <c r="W1078" i="7"/>
  <c r="W843" i="7"/>
  <c r="W2144" i="7"/>
  <c r="W1524" i="7"/>
  <c r="W797" i="7"/>
  <c r="W1789" i="7"/>
  <c r="W2061" i="7"/>
  <c r="W392" i="7"/>
  <c r="W1242" i="7"/>
  <c r="W1760" i="7"/>
  <c r="W1721" i="7"/>
  <c r="W2230" i="7"/>
  <c r="W1523" i="7"/>
  <c r="W1239" i="7"/>
  <c r="W1124" i="7"/>
  <c r="W2471" i="7"/>
  <c r="W212" i="7"/>
  <c r="W1712" i="7"/>
  <c r="W2292" i="7"/>
  <c r="W351" i="7"/>
  <c r="W2294" i="7"/>
  <c r="W766" i="7"/>
  <c r="W1488" i="7"/>
  <c r="W1351" i="7"/>
  <c r="W818" i="7"/>
  <c r="W2480" i="7"/>
  <c r="W637" i="7"/>
  <c r="W2090" i="7"/>
  <c r="W2384" i="7"/>
  <c r="W259" i="7"/>
  <c r="W2533" i="7"/>
  <c r="W447" i="7"/>
  <c r="W201" i="7"/>
  <c r="W859" i="7"/>
  <c r="W1997" i="7"/>
  <c r="W228" i="7"/>
  <c r="W1639" i="7"/>
  <c r="W1837" i="7"/>
  <c r="W1686" i="7"/>
  <c r="W385" i="7"/>
  <c r="W1549" i="7"/>
  <c r="W937" i="7"/>
  <c r="W2242" i="7"/>
  <c r="W2183" i="7"/>
  <c r="W2131" i="7"/>
  <c r="W2093" i="7"/>
  <c r="W2241" i="7"/>
  <c r="W2045" i="7"/>
  <c r="W445" i="7"/>
  <c r="W901" i="7"/>
  <c r="W963" i="7"/>
  <c r="W1478" i="7"/>
  <c r="W1051" i="7"/>
  <c r="W1691" i="7"/>
  <c r="W83" i="7"/>
  <c r="W984" i="7"/>
  <c r="W1077" i="7"/>
  <c r="W2332" i="7"/>
  <c r="W1435" i="7"/>
  <c r="W1363" i="7"/>
  <c r="W1763" i="7"/>
  <c r="W1046" i="7"/>
  <c r="W74" i="7"/>
  <c r="W31" i="7"/>
  <c r="W1426" i="7"/>
  <c r="W856" i="7"/>
  <c r="W2105" i="7"/>
  <c r="W1312" i="7"/>
  <c r="W1937" i="7"/>
  <c r="W2369" i="7"/>
  <c r="W1050" i="7"/>
  <c r="W562" i="7"/>
  <c r="W1977" i="7"/>
  <c r="W135" i="7"/>
  <c r="W1463" i="7"/>
  <c r="W1952" i="7"/>
  <c r="W1645" i="7"/>
  <c r="W1670" i="7"/>
  <c r="W2232" i="7"/>
  <c r="W344" i="7"/>
  <c r="W731" i="7"/>
  <c r="W375" i="7"/>
  <c r="W1900" i="7"/>
  <c r="W2220" i="7"/>
  <c r="W588" i="7"/>
  <c r="W287" i="7"/>
  <c r="W1353" i="7"/>
  <c r="W1658" i="7"/>
  <c r="W2191" i="7"/>
  <c r="W1912" i="7"/>
  <c r="W980" i="7"/>
  <c r="W177" i="7"/>
  <c r="W1452" i="7"/>
  <c r="W1824" i="7"/>
  <c r="W1254" i="7"/>
  <c r="W621" i="7"/>
  <c r="W2261" i="7"/>
  <c r="W1068" i="7"/>
  <c r="W767" i="7"/>
  <c r="W702" i="7"/>
  <c r="W1184" i="7"/>
  <c r="W457" i="7"/>
  <c r="W1210" i="7"/>
  <c r="W2113" i="7"/>
  <c r="W2270" i="7"/>
  <c r="W1841" i="7"/>
  <c r="W2174" i="7"/>
  <c r="W2446" i="7"/>
  <c r="W2239" i="7"/>
  <c r="W2087" i="7"/>
  <c r="W1599" i="7"/>
  <c r="W1882" i="7"/>
  <c r="W132" i="7"/>
  <c r="W199" i="7"/>
  <c r="W507" i="7"/>
  <c r="W8" i="7"/>
  <c r="W941" i="7"/>
  <c r="W2334" i="7"/>
  <c r="W2010" i="7"/>
  <c r="W293" i="7"/>
  <c r="W2297" i="7"/>
  <c r="W655" i="7"/>
  <c r="W2534" i="7"/>
  <c r="W404" i="7"/>
  <c r="W762" i="7"/>
  <c r="W2036" i="7"/>
  <c r="W303" i="7"/>
  <c r="W574" i="7"/>
  <c r="W1467" i="7"/>
  <c r="W89" i="7"/>
  <c r="W1754" i="7"/>
  <c r="W421" i="7"/>
  <c r="W2531" i="7"/>
  <c r="W866" i="7"/>
  <c r="W1858" i="7"/>
  <c r="W2298" i="7"/>
  <c r="W2102" i="7"/>
  <c r="W1144" i="7"/>
  <c r="W985" i="7"/>
  <c r="W1027" i="7"/>
  <c r="W544" i="7"/>
  <c r="W2224" i="7"/>
  <c r="W2536" i="7"/>
  <c r="W751" i="7"/>
  <c r="W795" i="7"/>
  <c r="W1135" i="7"/>
  <c r="W435" i="7"/>
  <c r="W2338" i="7"/>
  <c r="W30" i="7"/>
  <c r="W356" i="7"/>
  <c r="W764" i="7"/>
  <c r="W977" i="7"/>
  <c r="W2219" i="7"/>
  <c r="W674" i="7"/>
  <c r="W2088" i="7"/>
  <c r="W2281" i="7"/>
  <c r="W591" i="7"/>
  <c r="W2238" i="7"/>
  <c r="W2502" i="7"/>
  <c r="W1619" i="7"/>
  <c r="W1994" i="7"/>
  <c r="W708" i="7"/>
  <c r="W450" i="7"/>
  <c r="W1473" i="7"/>
  <c r="W260" i="7"/>
  <c r="W1371" i="7"/>
  <c r="W1571" i="7"/>
  <c r="W1897" i="7"/>
  <c r="W2355" i="7"/>
  <c r="W2106" i="7"/>
  <c r="W1921" i="7"/>
  <c r="W2442" i="7"/>
  <c r="W98" i="7"/>
  <c r="W2156" i="7"/>
  <c r="W1249" i="7"/>
  <c r="W749" i="7"/>
  <c r="W2310" i="7"/>
  <c r="W1527" i="7"/>
  <c r="W855" i="7"/>
  <c r="W2547" i="7"/>
  <c r="W1231" i="7"/>
  <c r="W1825" i="7"/>
  <c r="W812" i="7"/>
  <c r="W266" i="7"/>
  <c r="W280" i="7"/>
  <c r="W1817" i="7"/>
  <c r="W1805" i="7"/>
  <c r="W1336" i="7"/>
  <c r="W131" i="7"/>
  <c r="W737" i="7"/>
  <c r="W781" i="7"/>
  <c r="W1574" i="7"/>
  <c r="W2202" i="7"/>
  <c r="W1740" i="7"/>
  <c r="W2404" i="7"/>
  <c r="W1197" i="7"/>
  <c r="W814" i="7"/>
  <c r="W429" i="7"/>
  <c r="W2155" i="7"/>
  <c r="W1715" i="7"/>
  <c r="W2517" i="7"/>
  <c r="W275" i="7"/>
  <c r="W1911" i="7"/>
  <c r="W114" i="7"/>
  <c r="W1030" i="7"/>
  <c r="W520" i="7"/>
  <c r="W1899" i="7"/>
  <c r="W241" i="7"/>
  <c r="W1776" i="7"/>
  <c r="W746" i="7"/>
  <c r="W525" i="7"/>
  <c r="W2545" i="7"/>
  <c r="W154" i="7"/>
  <c r="W1279" i="7"/>
  <c r="W716" i="7"/>
  <c r="W1749" i="7"/>
  <c r="W1364" i="7"/>
  <c r="W364" i="7"/>
  <c r="W1006" i="7"/>
  <c r="W181" i="7"/>
  <c r="W1278" i="7"/>
  <c r="W1201" i="7"/>
  <c r="W2508" i="7"/>
  <c r="W1081" i="7"/>
  <c r="W437" i="7"/>
  <c r="W2254" i="7"/>
  <c r="W1830" i="7"/>
  <c r="W1735" i="7"/>
  <c r="W2400" i="7"/>
  <c r="W1855" i="7"/>
  <c r="W633" i="7"/>
  <c r="W948" i="7"/>
  <c r="W2039" i="7"/>
  <c r="W2313" i="7"/>
  <c r="W887" i="7"/>
  <c r="W1362" i="7"/>
  <c r="W1319" i="7"/>
  <c r="W362" i="7"/>
  <c r="W1059" i="7"/>
  <c r="W1302" i="7"/>
  <c r="W99" i="7"/>
  <c r="W261" i="7"/>
  <c r="W530" i="7"/>
  <c r="W669" i="7"/>
  <c r="W173" i="7"/>
  <c r="W1920" i="7"/>
  <c r="W547" i="7"/>
  <c r="W1726" i="7"/>
  <c r="W1983" i="7"/>
  <c r="W1404" i="7"/>
  <c r="W1092" i="7"/>
  <c r="W614" i="7"/>
  <c r="W1023" i="7"/>
  <c r="W2119" i="7"/>
  <c r="W1961" i="7"/>
  <c r="W893" i="7"/>
  <c r="W1750" i="7"/>
  <c r="W2221" i="7"/>
  <c r="W2433" i="7"/>
  <c r="W973" i="7"/>
  <c r="W2474" i="7"/>
  <c r="W1345" i="7"/>
  <c r="W2063" i="7"/>
  <c r="W615" i="7"/>
  <c r="W152" i="7"/>
  <c r="W946" i="7"/>
  <c r="W844" i="7"/>
  <c r="W2231" i="7"/>
  <c r="W424" i="7"/>
  <c r="W1647" i="7"/>
  <c r="W1160" i="7"/>
  <c r="W302" i="7"/>
  <c r="W662" i="7"/>
  <c r="W1098" i="7"/>
  <c r="W1492" i="7"/>
  <c r="W790" i="7"/>
  <c r="W182" i="7"/>
  <c r="W1038" i="7"/>
  <c r="W338" i="7"/>
  <c r="W2393" i="7"/>
  <c r="W1462" i="7"/>
  <c r="W521" i="7"/>
  <c r="W2284" i="7"/>
  <c r="W433" i="7"/>
  <c r="W1418" i="7"/>
  <c r="W236" i="7"/>
  <c r="W2182" i="7"/>
  <c r="W256" i="7"/>
  <c r="W523" i="7"/>
  <c r="W933" i="7"/>
  <c r="W262" i="7"/>
  <c r="W726" i="7"/>
  <c r="W2481" i="7"/>
  <c r="W2128" i="7"/>
  <c r="W2379" i="7"/>
  <c r="W1099" i="7"/>
  <c r="W189" i="7"/>
  <c r="W1403" i="7"/>
  <c r="W2172" i="7"/>
  <c r="W880" i="7"/>
  <c r="W657" i="7"/>
  <c r="W976" i="7"/>
  <c r="W231" i="7"/>
  <c r="W675" i="7"/>
  <c r="W247" i="7"/>
  <c r="W2450" i="7"/>
  <c r="W1697" i="7"/>
  <c r="W2510" i="7"/>
  <c r="W139" i="7"/>
  <c r="W1653" i="7"/>
  <c r="W1250" i="7"/>
  <c r="W1274" i="7"/>
  <c r="W1103" i="7"/>
  <c r="W995" i="7"/>
  <c r="W1396" i="7"/>
  <c r="W1950" i="7"/>
  <c r="W1526" i="7"/>
  <c r="W1423" i="7"/>
  <c r="W1814" i="7"/>
  <c r="W1652" i="7"/>
  <c r="W2057" i="7"/>
  <c r="W658" i="7"/>
  <c r="W1798" i="7"/>
  <c r="W1287" i="7"/>
  <c r="W443" i="7"/>
  <c r="W912" i="7"/>
  <c r="W1710" i="7"/>
  <c r="W2526" i="7"/>
  <c r="W692" i="7"/>
  <c r="W316" i="7"/>
  <c r="W1290" i="7"/>
  <c r="W1514" i="7"/>
  <c r="W2015" i="7"/>
  <c r="W2068" i="7"/>
  <c r="W752" i="7"/>
  <c r="W1917" i="7"/>
  <c r="W743" i="7"/>
  <c r="W2323" i="7"/>
  <c r="W35" i="7"/>
  <c r="W2058" i="7"/>
  <c r="W950" i="7"/>
  <c r="W776" i="7"/>
  <c r="W1102" i="7"/>
  <c r="W2098" i="7"/>
  <c r="W872" i="7"/>
  <c r="W554" i="7"/>
  <c r="W41" i="7"/>
  <c r="W391" i="7"/>
  <c r="W299" i="7"/>
  <c r="W200" i="7"/>
  <c r="W1739" i="7"/>
  <c r="W1146" i="7"/>
  <c r="W2085" i="7"/>
  <c r="W960" i="7"/>
  <c r="W2194" i="7"/>
  <c r="W1375" i="7"/>
  <c r="W2066" i="7"/>
  <c r="W2316" i="7"/>
  <c r="W721" i="7"/>
  <c r="W760" i="7"/>
  <c r="W1481" i="7"/>
  <c r="W1562" i="7"/>
  <c r="W216" i="7"/>
  <c r="W834" i="7"/>
  <c r="W1190" i="7"/>
  <c r="W913" i="7"/>
  <c r="W947" i="7"/>
  <c r="W770" i="7"/>
  <c r="W1177" i="7"/>
  <c r="W2249" i="7"/>
  <c r="W1525" i="7"/>
  <c r="W2268" i="7"/>
  <c r="W2278" i="7"/>
  <c r="W865" i="7"/>
  <c r="W2266" i="7"/>
  <c r="W1880" i="7"/>
  <c r="W723" i="7"/>
  <c r="W2363" i="7"/>
  <c r="W268" i="7"/>
  <c r="W253" i="7"/>
  <c r="W583" i="7"/>
  <c r="W2346" i="7"/>
  <c r="W1392" i="7"/>
  <c r="W81" i="7"/>
  <c r="W1731" i="7"/>
  <c r="W777" i="7"/>
  <c r="W1377" i="7"/>
  <c r="W1194" i="7"/>
  <c r="W1167" i="7"/>
  <c r="W1707" i="7"/>
  <c r="W2408" i="7"/>
  <c r="W845" i="7"/>
  <c r="W962" i="7"/>
  <c r="W1993" i="7"/>
  <c r="W1434" i="7"/>
  <c r="W320" i="7"/>
  <c r="W1451" i="7"/>
  <c r="W2343" i="7"/>
  <c r="W2117" i="7"/>
  <c r="W670" i="7"/>
  <c r="W318" i="7"/>
  <c r="W258" i="7"/>
  <c r="W94" i="7"/>
  <c r="W2019" i="7"/>
  <c r="W1052" i="7"/>
  <c r="W613" i="7"/>
  <c r="W1648" i="7"/>
  <c r="W2353" i="7"/>
  <c r="W209" i="7"/>
  <c r="W630" i="7"/>
  <c r="W2324" i="7"/>
  <c r="W1986" i="7"/>
  <c r="W546" i="7"/>
  <c r="W707" i="7"/>
  <c r="W2263" i="7"/>
  <c r="W1655" i="7"/>
  <c r="W867" i="7"/>
  <c r="W1212" i="7"/>
  <c r="W808" i="7"/>
  <c r="W1297" i="7"/>
  <c r="W1268" i="7"/>
  <c r="W1470" i="7"/>
  <c r="W1220" i="7"/>
  <c r="W2318" i="7"/>
  <c r="W2321" i="7"/>
  <c r="W233" i="7"/>
  <c r="W87" i="7"/>
  <c r="W1846" i="7"/>
  <c r="W2092" i="7"/>
  <c r="W76" i="7"/>
  <c r="W1794" i="7"/>
  <c r="W1346" i="7"/>
  <c r="W484" i="7"/>
  <c r="W357" i="7"/>
  <c r="W1669" i="7"/>
  <c r="W1677" i="7"/>
  <c r="W909" i="7"/>
  <c r="W169" i="7"/>
  <c r="W1554" i="7"/>
  <c r="W1893" i="7"/>
  <c r="W1987" i="7"/>
  <c r="W1541" i="7"/>
  <c r="W1315" i="7"/>
  <c r="W2398" i="7"/>
  <c r="W2237" i="7"/>
  <c r="W745" i="7"/>
  <c r="W1904" i="7"/>
  <c r="W2116" i="7"/>
  <c r="W2427" i="7"/>
  <c r="W270" i="7"/>
  <c r="W187" i="7"/>
  <c r="W1864" i="7"/>
  <c r="W1999" i="7"/>
  <c r="W413" i="7"/>
  <c r="W1972" i="7"/>
  <c r="W1606" i="7"/>
  <c r="W1705" i="7"/>
  <c r="W2126" i="7"/>
  <c r="W2137" i="7"/>
  <c r="W2076" i="7"/>
  <c r="W2082" i="7"/>
  <c r="W1074" i="7"/>
  <c r="W1869" i="7"/>
  <c r="W1230" i="7"/>
  <c r="W917" i="7"/>
  <c r="W1723" i="7"/>
  <c r="W1271" i="7"/>
  <c r="W2342" i="7"/>
  <c r="W2428" i="7"/>
  <c r="W2419" i="7"/>
  <c r="W428" i="7"/>
  <c r="W1192" i="7"/>
  <c r="W1737" i="7"/>
  <c r="W454" i="7"/>
  <c r="W2539" i="7"/>
  <c r="W608" i="7"/>
  <c r="W2295" i="7"/>
  <c r="W730" i="7"/>
  <c r="W1873" i="7"/>
  <c r="W2163" i="7"/>
  <c r="W70" i="7"/>
  <c r="W283" i="7"/>
  <c r="W606" i="7"/>
  <c r="W540" i="7"/>
  <c r="W1790" i="7"/>
  <c r="W2216" i="7"/>
  <c r="W2514" i="7"/>
  <c r="W1538" i="7"/>
  <c r="W967" i="7"/>
  <c r="W2200" i="7"/>
  <c r="W2466" i="7"/>
  <c r="W561" i="7"/>
  <c r="W2326" i="7"/>
  <c r="W1143" i="7"/>
  <c r="W959" i="7"/>
  <c r="W2464" i="7"/>
  <c r="W255" i="7"/>
  <c r="W810" i="7"/>
  <c r="W653" i="7"/>
  <c r="W587" i="7"/>
  <c r="W128" i="7"/>
  <c r="W2456" i="7"/>
  <c r="W524" i="7"/>
  <c r="W306" i="7"/>
  <c r="W304" i="7"/>
  <c r="W15" i="7"/>
  <c r="W537" i="7"/>
  <c r="W1949" i="7"/>
  <c r="W1455" i="7"/>
  <c r="W1439" i="7"/>
  <c r="W1581" i="7"/>
  <c r="W1931" i="7"/>
  <c r="W211" i="7"/>
  <c r="W2467" i="7"/>
  <c r="W1692" i="7"/>
  <c r="W1730" i="7"/>
  <c r="W1863" i="7"/>
  <c r="W1232" i="7"/>
  <c r="W1603" i="7"/>
  <c r="W2022" i="7"/>
  <c r="W1520" i="7"/>
  <c r="W2286" i="7"/>
  <c r="W1747" i="7"/>
  <c r="W311" i="7"/>
  <c r="W2080" i="7"/>
  <c r="W1033" i="7"/>
  <c r="W830" i="7"/>
  <c r="W1355" i="7"/>
  <c r="W791" i="7"/>
  <c r="W924" i="7"/>
  <c r="W2291" i="7"/>
  <c r="W618" i="7"/>
  <c r="W1644" i="7"/>
  <c r="W419" i="7"/>
  <c r="W1695" i="7"/>
  <c r="W1015" i="7"/>
  <c r="W36" i="7"/>
  <c r="W2150" i="7"/>
  <c r="W251" i="7"/>
  <c r="W1303" i="7"/>
  <c r="W1560" i="7"/>
  <c r="W2423" i="7"/>
  <c r="W1831" i="7"/>
  <c r="W411" i="7"/>
  <c r="W403" i="7"/>
  <c r="W2271" i="7"/>
  <c r="W1828" i="7"/>
  <c r="W1982" i="7"/>
  <c r="W2494" i="7"/>
  <c r="W1132" i="7"/>
  <c r="W2374" i="7"/>
  <c r="W1553" i="7"/>
  <c r="W1624" i="7"/>
  <c r="W704" i="7"/>
  <c r="W1436" i="7"/>
  <c r="W393" i="7"/>
  <c r="W2307" i="7"/>
  <c r="W1291" i="7"/>
  <c r="W1888" i="7"/>
  <c r="W155" i="7"/>
  <c r="W779" i="7"/>
  <c r="W19" i="7"/>
  <c r="W522" i="7"/>
  <c r="W1876" i="7"/>
  <c r="W1844" i="7"/>
  <c r="W1301" i="7"/>
  <c r="W96" i="7"/>
  <c r="W2103" i="7"/>
  <c r="W1529" i="7"/>
  <c r="W691" i="7"/>
  <c r="W481" i="7"/>
  <c r="W2523" i="7"/>
  <c r="W394" i="7"/>
  <c r="W1811" i="7"/>
  <c r="W783" i="7"/>
  <c r="W1668" i="7"/>
  <c r="W1680" i="7"/>
  <c r="W501" i="7"/>
  <c r="W890" i="7"/>
  <c r="W906" i="7"/>
  <c r="W271" i="7"/>
  <c r="W1091" i="7"/>
  <c r="W2507" i="7"/>
  <c r="W1090" i="7"/>
  <c r="W1459" i="7"/>
  <c r="W2441" i="7"/>
  <c r="W1600" i="7"/>
  <c r="W759" i="7"/>
  <c r="W2083" i="7"/>
  <c r="W65" i="7"/>
  <c r="W918" i="7"/>
  <c r="W2422" i="7"/>
  <c r="W2030" i="7"/>
  <c r="W208" i="7"/>
  <c r="W695" i="7"/>
  <c r="W2245" i="7"/>
  <c r="W1211" i="7"/>
  <c r="W2425" i="7"/>
  <c r="W1314" i="7"/>
  <c r="W2118" i="7"/>
  <c r="W1159" i="7"/>
  <c r="W1857" i="7"/>
  <c r="W39" i="7"/>
  <c r="W934" i="7"/>
  <c r="W43" i="7"/>
  <c r="W1471" i="7"/>
  <c r="W684" i="7"/>
  <c r="W2159" i="7"/>
  <c r="W869" i="7"/>
  <c r="W1867" i="7"/>
  <c r="W2214" i="7"/>
  <c r="W1757" i="7"/>
  <c r="W401" i="7"/>
  <c r="W738" i="7"/>
  <c r="W896" i="7"/>
  <c r="W705" i="7"/>
  <c r="W2382" i="7"/>
  <c r="W340" i="7"/>
  <c r="W2498" i="7"/>
  <c r="W902" i="7"/>
  <c r="W203" i="7"/>
  <c r="W1818" i="7"/>
  <c r="W172" i="7"/>
  <c r="W353" i="7"/>
  <c r="W2490" i="7"/>
  <c r="W1019" i="7"/>
  <c r="W1062" i="7"/>
  <c r="W1348" i="7"/>
  <c r="W905" i="7"/>
  <c r="W1456" i="7"/>
  <c r="W1536" i="7"/>
  <c r="W1768" i="7"/>
  <c r="W1123" i="7"/>
  <c r="W1944" i="7"/>
  <c r="W2160" i="7"/>
  <c r="W1903" i="7"/>
  <c r="W1915" i="7"/>
  <c r="W2322" i="7"/>
  <c r="W142" i="7"/>
  <c r="W1300" i="7"/>
  <c r="W2277" i="7"/>
  <c r="W943" i="7"/>
  <c r="W1656" i="7"/>
  <c r="W2405" i="7"/>
  <c r="W395" i="7"/>
  <c r="W1424" i="7"/>
  <c r="W496" i="7"/>
  <c r="W831" i="7"/>
  <c r="W1402" i="7"/>
  <c r="W1128" i="7"/>
  <c r="W361" i="7"/>
  <c r="W969" i="7"/>
  <c r="W1966" i="7"/>
  <c r="W2247" i="7"/>
  <c r="W803" i="7"/>
  <c r="W85" i="7"/>
  <c r="W73" i="7"/>
  <c r="W874" i="7"/>
  <c r="W2032" i="7"/>
  <c r="W1947" i="7"/>
  <c r="W2357" i="7"/>
  <c r="W1422" i="7"/>
  <c r="W1733" i="7"/>
  <c r="W1596" i="7"/>
  <c r="W609" i="7"/>
  <c r="W455" i="7"/>
  <c r="W1741" i="7"/>
  <c r="W1978" i="7"/>
  <c r="W221" i="7"/>
  <c r="W2246" i="7"/>
  <c r="W2186" i="7"/>
  <c r="W1365" i="7"/>
  <c r="W234" i="7"/>
  <c r="W1334" i="7"/>
  <c r="W597" i="7"/>
  <c r="W335" i="7"/>
  <c r="W123" i="7"/>
  <c r="W2029" i="7"/>
  <c r="W1989" i="7"/>
  <c r="W1072" i="7"/>
  <c r="W1761" i="7"/>
  <c r="W444" i="7"/>
  <c r="W2273" i="7"/>
  <c r="W229" i="7"/>
  <c r="W1358" i="7"/>
  <c r="W1724" i="7"/>
  <c r="W1096" i="7"/>
  <c r="W290" i="7"/>
  <c r="W586" i="7"/>
  <c r="W580" i="7"/>
  <c r="W582" i="7"/>
  <c r="W854" i="7"/>
  <c r="W1602" i="7"/>
  <c r="W407" i="7"/>
  <c r="W2021" i="7"/>
  <c r="W1108" i="7"/>
  <c r="W1104" i="7"/>
  <c r="W2361" i="7"/>
  <c r="W2383" i="7"/>
  <c r="W1810" i="7"/>
  <c r="W2350" i="7"/>
  <c r="W1547" i="7"/>
  <c r="W2027" i="7"/>
  <c r="W1827" i="7"/>
  <c r="W1687" i="7"/>
  <c r="W245" i="7"/>
  <c r="W1852" i="7"/>
  <c r="W174" i="7"/>
  <c r="W2364" i="7"/>
  <c r="W1998" i="7"/>
  <c r="W1213" i="7"/>
  <c r="W1235" i="7"/>
  <c r="W1293" i="7"/>
  <c r="W939" i="7"/>
  <c r="W54" i="7"/>
  <c r="W1823" i="7"/>
  <c r="W1445" i="7"/>
  <c r="W861" i="7"/>
  <c r="W2314" i="7"/>
  <c r="W882" i="7"/>
  <c r="W1874" i="7"/>
  <c r="W1469" i="7"/>
  <c r="W441" i="7"/>
  <c r="W27" i="7"/>
  <c r="W2455" i="7"/>
  <c r="W982" i="7"/>
  <c r="W195" i="7"/>
  <c r="W192" i="7"/>
  <c r="W310" i="7"/>
  <c r="W372" i="7"/>
  <c r="W118" i="7"/>
  <c r="W1951" i="7"/>
  <c r="W294" i="7"/>
  <c r="W1014" i="7"/>
  <c r="W2115" i="7"/>
  <c r="W1968" i="7"/>
  <c r="W1681" i="7"/>
  <c r="W1204" i="7"/>
  <c r="W2136" i="7"/>
  <c r="W1350" i="7"/>
  <c r="W816" i="7"/>
  <c r="W1576" i="7"/>
  <c r="W2167" i="7"/>
  <c r="W2437" i="7"/>
  <c r="W921" i="7"/>
  <c r="W1506" i="7"/>
  <c r="W116" i="7"/>
  <c r="W1428" i="7"/>
  <c r="W408" i="7"/>
  <c r="W1162" i="7"/>
  <c r="W1792" i="7"/>
  <c r="W2028" i="7"/>
  <c r="W2056" i="7"/>
  <c r="W462" i="7"/>
  <c r="W1125" i="7"/>
  <c r="W625" i="7"/>
  <c r="W1360" i="7"/>
  <c r="W1145" i="7"/>
  <c r="W1762" i="7"/>
  <c r="W176" i="7"/>
  <c r="W2396" i="7"/>
  <c r="W1494" i="7"/>
  <c r="W1685" i="7"/>
  <c r="W220" i="7"/>
  <c r="W1489" i="7"/>
  <c r="W2009" i="7"/>
  <c r="W782" i="7"/>
  <c r="W330" i="7"/>
  <c r="W153" i="7"/>
  <c r="W1058" i="7"/>
  <c r="W292" i="7"/>
  <c r="W312" i="7"/>
  <c r="W197" i="7"/>
  <c r="W2504" i="7"/>
  <c r="W788" i="7"/>
  <c r="W1186" i="7"/>
  <c r="W478" i="7"/>
  <c r="W1356" i="7"/>
  <c r="W2002" i="7"/>
  <c r="W415" i="7"/>
  <c r="W1245" i="7"/>
  <c r="W1323" i="7"/>
  <c r="W2248" i="7"/>
  <c r="W145" i="7"/>
  <c r="W281" i="7"/>
  <c r="W2007" i="7"/>
  <c r="W945" i="7"/>
  <c r="W1001" i="7"/>
  <c r="W232" i="7"/>
  <c r="W1635" i="7"/>
  <c r="W1682" i="7"/>
  <c r="W571" i="7"/>
  <c r="W2157" i="7"/>
  <c r="W1706" i="7"/>
  <c r="W2479" i="7"/>
  <c r="W1117" i="7"/>
  <c r="W1543" i="7"/>
  <c r="W1430" i="7"/>
  <c r="W1087" i="7"/>
  <c r="W685" i="7"/>
  <c r="W1284" i="7"/>
  <c r="W162" i="7"/>
  <c r="W2089" i="7"/>
  <c r="W170" i="7"/>
  <c r="W1438" i="7"/>
  <c r="W2407" i="7"/>
  <c r="W329" i="7"/>
  <c r="W1395" i="7"/>
  <c r="W570" i="7"/>
  <c r="W780" i="7"/>
  <c r="W143" i="7"/>
  <c r="W1788" i="7"/>
  <c r="W1161" i="7"/>
  <c r="W987" i="7"/>
  <c r="W1004" i="7"/>
  <c r="W2123" i="7"/>
  <c r="W2026" i="7"/>
  <c r="W2067" i="7"/>
  <c r="W2465" i="7"/>
  <c r="W1485" i="7"/>
  <c r="W1979" i="7"/>
  <c r="W1802" i="7"/>
  <c r="W60" i="7"/>
  <c r="W1933" i="7"/>
  <c r="W376" i="7"/>
  <c r="W825" i="7"/>
  <c r="W490" i="7"/>
  <c r="W1497" i="7"/>
  <c r="W469" i="7"/>
  <c r="W2081" i="7"/>
  <c r="W2525" i="7"/>
  <c r="W1333" i="7"/>
  <c r="W2283" i="7"/>
  <c r="W1563" i="7"/>
  <c r="W1964" i="7"/>
  <c r="W2173" i="7"/>
  <c r="W2204" i="7"/>
  <c r="W2169" i="7"/>
  <c r="W1248" i="7"/>
  <c r="W374" i="7"/>
  <c r="W956" i="7"/>
  <c r="W1975" i="7"/>
  <c r="W1045" i="7"/>
  <c r="W2443" i="7"/>
  <c r="W1608" i="7"/>
  <c r="W1173" i="7"/>
  <c r="W807" i="7"/>
  <c r="W2208" i="7"/>
  <c r="W1521" i="7"/>
  <c r="W823" i="7"/>
  <c r="W2351" i="7"/>
  <c r="W914" i="7"/>
  <c r="W108" i="7"/>
  <c r="W1787" i="7"/>
  <c r="W2311" i="7"/>
  <c r="W858" i="7"/>
  <c r="W1413" i="7"/>
  <c r="W1941" i="7"/>
  <c r="W1341" i="7"/>
  <c r="W1932" i="7"/>
  <c r="W1218" i="7"/>
  <c r="W295" i="7"/>
  <c r="W2140" i="7"/>
  <c r="W2257" i="7"/>
  <c r="W224" i="7"/>
  <c r="W1084" i="7"/>
  <c r="W2185" i="7"/>
  <c r="W1689" i="7"/>
  <c r="W227" i="7"/>
  <c r="W1215" i="7"/>
  <c r="W2125" i="7"/>
  <c r="W1660" i="7"/>
  <c r="W2497" i="7"/>
  <c r="W594" i="7"/>
  <c r="W1288" i="7"/>
  <c r="W1324" i="7"/>
  <c r="W466" i="7"/>
  <c r="W257" i="7"/>
  <c r="W559" i="7"/>
  <c r="W1775" i="7"/>
  <c r="W2475" i="7"/>
  <c r="W161" i="7"/>
  <c r="W1449" i="7"/>
  <c r="W785" i="7"/>
  <c r="W1512" i="7"/>
  <c r="W1327" i="7"/>
  <c r="W1263" i="7"/>
  <c r="W1510" i="7"/>
  <c r="W1374" i="7"/>
  <c r="W2388" i="7"/>
  <c r="W2300" i="7"/>
  <c r="W1534" i="7"/>
  <c r="W527" i="7"/>
  <c r="W517" i="7"/>
  <c r="W529" i="7"/>
  <c r="W1321" i="7"/>
  <c r="W371" i="7"/>
  <c r="W63" i="7"/>
  <c r="W2328" i="7"/>
  <c r="W1704" i="7"/>
  <c r="W696" i="7"/>
  <c r="W122" i="7"/>
  <c r="W2197" i="7"/>
  <c r="W2135" i="7"/>
  <c r="W968" i="7"/>
  <c r="W650" i="7"/>
  <c r="W2500" i="7"/>
  <c r="W1016" i="7"/>
  <c r="W1440" i="7"/>
  <c r="W440" i="7"/>
  <c r="W1382" i="7"/>
  <c r="W1936" i="7"/>
  <c r="W1910" i="7"/>
  <c r="W272" i="7"/>
  <c r="W438" i="7"/>
  <c r="W1829" i="7"/>
  <c r="W1386" i="7"/>
  <c r="W1340" i="7"/>
  <c r="W418" i="7"/>
  <c r="W1649" i="7"/>
  <c r="W2390" i="7"/>
  <c r="W598" i="7"/>
  <c r="W226" i="7"/>
  <c r="W1292" i="7"/>
  <c r="W1260" i="7"/>
  <c r="W1743" i="7"/>
  <c r="W1120" i="7"/>
  <c r="W778" i="7"/>
  <c r="W1225" i="7"/>
  <c r="W2164" i="7"/>
  <c r="W1598" i="7"/>
  <c r="W1447" i="7"/>
  <c r="W2040" i="7"/>
  <c r="W2253" i="7"/>
  <c r="W569" i="7"/>
  <c r="W927" i="7"/>
  <c r="W953" i="7"/>
  <c r="W1460" i="7"/>
  <c r="W774" i="7"/>
  <c r="W719" i="7"/>
  <c r="W2142" i="7"/>
  <c r="W563" i="7"/>
  <c r="W1043" i="7"/>
  <c r="W2546" i="7"/>
  <c r="W168" i="7"/>
  <c r="W645" i="7"/>
  <c r="W694" i="7"/>
  <c r="W140" i="7"/>
  <c r="W1552" i="7"/>
  <c r="W938" i="7"/>
  <c r="W2550" i="7"/>
  <c r="W1154" i="7"/>
  <c r="W164" i="7"/>
  <c r="W2344" i="7"/>
  <c r="W2279" i="7"/>
  <c r="W1325" i="7"/>
  <c r="W18" i="7"/>
  <c r="W1555" i="7"/>
  <c r="W1313" i="7"/>
  <c r="W1959" i="7"/>
  <c r="W95" i="7"/>
  <c r="W1487" i="7"/>
  <c r="W1140" i="7"/>
  <c r="W456" i="7"/>
  <c r="W396" i="7"/>
  <c r="W2402" i="7"/>
  <c r="W263" i="7"/>
  <c r="W2020" i="7"/>
  <c r="W1064" i="7"/>
  <c r="W2327" i="7"/>
  <c r="W1895" i="7"/>
  <c r="W2110" i="7"/>
  <c r="W863" i="7"/>
  <c r="W2478" i="7"/>
  <c r="W165" i="7"/>
  <c r="W1137" i="7"/>
  <c r="W11" i="7"/>
  <c r="W1755" i="7"/>
  <c r="W32" i="7"/>
  <c r="W1412" i="7"/>
  <c r="W2018" i="7"/>
  <c r="W2151" i="7"/>
  <c r="W1607" i="7"/>
  <c r="W1262" i="7"/>
  <c r="W796" i="7"/>
  <c r="W2345" i="7"/>
  <c r="W1504" i="7"/>
  <c r="W873" i="7"/>
  <c r="W687" i="7"/>
  <c r="W1517" i="7"/>
  <c r="W7" i="7"/>
  <c r="W2459" i="7"/>
  <c r="W1992" i="7"/>
  <c r="W1800" i="7"/>
  <c r="W1806" i="7"/>
  <c r="W1528" i="7"/>
  <c r="W422" i="7"/>
  <c r="W1693" i="7"/>
  <c r="W1578" i="7"/>
  <c r="W2107" i="7"/>
  <c r="W2548" i="7"/>
  <c r="W276" i="7"/>
  <c r="W2412" i="7"/>
  <c r="W739" i="7"/>
  <c r="W138" i="7"/>
  <c r="W166" i="7"/>
  <c r="W2304" i="7"/>
  <c r="W20" i="7"/>
  <c r="W1453" i="7"/>
  <c r="W2426" i="7"/>
  <c r="W1851" i="7"/>
  <c r="W1981" i="7"/>
  <c r="W1539" i="7"/>
  <c r="W951" i="7"/>
  <c r="W387" i="7"/>
  <c r="W64" i="7"/>
  <c r="W2258" i="7"/>
  <c r="W1261" i="7"/>
  <c r="W296" i="7"/>
  <c r="W273" i="7"/>
  <c r="W2129" i="7"/>
  <c r="W417" i="7"/>
  <c r="W668" i="7"/>
  <c r="W923" i="7"/>
  <c r="W468" i="7"/>
  <c r="W380" i="7"/>
  <c r="W1185" i="7"/>
  <c r="W1179" i="7"/>
  <c r="W990" i="7"/>
  <c r="W1927" i="7"/>
  <c r="W2143" i="7"/>
  <c r="W839" i="7"/>
  <c r="W451" i="7"/>
  <c r="W2178" i="7"/>
  <c r="W709" i="7"/>
  <c r="W2210" i="7"/>
  <c r="W218" i="7"/>
  <c r="W1131" i="7"/>
  <c r="W1616" i="7"/>
  <c r="W309" i="7"/>
  <c r="W1797" i="7"/>
  <c r="W343" i="7"/>
  <c r="W2014" i="7"/>
  <c r="W1198" i="7"/>
  <c r="W515" i="7"/>
  <c r="W981" i="7"/>
  <c r="W1946" i="7"/>
  <c r="W889" i="7"/>
  <c r="W1694" i="7"/>
  <c r="W1042" i="7"/>
  <c r="W1780" i="7"/>
  <c r="W638" i="7"/>
  <c r="W1048" i="7"/>
  <c r="W1575" i="7"/>
  <c r="W667" i="7"/>
  <c r="W564" i="7"/>
  <c r="W1384" i="7"/>
  <c r="W1476" i="7"/>
  <c r="W2341" i="7"/>
  <c r="W1752" i="7"/>
  <c r="W448" i="7"/>
  <c r="W368" i="7"/>
  <c r="W313" i="7"/>
  <c r="W1976" i="7"/>
  <c r="W949" i="7"/>
  <c r="W1166" i="7"/>
  <c r="W1587" i="7"/>
  <c r="W1764" i="7"/>
  <c r="W1499" i="7"/>
  <c r="W1180" i="7"/>
  <c r="W724" i="7"/>
  <c r="W713" i="7"/>
  <c r="W773" i="7"/>
  <c r="W470" i="7"/>
  <c r="W573" i="7"/>
  <c r="W1742" i="7"/>
  <c r="W2096" i="7"/>
  <c r="W50" i="7"/>
  <c r="W2372" i="7"/>
  <c r="W2228" i="7"/>
  <c r="W1995" i="7"/>
  <c r="W1420" i="7"/>
  <c r="W1662" i="7"/>
  <c r="W1025" i="7"/>
  <c r="W2543" i="7"/>
  <c r="W305" i="7"/>
  <c r="W512" i="7"/>
  <c r="W449" i="7"/>
  <c r="W1495" i="7"/>
  <c r="W617" i="7"/>
  <c r="W775" i="7"/>
  <c r="W2187" i="7"/>
  <c r="W2333" i="7"/>
  <c r="W2251" i="7"/>
  <c r="W146" i="7"/>
  <c r="W464" i="7"/>
  <c r="W661" i="7"/>
  <c r="W541" i="7"/>
  <c r="W1939" i="7"/>
  <c r="W784" i="7"/>
  <c r="W285" i="7"/>
  <c r="W113" i="7"/>
  <c r="W1683" i="7"/>
  <c r="W370" i="7"/>
  <c r="W1152" i="7"/>
  <c r="W1770" i="7"/>
  <c r="W2276" i="7"/>
  <c r="W2432" i="7"/>
  <c r="W2005" i="7"/>
  <c r="W2059" i="7"/>
  <c r="W539" i="7"/>
  <c r="W698" i="7"/>
  <c r="W1031" i="7"/>
  <c r="W585" i="7"/>
  <c r="W2031" i="7"/>
  <c r="W1859" i="7"/>
  <c r="W1720" i="7"/>
  <c r="W1736" i="7"/>
  <c r="W274" i="7"/>
  <c r="W974" i="7"/>
  <c r="W1247" i="7"/>
  <c r="W1304" i="7"/>
  <c r="W1891" i="7"/>
  <c r="W238" i="7"/>
  <c r="W1924" i="7"/>
  <c r="W461" i="7"/>
  <c r="W641" i="7"/>
  <c r="W2413" i="7"/>
  <c r="W1535" i="7"/>
  <c r="W2368" i="7"/>
  <c r="W2158" i="7"/>
  <c r="W568" i="7"/>
  <c r="W34" i="7"/>
  <c r="W1479" i="7"/>
  <c r="W55" i="7"/>
  <c r="W1702" i="7"/>
  <c r="W1450" i="7"/>
  <c r="W907" i="7"/>
  <c r="W1464" i="7"/>
  <c r="W193" i="7"/>
  <c r="W183" i="7"/>
  <c r="W1889" i="7"/>
  <c r="W1556" i="7"/>
  <c r="W2453" i="7"/>
  <c r="W2139" i="7"/>
  <c r="W649" i="7"/>
  <c r="W744" i="7"/>
  <c r="W2306" i="7"/>
  <c r="W107" i="7"/>
  <c r="W1114" i="7"/>
  <c r="W1243" i="7"/>
  <c r="W1567" i="7"/>
  <c r="W682" i="7"/>
  <c r="W1654" i="7"/>
  <c r="W1820" i="7"/>
  <c r="W2170" i="7"/>
  <c r="W852" i="7"/>
  <c r="W425" i="7"/>
  <c r="W601" i="7"/>
  <c r="W383" i="7"/>
  <c r="W983" i="7"/>
  <c r="W1080" i="7"/>
  <c r="W1280" i="7"/>
  <c r="W2380" i="7"/>
  <c r="W184" i="7"/>
  <c r="W2008" i="7"/>
  <c r="W1067" i="7"/>
  <c r="W1725" i="7"/>
  <c r="W1416" i="7"/>
  <c r="W798" i="7"/>
  <c r="W1493" i="7"/>
  <c r="W1675" i="7"/>
  <c r="W1839" i="7"/>
  <c r="W2207" i="7"/>
  <c r="W652" i="7"/>
  <c r="W2299" i="7"/>
  <c r="W12" i="7"/>
  <c r="W2282" i="7"/>
  <c r="W1391" i="7"/>
  <c r="W1511" i="7"/>
  <c r="W106" i="7"/>
  <c r="W2043" i="7"/>
  <c r="W244" i="7"/>
  <c r="W1129" i="7"/>
  <c r="W2530" i="7"/>
  <c r="W291" i="7"/>
  <c r="W1366" i="7"/>
  <c r="W572" i="7"/>
  <c r="W900" i="7"/>
  <c r="W1195" i="7"/>
  <c r="W1781" i="7"/>
  <c r="W840" i="7"/>
  <c r="W1044" i="7"/>
  <c r="W1759" i="7"/>
  <c r="W91" i="7"/>
  <c r="W989" i="7"/>
  <c r="W126" i="7"/>
  <c r="W1116" i="7"/>
  <c r="W772" i="7"/>
  <c r="W822" i="7"/>
  <c r="W1861" i="7"/>
  <c r="W1646" i="7"/>
  <c r="W223" i="7"/>
  <c r="W528" i="7"/>
  <c r="W1299" i="7"/>
  <c r="W243" i="7"/>
  <c r="W2070" i="7"/>
  <c r="W1580" i="7"/>
  <c r="W1885" i="7"/>
  <c r="W1496" i="7"/>
  <c r="W2356" i="7"/>
  <c r="W1585" i="7"/>
  <c r="W1956" i="7"/>
  <c r="W2044" i="7"/>
  <c r="W761" i="7"/>
  <c r="W102" i="7"/>
  <c r="W1531" i="7"/>
  <c r="W347" i="7"/>
  <c r="W1054" i="7"/>
  <c r="W2435" i="7"/>
  <c r="W2460" i="7"/>
  <c r="W1678" i="7"/>
  <c r="W185" i="7"/>
  <c r="W1289" i="7"/>
  <c r="W1819" i="7"/>
  <c r="W1973" i="7"/>
  <c r="W553" i="7"/>
  <c r="W1909" i="7"/>
  <c r="W2075" i="7"/>
  <c r="W2203" i="7"/>
  <c r="W171" i="7"/>
  <c r="W416" i="7"/>
  <c r="W842" i="7"/>
  <c r="W2542" i="7"/>
  <c r="W1095" i="7"/>
  <c r="W328" i="7"/>
  <c r="W1980" i="7"/>
  <c r="W2373" i="7"/>
  <c r="W1490" i="7"/>
  <c r="W1021" i="7"/>
  <c r="W1441" i="7"/>
  <c r="W596" i="7"/>
  <c r="W1136" i="7"/>
  <c r="W453" i="7"/>
  <c r="W1860" i="7"/>
  <c r="W1283" i="7"/>
  <c r="W1945" i="7"/>
  <c r="W210" i="7"/>
  <c r="W1836" i="7"/>
  <c r="W2175" i="7"/>
  <c r="W1237" i="7"/>
  <c r="W2189" i="7"/>
  <c r="W2033" i="7"/>
  <c r="W1079" i="7"/>
  <c r="W103" i="7"/>
  <c r="W86" i="7"/>
  <c r="W2339" i="7"/>
  <c r="W1226" i="7"/>
  <c r="W144" i="7"/>
  <c r="W1569" i="7"/>
  <c r="W1637" i="7"/>
  <c r="W1205" i="7"/>
  <c r="W1378" i="7"/>
  <c r="W4" i="7"/>
  <c r="W643" i="7"/>
  <c r="W1881" i="7"/>
  <c r="W1984" i="7"/>
  <c r="W1854" i="7"/>
  <c r="W1679" i="7"/>
  <c r="W2217" i="7"/>
  <c r="W1251" i="7"/>
  <c r="W377" i="7"/>
  <c r="W2473" i="7"/>
  <c r="W2072" i="7"/>
  <c r="W1835" i="7"/>
  <c r="W1971" i="7"/>
  <c r="W346" i="7"/>
  <c r="W1751" i="7"/>
  <c r="W1638" i="7"/>
  <c r="W631" i="7"/>
  <c r="W1746" i="7"/>
  <c r="W1055" i="7"/>
  <c r="W603" i="7"/>
  <c r="W599" i="7"/>
  <c r="W284" i="7"/>
  <c r="W660" i="7"/>
  <c r="W267" i="7"/>
  <c r="W2272" i="7"/>
  <c r="W2445" i="7"/>
  <c r="W647" i="7"/>
  <c r="W1408" i="7"/>
  <c r="W557" i="7"/>
  <c r="W2035" i="7"/>
  <c r="W100" i="7"/>
  <c r="W1615" i="7"/>
  <c r="W354" i="7"/>
  <c r="W2047" i="7"/>
  <c r="W2229" i="7"/>
  <c r="W2108" i="7"/>
  <c r="W2529" i="7"/>
  <c r="W2285" i="7"/>
  <c r="W336" i="7"/>
  <c r="W348" i="7"/>
  <c r="W2454" i="7"/>
  <c r="W1419" i="7"/>
  <c r="W2037" i="7"/>
  <c r="W59" i="7"/>
  <c r="W711" i="7"/>
  <c r="W756" i="7"/>
  <c r="W2395" i="7"/>
  <c r="W1415" i="7"/>
  <c r="W472" i="7"/>
  <c r="W1969" i="7"/>
  <c r="W1666" i="7"/>
  <c r="W1871" i="7"/>
  <c r="W1082" i="7"/>
  <c r="W333" i="7"/>
  <c r="W2461" i="7"/>
  <c r="W2520" i="7"/>
  <c r="W120" i="7"/>
  <c r="W406" i="7"/>
  <c r="W1170" i="7"/>
  <c r="W2091" i="7"/>
  <c r="W71" i="7"/>
  <c r="W1622" i="7"/>
  <c r="W864" i="7"/>
  <c r="W239" i="7"/>
  <c r="W1472" i="7"/>
  <c r="W1850" i="7"/>
  <c r="W2420" i="7"/>
  <c r="W88" i="7"/>
  <c r="W2152" i="7"/>
  <c r="W1821" i="7"/>
  <c r="W1625" i="7"/>
  <c r="W884" i="7"/>
  <c r="W1991" i="7"/>
  <c r="W1329" i="7"/>
  <c r="W2331" i="7"/>
  <c r="W1258" i="7"/>
  <c r="W248" i="7"/>
  <c r="W2349" i="7"/>
  <c r="W1918" i="7"/>
  <c r="W639" i="7"/>
  <c r="W486" i="7"/>
  <c r="W1508" i="7"/>
  <c r="W584" i="7"/>
  <c r="W1671" i="7"/>
  <c r="W1281" i="7"/>
  <c r="W2146" i="7"/>
  <c r="W915" i="7"/>
  <c r="W1158" i="7"/>
  <c r="W214" i="7"/>
  <c r="W964" i="7"/>
  <c r="W579" i="7"/>
  <c r="W590" i="7"/>
  <c r="W1318" i="7"/>
  <c r="W1926" i="7"/>
  <c r="W109" i="7"/>
  <c r="W397" i="7"/>
  <c r="W2205" i="7"/>
  <c r="W860" i="7"/>
  <c r="W2438" i="7"/>
  <c r="W345" i="7"/>
  <c r="W871" i="7"/>
  <c r="W543" i="7"/>
  <c r="W149" i="7"/>
  <c r="W1013" i="7"/>
  <c r="W1410" i="7"/>
  <c r="W2317" i="7"/>
  <c r="W147" i="7"/>
  <c r="W1037" i="7"/>
  <c r="W175" i="7"/>
  <c r="W2489" i="7"/>
  <c r="W1974" i="7"/>
  <c r="W1381" i="7"/>
  <c r="W2484" i="7"/>
  <c r="W1892" i="7"/>
  <c r="W919" i="7"/>
  <c r="W2541" i="7"/>
  <c r="W1034" i="7"/>
  <c r="W412" i="7"/>
  <c r="W1259" i="7"/>
  <c r="W506" i="7"/>
  <c r="W28" i="7"/>
  <c r="W789" i="7"/>
  <c r="W1862" i="7"/>
  <c r="W1417" i="7"/>
  <c r="W1148" i="7"/>
  <c r="W1153" i="7"/>
  <c r="W1101" i="7"/>
  <c r="W1168" i="7"/>
  <c r="W2223" i="7"/>
  <c r="W1294" i="7"/>
  <c r="W1795" i="7"/>
  <c r="W757" i="7"/>
  <c r="W595" i="7"/>
  <c r="W2399" i="7"/>
  <c r="W246" i="7"/>
  <c r="W1719" i="7"/>
  <c r="W359" i="7"/>
  <c r="W2468" i="7"/>
  <c r="W1875" i="7"/>
  <c r="W6" i="7"/>
  <c r="W1557" i="7"/>
  <c r="W2325" i="7"/>
  <c r="W1338" i="7"/>
  <c r="W1842" i="7"/>
  <c r="W1502" i="7"/>
  <c r="W2100" i="7"/>
  <c r="W2094" i="7"/>
  <c r="W1150" i="7"/>
  <c r="W838" i="7"/>
  <c r="W471" i="7"/>
  <c r="W2414" i="7"/>
  <c r="W1221" i="7"/>
  <c r="W714" i="7"/>
  <c r="W2149" i="7"/>
  <c r="W378" i="7"/>
  <c r="W207" i="7"/>
  <c r="W178" i="7"/>
  <c r="W1065" i="7"/>
  <c r="W1118" i="7"/>
  <c r="W1865" i="7"/>
  <c r="W2190" i="7"/>
  <c r="W817" i="7"/>
  <c r="W898" i="7"/>
  <c r="W2274" i="7"/>
  <c r="W1519" i="7"/>
  <c r="W991" i="7"/>
  <c r="W1728" i="7"/>
  <c r="W2024" i="7"/>
  <c r="W1187" i="7"/>
  <c r="W1696" i="7"/>
  <c r="W1786" i="7"/>
  <c r="W741" i="7"/>
  <c r="W2499" i="7"/>
  <c r="W497" i="7"/>
  <c r="W2209" i="7"/>
  <c r="W550" i="7"/>
  <c r="W315" i="7"/>
  <c r="W2527" i="7"/>
  <c r="W1330" i="7"/>
  <c r="W2198" i="7"/>
  <c r="W536" i="7"/>
  <c r="W2179" i="7"/>
  <c r="W1636" i="7"/>
  <c r="W975" i="7"/>
  <c r="W1269" i="7"/>
  <c r="W1444" i="7"/>
  <c r="W992" i="7"/>
  <c r="W2544" i="7"/>
  <c r="W806" i="7"/>
  <c r="W1613" i="7"/>
  <c r="W2289" i="7"/>
  <c r="W2132" i="7"/>
  <c r="W1127" i="7"/>
  <c r="W148" i="7"/>
  <c r="W1400" i="7"/>
  <c r="W1938" i="7"/>
  <c r="W728" i="7"/>
  <c r="W612" i="7"/>
  <c r="W736" i="7"/>
  <c r="W286" i="7"/>
  <c r="W2006" i="7"/>
  <c r="W2181" i="7"/>
  <c r="W2477" i="7"/>
  <c r="W740" i="7"/>
  <c r="W1214" i="7"/>
  <c r="W156" i="7"/>
  <c r="W1963" i="7"/>
  <c r="W104" i="7"/>
  <c r="W706" i="7"/>
  <c r="W1943" i="7"/>
  <c r="W532" i="7"/>
  <c r="W1480" i="7"/>
  <c r="W2503" i="7"/>
  <c r="W1804" i="7"/>
  <c r="W1905" i="7"/>
  <c r="W699" i="7"/>
  <c r="W482" i="7"/>
  <c r="W1570" i="7"/>
  <c r="W666" i="7"/>
  <c r="W2469" i="7"/>
  <c r="W961" i="7"/>
  <c r="W828" i="7"/>
  <c r="W158" i="7"/>
  <c r="W399" i="7"/>
  <c r="W151" i="7"/>
  <c r="W2385" i="7"/>
  <c r="W1335" i="7"/>
  <c r="W1774" i="7"/>
  <c r="W1970" i="7"/>
  <c r="W624" i="7"/>
  <c r="W2301" i="7"/>
  <c r="W2337" i="7"/>
  <c r="W1203" i="7"/>
  <c r="W1361" i="7"/>
  <c r="W2308" i="7"/>
  <c r="W1409" i="7"/>
  <c r="W1908" i="7"/>
  <c r="W493" i="7"/>
  <c r="W1309" i="7"/>
  <c r="W578" i="7"/>
  <c r="W1699" i="7"/>
  <c r="W1597" i="7"/>
  <c r="W2011" i="7"/>
  <c r="W1843" i="7"/>
  <c r="W1357" i="7"/>
  <c r="W400" i="7"/>
  <c r="W629" i="7"/>
  <c r="W1061" i="7"/>
  <c r="W1877" i="7"/>
  <c r="W1530" i="7"/>
  <c r="W1962" i="7"/>
  <c r="W491" i="7"/>
  <c r="W875" i="7"/>
  <c r="W827" i="7"/>
  <c r="W1583" i="7"/>
  <c r="W958" i="7"/>
  <c r="W319" i="7"/>
  <c r="W1856" i="7"/>
  <c r="W1491" i="7"/>
  <c r="W1322" i="7"/>
  <c r="W264" i="7"/>
  <c r="W1272" i="7"/>
  <c r="W2386" i="7"/>
  <c r="W56" i="7"/>
  <c r="W1664" i="7"/>
  <c r="W1486" i="7"/>
  <c r="W505" i="7"/>
  <c r="W1277" i="7"/>
  <c r="W656" i="7"/>
  <c r="W1256" i="7"/>
  <c r="W1925" i="7"/>
  <c r="W1659" i="7"/>
  <c r="W2417" i="7"/>
  <c r="W1209" i="7"/>
  <c r="W219" i="7"/>
  <c r="W2319" i="7"/>
  <c r="W690" i="7"/>
  <c r="W622" i="7"/>
  <c r="W1588" i="7"/>
  <c r="W1432" i="7"/>
  <c r="W1621" i="7"/>
  <c r="W2016" i="7"/>
  <c r="W971" i="7"/>
  <c r="W2381" i="7"/>
  <c r="W1010" i="7"/>
  <c r="W463" i="7"/>
  <c r="W868" i="7"/>
  <c r="W722" i="7"/>
  <c r="W700" i="7"/>
  <c r="W635" i="7"/>
  <c r="W1174" i="7"/>
  <c r="W167" i="7"/>
  <c r="W1533" i="7"/>
  <c r="W485" i="7"/>
  <c r="W1620" i="7"/>
  <c r="W190" i="7"/>
  <c r="W358" i="7"/>
  <c r="W1887" i="7"/>
  <c r="W1401" i="7"/>
  <c r="W2192" i="7"/>
  <c r="W1088" i="7"/>
  <c r="W2262" i="7"/>
  <c r="W308" i="7"/>
  <c r="W124" i="7"/>
  <c r="W516" i="7"/>
  <c r="W1196" i="7"/>
  <c r="W51" i="7"/>
  <c r="W972" i="7"/>
  <c r="W1012" i="7"/>
  <c r="W2366" i="7"/>
  <c r="W1632" i="7"/>
  <c r="W1106" i="7"/>
  <c r="W1285" i="7"/>
  <c r="W379" i="7"/>
  <c r="W2023" i="7"/>
  <c r="W1589" i="7"/>
  <c r="W137" i="7"/>
  <c r="W2184" i="7"/>
  <c r="W349" i="7"/>
  <c r="W150" i="7"/>
  <c r="W115" i="7"/>
  <c r="W725" i="7"/>
  <c r="W477" i="7"/>
  <c r="W2046" i="7"/>
  <c r="W1630" i="7"/>
  <c r="W1572" i="7"/>
  <c r="W1826" i="7"/>
  <c r="W720" i="7"/>
  <c r="W1482" i="7"/>
  <c r="W1955" i="7"/>
  <c r="W1886" i="7"/>
  <c r="W916" i="7"/>
  <c r="W1734" i="7"/>
  <c r="W979" i="7"/>
  <c r="W1219" i="7"/>
  <c r="W753" i="7"/>
  <c r="W414" i="7"/>
  <c r="W58" i="7"/>
  <c r="W679" i="7"/>
  <c r="W1347" i="7"/>
  <c r="W410" i="7"/>
  <c r="W1189" i="7"/>
  <c r="W2064" i="7"/>
  <c r="W297" i="7"/>
  <c r="W1178" i="7"/>
  <c r="W1651" i="7"/>
  <c r="W1665" i="7"/>
  <c r="W202" i="7"/>
  <c r="W1690" i="7"/>
  <c r="W217" i="7"/>
  <c r="W1276" i="7"/>
  <c r="W1623" i="7"/>
  <c r="W386" i="7"/>
  <c r="W786" i="7"/>
  <c r="W324" i="7"/>
  <c r="W2211" i="7"/>
  <c r="W1661" i="7"/>
  <c r="W1236" i="7"/>
  <c r="W734" i="7"/>
  <c r="W2042" i="7"/>
  <c r="W2535" i="7"/>
  <c r="W1296" i="7"/>
  <c r="W1593" i="7"/>
  <c r="W1643" i="7"/>
  <c r="W504" i="7"/>
  <c r="W1076" i="7"/>
  <c r="W1411" i="7"/>
  <c r="W1640" i="7"/>
  <c r="W1446" i="7"/>
  <c r="W452" i="7"/>
  <c r="W503" i="7"/>
  <c r="W2084" i="7"/>
  <c r="W628" i="7"/>
  <c r="W2041" i="7"/>
  <c r="W1484" i="7"/>
  <c r="W935" i="7"/>
  <c r="W883" i="7"/>
  <c r="W2518" i="7"/>
  <c r="W1253" i="7"/>
  <c r="W988" i="7"/>
  <c r="W1310" i="7"/>
  <c r="W940" i="7"/>
  <c r="W577" i="7"/>
  <c r="W2120" i="7"/>
  <c r="W841" i="7"/>
  <c r="W1172" i="7"/>
  <c r="W703" i="7"/>
  <c r="W10" i="7"/>
  <c r="M7" i="1"/>
  <c r="M12" i="1" l="1"/>
  <c r="M11" i="1"/>
  <c r="N7" i="1"/>
  <c r="M10" i="1"/>
  <c r="N12" i="1" l="1"/>
  <c r="N11" i="1"/>
  <c r="M27" i="1"/>
  <c r="N10" i="1"/>
  <c r="N27" i="1" l="1"/>
  <c r="V3" i="3" s="1"/>
  <c r="K21" i="3" s="1" a="1"/>
  <c r="O44" i="3" l="1"/>
  <c r="O51" i="3"/>
  <c r="M45" i="3"/>
  <c r="M38" i="3"/>
  <c r="M48" i="3"/>
  <c r="M25" i="3"/>
  <c r="O50" i="3"/>
  <c r="M22" i="3"/>
  <c r="M49" i="3"/>
  <c r="O32" i="3"/>
  <c r="M29" i="3"/>
  <c r="M40" i="3"/>
  <c r="O35" i="3"/>
  <c r="O24" i="3"/>
  <c r="O46" i="3"/>
  <c r="O37" i="3"/>
  <c r="O40" i="3"/>
  <c r="M34" i="3"/>
  <c r="O43" i="3"/>
  <c r="M43" i="3"/>
  <c r="M35" i="3"/>
  <c r="O23" i="3"/>
  <c r="M39" i="3"/>
  <c r="M23" i="3"/>
  <c r="O52" i="3"/>
  <c r="O25" i="3"/>
  <c r="M37" i="3"/>
  <c r="M31" i="3"/>
  <c r="M41" i="3"/>
  <c r="O47" i="3"/>
  <c r="M32" i="3"/>
  <c r="O48" i="3"/>
  <c r="O45" i="3"/>
  <c r="O27" i="3"/>
  <c r="M21" i="3"/>
  <c r="M52" i="3"/>
  <c r="M36" i="3"/>
  <c r="M50" i="3"/>
  <c r="M27" i="3"/>
  <c r="M28" i="3"/>
  <c r="O39" i="3"/>
  <c r="O36" i="3"/>
  <c r="M42" i="3"/>
  <c r="O29" i="3"/>
  <c r="O49" i="3"/>
  <c r="O41" i="3"/>
  <c r="O21" i="3" s="1"/>
  <c r="O26" i="3"/>
  <c r="O22" i="3"/>
  <c r="M44" i="3"/>
  <c r="M30" i="3"/>
  <c r="M24" i="3"/>
  <c r="O31" i="3"/>
  <c r="O38" i="3"/>
  <c r="O30" i="3"/>
  <c r="O42" i="3"/>
  <c r="M46" i="3"/>
  <c r="O34" i="3"/>
  <c r="M51" i="3"/>
  <c r="M33" i="3"/>
  <c r="M26" i="3"/>
  <c r="O28" i="3"/>
  <c r="M47" i="3"/>
  <c r="O3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<sst xmlns="http://schemas.openxmlformats.org/spreadsheetml/2006/main" count="37123" uniqueCount="3582">
  <si>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</si>
  <si>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</si>
  <si>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</si>
  <si>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</si>
  <si>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</si>
  <si>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</si>
  <si>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</si>
  <si>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</si>
  <si>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</si>
  <si>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</si>
  <si>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</si>
  <si>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</si>
  <si>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</si>
  <si>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</si>
  <si>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</si>
  <si>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</si>
  <si>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</si>
  <si>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</si>
  <si>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</si>
  <si>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</si>
  <si>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</si>
  <si>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</si>
  <si>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</si>
  <si>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</si>
  <si>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</si>
  <si>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</si>
  <si>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</si>
  <si>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</si>
  <si>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</si>
  <si>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</si>
  <si>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</si>
  <si>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</si>
  <si>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</si>
  <si>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</si>
  <si>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</si>
  <si>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</si>
  <si>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</si>
  <si>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</si>
  <si>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</si>
  <si>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</si>
  <si>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</si>
  <si>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</si>
  <si>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</si>
  <si>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</si>
  <si>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</si>
  <si>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</si>
  <si>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</si>
  <si>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</si>
  <si>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</si>
  <si>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</si>
  <si>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</si>
  <si>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</si>
  <si>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</si>
  <si>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</si>
  <si>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</si>
  <si>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</si>
  <si>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</si>
  <si>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</si>
  <si>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</si>
  <si>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</si>
  <si>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</si>
  <si>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</si>
  <si>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</si>
  <si>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</si>
  <si>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</si>
  <si>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</si>
  <si>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</si>
  <si>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</si>
  <si>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</si>
  <si>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</si>
  <si>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</si>
  <si>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</si>
  <si>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</si>
  <si>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</si>
  <si>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</si>
  <si>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</si>
  <si>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</si>
  <si>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</si>
  <si>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</si>
  <si>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</si>
  <si>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</si>
  <si>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</si>
  <si>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</si>
  <si>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</si>
  <si>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</si>
  <si>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</si>
  <si>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</si>
  <si>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</si>
  <si>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</si>
  <si>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</si>
  <si>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</si>
  <si>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</si>
  <si>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</si>
  <si>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</si>
  <si>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</si>
  <si>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</si>
  <si>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</si>
  <si>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</si>
  <si>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</si>
  <si>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</si>
  <si>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</si>
  <si>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</si>
  <si>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</si>
  <si>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</si>
  <si>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</si>
  <si>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</si>
  <si>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</si>
  <si>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</si>
  <si>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</si>
  <si>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</si>
  <si>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</si>
  <si>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</si>
  <si>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</si>
  <si>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</si>
  <si>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</si>
  <si>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</si>
  <si>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</si>
  <si>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</si>
  <si>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</si>
  <si>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</si>
  <si>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</si>
  <si>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</si>
  <si>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</si>
  <si>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</si>
  <si>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</si>
  <si>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</si>
  <si>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</si>
  <si>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</si>
  <si>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</si>
  <si>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</si>
  <si>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</si>
  <si>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</si>
  <si>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</si>
  <si>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</si>
  <si>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</si>
  <si>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</si>
  <si>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</si>
  <si>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</si>
  <si>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</si>
  <si>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</si>
  <si>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</si>
  <si>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</si>
  <si>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</si>
  <si>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</si>
  <si>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</si>
  <si>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</si>
  <si>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</si>
  <si>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</si>
  <si>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</si>
  <si>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</si>
  <si>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19/05/2026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</si>
  <si>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</si>
  <si>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</si>
  <si>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</si>
  <si>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</si>
  <si>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</si>
  <si>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</si>
  <si>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</si>
  <si>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</si>
  <si>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</si>
  <si>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</si>
  <si>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</si>
  <si>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</si>
  <si>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</si>
  <si>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</si>
  <si>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</si>
  <si>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</si>
  <si>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</si>
  <si>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</si>
  <si>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</si>
  <si>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</si>
  <si>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</si>
  <si>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</si>
  <si>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</si>
  <si>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</si>
  <si>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</si>
  <si>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</si>
  <si>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</si>
  <si>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</si>
  <si>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</si>
  <si>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</si>
  <si>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</si>
  <si>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</si>
  <si>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</si>
  <si>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</si>
  <si>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</si>
  <si>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</si>
  <si>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</si>
  <si>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</si>
  <si>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</si>
  <si>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</si>
  <si>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</si>
  <si>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</si>
  <si>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</si>
  <si>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</si>
  <si>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</si>
  <si>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</si>
  <si>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</si>
  <si>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</si>
  <si>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</si>
  <si>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</si>
  <si>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</si>
  <si>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</si>
  <si>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</si>
  <si>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</si>
  <si>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</si>
  <si>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</si>
  <si>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</si>
  <si>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</si>
  <si>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</si>
  <si>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</si>
  <si>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</si>
  <si>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</si>
  <si>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</si>
  <si>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</si>
  <si>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</si>
  <si>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</si>
  <si>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</si>
  <si>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</si>
  <si>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</si>
  <si>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</si>
  <si>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</si>
  <si>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</si>
  <si>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</si>
  <si>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</si>
  <si>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</si>
  <si>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</si>
  <si>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</si>
  <si>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</si>
  <si>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</si>
  <si>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</si>
  <si>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</si>
  <si>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</si>
  <si>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</si>
  <si>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</si>
  <si>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</si>
  <si>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</si>
  <si>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</si>
  <si>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</si>
  <si>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</si>
  <si>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</si>
  <si>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</si>
  <si>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</si>
  <si>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</si>
  <si>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</si>
  <si>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</si>
  <si>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</si>
  <si>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</si>
  <si>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</si>
  <si>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</si>
  <si>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</si>
  <si>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</si>
  <si>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</si>
  <si>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</si>
  <si>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</si>
  <si>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</si>
  <si>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</si>
  <si>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</si>
  <si>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</si>
  <si>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</si>
  <si>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</si>
  <si>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</si>
  <si>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</si>
  <si>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</si>
  <si>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</si>
  <si>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</si>
  <si>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</si>
  <si>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</si>
  <si>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</si>
  <si>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</si>
  <si>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</si>
  <si>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</si>
  <si>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</si>
  <si>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</si>
  <si>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</si>
  <si>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</si>
  <si>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</si>
  <si>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</si>
  <si>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</si>
  <si>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</si>
  <si>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</si>
  <si>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</si>
  <si>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</si>
  <si>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</si>
  <si>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</si>
  <si>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</si>
  <si>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</si>
  <si>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</si>
  <si>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</si>
  <si>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</si>
  <si>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</si>
  <si>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</si>
  <si>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</si>
  <si>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</si>
  <si>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</si>
  <si>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</si>
  <si>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</si>
  <si>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</si>
  <si>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</si>
  <si>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</si>
  <si>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</si>
  <si>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</si>
  <si>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</si>
  <si>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</si>
  <si>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</si>
  <si>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</si>
  <si>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01/06/2026</t>
  </si>
  <si>
    <t>18/05/2026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</si>
  <si>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</si>
  <si>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</si>
  <si>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</si>
  <si>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</si>
  <si>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</si>
  <si>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</si>
  <si>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</si>
  <si>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</si>
  <si>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</si>
  <si>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</si>
  <si>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</si>
  <si>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</si>
  <si>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</si>
  <si>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</si>
  <si>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</si>
  <si>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</si>
  <si>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</si>
  <si>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</si>
  <si>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</si>
  <si>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</si>
  <si>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Posición de Cuotapartista</t>
  </si>
  <si>
    <t>20/04/2026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</si>
  <si>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</si>
  <si>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</si>
  <si>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</si>
  <si>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</si>
  <si>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</si>
  <si>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</si>
  <si>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</si>
  <si>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</si>
  <si>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</si>
  <si>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</si>
  <si>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</si>
  <si>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</si>
  <si>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</si>
  <si>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</si>
  <si>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</si>
  <si>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</si>
  <si>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</si>
  <si>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</si>
  <si>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</si>
  <si>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</si>
  <si>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</si>
  <si>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</si>
  <si>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</si>
  <si>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</si>
  <si>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</si>
  <si>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</si>
  <si>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</si>
  <si>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</si>
  <si>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</si>
  <si>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</si>
  <si>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</si>
  <si>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</si>
  <si>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</si>
  <si>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</si>
  <si>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</si>
  <si>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</si>
  <si>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</si>
  <si>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</si>
  <si>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</si>
  <si>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</si>
  <si>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</si>
  <si>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</si>
  <si>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</si>
  <si>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</si>
  <si>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</si>
  <si>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</si>
  <si>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</si>
  <si>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</si>
  <si>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</si>
  <si>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</si>
  <si>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</si>
  <si>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</si>
  <si>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</si>
  <si>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</si>
  <si>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</si>
  <si>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</si>
  <si>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</si>
  <si>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</si>
  <si>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</si>
  <si>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</si>
  <si>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</si>
  <si>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</si>
  <si>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</si>
  <si>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</si>
  <si>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</si>
  <si>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</si>
  <si>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</si>
  <si>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</si>
  <si>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</si>
  <si>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</si>
  <si>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</si>
  <si>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</si>
  <si>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</si>
  <si>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</si>
  <si>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</si>
  <si>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</si>
  <si>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</si>
  <si>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</si>
  <si>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</si>
  <si>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</si>
  <si>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</si>
  <si>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</si>
  <si>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</si>
  <si>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</si>
  <si>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</si>
  <si>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</si>
  <si>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</si>
  <si>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</si>
  <si>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</si>
  <si>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</si>
  <si>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</si>
  <si>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</si>
  <si>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</si>
  <si>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</si>
  <si>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</si>
  <si>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</si>
  <si>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</si>
  <si>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</si>
  <si>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</si>
  <si>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</si>
  <si>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</si>
  <si>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</si>
  <si>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</si>
  <si>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</si>
  <si>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</si>
  <si>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</si>
  <si>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</si>
  <si>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</si>
  <si>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</si>
  <si>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</si>
  <si>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</si>
  <si>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</si>
  <si>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</si>
  <si>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</si>
  <si>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</si>
  <si>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</si>
  <si>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</si>
  <si>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</si>
  <si>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</si>
  <si>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</si>
  <si>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</si>
  <si>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</si>
  <si>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</si>
  <si>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</si>
  <si>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</si>
  <si>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</si>
  <si>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</si>
  <si>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</si>
  <si>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</si>
  <si>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</si>
  <si>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</si>
  <si>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</si>
  <si>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</si>
  <si>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</si>
  <si>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</si>
  <si>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</si>
  <si>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</si>
  <si>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</si>
  <si>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</si>
  <si>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</si>
  <si>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</si>
  <si>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</si>
  <si>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</si>
  <si>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*NEU300900058</t>
  </si>
  <si>
    <t>02/10/2026</t>
  </si>
  <si>
    <t>10/09/2026</t>
  </si>
  <si>
    <t>13/08/2026</t>
  </si>
  <si>
    <t>INTEGRA PYMES SGR</t>
  </si>
  <si>
    <t>VITIVINICOLA ROCAL SRL</t>
  </si>
  <si>
    <t>*MOV021000043</t>
  </si>
  <si>
    <t>06/10/2026</t>
  </si>
  <si>
    <t>*MOV091000054</t>
  </si>
  <si>
    <t>14/10/2026</t>
  </si>
  <si>
    <t>14/09/2026</t>
  </si>
  <si>
    <t>*MOV131000082</t>
  </si>
  <si>
    <t>15/10/2026</t>
  </si>
  <si>
    <t>18/09/2026</t>
  </si>
  <si>
    <t>*MOV161000057</t>
  </si>
  <si>
    <t>20/10/2026</t>
  </si>
  <si>
    <t>*MOV181000045</t>
  </si>
  <si>
    <t>21/10/2026</t>
  </si>
  <si>
    <t>*MOV250900071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</si>
  <si>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</si>
  <si>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</si>
  <si>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</si>
  <si>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</si>
  <si>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</si>
  <si>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</si>
  <si>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</si>
  <si>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</si>
  <si>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</si>
  <si>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</si>
  <si>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</si>
  <si>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</si>
  <si>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</si>
  <si>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</si>
  <si>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</si>
  <si>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</si>
  <si>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</si>
  <si>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</si>
  <si>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</si>
  <si>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</si>
  <si>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</si>
  <si>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</si>
  <si>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</si>
  <si>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</si>
  <si>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</si>
  <si>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</si>
  <si>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</si>
  <si>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</si>
  <si>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</si>
  <si>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</si>
  <si>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</si>
  <si>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</si>
  <si>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</si>
  <si>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</si>
  <si>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</si>
  <si>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</si>
  <si>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</si>
  <si>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</si>
  <si>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</si>
  <si>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25/09/2026</t>
  </si>
  <si>
    <t>22/09/2026</t>
  </si>
  <si>
    <t>27/08/2026</t>
  </si>
  <si>
    <t>*MAV161001047</t>
  </si>
  <si>
    <t>*MAV250901124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</si>
  <si>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</si>
  <si>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</si>
  <si>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</si>
  <si>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</si>
  <si>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</si>
  <si>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</si>
  <si>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</si>
  <si>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</si>
  <si>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</si>
  <si>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</si>
  <si>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</si>
  <si>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</si>
  <si>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</si>
  <si>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</si>
  <si>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</si>
  <si>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</si>
  <si>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</si>
  <si>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</si>
  <si>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</si>
  <si>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</si>
  <si>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</si>
  <si>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</si>
  <si>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*FID260900031</t>
  </si>
  <si>
    <t>*FID261000025</t>
  </si>
  <si>
    <t>*AAR241000023</t>
  </si>
  <si>
    <t>CUYO AVAL SGR</t>
  </si>
  <si>
    <t>YAGUA COLI S.A.</t>
  </si>
  <si>
    <t>*NEU260900020</t>
  </si>
  <si>
    <t>*NEU300900061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</si>
  <si>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</si>
  <si>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</si>
  <si>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</si>
  <si>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</si>
  <si>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</si>
  <si>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</si>
  <si>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</si>
  <si>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</si>
  <si>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</si>
  <si>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</si>
  <si>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</si>
  <si>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</si>
  <si>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</si>
  <si>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</si>
  <si>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</si>
  <si>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</si>
  <si>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</si>
  <si>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</si>
  <si>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</si>
  <si>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</si>
  <si>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</si>
  <si>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</si>
  <si>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</si>
  <si>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</si>
  <si>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</si>
  <si>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</si>
  <si>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</si>
  <si>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</si>
  <si>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</si>
  <si>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</si>
  <si>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</si>
  <si>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</si>
  <si>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</si>
  <si>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</si>
  <si>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Fut Rofex DLR092026</t>
  </si>
  <si>
    <t>#UMV011060013</t>
  </si>
  <si>
    <t>S A BUCCOLINI C I F I A</t>
  </si>
  <si>
    <t>EN DOLARES</t>
  </si>
  <si>
    <t>*MAV260901228</t>
  </si>
  <si>
    <t>LOS INCAS DESARROLLOS</t>
  </si>
  <si>
    <t>*MAV280900819</t>
  </si>
  <si>
    <t>#UMV011060014</t>
  </si>
  <si>
    <t>GIVA LOGISTIC SRL</t>
  </si>
  <si>
    <t>PAY PER TIC SA</t>
  </si>
  <si>
    <t>*MAV021000917</t>
  </si>
  <si>
    <t>*MAV091001085</t>
  </si>
  <si>
    <t>*MAV250901137</t>
  </si>
  <si>
    <t>Agosto</t>
  </si>
  <si>
    <t>Septiembre</t>
  </si>
  <si>
    <t>PROLIB SAS</t>
  </si>
  <si>
    <t>*NEU201100026</t>
  </si>
  <si>
    <t>*NEU201000037</t>
  </si>
  <si>
    <t>*NEU300900063</t>
  </si>
  <si>
    <t>*NEU300900064</t>
  </si>
  <si>
    <t>*INP121000042</t>
  </si>
  <si>
    <t>*INP161000050</t>
  </si>
  <si>
    <t>*PRO061100023</t>
  </si>
  <si>
    <t>*PRO131100018</t>
  </si>
  <si>
    <t>*PRO201100027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</si>
  <si>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</si>
  <si>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</si>
  <si>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</si>
  <si>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</si>
  <si>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</si>
  <si>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</si>
  <si>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</si>
  <si>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</si>
  <si>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</si>
  <si>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</si>
  <si>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</si>
  <si>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</si>
  <si>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</si>
  <si>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</si>
  <si>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</si>
  <si>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</si>
  <si>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</si>
  <si>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</si>
  <si>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</si>
  <si>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</si>
  <si>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</si>
  <si>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</si>
  <si>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</si>
  <si>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</si>
  <si>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</si>
  <si>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</si>
  <si>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</si>
  <si>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</si>
  <si>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</si>
  <si>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</si>
  <si>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</si>
  <si>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</si>
  <si>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*MAV141001328</t>
  </si>
  <si>
    <t>*MAV121000892</t>
  </si>
  <si>
    <t>*MAV300901921</t>
  </si>
  <si>
    <t>*MAV301001239</t>
  </si>
  <si>
    <t>03/11/2026</t>
  </si>
  <si>
    <t>*MAV301001240</t>
  </si>
  <si>
    <t>*MAV141001327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</si>
  <si>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</si>
  <si>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</si>
  <si>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</si>
  <si>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</si>
  <si>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</si>
  <si>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</si>
  <si>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</si>
  <si>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</si>
  <si>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</si>
  <si>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</si>
  <si>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</si>
  <si>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</si>
  <si>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</si>
  <si>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</si>
  <si>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</si>
  <si>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</si>
  <si>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*MIL250900029</t>
  </si>
  <si>
    <t>04/11/2026</t>
  </si>
  <si>
    <t>#UMV021160025</t>
  </si>
  <si>
    <t>LIBRERIAS IMPULSO SAS</t>
  </si>
  <si>
    <t>*MAV250901157</t>
  </si>
  <si>
    <t>*MAV131101027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</si>
  <si>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</si>
  <si>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</si>
  <si>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</si>
  <si>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</si>
  <si>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</si>
  <si>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</si>
  <si>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</si>
  <si>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</si>
  <si>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</si>
  <si>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</si>
  <si>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</si>
  <si>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</si>
  <si>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</si>
  <si>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</si>
  <si>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</si>
  <si>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</si>
  <si>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</si>
  <si>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</si>
  <si>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</si>
  <si>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</si>
  <si>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</si>
  <si>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</si>
  <si>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</si>
  <si>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</si>
  <si>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</si>
  <si>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</si>
  <si>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*MAV060801017</t>
  </si>
  <si>
    <t>*MAV160701326</t>
  </si>
  <si>
    <t>*MAV300701402</t>
  </si>
  <si>
    <t>GLYCINMAX SRL</t>
  </si>
  <si>
    <t>CEMEYKA SRL</t>
  </si>
  <si>
    <t>LORENZO ANNECCHINI S A</t>
  </si>
  <si>
    <t>EMEPA S A</t>
  </si>
  <si>
    <t>*MAV300901974</t>
  </si>
  <si>
    <t>DE LAS MISIONES S.A.</t>
  </si>
  <si>
    <t>*MAV161001066</t>
  </si>
  <si>
    <t>AR0253965559</t>
  </si>
  <si>
    <t>26/05/2027</t>
  </si>
  <si>
    <t>*MAV201001476</t>
  </si>
  <si>
    <t>MTC3O - ON Mastellone Clase 3</t>
  </si>
  <si>
    <t>AR0494875476</t>
  </si>
  <si>
    <t>22/06/2027</t>
  </si>
  <si>
    <t>*MAV290901239</t>
  </si>
  <si>
    <t>01/10/2026</t>
  </si>
  <si>
    <t>#MAV061160016</t>
  </si>
  <si>
    <t>SOMOS INTEGRA SRL</t>
  </si>
  <si>
    <t>*MIL231000034</t>
  </si>
  <si>
    <t>*MIL250900032</t>
  </si>
  <si>
    <t>*MAV081001065</t>
  </si>
  <si>
    <t>*MAV091001118</t>
  </si>
  <si>
    <t>*MAV141001362</t>
  </si>
  <si>
    <t>*BIF250900004</t>
  </si>
  <si>
    <t>PETROLEOS SUDAMERICANOS SA</t>
  </si>
  <si>
    <t>*MAV231001129</t>
  </si>
  <si>
    <t>*MAV231100839</t>
  </si>
  <si>
    <t>*MAV250901239</t>
  </si>
  <si>
    <t>MANGIATERRA JUANA MARIA</t>
  </si>
  <si>
    <t>CQ08A - VD FF CENTROCARD CREDITOS 8 CL.A $</t>
  </si>
  <si>
    <t>*PRO250900016</t>
  </si>
  <si>
    <t>*MAV151001396</t>
  </si>
  <si>
    <t>*MAV201001491</t>
  </si>
  <si>
    <t>*MAV271001297</t>
  </si>
  <si>
    <t>*MAV271001292</t>
  </si>
  <si>
    <t>*MAV021000966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</si>
  <si>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</si>
  <si>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</si>
  <si>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</si>
  <si>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</si>
  <si>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</si>
  <si>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</si>
  <si>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</si>
  <si>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</si>
  <si>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</si>
  <si>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</si>
  <si>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</si>
  <si>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</si>
  <si>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</si>
  <si>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</si>
  <si>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</si>
  <si>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</si>
  <si>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</si>
  <si>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</si>
  <si>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</si>
  <si>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</si>
  <si>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</si>
  <si>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</si>
  <si>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</si>
  <si>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</si>
  <si>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</si>
  <si>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</si>
  <si>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</si>
  <si>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</si>
  <si>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</si>
  <si>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</si>
  <si>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</si>
  <si>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</si>
  <si>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</si>
  <si>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</si>
  <si>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</si>
  <si>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</si>
  <si>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</si>
  <si>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</si>
  <si>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</si>
  <si>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</si>
  <si>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</si>
  <si>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</si>
  <si>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</si>
  <si>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</si>
  <si>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</si>
  <si>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</si>
  <si>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</si>
  <si>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</si>
  <si>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</si>
  <si>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</si>
  <si>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</si>
  <si>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</si>
  <si>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</si>
  <si>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</si>
  <si>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</si>
  <si>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</si>
  <si>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</si>
  <si>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</si>
  <si>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</si>
  <si>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</si>
  <si>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</si>
  <si>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</si>
  <si>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</si>
  <si>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</si>
  <si>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</si>
  <si>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</si>
  <si>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</si>
  <si>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</si>
  <si>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*INP151000082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</si>
  <si>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</si>
  <si>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</si>
  <si>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</si>
  <si>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</si>
  <si>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</si>
  <si>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</si>
  <si>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</si>
  <si>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</si>
  <si>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</si>
  <si>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</si>
  <si>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</si>
  <si>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</si>
  <si>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</si>
  <si>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</si>
  <si>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</si>
  <si>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</si>
  <si>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</si>
  <si>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</si>
  <si>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</si>
  <si>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</si>
  <si>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</si>
  <si>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</si>
  <si>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*MAV271001316</t>
  </si>
  <si>
    <t>*MAV151001437</t>
  </si>
  <si>
    <t>*MAV221001020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</si>
  <si>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</si>
  <si>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</si>
  <si>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</si>
  <si>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</si>
  <si>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</si>
  <si>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</si>
  <si>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</si>
  <si>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</si>
  <si>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</si>
  <si>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</si>
  <si>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</si>
  <si>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</si>
  <si>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</si>
  <si>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</si>
  <si>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*PRO241100022</t>
  </si>
  <si>
    <t>C Y V EMBALAJES Y SERVICIOS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</si>
  <si>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</si>
  <si>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</si>
  <si>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</si>
  <si>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</si>
  <si>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</si>
  <si>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</si>
  <si>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</si>
  <si>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</si>
  <si>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</si>
  <si>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</si>
  <si>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</si>
  <si>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</si>
  <si>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</si>
  <si>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*MAV061001281</t>
  </si>
  <si>
    <t>*MAV081001113</t>
  </si>
  <si>
    <t>*MAV141001419</t>
  </si>
  <si>
    <t>*MAV021001028</t>
  </si>
  <si>
    <t>*MAV091001182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</si>
  <si>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</si>
  <si>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</si>
  <si>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</si>
  <si>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</si>
  <si>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</si>
  <si>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</si>
  <si>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</si>
  <si>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*MAV141001420</t>
  </si>
  <si>
    <t>*MAV250901315</t>
  </si>
  <si>
    <t>*MAV011001109</t>
  </si>
  <si>
    <t>*MAV061001283</t>
  </si>
  <si>
    <t>*MAV081001116</t>
  </si>
  <si>
    <t>*MAV141001422</t>
  </si>
  <si>
    <t>*MAV151001448</t>
  </si>
  <si>
    <t>*MAV201001549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</si>
  <si>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</si>
  <si>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</si>
  <si>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</si>
  <si>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</si>
  <si>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</si>
  <si>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</si>
  <si>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</si>
  <si>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</si>
  <si>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</si>
  <si>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</si>
  <si>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GABRIELLI CARLOS MATIAS</t>
  </si>
  <si>
    <t>INAP S R L</t>
  </si>
  <si>
    <t>SERVILLETAS PALLMAR S.R.L.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</si>
  <si>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</si>
  <si>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</si>
  <si>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</si>
  <si>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</si>
  <si>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</si>
  <si>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</si>
  <si>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</si>
  <si>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</si>
  <si>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</si>
  <si>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</si>
  <si>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</si>
  <si>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</si>
  <si>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</si>
  <si>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</si>
  <si>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</si>
  <si>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</si>
  <si>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</si>
  <si>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</si>
  <si>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</si>
  <si>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</si>
  <si>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</si>
  <si>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</si>
  <si>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</si>
  <si>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</si>
  <si>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</si>
  <si>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</si>
  <si>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RAICES BA</t>
  </si>
  <si>
    <t>*MAV280900981</t>
  </si>
  <si>
    <t>KRALICEK OBRAS CIVILES S.A.</t>
  </si>
  <si>
    <t>VELVET COMFORT &amp; DESIGN S.R.L.</t>
  </si>
  <si>
    <t>*MAV280900982</t>
  </si>
  <si>
    <t>*MAV021001033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</si>
  <si>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</si>
  <si>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</si>
  <si>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</si>
  <si>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</si>
  <si>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</si>
  <si>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</si>
  <si>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</si>
  <si>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</si>
  <si>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</si>
  <si>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</si>
  <si>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</si>
  <si>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</si>
  <si>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</si>
  <si>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</si>
  <si>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</si>
  <si>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</si>
  <si>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</si>
  <si>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</si>
  <si>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</si>
  <si>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</si>
  <si>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</si>
  <si>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</si>
  <si>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</si>
  <si>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</si>
  <si>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</si>
  <si>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</si>
  <si>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</si>
  <si>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</si>
  <si>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</si>
  <si>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*PRO290900004</t>
  </si>
  <si>
    <t>*PRO291000025</t>
  </si>
  <si>
    <t>*PRO131100019</t>
  </si>
  <si>
    <t>*PRO141000011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</si>
  <si>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</si>
  <si>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</si>
  <si>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</si>
  <si>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</si>
  <si>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</si>
  <si>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</si>
  <si>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</si>
  <si>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</si>
  <si>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</si>
  <si>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</si>
  <si>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</si>
  <si>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</si>
  <si>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</si>
  <si>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</si>
  <si>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</si>
  <si>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</si>
  <si>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</si>
  <si>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</si>
  <si>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</si>
  <si>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*MIL201000041</t>
  </si>
  <si>
    <t>*MIL290900039</t>
  </si>
  <si>
    <t>*PRO071000012</t>
  </si>
  <si>
    <t>*PRO051000011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</si>
  <si>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</si>
  <si>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</si>
  <si>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</si>
  <si>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</si>
  <si>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</si>
  <si>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</si>
  <si>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</si>
  <si>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</si>
  <si>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*PRO021000009</t>
  </si>
  <si>
    <t>*PRO250900021</t>
  </si>
  <si>
    <t>*MAV121000944</t>
  </si>
  <si>
    <t>*MAV161001135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</si>
  <si>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</si>
  <si>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</si>
  <si>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</si>
  <si>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</si>
  <si>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</si>
  <si>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</si>
  <si>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</si>
  <si>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</si>
  <si>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</si>
  <si>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*MIL171000047</t>
  </si>
  <si>
    <t>*MIL091000034</t>
  </si>
  <si>
    <t>*MIL161000031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</si>
  <si>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</si>
  <si>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</si>
  <si>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</si>
  <si>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</si>
  <si>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</si>
  <si>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</si>
  <si>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</si>
  <si>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</si>
  <si>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</si>
  <si>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</si>
  <si>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</si>
  <si>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</si>
  <si>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</si>
  <si>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</si>
  <si>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</si>
  <si>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</si>
  <si>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</si>
  <si>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</si>
  <si>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</si>
  <si>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</si>
  <si>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</si>
  <si>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</si>
  <si>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</si>
  <si>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</si>
  <si>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*MAV260901324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</si>
  <si>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</si>
  <si>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</si>
  <si>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</si>
  <si>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</si>
  <si>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</si>
  <si>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</si>
  <si>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</si>
  <si>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</si>
  <si>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</si>
  <si>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</si>
  <si>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</si>
  <si>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</si>
  <si>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</si>
  <si>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</si>
  <si>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</si>
  <si>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</si>
  <si>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</si>
  <si>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</si>
  <si>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</si>
  <si>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</si>
  <si>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</si>
  <si>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</si>
  <si>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</si>
  <si>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</si>
  <si>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*MAV300902203</t>
  </si>
  <si>
    <t>*MAV211001235</t>
  </si>
  <si>
    <t>*MAV031101254</t>
  </si>
  <si>
    <t>*MAV041101144</t>
  </si>
  <si>
    <t>*MAV051101031</t>
  </si>
  <si>
    <t>*MAV290901342</t>
  </si>
  <si>
    <t>*MAV250901367</t>
  </si>
  <si>
    <t>*MAV300902204</t>
  </si>
  <si>
    <t>*MAV250901366</t>
  </si>
  <si>
    <t>*MAV280901019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</si>
  <si>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</si>
  <si>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</si>
  <si>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</si>
  <si>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</si>
  <si>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</si>
  <si>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</si>
  <si>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</si>
  <si>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PAPEZOPP S.A.S.</t>
  </si>
  <si>
    <t>BELONA PRIETTO S.R.L.</t>
  </si>
  <si>
    <t>COMERCIALIZADORA MARA SA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</si>
  <si>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</si>
  <si>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</si>
  <si>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</si>
  <si>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</si>
  <si>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</si>
  <si>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</si>
  <si>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</si>
  <si>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</si>
  <si>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</si>
  <si>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</si>
  <si>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</si>
  <si>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</si>
  <si>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</si>
  <si>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</si>
  <si>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</si>
  <si>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</si>
  <si>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</si>
  <si>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</si>
  <si>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</si>
  <si>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</si>
  <si>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*MAV101001482</t>
  </si>
  <si>
    <t>*MAV260901340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</si>
  <si>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</si>
  <si>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</si>
  <si>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</si>
  <si>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</si>
  <si>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</si>
  <si>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</si>
  <si>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</si>
  <si>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</si>
  <si>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</si>
  <si>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</si>
  <si>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</si>
  <si>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</si>
  <si>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</si>
  <si>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</si>
  <si>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</si>
  <si>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</si>
  <si>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</si>
  <si>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</si>
  <si>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</si>
  <si>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</si>
  <si>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</si>
  <si>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</si>
  <si>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</si>
  <si>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</si>
  <si>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</si>
  <si>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</si>
  <si>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</si>
  <si>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</si>
  <si>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</si>
  <si>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</si>
  <si>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</si>
  <si>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</si>
  <si>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</si>
  <si>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</si>
  <si>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</si>
  <si>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</si>
  <si>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</si>
  <si>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</si>
  <si>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</si>
  <si>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</si>
  <si>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</si>
  <si>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</si>
  <si>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</si>
  <si>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</si>
  <si>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</si>
  <si>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</si>
  <si>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</si>
  <si>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</si>
  <si>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</si>
  <si>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</si>
  <si>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</si>
  <si>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</si>
  <si>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</si>
  <si>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</si>
  <si>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</si>
  <si>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</si>
  <si>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</si>
  <si>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</si>
  <si>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</si>
  <si>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</si>
  <si>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</si>
  <si>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</si>
  <si>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</si>
  <si>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</si>
  <si>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</si>
  <si>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</si>
  <si>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</si>
  <si>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</si>
  <si>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</si>
  <si>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</si>
  <si>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</si>
  <si>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</si>
  <si>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</si>
  <si>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</si>
  <si>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</si>
  <si>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</si>
  <si>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</si>
  <si>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</si>
  <si>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</si>
  <si>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</si>
  <si>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</si>
  <si>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</si>
  <si>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</si>
  <si>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</si>
  <si>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</si>
  <si>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</si>
  <si>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</si>
  <si>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</si>
  <si>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</si>
  <si>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</si>
  <si>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</si>
  <si>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</si>
  <si>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</si>
  <si>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</si>
  <si>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</si>
  <si>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</si>
  <si>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</si>
  <si>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</si>
  <si>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</si>
  <si>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</si>
  <si>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</si>
  <si>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</si>
  <si>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</si>
  <si>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</si>
  <si>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</si>
  <si>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</si>
  <si>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</si>
  <si>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</si>
  <si>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</si>
  <si>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</si>
  <si>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</si>
  <si>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</si>
  <si>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</si>
  <si>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</si>
  <si>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</si>
  <si>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</si>
  <si>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</si>
  <si>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</si>
  <si>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</si>
  <si>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</si>
  <si>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</si>
  <si>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</si>
  <si>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</si>
  <si>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</si>
  <si>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</si>
  <si>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</si>
  <si>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</si>
  <si>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</si>
  <si>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*MAV300902309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</si>
  <si>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</si>
  <si>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</si>
  <si>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</si>
  <si>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</si>
  <si>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</si>
  <si>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</si>
  <si>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</si>
  <si>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</si>
  <si>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</si>
  <si>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</si>
  <si>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</si>
  <si>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</si>
  <si>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</si>
  <si>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</si>
  <si>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</si>
  <si>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</si>
  <si>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</si>
  <si>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</si>
  <si>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</si>
  <si>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</si>
  <si>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</si>
  <si>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</si>
  <si>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*FED261000040</t>
  </si>
  <si>
    <t>*FED280900127</t>
  </si>
  <si>
    <t>*FED300900062</t>
  </si>
  <si>
    <t>*MAV241001273</t>
  </si>
  <si>
    <t>*MAV241001272</t>
  </si>
  <si>
    <t>*MAV161001212</t>
  </si>
  <si>
    <t>*MAV071001280</t>
  </si>
  <si>
    <t>*MAV290901408</t>
  </si>
  <si>
    <t>*MAV211001296</t>
  </si>
  <si>
    <t>*MAV141001501</t>
  </si>
  <si>
    <t>*MAV301001397</t>
  </si>
  <si>
    <t>*MAV300902342</t>
  </si>
  <si>
    <t>*MAV041101167</t>
  </si>
  <si>
    <t>*MAV051001126</t>
  </si>
  <si>
    <t>*MAV051001127</t>
  </si>
  <si>
    <t>*MAV051001132</t>
  </si>
  <si>
    <t>*MAV061001358</t>
  </si>
  <si>
    <t>*MAV071001282</t>
  </si>
  <si>
    <t>CE.BE.CO.</t>
  </si>
  <si>
    <t>CLADAN SA</t>
  </si>
  <si>
    <t>Diciembre</t>
  </si>
  <si>
    <t>*MAV141001515</t>
  </si>
  <si>
    <t>*MAV081001190</t>
  </si>
  <si>
    <t>*MAV211001302</t>
  </si>
  <si>
    <t>*MAV221001135</t>
  </si>
  <si>
    <t>*MAV051001142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</si>
  <si>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</si>
  <si>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</si>
  <si>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</si>
  <si>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</si>
  <si>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</si>
  <si>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</si>
  <si>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WHITE SUN TECNOLOGIA SRL</t>
  </si>
  <si>
    <t>*MAV051001143</t>
  </si>
  <si>
    <t>*MAV051101051</t>
  </si>
  <si>
    <t>*MAV081001192</t>
  </si>
  <si>
    <t>*MAV290901416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</si>
  <si>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</si>
  <si>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</si>
  <si>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</si>
  <si>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</si>
  <si>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</si>
  <si>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</si>
  <si>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</si>
  <si>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</si>
  <si>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</si>
  <si>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</si>
  <si>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</si>
  <si>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</si>
  <si>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</si>
  <si>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</si>
  <si>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</si>
  <si>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</si>
  <si>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</si>
  <si>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</si>
  <si>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</si>
  <si>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</si>
  <si>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</si>
  <si>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</si>
  <si>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</si>
  <si>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</si>
  <si>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</si>
  <si>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</si>
  <si>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</si>
  <si>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</si>
  <si>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</si>
  <si>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</si>
  <si>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</si>
  <si>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</si>
  <si>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</si>
  <si>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</si>
  <si>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</si>
  <si>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</si>
  <si>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</si>
  <si>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</si>
  <si>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</si>
  <si>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</si>
  <si>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</si>
  <si>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</si>
  <si>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</si>
  <si>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</si>
  <si>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</si>
  <si>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</si>
  <si>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</si>
  <si>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</si>
  <si>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</si>
  <si>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</si>
  <si>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</si>
  <si>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</si>
  <si>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</si>
  <si>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</si>
  <si>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</si>
  <si>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</si>
  <si>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</si>
  <si>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</si>
  <si>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</si>
  <si>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</si>
  <si>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</si>
  <si>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</si>
  <si>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</si>
  <si>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</si>
  <si>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</si>
  <si>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</si>
  <si>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</si>
  <si>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</si>
  <si>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</si>
  <si>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</si>
  <si>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</si>
  <si>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</si>
  <si>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</si>
  <si>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</si>
  <si>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</si>
  <si>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</si>
  <si>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</si>
  <si>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</si>
  <si>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</si>
  <si>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</si>
  <si>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</si>
  <si>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</si>
  <si>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</si>
  <si>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</si>
  <si>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</si>
  <si>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</si>
  <si>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</si>
  <si>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</si>
  <si>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</si>
  <si>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</si>
  <si>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</si>
  <si>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</si>
  <si>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</si>
  <si>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</si>
  <si>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</si>
  <si>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</si>
  <si>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</si>
  <si>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</si>
  <si>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</si>
  <si>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*MAV250901494</t>
  </si>
  <si>
    <t>*MAV280901136</t>
  </si>
  <si>
    <t>*MAV161100997</t>
  </si>
  <si>
    <t>*MAV061001408</t>
  </si>
  <si>
    <t>*MAV270901096</t>
  </si>
  <si>
    <t>*MAV151001574</t>
  </si>
  <si>
    <t>*MAV171101338</t>
  </si>
  <si>
    <t>*MAV300902428</t>
  </si>
  <si>
    <t>*MAV061001407</t>
  </si>
  <si>
    <t>*MAV250901491</t>
  </si>
  <si>
    <t>*MAV051001188</t>
  </si>
  <si>
    <t>*MAV290901445</t>
  </si>
  <si>
    <t>*MAV280901135</t>
  </si>
  <si>
    <t>*MAV260901395</t>
  </si>
  <si>
    <t>*MAV271001409</t>
  </si>
  <si>
    <t>*MAV250901492</t>
  </si>
  <si>
    <t>*MAV231001288</t>
  </si>
  <si>
    <t>*MAV290901446</t>
  </si>
  <si>
    <t>*MAV261000980</t>
  </si>
  <si>
    <t>*MAV251001233</t>
  </si>
  <si>
    <t>*MAV250901495</t>
  </si>
  <si>
    <t>*MAV191101110</t>
  </si>
  <si>
    <t>*MAV161001267</t>
  </si>
  <si>
    <t>*MAV011001274</t>
  </si>
  <si>
    <t>*MAV250901493</t>
  </si>
  <si>
    <t>*MAV300902427</t>
  </si>
  <si>
    <t>*MAV041200946</t>
  </si>
  <si>
    <t>FALABELLA S A </t>
  </si>
  <si>
    <t>MACER SA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</si>
  <si>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</si>
  <si>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</si>
  <si>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</si>
  <si>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</si>
  <si>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</si>
  <si>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</si>
  <si>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BED COLLECTION SA</t>
  </si>
  <si>
    <t>MSVMUEBLERIA SAS</t>
  </si>
  <si>
    <t>MERCADO DE LOS COLCHONES SA</t>
  </si>
  <si>
    <t>SOLUCIONES TECNOLOGICAS SA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</si>
  <si>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</si>
  <si>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</si>
  <si>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</si>
  <si>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</si>
  <si>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</si>
  <si>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*MAV131001666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</si>
  <si>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</si>
  <si>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</si>
  <si>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</si>
  <si>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</si>
  <si>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</si>
  <si>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</si>
  <si>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</si>
  <si>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</si>
  <si>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</si>
  <si>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</si>
  <si>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</si>
  <si>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</si>
  <si>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</si>
  <si>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</si>
  <si>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</si>
  <si>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</si>
  <si>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*MAV041001144</t>
  </si>
  <si>
    <t>*MAV280901151</t>
  </si>
  <si>
    <t>*MAV280901152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</si>
  <si>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</si>
  <si>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</si>
  <si>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</si>
  <si>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</si>
  <si>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</si>
  <si>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</si>
  <si>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</si>
  <si>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</si>
  <si>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</si>
  <si>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</si>
  <si>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</si>
  <si>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</si>
  <si>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</si>
  <si>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</si>
  <si>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</si>
  <si>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</si>
  <si>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</si>
  <si>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</si>
  <si>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</si>
  <si>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</si>
  <si>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</si>
  <si>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</si>
  <si>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</si>
  <si>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</si>
  <si>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</si>
  <si>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</si>
  <si>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</si>
  <si>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</si>
  <si>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</si>
  <si>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</si>
  <si>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</si>
  <si>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</si>
  <si>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</si>
  <si>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</si>
  <si>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</si>
  <si>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</si>
  <si>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</si>
  <si>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</si>
  <si>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</si>
  <si>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</si>
  <si>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</si>
  <si>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</si>
  <si>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</si>
  <si>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</si>
  <si>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</si>
  <si>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</si>
  <si>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</si>
  <si>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</si>
  <si>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</si>
  <si>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</si>
  <si>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</si>
  <si>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</si>
  <si>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</si>
  <si>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</si>
  <si>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</si>
  <si>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</si>
  <si>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</si>
  <si>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</si>
  <si>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</si>
  <si>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</si>
  <si>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</si>
  <si>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</si>
  <si>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</si>
  <si>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</si>
  <si>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</si>
  <si>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</si>
  <si>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</si>
  <si>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</si>
  <si>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</si>
  <si>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</si>
  <si>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</si>
  <si>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</si>
  <si>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</si>
  <si>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</si>
  <si>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</si>
  <si>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</si>
  <si>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</si>
  <si>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</si>
  <si>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</si>
  <si>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</si>
  <si>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</si>
  <si>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</si>
  <si>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</si>
  <si>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</si>
  <si>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</si>
  <si>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</si>
  <si>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</si>
  <si>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</si>
  <si>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</si>
  <si>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</si>
  <si>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</si>
  <si>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</si>
  <si>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</si>
  <si>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</si>
  <si>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</si>
  <si>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</si>
  <si>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</si>
  <si>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</si>
  <si>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</si>
  <si>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</si>
  <si>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</si>
  <si>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</si>
  <si>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</si>
  <si>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</si>
  <si>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</si>
  <si>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</si>
  <si>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</si>
  <si>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</si>
  <si>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</si>
  <si>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</si>
  <si>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</si>
  <si>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</si>
  <si>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</si>
  <si>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</si>
  <si>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</si>
  <si>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</si>
  <si>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</si>
  <si>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</si>
  <si>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</si>
  <si>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</si>
  <si>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</si>
  <si>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</si>
  <si>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</si>
  <si>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</si>
  <si>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</si>
  <si>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</si>
  <si>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</si>
  <si>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</si>
  <si>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</si>
  <si>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</si>
  <si>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</si>
  <si>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</si>
  <si>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</si>
  <si>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</si>
  <si>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</si>
  <si>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</si>
  <si>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</si>
  <si>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</si>
  <si>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</si>
  <si>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*MAV250901564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</si>
  <si>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</si>
  <si>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</si>
  <si>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</si>
  <si>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</si>
  <si>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</si>
  <si>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</si>
  <si>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</si>
  <si>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</si>
  <si>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</si>
  <si>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</si>
  <si>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</si>
  <si>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</si>
  <si>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</si>
  <si>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</si>
  <si>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</si>
  <si>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</si>
  <si>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</si>
  <si>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</si>
  <si>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</si>
  <si>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</si>
  <si>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</si>
  <si>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</si>
  <si>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</si>
  <si>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</si>
  <si>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</si>
  <si>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</si>
  <si>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</si>
  <si>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</si>
  <si>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</si>
  <si>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</si>
  <si>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</si>
  <si>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</si>
  <si>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</si>
  <si>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</si>
  <si>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</si>
  <si>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</si>
  <si>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</si>
  <si>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</si>
  <si>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</si>
  <si>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</si>
  <si>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</si>
  <si>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</si>
  <si>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</si>
  <si>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</si>
  <si>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</si>
  <si>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</si>
  <si>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</si>
  <si>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</si>
  <si>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</si>
  <si>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</si>
  <si>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</si>
  <si>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</si>
  <si>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</si>
  <si>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</si>
  <si>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</si>
  <si>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</si>
  <si>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</si>
  <si>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</si>
  <si>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</si>
  <si>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</si>
  <si>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*MAV260901429</t>
  </si>
  <si>
    <t>*MAV301001501</t>
  </si>
  <si>
    <t>*MAV051001249</t>
  </si>
  <si>
    <t>*MAV111101373</t>
  </si>
  <si>
    <t>*MAV061001461</t>
  </si>
  <si>
    <t>*MAV131001756</t>
  </si>
  <si>
    <t>PARDO S A</t>
  </si>
  <si>
    <t>AGROSERVICIOS SRL</t>
  </si>
  <si>
    <t>PLANJAR ALEXIS DANIEL</t>
  </si>
  <si>
    <t>CFN SRL</t>
  </si>
  <si>
    <t>SES SA CONSTRUERE INGENIERIA SA SARMIENTO - UTE</t>
  </si>
  <si>
    <t>HARTMANN SA</t>
  </si>
  <si>
    <t>CASA SILVIA SA</t>
  </si>
  <si>
    <t>MUEBLERIA TORCA SA</t>
  </si>
  <si>
    <t>MARANSI SA</t>
  </si>
  <si>
    <t>*MAV091001460</t>
  </si>
  <si>
    <t>*MAV161001331</t>
  </si>
  <si>
    <t>*MAV221001204</t>
  </si>
  <si>
    <t>SUPERMERCADOS LA ECONOMIA SA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</si>
  <si>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</si>
  <si>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</si>
  <si>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</si>
  <si>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</si>
  <si>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</si>
  <si>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</si>
  <si>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</si>
  <si>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</si>
  <si>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</si>
  <si>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</si>
  <si>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</si>
  <si>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</si>
  <si>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</si>
  <si>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</si>
  <si>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</si>
  <si>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</si>
  <si>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</si>
  <si>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</si>
  <si>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</si>
  <si>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</si>
  <si>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</si>
  <si>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</si>
  <si>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</si>
  <si>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</si>
  <si>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</si>
  <si>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</si>
  <si>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</si>
  <si>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</si>
  <si>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</si>
  <si>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</si>
  <si>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</si>
  <si>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</si>
  <si>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</si>
  <si>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</si>
  <si>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</si>
  <si>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</si>
  <si>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</si>
  <si>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</si>
  <si>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</si>
  <si>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</si>
  <si>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</si>
  <si>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</si>
  <si>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</si>
  <si>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</si>
  <si>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</si>
  <si>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</si>
  <si>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MARKETVET SA</t>
  </si>
  <si>
    <t>CALIZA CONSTRUCTORA SRL</t>
  </si>
  <si>
    <t>SECUAZ SRL</t>
  </si>
  <si>
    <t>C P S COMUNICACIONES S.A.U.</t>
  </si>
  <si>
    <t>EDUCACION POPULAR ASOCIACION CIVIL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</si>
  <si>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</si>
  <si>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</si>
  <si>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</si>
  <si>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</si>
  <si>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</si>
  <si>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</si>
  <si>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</si>
  <si>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</si>
  <si>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</si>
  <si>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</si>
  <si>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</si>
  <si>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</si>
  <si>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</si>
  <si>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</si>
  <si>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</si>
  <si>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</si>
  <si>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</si>
  <si>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</si>
  <si>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</si>
  <si>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</si>
  <si>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</si>
  <si>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</si>
  <si>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</si>
  <si>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</si>
  <si>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</si>
  <si>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</si>
  <si>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</si>
  <si>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</si>
  <si>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</si>
  <si>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</si>
  <si>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</si>
  <si>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</si>
  <si>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</si>
  <si>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</si>
  <si>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</si>
  <si>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</si>
  <si>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</si>
  <si>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</si>
  <si>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</si>
  <si>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</si>
  <si>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</si>
  <si>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</si>
  <si>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</si>
  <si>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</si>
  <si>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</si>
  <si>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</si>
  <si>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</si>
  <si>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</si>
  <si>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</si>
  <si>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</si>
  <si>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</si>
  <si>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</si>
  <si>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</si>
  <si>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</si>
  <si>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</si>
  <si>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</si>
  <si>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</si>
  <si>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</si>
  <si>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</si>
  <si>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</si>
  <si>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</si>
  <si>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</si>
  <si>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</si>
  <si>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</si>
  <si>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</si>
  <si>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</si>
  <si>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</si>
  <si>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</si>
  <si>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</si>
  <si>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</si>
  <si>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</si>
  <si>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</si>
  <si>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</si>
  <si>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</si>
  <si>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</si>
  <si>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</si>
  <si>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</si>
  <si>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</si>
  <si>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</si>
  <si>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</si>
  <si>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*MAV261001053</t>
  </si>
  <si>
    <t>*MAV261001054</t>
  </si>
  <si>
    <t>ABRIL AMOBLAMIENTOS SRL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</si>
  <si>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</si>
  <si>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</si>
  <si>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</si>
  <si>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</si>
  <si>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</si>
  <si>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</si>
  <si>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</si>
  <si>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</si>
  <si>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</si>
  <si>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</si>
  <si>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</si>
  <si>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</si>
  <si>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</si>
  <si>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</si>
  <si>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</si>
  <si>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</si>
  <si>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</si>
  <si>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</si>
  <si>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</si>
  <si>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</si>
  <si>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</si>
  <si>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</si>
  <si>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</si>
  <si>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</si>
  <si>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</si>
  <si>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</si>
  <si>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</si>
  <si>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</si>
  <si>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</si>
  <si>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</si>
  <si>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</si>
  <si>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</si>
  <si>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</si>
  <si>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</si>
  <si>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</si>
  <si>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</si>
  <si>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</si>
  <si>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</si>
  <si>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</si>
  <si>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</si>
  <si>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</si>
  <si>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</si>
  <si>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</si>
  <si>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</si>
  <si>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</si>
  <si>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</si>
  <si>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</si>
  <si>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</si>
  <si>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</si>
  <si>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</si>
  <si>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</si>
  <si>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</si>
  <si>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</si>
  <si>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</si>
  <si>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</si>
  <si>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</si>
  <si>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</si>
  <si>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</si>
  <si>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</si>
  <si>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</si>
  <si>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</si>
  <si>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</si>
  <si>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</si>
  <si>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</si>
  <si>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</si>
  <si>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</si>
  <si>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*MAV091001544</t>
  </si>
  <si>
    <t>*MAV191001047</t>
  </si>
  <si>
    <t>*MAV021100927</t>
  </si>
  <si>
    <t>*MAV021100928</t>
  </si>
  <si>
    <t>#MAV300960074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</si>
  <si>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</si>
  <si>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</si>
  <si>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</si>
  <si>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</si>
  <si>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</si>
  <si>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</si>
  <si>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</si>
  <si>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</si>
  <si>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</si>
  <si>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</si>
  <si>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</si>
  <si>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</si>
  <si>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</si>
  <si>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</si>
  <si>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</si>
  <si>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</si>
  <si>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</si>
  <si>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</si>
  <si>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</si>
  <si>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</si>
  <si>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</si>
  <si>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</si>
  <si>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</si>
  <si>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</si>
  <si>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</si>
  <si>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</si>
  <si>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</si>
  <si>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</si>
  <si>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</si>
  <si>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</si>
  <si>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</si>
  <si>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</si>
  <si>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</si>
  <si>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</si>
  <si>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</si>
  <si>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</si>
  <si>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</si>
  <si>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</si>
  <si>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</si>
  <si>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</si>
  <si>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</si>
  <si>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</si>
  <si>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</si>
  <si>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</si>
  <si>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</si>
  <si>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</si>
  <si>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</si>
  <si>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</si>
  <si>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</si>
  <si>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</si>
  <si>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</si>
  <si>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</si>
  <si>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</si>
  <si>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</si>
  <si>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</si>
  <si>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</si>
  <si>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</si>
  <si>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</si>
  <si>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</si>
  <si>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</si>
  <si>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</si>
  <si>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</si>
  <si>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</si>
  <si>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</si>
  <si>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</si>
  <si>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</si>
  <si>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</si>
  <si>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</si>
  <si>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</si>
  <si>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</si>
  <si>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</si>
  <si>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</si>
  <si>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</si>
  <si>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</si>
  <si>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</si>
  <si>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</si>
  <si>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</si>
  <si>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</si>
  <si>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</si>
  <si>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</si>
  <si>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</si>
  <si>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</si>
  <si>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</si>
  <si>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</si>
  <si>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</si>
  <si>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*MAV181101315</t>
  </si>
  <si>
    <t>*MAV201101520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</si>
  <si>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</si>
  <si>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</si>
  <si>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</si>
  <si>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</si>
  <si>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</si>
  <si>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</si>
  <si>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</si>
  <si>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</si>
  <si>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</si>
  <si>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</si>
  <si>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</si>
  <si>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</si>
  <si>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</si>
  <si>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</si>
  <si>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</si>
  <si>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</si>
  <si>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</si>
  <si>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</si>
  <si>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</si>
  <si>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</si>
  <si>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</si>
  <si>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</si>
  <si>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</si>
  <si>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</si>
  <si>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</si>
  <si>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</si>
  <si>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</si>
  <si>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</si>
  <si>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</si>
  <si>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</si>
  <si>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</si>
  <si>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</si>
  <si>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</si>
  <si>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</si>
  <si>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</si>
  <si>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</si>
  <si>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</si>
  <si>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</si>
  <si>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</si>
  <si>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</si>
  <si>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</si>
  <si>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</si>
  <si>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</si>
  <si>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</si>
  <si>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</si>
  <si>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</si>
  <si>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</si>
  <si>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</si>
  <si>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</si>
  <si>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</si>
  <si>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</si>
  <si>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</si>
  <si>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</si>
  <si>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</si>
  <si>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</si>
  <si>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</si>
  <si>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</si>
  <si>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</si>
  <si>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</si>
  <si>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</si>
  <si>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</si>
  <si>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</si>
  <si>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</si>
  <si>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</si>
  <si>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</si>
  <si>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</si>
  <si>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</si>
  <si>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</si>
  <si>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</si>
  <si>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</si>
  <si>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</si>
  <si>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</si>
  <si>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</si>
  <si>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</si>
  <si>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</si>
  <si>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</si>
  <si>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</si>
  <si>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</si>
  <si>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</si>
  <si>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</si>
  <si>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</si>
  <si>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</si>
  <si>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</si>
  <si>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</si>
  <si>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</si>
  <si>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</si>
  <si>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</si>
  <si>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</si>
  <si>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</si>
  <si>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</si>
  <si>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</si>
  <si>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</si>
  <si>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</si>
  <si>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</si>
  <si>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</si>
  <si>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</si>
  <si>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</si>
  <si>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</si>
  <si>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</si>
  <si>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</si>
  <si>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</si>
  <si>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</si>
  <si>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</si>
  <si>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</si>
  <si>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</si>
  <si>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</si>
  <si>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</si>
  <si>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</si>
  <si>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</si>
  <si>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</si>
  <si>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</si>
  <si>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</si>
  <si>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</si>
  <si>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</si>
  <si>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</si>
  <si>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</si>
  <si>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</si>
  <si>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</si>
  <si>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</si>
  <si>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</si>
  <si>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</si>
  <si>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</si>
  <si>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</si>
  <si>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</si>
  <si>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</si>
  <si>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*MAV300902777</t>
  </si>
  <si>
    <t>*MAV301001672</t>
  </si>
  <si>
    <t>*MAV101201470</t>
  </si>
  <si>
    <t>*MAV191201292</t>
  </si>
  <si>
    <t>*MAV111101432</t>
  </si>
  <si>
    <t>*MAV161001438</t>
  </si>
  <si>
    <t>*MAV250901793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</si>
  <si>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</si>
  <si>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</si>
  <si>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</si>
  <si>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</si>
  <si>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</si>
  <si>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</si>
  <si>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</si>
  <si>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</si>
  <si>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</si>
  <si>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</si>
  <si>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</si>
  <si>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</si>
  <si>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</si>
  <si>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*MAV141001740</t>
  </si>
  <si>
    <t>*MAV201001856</t>
  </si>
  <si>
    <t>*MAV131101250</t>
  </si>
  <si>
    <t>*MAV201101538</t>
  </si>
  <si>
    <t>*MAV231001534</t>
  </si>
  <si>
    <t>*MAV011001476</t>
  </si>
  <si>
    <t>*MAV081001392</t>
  </si>
  <si>
    <t>*MAV250901809</t>
  </si>
  <si>
    <t>*MAV280901395</t>
  </si>
  <si>
    <t>*MAV301001686</t>
  </si>
  <si>
    <t>RUTA SUR TRUCKS SA</t>
  </si>
  <si>
    <t>JYV LOGISTICA Y TRANSPORTE SRL</t>
  </si>
  <si>
    <t>DISTRIBUIDORA DE ALIMENTOS BALANCEADOS SRL</t>
  </si>
  <si>
    <t>SANCHEZ RUBEN ALBERTO</t>
  </si>
  <si>
    <t>EL CERRO SRL</t>
  </si>
  <si>
    <t>LA COLONIA SA</t>
  </si>
  <si>
    <t>OJEDA ARIEL RUBEN</t>
  </si>
  <si>
    <t>%AUU260900002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</si>
  <si>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</si>
  <si>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</si>
  <si>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</si>
  <si>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</si>
  <si>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</si>
  <si>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</si>
  <si>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</si>
  <si>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</si>
  <si>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</si>
  <si>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</si>
  <si>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</si>
  <si>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</si>
  <si>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</si>
  <si>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</si>
  <si>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</si>
  <si>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</si>
  <si>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</si>
  <si>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</si>
  <si>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</si>
  <si>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</si>
  <si>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</si>
  <si>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</si>
  <si>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</si>
  <si>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</si>
  <si>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</si>
  <si>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</si>
  <si>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</si>
  <si>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</si>
  <si>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</si>
  <si>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</si>
  <si>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</si>
  <si>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</si>
  <si>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</si>
  <si>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</si>
  <si>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</si>
  <si>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</si>
  <si>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</si>
  <si>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</si>
  <si>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</si>
  <si>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</si>
  <si>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</si>
  <si>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</si>
  <si>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</si>
  <si>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</si>
  <si>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</si>
  <si>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</si>
  <si>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</si>
  <si>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</si>
  <si>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</si>
  <si>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</si>
  <si>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</si>
  <si>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</si>
  <si>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</si>
  <si>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</si>
  <si>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</si>
  <si>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</si>
  <si>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</si>
  <si>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</si>
  <si>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</si>
  <si>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</si>
  <si>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*MAV300902824</t>
  </si>
  <si>
    <t>*MAV201001875</t>
  </si>
  <si>
    <t>*MAV251101737</t>
  </si>
  <si>
    <t>*MAV251001302</t>
  </si>
  <si>
    <t>*MAV250901836</t>
  </si>
  <si>
    <t>*MAV301101972</t>
  </si>
  <si>
    <t>*MAV041001198</t>
  </si>
  <si>
    <t>*MAV041101292</t>
  </si>
  <si>
    <t>*MAV280901419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</si>
  <si>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</si>
  <si>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</si>
  <si>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</si>
  <si>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</si>
  <si>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</si>
  <si>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</si>
  <si>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</si>
  <si>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</si>
  <si>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</si>
  <si>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</si>
  <si>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</si>
  <si>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</si>
  <si>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</si>
  <si>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</si>
  <si>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</si>
  <si>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</si>
  <si>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</si>
  <si>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</si>
  <si>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</si>
  <si>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</si>
  <si>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</si>
  <si>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</si>
  <si>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</si>
  <si>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</si>
  <si>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</si>
  <si>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</si>
  <si>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</si>
  <si>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</si>
  <si>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</si>
  <si>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</si>
  <si>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</si>
  <si>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</si>
  <si>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</si>
  <si>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</si>
  <si>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</si>
  <si>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</si>
  <si>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</si>
  <si>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</si>
  <si>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</si>
  <si>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</si>
  <si>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</si>
  <si>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</si>
  <si>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</si>
  <si>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</si>
  <si>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</si>
  <si>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</si>
  <si>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</si>
  <si>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</si>
  <si>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</si>
  <si>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</si>
  <si>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</si>
  <si>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</si>
  <si>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</si>
  <si>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</si>
  <si>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</si>
  <si>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</si>
  <si>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</si>
  <si>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*MAV250901852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</si>
  <si>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</si>
  <si>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</si>
  <si>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</si>
  <si>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</si>
  <si>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</si>
  <si>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</si>
  <si>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</si>
  <si>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</si>
  <si>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</si>
  <si>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</si>
  <si>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</si>
  <si>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</si>
  <si>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</si>
  <si>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</si>
  <si>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</si>
  <si>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</si>
  <si>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</si>
  <si>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</si>
  <si>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</si>
  <si>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</si>
  <si>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</si>
  <si>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</si>
  <si>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</si>
  <si>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</si>
  <si>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</si>
  <si>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</si>
  <si>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</si>
  <si>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</si>
  <si>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</si>
  <si>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</si>
  <si>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</si>
  <si>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</si>
  <si>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</si>
  <si>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</si>
  <si>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</si>
  <si>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</si>
  <si>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</si>
  <si>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</si>
  <si>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</si>
  <si>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</si>
  <si>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</si>
  <si>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</si>
  <si>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</si>
  <si>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</si>
  <si>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</si>
  <si>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</si>
  <si>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</si>
  <si>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</si>
  <si>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</si>
  <si>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</si>
  <si>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</si>
  <si>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</si>
  <si>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</si>
  <si>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</si>
  <si>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</si>
  <si>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</si>
  <si>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</si>
  <si>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</si>
  <si>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</si>
  <si>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Transportes Gral Bartolome Mitre S R L</t>
  </si>
  <si>
    <t>MAFER DISTRIBUIDORA SA</t>
  </si>
  <si>
    <t>CEIBO CREDITOS S.A.</t>
  </si>
  <si>
    <t>Pago ACDI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</si>
  <si>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</si>
  <si>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</si>
  <si>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</si>
  <si>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</si>
  <si>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</si>
  <si>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</si>
  <si>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</si>
  <si>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</si>
  <si>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</si>
  <si>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</si>
  <si>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</si>
  <si>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%CP1021000001</t>
  </si>
  <si>
    <t>%CP1021000002</t>
  </si>
  <si>
    <t>%CP1021000003</t>
  </si>
  <si>
    <t>*MAV101001760</t>
  </si>
  <si>
    <t>*MAV101101917</t>
  </si>
  <si>
    <t>BNA</t>
  </si>
  <si>
    <t>*MAV051201431</t>
  </si>
  <si>
    <t>*MAV071200914</t>
  </si>
  <si>
    <t>*MAV260301221</t>
  </si>
  <si>
    <t>31/03/2027</t>
  </si>
  <si>
    <t>*MAV121201626</t>
  </si>
  <si>
    <t>*MAV131002039</t>
  </si>
  <si>
    <t>*MAV141001878</t>
  </si>
  <si>
    <t>*MAV151201891</t>
  </si>
  <si>
    <t>*MAV021201329</t>
  </si>
  <si>
    <t>*MAV101201524</t>
  </si>
  <si>
    <t>*MAV301102026</t>
  </si>
  <si>
    <t>*MAV041201055</t>
  </si>
  <si>
    <t>*MAV131002046</t>
  </si>
  <si>
    <t>*MAV191001161</t>
  </si>
  <si>
    <t>*MAV231001589</t>
  </si>
  <si>
    <t>*MAV011001553</t>
  </si>
  <si>
    <t>*MAV021001525</t>
  </si>
  <si>
    <t>*MAV051001506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</si>
  <si>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</si>
  <si>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</si>
  <si>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</si>
  <si>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</si>
  <si>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</si>
  <si>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</si>
  <si>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</si>
  <si>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</si>
  <si>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</si>
  <si>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</si>
  <si>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</si>
  <si>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</si>
  <si>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</si>
  <si>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</si>
  <si>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</si>
  <si>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</si>
  <si>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</si>
  <si>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</si>
  <si>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</si>
  <si>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*MAV161001554</t>
  </si>
  <si>
    <t>*MAV011001556</t>
  </si>
  <si>
    <t>*MAV021001539</t>
  </si>
  <si>
    <t>*MAV021101082</t>
  </si>
  <si>
    <t>*MAV021201333</t>
  </si>
  <si>
    <t>*MAV011101293</t>
  </si>
  <si>
    <t>*MAV011101294</t>
  </si>
  <si>
    <t>*MAV061001679</t>
  </si>
  <si>
    <t>*MAV111001069</t>
  </si>
  <si>
    <t>*MAV011001555</t>
  </si>
  <si>
    <t>*MAV101101936</t>
  </si>
  <si>
    <t>*MAV161001553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</si>
  <si>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</si>
  <si>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</si>
  <si>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</si>
  <si>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</si>
  <si>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</si>
  <si>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</si>
  <si>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</si>
  <si>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</si>
  <si>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*MAV091001794</t>
  </si>
  <si>
    <t>*MAV091101071</t>
  </si>
  <si>
    <t>*MAV271001597</t>
  </si>
  <si>
    <t>*MAV031001452</t>
  </si>
  <si>
    <t>*MAV201001928</t>
  </si>
  <si>
    <t>*MAV121001149</t>
  </si>
  <si>
    <t>*MAV221001360</t>
  </si>
  <si>
    <t>*MAV021001538</t>
  </si>
  <si>
    <t>*MAV251101770</t>
  </si>
  <si>
    <t>*MAV021101081</t>
  </si>
  <si>
    <t>*MAV101001773</t>
  </si>
  <si>
    <t>*MAV121101478</t>
  </si>
  <si>
    <t>*MAV281001510</t>
  </si>
  <si>
    <t>*MAV290901746</t>
  </si>
  <si>
    <t>*MAV281101527</t>
  </si>
  <si>
    <t>*MAV031001451</t>
  </si>
  <si>
    <t>MADERAS SAN BLAS SRL</t>
  </si>
  <si>
    <t>DENITA MADERAS S R L</t>
  </si>
  <si>
    <t>IDERO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</si>
  <si>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</si>
  <si>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</si>
  <si>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</si>
  <si>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</si>
  <si>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</si>
  <si>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</si>
  <si>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ARQUINERING SRL</t>
  </si>
  <si>
    <t>BEROLI SAS</t>
  </si>
  <si>
    <t>BGL CARGO Y LOGISTICA SRL</t>
  </si>
  <si>
    <t>EPU VISION SA</t>
  </si>
  <si>
    <t>SANTA LETICIA SA</t>
  </si>
  <si>
    <t>TECNOMADERA SRL</t>
  </si>
  <si>
    <t>TRAYECTO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</si>
  <si>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</si>
  <si>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</si>
  <si>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</si>
  <si>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</si>
  <si>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</si>
  <si>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</si>
  <si>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</si>
  <si>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</si>
  <si>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*MAV260901568</t>
  </si>
  <si>
    <t>*MAV101201538</t>
  </si>
  <si>
    <t>*MAV071200929</t>
  </si>
  <si>
    <t>*MAV091101079</t>
  </si>
  <si>
    <t>*MAV091201510</t>
  </si>
  <si>
    <t>*MAV101101947</t>
  </si>
  <si>
    <t>*MAV091101078</t>
  </si>
  <si>
    <t>*MAV021001541</t>
  </si>
  <si>
    <t>*MAV271001599</t>
  </si>
  <si>
    <t>*MAV051001515</t>
  </si>
  <si>
    <t>*MAV061001682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</si>
  <si>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</si>
  <si>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</si>
  <si>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</si>
  <si>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</si>
  <si>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</si>
  <si>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</si>
  <si>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</si>
  <si>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</si>
  <si>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*MAV141001911</t>
  </si>
  <si>
    <t>*MAV121001157</t>
  </si>
  <si>
    <t>*MAV131002089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</si>
  <si>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</si>
  <si>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</si>
  <si>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</si>
  <si>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</si>
  <si>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</si>
  <si>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</si>
  <si>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</si>
  <si>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</si>
  <si>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</si>
  <si>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</si>
  <si>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</si>
  <si>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</si>
  <si>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</si>
  <si>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</si>
  <si>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</si>
  <si>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</si>
  <si>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</si>
  <si>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</si>
  <si>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</si>
  <si>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</si>
  <si>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</si>
  <si>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</si>
  <si>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</si>
  <si>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</si>
  <si>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</si>
  <si>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</si>
  <si>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</si>
  <si>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</si>
  <si>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</si>
  <si>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</si>
  <si>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</si>
  <si>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</si>
  <si>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</si>
  <si>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</si>
  <si>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</si>
  <si>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</si>
  <si>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</si>
  <si>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*MAV161001582</t>
  </si>
  <si>
    <t>*MAV251101792</t>
  </si>
  <si>
    <t>*MAV051101301</t>
  </si>
  <si>
    <t>*MAV031001464</t>
  </si>
  <si>
    <t>*MAV301001802</t>
  </si>
  <si>
    <t>*MAV281001531</t>
  </si>
  <si>
    <t>*MAV201101615</t>
  </si>
  <si>
    <t>*MAV181101391</t>
  </si>
  <si>
    <t>*MAV261101251</t>
  </si>
  <si>
    <t>*MAV241101428</t>
  </si>
  <si>
    <t>*MAV031001463</t>
  </si>
  <si>
    <t>*MAV171001550</t>
  </si>
  <si>
    <t>*MAV101001813</t>
  </si>
  <si>
    <t>*MAV311001877</t>
  </si>
  <si>
    <t>*MAV101001812</t>
  </si>
  <si>
    <t>*MAV061001704</t>
  </si>
  <si>
    <t>*MAV271001608</t>
  </si>
  <si>
    <t>*MAV041101371</t>
  </si>
  <si>
    <t>*MAV071001619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</si>
  <si>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</si>
  <si>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</si>
  <si>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</si>
  <si>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</si>
  <si>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</si>
  <si>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</si>
  <si>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</si>
  <si>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</si>
  <si>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</si>
  <si>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</si>
  <si>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</si>
  <si>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</si>
  <si>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</si>
  <si>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</si>
  <si>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</si>
  <si>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</si>
  <si>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</si>
  <si>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</si>
  <si>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</si>
  <si>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</si>
  <si>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*MAV121001166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</si>
  <si>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</si>
  <si>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</si>
  <si>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</si>
  <si>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</si>
  <si>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</si>
  <si>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</si>
  <si>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</si>
  <si>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</si>
  <si>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</si>
  <si>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</si>
  <si>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</si>
  <si>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</si>
  <si>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</si>
  <si>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</si>
  <si>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*MAV111001075</t>
  </si>
  <si>
    <t>*MAV100301603</t>
  </si>
  <si>
    <t>12/03/2027</t>
  </si>
  <si>
    <t>*MAV080200769</t>
  </si>
  <si>
    <t>*MAV090101198</t>
  </si>
  <si>
    <t>*MAV061101273</t>
  </si>
  <si>
    <t>*MAV111001073</t>
  </si>
  <si>
    <t>*MAV111101516</t>
  </si>
  <si>
    <t>*MAV111201339</t>
  </si>
  <si>
    <t>*MAV110100936</t>
  </si>
  <si>
    <t>*MAV110301337</t>
  </si>
  <si>
    <t>*MAV110201007</t>
  </si>
  <si>
    <t>*MAV141201220</t>
  </si>
  <si>
    <t>*MAV141001927</t>
  </si>
  <si>
    <t>*MAV141101582</t>
  </si>
  <si>
    <t>*MAV171101507</t>
  </si>
  <si>
    <t>*MAV030301176</t>
  </si>
  <si>
    <t>05/03/2027</t>
  </si>
  <si>
    <t>*MAV250901938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</si>
  <si>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</si>
  <si>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</si>
  <si>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</si>
  <si>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</si>
  <si>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</si>
  <si>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</si>
  <si>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</si>
  <si>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</si>
  <si>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</si>
  <si>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*MAV141001928</t>
  </si>
  <si>
    <t>*MAV140101234</t>
  </si>
  <si>
    <t>*MAV141101583</t>
  </si>
  <si>
    <t>*MAV140201268</t>
  </si>
  <si>
    <t>*MAV101201560</t>
  </si>
  <si>
    <t>*MAV101101979</t>
  </si>
  <si>
    <t>*MAV151001909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</si>
  <si>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</si>
  <si>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</si>
  <si>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</si>
  <si>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</si>
  <si>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</si>
  <si>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</si>
  <si>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</si>
  <si>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</si>
  <si>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</si>
  <si>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</si>
  <si>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</si>
  <si>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</si>
  <si>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</si>
  <si>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</si>
  <si>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</si>
  <si>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</si>
  <si>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</si>
  <si>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</si>
  <si>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</si>
  <si>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VILLALBA ZALAZAR SEBASTIAN EDUARDO</t>
  </si>
  <si>
    <t>RIVERSIDE AGENCY SAC</t>
  </si>
  <si>
    <t>HERSAPEL SRL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</si>
  <si>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</si>
  <si>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</si>
  <si>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</si>
  <si>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</si>
  <si>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</si>
  <si>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</si>
  <si>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</si>
  <si>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</si>
  <si>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</si>
  <si>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</si>
  <si>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</si>
  <si>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</si>
  <si>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</si>
  <si>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</si>
  <si>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</si>
  <si>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</si>
  <si>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</si>
  <si>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</si>
  <si>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</si>
  <si>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</si>
  <si>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</si>
  <si>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</si>
  <si>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</si>
  <si>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</si>
  <si>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</si>
  <si>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</si>
  <si>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</si>
  <si>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</si>
  <si>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</si>
  <si>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</si>
  <si>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</si>
  <si>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</si>
  <si>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</si>
  <si>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</si>
  <si>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</si>
  <si>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%CP1260900001</t>
  </si>
  <si>
    <t>%CP1011000001</t>
  </si>
  <si>
    <t>%CP1021000004</t>
  </si>
  <si>
    <t>*MAV311201148</t>
  </si>
  <si>
    <t>*MAV251200472</t>
  </si>
  <si>
    <t>*MAV141201221</t>
  </si>
  <si>
    <t>*MAV131101350</t>
  </si>
  <si>
    <t>*MAV171101506</t>
  </si>
  <si>
    <t>*MAV161001597</t>
  </si>
  <si>
    <t>*MAV021001569</t>
  </si>
  <si>
    <t>*MAV031101509</t>
  </si>
  <si>
    <t>*MAV181101398</t>
  </si>
  <si>
    <t>*MAV161001600</t>
  </si>
  <si>
    <t>*MAV101101988</t>
  </si>
  <si>
    <t>*MAV101001819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</si>
  <si>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</si>
  <si>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</si>
  <si>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</si>
  <si>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</si>
  <si>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</si>
  <si>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</si>
  <si>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</si>
  <si>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</si>
  <si>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</si>
  <si>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</si>
  <si>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</si>
  <si>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</si>
  <si>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</si>
  <si>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</si>
  <si>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</si>
  <si>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</si>
  <si>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</si>
  <si>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</si>
  <si>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</si>
  <si>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</si>
  <si>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</si>
  <si>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</si>
  <si>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</si>
  <si>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</si>
  <si>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</si>
  <si>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</si>
  <si>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</si>
  <si>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</si>
  <si>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</si>
  <si>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</si>
  <si>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</si>
  <si>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</si>
  <si>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</si>
  <si>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</si>
  <si>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</si>
  <si>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*CVA151000022</t>
  </si>
  <si>
    <t>%UON201000003</t>
  </si>
  <si>
    <t>%UON201000002</t>
  </si>
  <si>
    <t>%UON101000001</t>
  </si>
  <si>
    <t>%UON250900001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</si>
  <si>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</si>
  <si>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</si>
  <si>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</si>
  <si>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</si>
  <si>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</si>
  <si>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</si>
  <si>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</si>
  <si>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</si>
  <si>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</si>
  <si>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</si>
  <si>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</si>
  <si>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</si>
  <si>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</si>
  <si>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</si>
  <si>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</si>
  <si>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</si>
  <si>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</si>
  <si>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</si>
  <si>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</si>
  <si>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</si>
  <si>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</si>
  <si>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</si>
  <si>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</si>
  <si>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</si>
  <si>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</si>
  <si>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</si>
  <si>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</si>
  <si>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</si>
  <si>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</si>
  <si>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</si>
  <si>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</si>
  <si>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</si>
  <si>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</si>
  <si>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</si>
  <si>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</si>
  <si>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</si>
  <si>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</si>
  <si>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</si>
  <si>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</si>
  <si>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*MAV141001961</t>
  </si>
  <si>
    <t>*MAV021101117</t>
  </si>
  <si>
    <t>*MAV071001637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</si>
  <si>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</si>
  <si>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</si>
  <si>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</si>
  <si>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</si>
  <si>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</si>
  <si>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</si>
  <si>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</si>
  <si>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</si>
  <si>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</si>
  <si>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</si>
  <si>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</si>
  <si>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</si>
  <si>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</si>
  <si>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</si>
  <si>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</si>
  <si>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</si>
  <si>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</si>
  <si>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</si>
  <si>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</si>
  <si>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</si>
  <si>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</si>
  <si>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</si>
  <si>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</si>
  <si>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</si>
  <si>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</si>
  <si>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</si>
  <si>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</si>
  <si>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</si>
  <si>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</si>
  <si>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</si>
  <si>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%UZV041000001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</si>
  <si>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</si>
  <si>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</si>
  <si>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</si>
  <si>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</si>
  <si>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</si>
  <si>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</si>
  <si>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</si>
  <si>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</si>
  <si>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</si>
  <si>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</si>
  <si>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</si>
  <si>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</si>
  <si>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</si>
  <si>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</si>
  <si>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</si>
  <si>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</si>
  <si>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</si>
  <si>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</si>
  <si>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</si>
  <si>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</si>
  <si>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</si>
  <si>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</si>
  <si>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</si>
  <si>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</si>
  <si>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</si>
  <si>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</si>
  <si>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</si>
  <si>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</si>
  <si>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</si>
  <si>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</si>
  <si>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</si>
  <si>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</si>
  <si>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</si>
  <si>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</si>
  <si>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</si>
  <si>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</si>
  <si>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</si>
  <si>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</si>
  <si>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*CVA161000021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</si>
  <si>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</si>
  <si>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</si>
  <si>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</si>
  <si>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</si>
  <si>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</si>
  <si>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</si>
  <si>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</si>
  <si>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</si>
  <si>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</si>
  <si>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</si>
  <si>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</si>
  <si>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</si>
  <si>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</si>
  <si>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</si>
  <si>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</si>
  <si>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</si>
  <si>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</si>
  <si>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</si>
  <si>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</si>
  <si>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</si>
  <si>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</si>
  <si>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</si>
  <si>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</si>
  <si>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</si>
  <si>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</si>
  <si>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</si>
  <si>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</si>
  <si>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</si>
  <si>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</si>
  <si>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</si>
  <si>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</si>
  <si>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</si>
  <si>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</si>
  <si>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</si>
  <si>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</si>
  <si>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</si>
  <si>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</si>
  <si>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</si>
  <si>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</si>
  <si>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</si>
  <si>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</si>
  <si>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</si>
  <si>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</si>
  <si>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*MAV300903071</t>
  </si>
  <si>
    <t>*MAV280901563</t>
  </si>
  <si>
    <t>*MAV260901605</t>
  </si>
  <si>
    <t>*MAV260901604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</si>
  <si>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</si>
  <si>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</si>
  <si>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</si>
  <si>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</si>
  <si>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</si>
  <si>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</si>
  <si>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</si>
  <si>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</si>
  <si>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</si>
  <si>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</si>
  <si>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</si>
  <si>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</si>
  <si>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</si>
  <si>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</si>
  <si>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</si>
  <si>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</si>
  <si>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</si>
  <si>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</si>
  <si>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</si>
  <si>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</si>
  <si>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</si>
  <si>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</si>
  <si>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</si>
  <si>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</si>
  <si>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</si>
  <si>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</si>
  <si>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</si>
  <si>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</si>
  <si>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</si>
  <si>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</si>
  <si>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</si>
  <si>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</si>
  <si>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</si>
  <si>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*MAV021001625</t>
  </si>
  <si>
    <t>*MAV021001626</t>
  </si>
  <si>
    <t>*MAV021001627</t>
  </si>
  <si>
    <t>*MAV021001628</t>
  </si>
  <si>
    <t>*MAV021001629</t>
  </si>
  <si>
    <t>*MAV021001630</t>
  </si>
  <si>
    <t>*MAV021001631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</si>
  <si>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</si>
  <si>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</si>
  <si>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</si>
  <si>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</si>
  <si>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</si>
  <si>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</si>
  <si>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</si>
  <si>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</si>
  <si>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</si>
  <si>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</si>
  <si>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</si>
  <si>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</si>
  <si>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</si>
  <si>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</si>
  <si>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</si>
  <si>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</si>
  <si>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</si>
  <si>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</si>
  <si>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</si>
  <si>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</si>
  <si>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LOGISTICA MARANATHA SAS</t>
  </si>
  <si>
    <t>SISFRIENDS SA</t>
  </si>
  <si>
    <t>MAGALLANES MIGUEL ANGEL</t>
  </si>
  <si>
    <t>LOSLOQUE SRL</t>
  </si>
  <si>
    <t>LIBRERIA SAN PABLO S.R.L</t>
  </si>
  <si>
    <t>FILOSHEN SA</t>
  </si>
  <si>
    <t>ENRIQUE REYES SA</t>
  </si>
  <si>
    <t>Caucion BYMA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</si>
  <si>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</si>
  <si>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</si>
  <si>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</si>
  <si>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</si>
  <si>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</si>
  <si>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</si>
  <si>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</si>
  <si>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</si>
  <si>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</si>
  <si>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</si>
  <si>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</si>
  <si>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</si>
  <si>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</si>
  <si>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</si>
  <si>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</si>
  <si>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</si>
  <si>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</si>
  <si>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</si>
  <si>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</si>
  <si>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</si>
  <si>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</si>
  <si>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</si>
  <si>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</si>
  <si>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</si>
  <si>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</si>
  <si>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</si>
  <si>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</si>
  <si>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</si>
  <si>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</si>
  <si>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</si>
  <si>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</si>
  <si>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</si>
  <si>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</si>
  <si>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</si>
  <si>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</si>
  <si>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</si>
  <si>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*MAV031001491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</si>
  <si>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</si>
  <si>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</si>
  <si>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</si>
  <si>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</si>
  <si>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</si>
  <si>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</si>
  <si>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</si>
  <si>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</si>
  <si>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</si>
  <si>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</si>
  <si>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</si>
  <si>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</si>
  <si>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</si>
  <si>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</si>
  <si>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</si>
  <si>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</si>
  <si>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*MAV151001979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</si>
  <si>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</si>
  <si>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</si>
  <si>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</si>
  <si>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</si>
  <si>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</si>
  <si>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</si>
  <si>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</si>
  <si>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</si>
  <si>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</si>
  <si>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</si>
  <si>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</si>
  <si>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</si>
  <si>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</si>
  <si>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%UZV121000001</t>
  </si>
  <si>
    <t>OTA SOLUCIONES SAS</t>
  </si>
  <si>
    <t>SERVICIOS VERTUA S.A.</t>
  </si>
  <si>
    <t>GUAYACAN DE ANTA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</si>
  <si>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</si>
  <si>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</si>
  <si>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</si>
  <si>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</si>
  <si>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</si>
  <si>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</si>
  <si>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</si>
  <si>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</si>
  <si>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</si>
  <si>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</si>
  <si>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</si>
  <si>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</si>
  <si>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</si>
  <si>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</si>
  <si>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</si>
  <si>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</si>
  <si>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</si>
  <si>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</si>
  <si>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</si>
  <si>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</si>
  <si>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</si>
  <si>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</si>
  <si>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</si>
  <si>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</si>
  <si>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</si>
  <si>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</si>
  <si>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</si>
  <si>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</si>
  <si>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</si>
  <si>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</si>
  <si>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</si>
  <si>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</si>
  <si>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</si>
  <si>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</si>
  <si>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</si>
  <si>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</si>
  <si>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</si>
  <si>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</si>
  <si>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</si>
  <si>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</si>
  <si>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</si>
  <si>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*MIL131000030</t>
  </si>
  <si>
    <t>*MIL131100042</t>
  </si>
  <si>
    <t>*MIL141000033</t>
  </si>
  <si>
    <t>*MIL161000040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</si>
  <si>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</si>
  <si>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</si>
  <si>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</si>
  <si>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</si>
  <si>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</si>
  <si>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</si>
  <si>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</si>
  <si>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</si>
  <si>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</si>
  <si>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</si>
  <si>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</si>
  <si>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</si>
  <si>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</si>
  <si>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</si>
  <si>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</si>
  <si>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</si>
  <si>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</si>
  <si>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</si>
  <si>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</si>
  <si>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</si>
  <si>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</si>
  <si>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</si>
  <si>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*AFB151000025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</si>
  <si>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</si>
  <si>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</si>
  <si>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</si>
  <si>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</si>
  <si>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</si>
  <si>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</si>
  <si>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</si>
  <si>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</si>
  <si>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</si>
  <si>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</si>
  <si>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</si>
  <si>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</si>
  <si>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</si>
  <si>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</si>
  <si>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</si>
  <si>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</si>
  <si>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</si>
  <si>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</si>
  <si>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</si>
  <si>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</si>
  <si>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</si>
  <si>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</si>
  <si>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</si>
  <si>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</si>
  <si>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</si>
  <si>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</si>
  <si>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</si>
  <si>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</si>
  <si>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</si>
  <si>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</si>
  <si>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</si>
  <si>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</si>
  <si>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</si>
  <si>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</si>
  <si>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</si>
  <si>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</si>
  <si>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</si>
  <si>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</si>
  <si>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</si>
  <si>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</si>
  <si>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</si>
  <si>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</si>
  <si>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</si>
  <si>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</si>
  <si>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</si>
  <si>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</si>
  <si>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</si>
  <si>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</si>
  <si>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</si>
  <si>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</si>
  <si>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</si>
  <si>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</si>
  <si>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</si>
  <si>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</si>
  <si>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</si>
  <si>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</si>
  <si>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</si>
  <si>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</si>
  <si>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</si>
  <si>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</si>
  <si>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</si>
  <si>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</si>
  <si>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</si>
  <si>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</si>
  <si>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</si>
  <si>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</si>
  <si>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</si>
  <si>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</si>
  <si>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</si>
  <si>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</si>
  <si>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</si>
  <si>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</si>
  <si>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</si>
  <si>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</si>
  <si>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</si>
  <si>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</si>
  <si>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</si>
  <si>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</si>
  <si>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</si>
  <si>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</si>
  <si>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</si>
  <si>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</si>
  <si>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</si>
  <si>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</si>
  <si>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</si>
  <si>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</si>
  <si>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</si>
  <si>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</si>
  <si>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</si>
  <si>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</si>
  <si>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</si>
  <si>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</si>
  <si>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</si>
  <si>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</si>
  <si>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</si>
  <si>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</si>
  <si>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</si>
  <si>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</si>
  <si>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</si>
  <si>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</si>
  <si>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</si>
  <si>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</si>
  <si>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</si>
  <si>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</si>
  <si>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</si>
  <si>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</si>
  <si>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</si>
  <si>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</si>
  <si>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</si>
  <si>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</si>
  <si>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</si>
  <si>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</si>
  <si>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</si>
  <si>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</si>
  <si>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</si>
  <si>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</si>
  <si>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</si>
  <si>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*TRD131000025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</si>
  <si>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</si>
  <si>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</si>
  <si>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</si>
  <si>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</si>
  <si>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</si>
  <si>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</si>
  <si>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</si>
  <si>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</si>
  <si>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</si>
  <si>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</si>
  <si>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</si>
  <si>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</si>
  <si>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*MAV071001678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</si>
  <si>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</si>
  <si>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</si>
  <si>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</si>
  <si>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</si>
  <si>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</si>
  <si>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</si>
  <si>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</si>
  <si>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</si>
  <si>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</si>
  <si>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</si>
  <si>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</si>
  <si>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</si>
  <si>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</si>
  <si>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</si>
  <si>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</si>
  <si>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</si>
  <si>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</si>
  <si>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</si>
  <si>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</si>
  <si>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</si>
  <si>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</si>
  <si>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</si>
  <si>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</si>
  <si>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</si>
  <si>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</si>
  <si>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</si>
  <si>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</si>
  <si>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</si>
  <si>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</si>
  <si>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</si>
  <si>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</si>
  <si>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</si>
  <si>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</si>
  <si>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</si>
  <si>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</si>
  <si>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*MAV081001595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</si>
  <si>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</si>
  <si>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</si>
  <si>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</si>
  <si>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</si>
  <si>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</si>
  <si>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</si>
  <si>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</si>
  <si>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</si>
  <si>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</si>
  <si>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</si>
  <si>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</si>
  <si>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</si>
  <si>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</si>
  <si>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</si>
  <si>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</si>
  <si>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</si>
  <si>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</si>
  <si>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</si>
  <si>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</si>
  <si>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</si>
  <si>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</si>
  <si>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</si>
  <si>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</si>
  <si>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</si>
  <si>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*MAV151002022</t>
  </si>
  <si>
    <t>*MAV161001737</t>
  </si>
  <si>
    <t>*MAV101102045</t>
  </si>
  <si>
    <t>*MAV011001663</t>
  </si>
  <si>
    <t>*MAV261001339</t>
  </si>
  <si>
    <t>AGROTECNOLOGIA Y SERVICIOS SA</t>
  </si>
  <si>
    <t>PELLISA S.A.S.</t>
  </si>
  <si>
    <t>SILVIA LOMBARDI SRL</t>
  </si>
  <si>
    <t>COSECHAR SA</t>
  </si>
  <si>
    <t>ZENI LIZ ESTEFANIA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</si>
  <si>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</si>
  <si>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</si>
  <si>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</si>
  <si>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</si>
  <si>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</si>
  <si>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</si>
  <si>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</si>
  <si>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SODA MONICA SRL</t>
  </si>
  <si>
    <t>*INP280200088</t>
  </si>
  <si>
    <t>*INP260200084</t>
  </si>
  <si>
    <t>NOVA211000005</t>
  </si>
  <si>
    <t>NOVA161000005</t>
  </si>
  <si>
    <t>NOVA141000008</t>
  </si>
  <si>
    <t>*INP170300062</t>
  </si>
  <si>
    <t>*NIO191000027</t>
  </si>
  <si>
    <t>*NIO191000028</t>
  </si>
  <si>
    <t>*NIO121100033</t>
  </si>
  <si>
    <t>*NIO131000026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</si>
  <si>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</si>
  <si>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</si>
  <si>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</si>
  <si>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</si>
  <si>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</si>
  <si>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</si>
  <si>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</si>
  <si>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</si>
  <si>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</si>
  <si>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</si>
  <si>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</si>
  <si>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</si>
  <si>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</si>
  <si>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</si>
  <si>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</si>
  <si>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</si>
  <si>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</si>
  <si>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</si>
  <si>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</si>
  <si>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</si>
  <si>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</si>
  <si>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*MAV101001927</t>
  </si>
  <si>
    <t>*MAV211001691</t>
  </si>
  <si>
    <t>*MAV031001514</t>
  </si>
  <si>
    <t>*MAV171001609</t>
  </si>
  <si>
    <t>*MAV231101039</t>
  </si>
  <si>
    <t>*MAV221201349</t>
  </si>
  <si>
    <t>*MAV230101228</t>
  </si>
  <si>
    <t>*MAV101102059</t>
  </si>
  <si>
    <t>*MAV021001704</t>
  </si>
  <si>
    <t>*MAV061001767</t>
  </si>
  <si>
    <t>*MAV071001693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</si>
  <si>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</si>
  <si>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</si>
  <si>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</si>
  <si>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</si>
  <si>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</si>
  <si>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</si>
  <si>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</si>
  <si>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</si>
  <si>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</si>
  <si>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</si>
  <si>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*PRO151000028</t>
  </si>
  <si>
    <t>*PRO151000029</t>
  </si>
  <si>
    <t>*PRO151000031</t>
  </si>
  <si>
    <t>*PRO161000021</t>
  </si>
  <si>
    <t>*PRO171000012</t>
  </si>
  <si>
    <t>*PRO171000013</t>
  </si>
  <si>
    <t>*PRO201000030</t>
  </si>
  <si>
    <t>*PRO201000031</t>
  </si>
  <si>
    <t>*PRO101000025</t>
  </si>
  <si>
    <t>*PRO141000017</t>
  </si>
  <si>
    <t>*PRO151000030</t>
  </si>
  <si>
    <t>*PRO101000024</t>
  </si>
  <si>
    <t>%CP1011000002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</si>
  <si>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</si>
  <si>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</si>
  <si>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</si>
  <si>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</si>
  <si>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</si>
  <si>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</si>
  <si>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</si>
  <si>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</si>
  <si>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CANTERAS EL ALTO S.R.L.</t>
  </si>
  <si>
    <t>PERALTA CLAUDIO SANTIAGO</t>
  </si>
  <si>
    <t>TRANSPORTE OTLA SAS</t>
  </si>
  <si>
    <t>CALATRONI LEONARDO JAVIER</t>
  </si>
  <si>
    <t>DROGUERIA GARZON SA</t>
  </si>
  <si>
    <t>DROGUERIA DISVAL S R L</t>
  </si>
  <si>
    <t>*TRD191000033</t>
  </si>
  <si>
    <t>*TRD141000160</t>
  </si>
  <si>
    <t>*TRD021100027</t>
  </si>
  <si>
    <t>*TRD161000048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</si>
  <si>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</si>
  <si>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</si>
  <si>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</si>
  <si>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</si>
  <si>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</si>
  <si>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</si>
  <si>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</si>
  <si>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*NEU161000032</t>
  </si>
  <si>
    <t>*NEU191100020</t>
  </si>
  <si>
    <t>*NEU241100028</t>
  </si>
  <si>
    <t>*NEU101000053</t>
  </si>
  <si>
    <t>*NEU121000016</t>
  </si>
  <si>
    <t>*NEU111100019</t>
  </si>
  <si>
    <t>*NEU141000036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</si>
  <si>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</si>
  <si>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</si>
  <si>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</si>
  <si>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</si>
  <si>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</si>
  <si>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</si>
  <si>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</si>
  <si>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</si>
  <si>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</si>
  <si>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</si>
  <si>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*TRD101000043</t>
  </si>
  <si>
    <t>*TRD161000049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</si>
  <si>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</si>
  <si>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</si>
  <si>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</si>
  <si>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</si>
  <si>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</si>
  <si>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</si>
  <si>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</si>
  <si>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</si>
  <si>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</si>
  <si>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</si>
  <si>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</si>
  <si>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</si>
  <si>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</si>
  <si>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</si>
  <si>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</si>
  <si>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</si>
  <si>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</si>
  <si>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</si>
  <si>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</si>
  <si>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</si>
  <si>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</si>
  <si>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</si>
  <si>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</si>
  <si>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</si>
  <si>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</si>
  <si>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</si>
  <si>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</si>
  <si>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</si>
  <si>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</si>
  <si>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</si>
  <si>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</si>
  <si>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</si>
  <si>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</si>
  <si>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</si>
  <si>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</si>
  <si>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</si>
  <si>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</si>
  <si>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</si>
  <si>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</si>
  <si>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*MAV081001620</t>
  </si>
  <si>
    <t>*MAV121001237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</si>
  <si>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</si>
  <si>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</si>
  <si>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</si>
  <si>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</si>
  <si>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</si>
  <si>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</si>
  <si>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</si>
  <si>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</si>
  <si>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</si>
  <si>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</si>
  <si>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*MAV081001619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</si>
  <si>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</si>
  <si>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</si>
  <si>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</si>
  <si>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</si>
  <si>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</si>
  <si>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</si>
  <si>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</si>
  <si>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</si>
  <si>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*MAV011001723</t>
  </si>
  <si>
    <t>*MAV091001993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</si>
  <si>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</si>
  <si>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</si>
  <si>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</si>
  <si>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</si>
  <si>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</si>
  <si>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</si>
  <si>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</si>
  <si>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</si>
  <si>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</si>
  <si>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</si>
  <si>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LEIVA HERMANOS SA</t>
  </si>
  <si>
    <t>VALTOR SA</t>
  </si>
  <si>
    <t>BELLUNO BIM SRL</t>
  </si>
  <si>
    <t>CARPAS D ANGIOLA SRL</t>
  </si>
  <si>
    <t>ENJONOR SA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</si>
  <si>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</si>
  <si>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</si>
  <si>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</si>
  <si>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</si>
  <si>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</si>
  <si>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</si>
  <si>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1 BNA = 1544,9999783700 $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</si>
  <si>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</si>
  <si>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</si>
  <si>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</si>
  <si>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</si>
  <si>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</si>
  <si>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</si>
  <si>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</si>
  <si>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</si>
  <si>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</si>
  <si>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</si>
  <si>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</si>
  <si>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</si>
  <si>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</si>
  <si>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</si>
  <si>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</si>
  <si>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</si>
  <si>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</si>
  <si>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</si>
  <si>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</si>
  <si>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</si>
  <si>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</si>
  <si>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</si>
  <si>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*MAV041001276</t>
  </si>
  <si>
    <t>*MAV041001275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</si>
  <si>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</si>
  <si>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</si>
  <si>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</si>
  <si>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</si>
  <si>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</si>
  <si>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</si>
  <si>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</si>
  <si>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</si>
  <si>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</si>
  <si>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</si>
  <si>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</si>
  <si>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</si>
  <si>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</si>
  <si>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</si>
  <si>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</si>
  <si>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</si>
  <si>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</si>
  <si>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</si>
  <si>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</si>
  <si>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</si>
  <si>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</si>
  <si>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HV COLON SA</t>
  </si>
  <si>
    <t>KOMPASS SRL</t>
  </si>
  <si>
    <t>WTS DEL SUR SRL</t>
  </si>
  <si>
    <t>Límite</t>
  </si>
  <si>
    <t>Diferencia</t>
  </si>
  <si>
    <t>Máximo librador</t>
  </si>
  <si>
    <t>Conciliación T+1</t>
  </si>
  <si>
    <t>Conciliación Derivacion</t>
  </si>
  <si>
    <t>T+1 Ayer</t>
  </si>
  <si>
    <t>T+0 Hoy</t>
  </si>
  <si>
    <t>Liquidación</t>
  </si>
  <si>
    <t>Suma de Neto</t>
  </si>
  <si>
    <t>Operaciones</t>
  </si>
  <si>
    <t>30/9/2026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</si>
  <si>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10:05:46</t>
  </si>
  <si>
    <t xml:space="preserve">                                                                                                                Informe de Gestión al 29/9/2026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</si>
  <si>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</si>
  <si>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</si>
  <si>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</si>
  <si>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</si>
  <si>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</si>
  <si>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</si>
  <si>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</si>
  <si>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</si>
  <si>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</si>
  <si>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</si>
  <si>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</si>
  <si>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</si>
  <si>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</si>
  <si>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</si>
  <si>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</si>
  <si>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</si>
  <si>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</si>
  <si>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</si>
  <si>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</si>
  <si>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</si>
  <si>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</si>
  <si>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</si>
  <si>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</si>
  <si>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</si>
  <si>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</si>
  <si>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</si>
  <si>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</si>
  <si>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</si>
  <si>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</si>
  <si>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*MAV111001133</t>
  </si>
  <si>
    <t>*MAV111101617</t>
  </si>
  <si>
    <t>*MAV111201417</t>
  </si>
  <si>
    <t>*MAV121101610</t>
  </si>
  <si>
    <t>*MAV131002236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</si>
  <si>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</si>
  <si>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</si>
  <si>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</si>
  <si>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</si>
  <si>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</si>
  <si>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</si>
  <si>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</si>
  <si>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</si>
  <si>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</si>
  <si>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</si>
  <si>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</si>
  <si>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</si>
  <si>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 xml:space="preserve">La Duration del Fondo es de 6 días </t>
  </si>
  <si>
    <t>1 US3 = 1523,9697583441 $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</si>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</sst>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</numFmts>
  <fonts count="38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171" fontId="37" fillId="0" borderId="0" xfId="2" applyNumberFormat="1" applyFont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35" fillId="5" borderId="0" xfId="0" applyFont="1" applyFill="1" applyAlignment="1">
      <alignment horizontal="center"/>
    </xf>
    <xf numFmtId="0" fontId="0" fillId="0" borderId="23" xfId="0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7">
    <dxf>
      <numFmt numFmtId="183" formatCode="0.000%"/>
    </dxf>
    <dxf>
      <numFmt numFmtId="183" formatCode="0.000%"/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font>
        <color theme="1"/>
      </font>
      <fill>
        <patternFill patternType="solid">
          <fgColor indexed="64"/>
          <bgColor theme="0"/>
        </patternFill>
      </fill>
    </dxf>
    <dxf>
      <numFmt numFmtId="19" formatCode="d/m/yyyy"/>
      <fill>
        <patternFill patternType="solid">
          <fgColor indexed="64"/>
          <bgColor theme="0"/>
        </patternFill>
      </fill>
    </dxf>
    <dxf>
      <numFmt numFmtId="19" formatCode="d/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95.428508217592" createdVersion="8" refreshedVersion="8" recordCount="2548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880">
        <s v="PAPEZOPP S.A.S."/>
        <s v="TOYOS CASIMIRO FELIX E HIJOS"/>
        <s v="Casa Hutton SA"/>
        <s v="HENDEL HOGAR SA"/>
        <s v="TRANSPORTES C Y S 2011 SRL"/>
        <s v="TRAN SER SA"/>
        <s v="LOS GROBO SGR"/>
        <s v="GENERAC TECHNOLOGY MANAGEMENT"/>
        <s v="MILLS S.G.R."/>
        <s v="HARTMANN SA"/>
        <s v="EL CERRO SRL"/>
        <s v="AUTOPISTAS URBANAS SA"/>
        <s v="OBRAPLUS SA"/>
        <s v="BiBank S.A."/>
        <s v="GABRIELLI CARLOS MATIAS"/>
        <s v="MSVMUEBLERIA SAS"/>
        <s v="MERCADO DE LOS COLCHONES SA"/>
        <s v="C P S COMUNICACIONES S.A.U."/>
        <s v="TALLERES METALURGICOS CRUCIANELLI SA"/>
        <s v="A M F A Y S ASOCIACION MUTUAL"/>
        <s v="LIBRERIAS IMPULSO SAS"/>
        <s v="TEXTUM SA"/>
        <s v="CONTIMEDIOS S R L"/>
        <s v="SORBA S.R.L."/>
        <s v="CONSTRUCCIONES S&amp;C SAS"/>
        <s v="CONAVAL SGR"/>
        <s v="SOMOS INTEGRA SRL"/>
        <s v="Movil SGR"/>
        <s v="ESPECIALIDADES AGROPECUARIAS S.A."/>
        <s v="SERVICIOS DE PRODUCCIONES ARTISTICAS SRL"/>
        <s v="LOGISTICA MARANATHA SAS"/>
        <s v="SISFRIENDS SA"/>
        <s v="TECNOGRAFIC"/>
        <s v="ENRIQUE REYES SA"/>
        <s v="EL FIERRO SRL"/>
        <s v="PAMPA VIDA S.R.L."/>
        <s v="CFN SRL"/>
        <s v="Vinculos S.G.R."/>
        <s v="Fidus S.G.R."/>
        <s v="AVAL FEDERAL S.G.R."/>
        <s v="RAICES BA"/>
        <s v="VELVET COMFORT &amp; DESIGN S.R.L."/>
        <s v="TAO SOLUCIONES"/>
        <s v="GO SERVICIOS DIGITALES SAS SAS"/>
        <s v="MDL SRL"/>
        <s v="Neuquén Pymes S.G.R. "/>
        <s v="AMERICA PAMPA AGROINDUSTRIAL S.A."/>
        <s v="FALABELLA S A "/>
        <s v="BUROMAHTIK SA"/>
        <s v="BILOMAT"/>
        <s v="SIGMA AGRO S.A."/>
        <s v="GRUPO PEÑAFLOR"/>
        <s v="LA MANTOVANA DE SERVICIOS GENERALES SA"/>
        <s v="GRUPO PETBA SA."/>
        <s v="TECNOMADERA SRL"/>
        <s v="GOBIERNO DE LA CUIDAD DE BUENOS AIRES"/>
        <s v="GONDEL SERVICIO INTEGRAL DE LIMPIEZA SA"/>
        <s v="C Y V EMBALAJES Y SERVICIOS SA"/>
        <s v="TRIVENTO BODEGAS Y VI EDOS S.A."/>
        <s v="COMERCIALIZADORA MARA SA"/>
        <s v="SES SA"/>
        <s v="TRANS BOX SRL"/>
        <s v="LORENZO ANNECCHINI S A"/>
        <s v="LIBRERIA SAN PABLO S.R.L"/>
        <s v="ETCHEVEHERE RURAL S. R. L."/>
        <s v="CENTRO DE DIAGNOSTICO MOLECULAR S A"/>
        <s v="LIFERNI SRL"/>
        <s v="I-LED ARGENTINA S.A."/>
        <s v="ALFA LACTEA SRL"/>
        <s v="GASMERAGRO SA"/>
        <s v="CE.BE.CO."/>
        <s v="SOLUCIONES TECNOLOGICAS SA"/>
        <s v="LIPSA SRL"/>
        <s v="WORK PROJECT GROUP SA"/>
        <s v="LA COLONIA SA"/>
        <s v="LW GROUP SRL"/>
        <s v="COOPERATIVA DE VIVIENDA CREDITO Y CONSUMO PARA EL DESARROLLO LIMITADA"/>
        <s v="LEIVA HERMANOS SA"/>
        <s v="ALPARGATAS SAIC"/>
        <s v="ARQUINERING SRL"/>
        <s v="Mm Teamwork S. R. L."/>
        <s v="SANCHEZ RUBEN ALBERTO"/>
        <s v="DE LAS MISIONES S.A."/>
        <s v="SODA MONICA SRL"/>
        <s v="BED COLLECTION SA"/>
        <s v="BAYIT EMPRESA CONSTRUCTORA SRL"/>
        <s v="APEXAR TECHNOLOGIES SA"/>
        <s v="BSP LARTI SA"/>
        <s v="COOPERATIVA DE TABACALEROS DE JUJUY LTDA"/>
        <s v="INTEGRA PYMES SGR"/>
        <s v="NEXTRANS SRL"/>
        <s v="CAL/WEST SEEDS SRL"/>
        <s v="TARJETA NARANJA SA"/>
        <s v="DROGUERIA GARZON SA"/>
        <s v="BEROLI SAS"/>
        <s v="SRB OBRAS Y SERVICIOS SRL"/>
        <s v="VITALCAN S.A."/>
        <s v="COAMA SUD AMERICA SA"/>
        <s v="FILOSHEN SA"/>
        <s v="FIDEICOMISO IMPRESORES"/>
        <s v="EMEPA S A"/>
        <s v="SERVICIOS Y PRODUCTOS PARA BEBIDAS REFRESCANTES SRL"/>
        <s v="METALFOR SA"/>
        <s v="SERVILLETAS PALLMAR S.R.L."/>
        <s v="PERALTA CLAUDIO SANTIAGO"/>
        <s v="MARANSI SA"/>
        <s v="PAPEL IMPORTANTE SA"/>
        <s v="ECOSUYANA SAS"/>
        <s v="TRAYECTO SRL"/>
        <s v="CELULOSA CAMPANA SA"/>
        <s v="DOSAM SOCIEDAD DE RESPONSABILIDAD LIMITADA"/>
        <s v="SAKE SOCIEDAD DE RESPONSABILIDAD LIMITADA"/>
        <s v="VAZQUEZ SACII"/>
        <s v="TIENDA LA LUNA SEMACENDI SRL"/>
        <s v="ISIDORA SRL"/>
        <s v="PELAYO ANTONIO MIGUEL"/>
        <s v="VILLAGAS SA"/>
        <s v="SECAR SRL"/>
        <s v="DON ANTONIO COMBUSTIBLES SRL"/>
        <s v="TROMBETTA AVIACION AGRICOLA SRL"/>
        <s v="IDERO SRL"/>
        <s v="WHITE SUN TECNOLOGIA SRL"/>
        <s v="DRACONIS S.A."/>
        <s v="INDUSTRIAS ERCA S A"/>
        <s v="HV COLON SA"/>
        <s v="DILCAR SA"/>
        <s v="RIVERSIDE AGENCY SAC"/>
        <s v="DROGUERIA DISVAL S R L"/>
        <s v="MUEBLERIA TORCA SA"/>
        <s v="ESPERT SA"/>
        <s v="REGCEN S.R.L."/>
        <s v="S.E.S. S.A. - CONSTRUERE INGENIERIA S.A."/>
        <s v="AGREFERTAR SA"/>
        <s v="HERSAPEL SRL"/>
        <s v="LE SYVAN S R L"/>
        <s v="BROADBANDTECH SA"/>
        <s v="BODEGAS Y VIÑEDOS SANTA ELENA SRL"/>
        <s v="PETROLEOS SUDAMERICANOS SA"/>
        <s v="CARPAS D ANGIOLA SRL"/>
        <s v="MAIDANA ANDREA FLAVIA"/>
        <s v="QUITRAL COM SA"/>
        <s v="ULAN SRL"/>
        <s v="LOGISVET S.R.L."/>
        <s v="Grupo Grafico del Norte SA"/>
        <s v="MONDELEZ ARG SA"/>
        <s v="SUPERMERCADOS LA ECONOMIA SA"/>
        <s v="CARNICELLINI SRL"/>
        <s v="DENITA MADERAS S R L"/>
        <s v="INAP S R L"/>
        <s v="HORIZON TRADING SA"/>
        <s v="GRUB SA"/>
        <s v="PVP INTEGRAL S. R. L."/>
        <s v="CEIBO CREDITOS S.A."/>
        <s v="CANTERAS EL ALTO S.R.L."/>
        <s v="ENJONOR SA"/>
        <s v="FGF TRAPANI"/>
        <s v="SANTA LETICIA SA"/>
        <s v="PACKLAND ARGENTINA"/>
        <s v="VILLALBA ZALAZAR SEBASTIAN EDUARDO"/>
        <s v="ALUSTIZA JOSE MARIA BAUTISTA"/>
        <s v="CONSTRUCTORA ALMAJO NORTE SRL"/>
        <s v="DON HENRY SAS"/>
        <s v="BANESTO SA"/>
        <s v="NVX SAS"/>
        <s v="Union S.G.R."/>
        <s v="GPV SA"/>
        <s v="MADERAS SAN BLAS SRL"/>
        <s v="MADECO SACI"/>
        <s v="S A BUCCOLINI C I F I A"/>
        <s v="PROLIB SAS"/>
        <s v="RECIWORLD SRL"/>
        <s v="CAMPOS ORGANICOS S.A"/>
        <s v="TREND SGR"/>
        <s v="ECOSUR BAHIA SOCIEDAD ANONIMA"/>
        <s v="CEMEYKA SRL"/>
        <s v="MADERAS TABAY SRL"/>
        <s v="PEREZ RIVERA E HIJOS SRL"/>
        <s v="EL TRIANGULO SA"/>
        <s v="R&amp;F EXTINCION SA"/>
        <s v="COM &amp; LOG SA"/>
        <s v="SION S A"/>
        <s v="FERTIL FINANZAS S.A."/>
        <s v="TRANSPORTE ZAVIOLA"/>
        <s v="GASTRONOMIA EN MOVIMIENTO SRL"/>
        <s v="PUNTO PACK SRL"/>
        <s v="INNOVA S.G.R."/>
        <s v="GUAYACAN DE ANTA S.A."/>
        <s v="ZENI LIZ ESTEFANIA"/>
        <s v="PETROLIDER SRL"/>
        <s v="CENTRO OPTICO CATRIEL SAS"/>
        <s v="YUHMAK S A"/>
        <s v="SZULDINER JAVIER HECTOR"/>
        <s v="LAROCCA NEUMATICOS S A"/>
        <s v="SES SA CONSTRUERE INGENIERIA SA SARMIENTO - UTE"/>
        <s v="CIMBRA SAS"/>
        <s v="MACER SA"/>
        <s v="RAKIDUAMN SRL"/>
        <s v="TRANSPORTE OTLA SAS"/>
        <s v="HERGENRETHER WALTER DANIEL"/>
        <s v="EDGAR E PASTORE Y CIA S R L"/>
        <s v="AMARANTE DAMARIS LUCIA"/>
        <s v="LATINI EMILIANO Y LATINI RUBEN SH"/>
        <s v="AGRO CHACO SRL"/>
        <s v="LAGAVULIN S.A."/>
        <s v="TEVECOA SRL"/>
        <s v="KOMPASS SRL"/>
        <s v="SOLIDUM SGR"/>
        <s v="SECUAZ SRL"/>
        <s v="MARTIN SANDOVAL E HIJOS SRL"/>
        <s v="KRALICEK OBRAS CIVILES S.A."/>
        <s v="GIVA LOGISTIC SRL"/>
        <s v="AGU S. A. S"/>
        <s v="FERNANDO RUEDA SA"/>
        <s v="LOS INCAS DESARROLLOS"/>
        <s v="DHN DESARROLLADORA SRL"/>
        <s v="PAY PER TIC SA"/>
        <s v="GRUPO MODERN HOME SAS"/>
        <s v="SIMPSON SAS"/>
        <s v="IRAZABAL HERMANOS CONSIGNATARIA S.A."/>
        <s v="JACK CARS S.A"/>
        <s v="DISTRIBUIDORA DE ALIMENTOS BALANCEADOS SRL"/>
        <s v="EDUCACION POPULAR ASOCIACION CIVIL"/>
        <s v="MANGIATERRA JUANA MARIA"/>
        <s v="ENTRENUTS SRL"/>
        <s v="SERVICIOS VERTUA S.A."/>
        <s v="BELLUNO BIM SRL"/>
        <s v="AVAL FERTIL SGR"/>
        <s v="CAC SA"/>
        <s v="FRISVA SOCIEDAD ANONIMA"/>
        <s v="CEFAC LUCEMA SRL"/>
        <s v="C Y W COMBUSTIBLES SRL"/>
        <s v="V Y V ALIMENTOS S.A."/>
        <s v="ABRIL AMOBLAMIENTOS SRL"/>
        <s v="CLADAN SA"/>
        <s v="LOGICA CONSULTING GROUP SAU"/>
        <s v="GEOPOLIS SA"/>
        <s v="AVAL AR SGR"/>
        <s v="VALTOR SA"/>
        <s v="CORRAL DE PIEDRA SA"/>
        <s v="EPU VISION SA"/>
        <s v="DEL CERRO SRL"/>
        <s v="ELI SA"/>
        <s v="MOBEL SOCIEDAD ANONIMA"/>
        <s v="PECAM"/>
        <s v="IMPRESORES SO MI AL SRL"/>
        <s v="COIRINI SA"/>
        <s v="WTS DEL SUR SRL"/>
        <s v="CONSTRUCTORA SAN JOSE SRL"/>
        <s v="JYV LOGISTICA Y TRANSPORTE SRL"/>
        <s v="YAGUA COLI S.A."/>
        <s v="AMOROSO COPELLO MARCOS"/>
        <s v="CAPDEVILA MADERAS SRL"/>
        <s v="SOUTH MANAGEMENT REGION PATAGONICA SAU"/>
        <s v="GRAFICA OFFSET SRL"/>
        <s v="WAL MART ARGENTINA SRL"/>
        <s v="INC SOCIEDAD ANONIMA"/>
        <s v="CASA SILVIA SA"/>
        <s v="AGL S.A."/>
        <s v="LOS 7 OMBUES SA"/>
        <s v="NAKU CONSTRUCCIONES SRL ALTOTE RODNEY SAUT"/>
        <s v="CHACRAS GREENS S. A."/>
        <s v="COARD S A"/>
        <s v="IRIBERRI Y MOLINERO S A C I"/>
        <s v="COSECHAR SA"/>
        <s v="QUILMES"/>
        <s v="JYK SRL"/>
        <s v="BGL CARGO Y LOGISTICA SRL"/>
        <s v="BORTOLUZZI CARLOS HILARIO"/>
        <s v="SALTAPOR S.R.L."/>
        <s v="SINERGY SA"/>
        <s v="DEMAGRO SRL"/>
        <s v="METALURGICA DEL CENTRO SRL"/>
        <s v="GRUPO MATT MDQ DISTRIBUCION Y LOGISTICA SA"/>
        <s v="BELONA PRIETTO S.R.L."/>
        <s v="ALLIANCE ONE TOBACCO ARGENTINA"/>
        <s v="DROG SRL"/>
        <s v="FGC FUELS MARKETING SA"/>
        <s v="Argenpymes S.G.R."/>
        <s v="MADETEC SA"/>
        <s v="DANBURY S. A"/>
        <s v="FULLCREDIT S.A."/>
        <s v="OTA SOLUCIONES SAS"/>
        <s v="BARRIONUEVO ESTEBAN MANUEL"/>
        <s v="CARLOS E ENRIQUEZ SA"/>
        <s v="KUCHEN BAZAR SRL"/>
        <s v="MINEIRO SRL"/>
        <s v="COOPERATIVA SALTE A DE TAMBEROS LTDA"/>
        <s v="RANGITATA EXPLOTACIONES SA"/>
        <s v="RHS TECNOLOGIA EN CONSTRUCCIONES S.A."/>
        <s v="COOPERATIVA LIMITADA AGRICOLA GANADERA DE SUNCHALES"/>
        <s v="DE MARE LUCIANO"/>
        <s v="INDUSTRIAS EL TUCAN SRL"/>
        <s v="JVG GASTROPAN SRL"/>
        <s v="QSAND"/>
        <s v="AGROTECNOLOGIA Y SERVICIOS SA"/>
        <s v="PARDO S A"/>
        <s v="BILOROOM"/>
        <s v="LIMPOL SA"/>
        <s v="ZUBIAT JORGE OMAR"/>
        <s v="SIBIU PRODUCCIONES S.A.S."/>
        <s v="KEY TECHNOLOGY SRL"/>
        <s v="CALIZA CONSTRUCTORA SRL"/>
        <s v="RAMSES SRL"/>
        <s v="POLARIS NETWORK SAS"/>
        <s v="JOSE LUIS GORBEÑA SRL"/>
        <s v="SANTORO CHRISTIAN GABRIEL"/>
        <s v="SUPERLIGA PROFESIONAL DEL FUTBOL ARGENTINO ASOCIACION CIVIL"/>
        <s v="ESTACION FERREYRA SRL SRL"/>
        <s v="SAP SRL"/>
        <s v="ALARCIA GUILLERMO ADRIAN"/>
        <s v="AGRONEGOCIOS DEL PLATA SRL"/>
        <s v="MOREL VULLIEZ S A."/>
        <s v="SHUSTER S.A."/>
        <s v="ANGEL ESTRADA Y CIA SA"/>
        <s v="DISTGRAF SRL"/>
        <s v="CENTRO DE DIAGNOSTICO ECOGRAFICO SRL"/>
        <s v="TUMINI JORGE CESAR"/>
        <s v="GABRIEL E KELLY Y COMPANIA S.A."/>
        <s v="CHIARAVIGLIO HNOS SRL"/>
        <s v="VIDELA DORNA MARTIN"/>
        <s v="WRIGHT FERNANDEZ URSINI SA"/>
        <s v="PAGANI GUILLERMO CARLOS"/>
        <s v="REZUC DANIEL ALEJANDRO"/>
        <s v="REMOLQUES OMBU S.A"/>
        <s v="ALBENS SA"/>
        <s v="PAMISA SRL"/>
        <s v="LIBRA HERNAN JESUS"/>
        <s v="TEKUN SA"/>
        <s v="COOPERATIVA AGROPECUARIA CORONEL BOGADO LIMITADA"/>
        <s v="EXPLOTACION PESQUERA DE LA PATAGONIA SA"/>
        <s v="ASOCIACION DEL FUTBOL ARGENTINO"/>
        <s v="POTENCIAR SGR"/>
        <s v="BUENAR WALTER R BUENAR MATIAS NICOLAS Y BUENAR SEBASTIAN E SH"/>
        <s v="MAQUINARIAS HYM SA"/>
        <s v="LA PRIMAVERA GILARDI NICOLAS Y GILARDI MAURICIO RODRIGO SH"/>
        <s v="JOMALI SRL"/>
        <s v="AUTOVIA DEL MERCOSUR"/>
        <s v="CENTRO BEBIDAS SRL"/>
        <s v="ESEVERRI BARBARA ALEJANDRA"/>
        <s v="PELLISA S.A.S."/>
        <s v="GARCIA BORGHES EDUARDO"/>
        <s v="EL SUPER HORMIGON SA"/>
        <s v="COOPERATIVA DE TRABAJO ECOPILAR LIMITADA"/>
        <s v="HUINCUL LICAN SA"/>
        <s v="OJEDA ARIEL RUBEN"/>
        <s v="COOPERATIVA FEDERAL AGRICOLA GANADERA DE MARIA SUSANA LIMITADA"/>
        <s v="POCHETTINO CRISTIAN MARIANO"/>
        <s v="LOSLOQUE SRL"/>
        <s v="Transportes Gral Bartolome Mitre S R L"/>
        <s v="VITIVINICOLA ROCAL SRL"/>
        <s v="CARDOSO DANIEL ENRIQUE CARDOSO MARIA INES SALCEDO SUSANA MARIA CARDOSO ARIADNA"/>
        <s v="LES SAS"/>
        <s v="MAGALLANES MIGUEL ANGEL"/>
        <s v="LOS MOROS SRL"/>
        <s v="RUIZ DIAZ CHRISTIAN LEANDRO"/>
        <s v="BELTRAMINO RAUL TITO"/>
        <s v="HESAR HNOS SA"/>
        <s v="LIZZI HNOS AGROPECUARIA SRL"/>
        <s v="CUYO AVAL SGR"/>
        <s v="VICTORIO PODESTA Y CIA S.A."/>
        <s v="SOSA ADRIAN OSCAR"/>
        <s v="NEUMATICOS NUÑEZ SRL"/>
        <s v="SERVISUR SRL"/>
        <s v="AGROSERVICIOS SRL"/>
        <s v="PLANJAR ALEXIS DANIEL"/>
        <s v="BASTIAAN SRL"/>
        <s v="2020 ESTRATEGIAS SRL"/>
        <s v="MARAL AGROPECUARIA SRL"/>
        <s v="MARKETVET SA"/>
        <s v="MAFER DISTRIBUIDORA SA"/>
        <s v="MC LASER SRL"/>
        <s v="DEL TURISTA SOCIEDAD ANONIMA COMERCIAL E INDUSTRIAL"/>
        <s v="RUTA SUR TRUCKS SA"/>
        <s v="JONFER S.R.L."/>
        <s v="CONRERO SILVIO TADEO"/>
        <s v="AGROPECUARIA LA MOROCHA S. R. L."/>
        <s v="MERCADO SANITARIO MDQ SA"/>
        <s v="PLEM AGRO SRL"/>
        <s v="SILVIA LOMBARDI SRL"/>
        <s v="CAVALLERO HENRY SANTIAGO"/>
        <s v="AMAVET HORACIO EDUARDO"/>
        <s v="THE CRAZY COW S.R.L."/>
        <s v="POLIMEROS EXPRESS SA"/>
        <s v="CALATRONI LEONARDO JAVIER"/>
        <s v="ACINDAR PYMES SGR"/>
        <s v="KLUG HECTOR RAMON Y KLUG SEBASTIAN ANDRES S CAP I SECC IV SOC SIMPLE (en"/>
        <s v="AGRICOLA NOROESTE S R L"/>
        <s v="CHAPARRO PEDRO LUIS"/>
        <s v="NUEVAS TIERRAS S.A."/>
        <s v="PAJIN MAQUINARIAS SA"/>
        <m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ENERGIAS PATAGONICAS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NEWPANEL SA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29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6593794000000004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1500000000"/>
    </cacheField>
    <cacheField name="Importe Actual" numFmtId="0">
      <sharedItems containsString="0" containsBlank="1" containsNumber="1" minValue="3649.93" maxValue="1497292578.3"/>
    </cacheField>
    <cacheField name="Importe Nominal2" numFmtId="0">
      <sharedItems containsString="0" containsBlank="1" containsNumber="1" minValue="3890.81" maxValue="1500000000"/>
    </cacheField>
    <cacheField name="Importe Actual2" numFmtId="0">
      <sharedItems containsString="0" containsBlank="1" containsNumber="1" minValue="3649.93" maxValue="1497292578.3"/>
    </cacheField>
    <cacheField name="Nro. de Operación" numFmtId="0">
      <sharedItems containsString="0" containsBlank="1" containsNumber="1" containsInteger="1" minValue="2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8524245567942434E-8" maxValue="1.990585922373494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8">
  <r>
    <x v="0"/>
    <s v="Pesos"/>
    <d v="2026-09-29T00:00:00"/>
    <s v="29/09/2026"/>
    <n v="1"/>
    <m/>
    <n v="2097348.4"/>
    <n v="2097348.4"/>
    <n v="2097348.4"/>
    <n v="2097348.4"/>
    <n v="76510842"/>
    <s v="AMOMPY"/>
    <s v="Momentum Capital Investment S.A."/>
    <s v="22/07/2026"/>
    <s v="22/07/2026"/>
    <n v="32"/>
    <s v="No"/>
    <s v=""/>
    <m/>
    <m/>
    <s v="*MAV250901366"/>
    <s v="*MAV250901366"/>
    <n v="2.7883342640305747E-5"/>
  </r>
  <r>
    <x v="1"/>
    <s v="Pesos"/>
    <d v="2026-09-29T00:00:00"/>
    <s v="29/09/2026"/>
    <n v="1"/>
    <m/>
    <n v="12000000"/>
    <n v="12000000"/>
    <n v="12000000"/>
    <n v="12000000"/>
    <n v="29830738"/>
    <s v="AMOMPY"/>
    <s v="Momentum Capital Investment S.A."/>
    <s v="10/08/2026"/>
    <s v="10/08/2026"/>
    <n v="28"/>
    <s v="No"/>
    <s v=""/>
    <m/>
    <m/>
    <s v="*MAV250901494"/>
    <s v="*MAV250901494"/>
    <n v="1.5953482582277173E-4"/>
  </r>
  <r>
    <x v="2"/>
    <s v="Pesos"/>
    <d v="2026-09-29T00:00:00"/>
    <s v="29/09/2026"/>
    <n v="1"/>
    <m/>
    <n v="40000000"/>
    <n v="40000000"/>
    <n v="40000000"/>
    <n v="40000000"/>
    <n v="13662791"/>
    <s v="AMOMPY"/>
    <s v="Momentum Capital Investment S.A."/>
    <s v="12/06/2026"/>
    <s v="12/06/2026"/>
    <n v="32"/>
    <s v="No"/>
    <s v=""/>
    <m/>
    <m/>
    <s v="*MAV250901177"/>
    <s v="*MAV250901177"/>
    <n v="5.3178275274257244E-4"/>
  </r>
  <r>
    <x v="3"/>
    <s v="Pesos"/>
    <d v="2026-09-29T00:00:00"/>
    <s v="29/09/2026"/>
    <n v="1"/>
    <m/>
    <n v="7560000"/>
    <n v="7560000"/>
    <n v="7560000"/>
    <n v="7560000"/>
    <n v="10537648"/>
    <s v="AMOMPY"/>
    <s v="Momentum Capital Investment S.A."/>
    <s v="10/08/2026"/>
    <s v="10/08/2026"/>
    <n v="28"/>
    <s v="No"/>
    <s v=""/>
    <m/>
    <m/>
    <s v="*MAV250901491"/>
    <s v="*MAV250901491"/>
    <n v="1.0050694026834619E-4"/>
  </r>
  <r>
    <x v="4"/>
    <s v="Pesos"/>
    <d v="2026-09-29T00:00:00"/>
    <s v="29/09/2026"/>
    <n v="1"/>
    <m/>
    <n v="1382744"/>
    <n v="1382744"/>
    <n v="1382744"/>
    <n v="1382744"/>
    <n v="5365"/>
    <s v="AMOMPY"/>
    <s v="Momentum Capital Investment S.A."/>
    <s v="08/09/2026"/>
    <s v="08/09/2026"/>
    <n v="31"/>
    <s v="No"/>
    <s v=""/>
    <m/>
    <m/>
    <s v="*MAV250901852"/>
    <s v="*MAV250901852"/>
    <n v="1.8382985266456889E-5"/>
  </r>
  <r>
    <x v="5"/>
    <s v="Pesos"/>
    <d v="2026-09-29T00:00:00"/>
    <s v="29/09/2026"/>
    <n v="1"/>
    <m/>
    <n v="1509475"/>
    <n v="1509475"/>
    <n v="1509475"/>
    <n v="1509475"/>
    <n v="3848023"/>
    <s v="AMOMPY"/>
    <s v="Momentum Capital Investment S.A."/>
    <s v="15/09/2026"/>
    <s v="15/09/2026"/>
    <n v="32"/>
    <s v="No"/>
    <s v=""/>
    <m/>
    <m/>
    <s v="*MAV250901938"/>
    <s v="*MAV250901938"/>
    <n v="2.0067819267402365E-5"/>
  </r>
  <r>
    <x v="6"/>
    <s v="Pesos"/>
    <d v="2026-09-29T00:00:00"/>
    <s v="29/09/2026"/>
    <n v="1"/>
    <m/>
    <n v="4000000"/>
    <n v="4000000"/>
    <n v="4000000"/>
    <n v="4000000"/>
    <n v="16821013"/>
    <s v="AMOMPY"/>
    <s v="Momentum Capital Investment S.A."/>
    <s v="17/07/2026"/>
    <s v="17/07/2026"/>
    <n v="24"/>
    <s v="No"/>
    <s v=""/>
    <m/>
    <m/>
    <s v="*PRO250900021"/>
    <s v="*PRO250900021"/>
    <n v="5.3178275274257244E-5"/>
  </r>
  <r>
    <x v="6"/>
    <s v="Pesos"/>
    <d v="2026-09-29T00:00:00"/>
    <s v="29/09/2026"/>
    <n v="1"/>
    <m/>
    <n v="10950000"/>
    <n v="10950000"/>
    <n v="10950000"/>
    <n v="10950000"/>
    <n v="90000869"/>
    <s v="AMOMPY"/>
    <s v="Momentum Capital Investment S.A."/>
    <s v="13/08/2026"/>
    <s v="13/08/2026"/>
    <n v="28"/>
    <s v="No"/>
    <s v=""/>
    <m/>
    <m/>
    <s v="*PRO250900023"/>
    <s v="*PRO250900023"/>
    <n v="1.4557552856327922E-4"/>
  </r>
  <r>
    <x v="6"/>
    <s v="Pesos"/>
    <d v="2026-09-29T00:00:00"/>
    <s v="29/09/2026"/>
    <n v="1"/>
    <m/>
    <n v="20000000"/>
    <n v="20000000"/>
    <n v="20000000"/>
    <n v="20000000"/>
    <n v="67970141"/>
    <s v="AMOMPY"/>
    <s v="Momentum Capital Investment S.A."/>
    <s v="29/06/2026"/>
    <s v="29/06/2026"/>
    <n v="27"/>
    <s v="No"/>
    <s v=""/>
    <m/>
    <m/>
    <s v="*PRO250900016"/>
    <s v="*PRO250900016"/>
    <n v="2.6589137637128622E-4"/>
  </r>
  <r>
    <x v="7"/>
    <s v="Pesos"/>
    <d v="2026-09-29T00:00:00"/>
    <s v="29/09/2026"/>
    <n v="1"/>
    <m/>
    <n v="100000000"/>
    <n v="100000000"/>
    <n v="100000000"/>
    <n v="100000000"/>
    <n v="83"/>
    <s v="AMOMPY"/>
    <s v="Momentum Capital Investment S.A."/>
    <s v="12/08/2026"/>
    <s v="12/08/2026"/>
    <n v="28"/>
    <s v="No"/>
    <s v=""/>
    <m/>
    <m/>
    <s v="*MAV250901519"/>
    <s v="*MAV250901519"/>
    <n v="1.3294568818564311E-3"/>
  </r>
  <r>
    <x v="8"/>
    <s v="Pesos"/>
    <d v="2026-09-29T00:00:00"/>
    <s v="29/09/2026"/>
    <n v="1"/>
    <m/>
    <n v="5000000"/>
    <n v="5000000"/>
    <n v="5000000"/>
    <n v="5000000"/>
    <n v="8743"/>
    <s v="AMOMPY"/>
    <s v="Momentum Capital Investment S.A."/>
    <s v="17/07/2026"/>
    <s v="17/07/2026"/>
    <n v="25"/>
    <s v="No"/>
    <s v=""/>
    <m/>
    <m/>
    <s v="*MIL250900034"/>
    <s v="*MIL250900034"/>
    <n v="6.6472844092821555E-5"/>
  </r>
  <r>
    <x v="8"/>
    <s v="Pesos"/>
    <d v="2026-09-29T00:00:00"/>
    <s v="29/09/2026"/>
    <n v="1"/>
    <m/>
    <n v="9000000"/>
    <n v="9000000"/>
    <n v="9000000"/>
    <n v="9000000"/>
    <n v="68958371"/>
    <s v="AMOMPY"/>
    <s v="Momentum Capital Investment S.A."/>
    <s v="14/08/2026"/>
    <s v="14/08/2026"/>
    <n v="28"/>
    <s v="No"/>
    <s v=""/>
    <m/>
    <m/>
    <s v="*MIL250900037"/>
    <s v="*MIL250900037"/>
    <n v="1.196511193670788E-4"/>
  </r>
  <r>
    <x v="9"/>
    <s v="Pesos"/>
    <d v="2026-09-29T00:00:00"/>
    <s v="29/09/2026"/>
    <n v="1"/>
    <m/>
    <n v="13629007.35"/>
    <n v="13629007.35"/>
    <n v="13629007.35"/>
    <n v="13629007.35"/>
    <n v="68961023"/>
    <s v="AMOMPY"/>
    <s v="Momentum Capital Investment S.A."/>
    <s v="25/08/2026"/>
    <s v="25/08/2026"/>
    <n v="32"/>
    <s v="No"/>
    <s v=""/>
    <m/>
    <m/>
    <s v="*MAV250901651"/>
    <s v="*MAV250901651"/>
    <n v="1.8119177614329382E-4"/>
  </r>
  <r>
    <x v="10"/>
    <s v="Pesos"/>
    <d v="2026-09-29T00:00:00"/>
    <s v="29/09/2026"/>
    <n v="1"/>
    <m/>
    <n v="3563600"/>
    <n v="3563600"/>
    <n v="3563600"/>
    <n v="3563600"/>
    <n v="758"/>
    <s v="AMOMPY"/>
    <s v="Momentum Capital Investment S.A."/>
    <s v="03/09/2026"/>
    <s v="03/09/2026"/>
    <n v="31"/>
    <s v="No"/>
    <s v=""/>
    <m/>
    <m/>
    <s v="*MAV250901809"/>
    <s v="*MAV250901809"/>
    <n v="4.7376525441835782E-5"/>
  </r>
  <r>
    <x v="11"/>
    <s v="Pesos"/>
    <d v="2026-09-29T00:00:00"/>
    <s v="29/09/2026"/>
    <n v="1"/>
    <m/>
    <n v="182525858.19"/>
    <n v="182525858.19"/>
    <n v="182525858.19"/>
    <n v="182525858.19"/>
    <n v="60"/>
    <s v="AMOMPY"/>
    <s v="Momentum Capital Investment S.A."/>
    <s v="04/09/2026"/>
    <s v="04/09/2026"/>
    <n v="34"/>
    <s v="No"/>
    <s v=""/>
    <m/>
    <m/>
    <s v="%AUU260900002"/>
    <s v="%AUU260900002"/>
    <n v="2.4266025828744652E-3"/>
  </r>
  <r>
    <x v="12"/>
    <s v="Pesos"/>
    <d v="2026-09-29T00:00:00"/>
    <s v="29/09/2026"/>
    <n v="1"/>
    <m/>
    <n v="2500000"/>
    <n v="2500000"/>
    <n v="2500000"/>
    <n v="2500000"/>
    <n v="362"/>
    <s v="AMOMPY"/>
    <s v="Momentum Capital Investment S.A."/>
    <s v="07/09/2026"/>
    <s v="07/09/2026"/>
    <n v="31"/>
    <s v="No"/>
    <s v=""/>
    <m/>
    <m/>
    <s v="*MAV250901836"/>
    <s v="*MAV250901836"/>
    <n v="3.3236422046410778E-5"/>
  </r>
  <r>
    <x v="13"/>
    <s v="Pesos"/>
    <d v="2026-09-29T00:00:00"/>
    <s v="29/09/2026"/>
    <n v="1"/>
    <m/>
    <n v="50000000"/>
    <n v="50000000"/>
    <n v="50000000"/>
    <n v="50000000"/>
    <n v="4899"/>
    <s v="AMOMPY"/>
    <s v="Momentum Capital Investment S.A."/>
    <s v="25/06/2026"/>
    <s v="25/06/2026"/>
    <n v="25"/>
    <s v="No"/>
    <s v=""/>
    <m/>
    <m/>
    <s v="*BIF250900004"/>
    <s v="*BIF250900004"/>
    <n v="6.6472844092821555E-4"/>
  </r>
  <r>
    <x v="8"/>
    <s v="Pesos"/>
    <d v="2026-09-29T00:00:00"/>
    <s v="29/09/2026"/>
    <n v="1"/>
    <m/>
    <n v="30000000"/>
    <n v="30000000"/>
    <n v="30000000"/>
    <n v="30000000"/>
    <n v="54027797"/>
    <s v="AMOMPY"/>
    <s v="Momentum Capital Investment S.A."/>
    <s v="25/06/2026"/>
    <s v="25/06/2026"/>
    <n v="27"/>
    <s v="No"/>
    <s v=""/>
    <m/>
    <m/>
    <s v="*MIL250900032"/>
    <s v="*MIL250900032"/>
    <n v="3.9883706455692933E-4"/>
  </r>
  <r>
    <x v="8"/>
    <s v="Pesos"/>
    <d v="2026-09-29T00:00:00"/>
    <s v="29/09/2026"/>
    <n v="1"/>
    <m/>
    <n v="5000000"/>
    <n v="5000000"/>
    <n v="5000000"/>
    <n v="5000000"/>
    <n v="67193060"/>
    <s v="AMOMPY"/>
    <s v="Momentum Capital Investment S.A."/>
    <s v="04/06/2026"/>
    <s v="04/06/2026"/>
    <n v="27"/>
    <s v="No"/>
    <s v=""/>
    <m/>
    <m/>
    <s v="*MIL250900029"/>
    <s v="*MIL250900029"/>
    <n v="6.6472844092821555E-5"/>
  </r>
  <r>
    <x v="14"/>
    <s v="Pesos"/>
    <d v="2026-09-29T00:00:00"/>
    <s v="29/09/2026"/>
    <n v="1"/>
    <m/>
    <n v="9828483.25"/>
    <n v="9828483.25"/>
    <n v="9828483.25"/>
    <n v="9828483.25"/>
    <n v="33"/>
    <s v="AMOMPY"/>
    <s v="Momentum Capital Investment S.A."/>
    <s v="14/07/2026"/>
    <s v="14/07/2026"/>
    <n v="33"/>
    <s v="No"/>
    <s v=""/>
    <m/>
    <m/>
    <s v="*MAV250901315"/>
    <s v="*MAV250901315"/>
    <n v="1.3066544694923164E-4"/>
  </r>
  <r>
    <x v="15"/>
    <s v="Pesos"/>
    <d v="2026-09-29T00:00:00"/>
    <s v="29/09/2026"/>
    <n v="1"/>
    <m/>
    <n v="5225717"/>
    <n v="5225717"/>
    <n v="5225717"/>
    <n v="5225717"/>
    <n v="3171"/>
    <s v="AMOMPY"/>
    <s v="Momentum Capital Investment S.A."/>
    <s v="10/08/2026"/>
    <s v="10/08/2026"/>
    <n v="28"/>
    <s v="No"/>
    <s v=""/>
    <m/>
    <m/>
    <s v="*MAV250901492"/>
    <s v="*MAV250901492"/>
    <n v="6.9473654282841438E-5"/>
  </r>
  <r>
    <x v="16"/>
    <s v="Pesos"/>
    <d v="2026-09-29T00:00:00"/>
    <s v="29/09/2026"/>
    <n v="1"/>
    <m/>
    <n v="8000000"/>
    <n v="8000000"/>
    <n v="8000000"/>
    <n v="8000000"/>
    <n v="1161724"/>
    <s v="AMOMPY"/>
    <s v="Momentum Capital Investment S.A."/>
    <s v="10/08/2026"/>
    <s v="10/08/2026"/>
    <n v="28"/>
    <s v="No"/>
    <s v=""/>
    <m/>
    <m/>
    <s v="*MAV250901493"/>
    <s v="*MAV250901493"/>
    <n v="1.0635655054851449E-4"/>
  </r>
  <r>
    <x v="17"/>
    <s v="Pesos"/>
    <d v="2026-09-29T00:00:00"/>
    <s v="29/09/2026"/>
    <n v="1"/>
    <m/>
    <n v="5939810.4699999997"/>
    <n v="5939810.4699999997"/>
    <n v="5939810.4699999997"/>
    <n v="5939810.4699999997"/>
    <n v="67"/>
    <s v="AMOMPY"/>
    <s v="Momentum Capital Investment S.A."/>
    <s v="16/09/2026"/>
    <s v="16/09/2026"/>
    <n v="37"/>
    <s v="No"/>
    <s v=""/>
    <m/>
    <m/>
    <s v="%CP1260900001"/>
    <s v="%CP1260900001"/>
    <n v="7.896721906264383E-5"/>
  </r>
  <r>
    <x v="18"/>
    <s v="Pesos"/>
    <d v="2026-09-29T00:00:00"/>
    <s v="29/09/2026"/>
    <n v="1"/>
    <m/>
    <n v="12500000"/>
    <n v="12500000"/>
    <n v="12500000"/>
    <n v="12500000"/>
    <n v="1361"/>
    <s v="AMOMPY"/>
    <s v="Momentum Capital Investment S.A."/>
    <s v="21/05/2026"/>
    <s v="21/05/2026"/>
    <n v="33"/>
    <s v="No"/>
    <s v=""/>
    <m/>
    <m/>
    <s v="*MAV250901137"/>
    <s v="*MAV250901137"/>
    <n v="1.6618211023205389E-4"/>
  </r>
  <r>
    <x v="19"/>
    <s v="Pesos"/>
    <d v="2026-09-29T00:00:00"/>
    <s v="29/09/2026"/>
    <n v="1"/>
    <m/>
    <n v="555972720.34000003"/>
    <n v="555972720.34000003"/>
    <n v="555972720.34000003"/>
    <n v="555972720.34000003"/>
    <n v="160819"/>
    <s v="AMOMPY"/>
    <s v="Momentum Capital Investment S.A."/>
    <s v="12/08/2026"/>
    <s v="12/08/2026"/>
    <n v="38"/>
    <s v="No"/>
    <s v=""/>
    <m/>
    <m/>
    <s v="#MAV280960027"/>
    <s v="#MAV280960027"/>
    <n v="7.3914175918045402E-3"/>
  </r>
  <r>
    <x v="20"/>
    <s v="Pesos"/>
    <d v="2026-09-29T00:00:00"/>
    <s v="29/09/2026"/>
    <n v="1"/>
    <m/>
    <n v="1008513.5"/>
    <n v="1008513.5"/>
    <n v="1008513.5"/>
    <n v="1008513.5"/>
    <n v="67381841"/>
    <s v="AMOMPY"/>
    <s v="Momentum Capital Investment S.A."/>
    <s v="04/06/2026"/>
    <s v="04/06/2026"/>
    <n v="32"/>
    <s v="No"/>
    <s v=""/>
    <m/>
    <m/>
    <s v="*MAV250901157"/>
    <s v="*MAV250901157"/>
    <n v="1.3407752130201159E-5"/>
  </r>
  <r>
    <x v="21"/>
    <s v="Pesos"/>
    <d v="2026-09-29T00:00:00"/>
    <s v="29/09/2026"/>
    <n v="1"/>
    <m/>
    <n v="10000000"/>
    <n v="10000000"/>
    <n v="10000000"/>
    <n v="10000000"/>
    <n v="14422560"/>
    <s v="AMOMPY"/>
    <s v="Momentum Capital Investment S.A."/>
    <s v="01/09/2026"/>
    <s v="01/09/2026"/>
    <n v="32"/>
    <s v="No"/>
    <s v=""/>
    <m/>
    <m/>
    <s v="*MAV250901763"/>
    <s v="*MAV250901763"/>
    <n v="1.3294568818564311E-4"/>
  </r>
  <r>
    <x v="21"/>
    <s v="Pesos"/>
    <d v="2026-09-29T00:00:00"/>
    <s v="29/09/2026"/>
    <n v="1"/>
    <m/>
    <n v="25000000"/>
    <n v="25000000"/>
    <n v="25000000"/>
    <n v="25000000"/>
    <n v="14422652"/>
    <s v="AMOMPY"/>
    <s v="Momentum Capital Investment S.A."/>
    <s v="03/09/2026"/>
    <s v="03/09/2026"/>
    <n v="33"/>
    <s v="No"/>
    <s v=""/>
    <m/>
    <m/>
    <s v="*MAV250901793"/>
    <s v="*MAV250901793"/>
    <n v="3.3236422046410778E-4"/>
  </r>
  <r>
    <x v="22"/>
    <s v="Pesos"/>
    <d v="2026-09-29T00:00:00"/>
    <s v="29/09/2026"/>
    <n v="1"/>
    <m/>
    <n v="4615815.71"/>
    <n v="4615815.71"/>
    <n v="4615815.71"/>
    <n v="4615815.71"/>
    <n v="10038099"/>
    <s v="AMOMPY"/>
    <s v="Momentum Capital Investment S.A."/>
    <s v="22/07/2026"/>
    <s v="22/07/2026"/>
    <n v="32"/>
    <s v="No"/>
    <s v=""/>
    <m/>
    <m/>
    <s v="*MAV250901367"/>
    <s v="*MAV250901367"/>
    <n v="6.1365279610405284E-5"/>
  </r>
  <r>
    <x v="23"/>
    <s v="Pesos"/>
    <d v="2026-09-29T00:00:00"/>
    <s v="29/09/2026"/>
    <n v="1"/>
    <m/>
    <n v="12995000"/>
    <n v="12995000"/>
    <n v="12995000"/>
    <n v="12995000"/>
    <n v="7563"/>
    <s v="AMOMPY"/>
    <s v="Momentum Capital Investment S.A."/>
    <s v="10/08/2026"/>
    <s v="10/08/2026"/>
    <n v="28"/>
    <s v="No"/>
    <s v=""/>
    <m/>
    <m/>
    <s v="*MAV250901495"/>
    <s v="*MAV250901495"/>
    <n v="1.7276292179724324E-4"/>
  </r>
  <r>
    <x v="24"/>
    <s v="Pesos"/>
    <d v="2026-09-29T00:00:00"/>
    <s v="29/09/2026"/>
    <n v="1"/>
    <m/>
    <n v="6899161.7699999996"/>
    <n v="6899161.7699999996"/>
    <n v="6899161.7699999996"/>
    <n v="6899161.7699999996"/>
    <n v="65964605"/>
    <s v="AMOMPY"/>
    <s v="Momentum Capital Investment S.A."/>
    <s v="22/04/2026"/>
    <s v="22/04/2026"/>
    <n v="38"/>
    <s v="No"/>
    <s v=""/>
    <m/>
    <m/>
    <s v="*MAV250901124"/>
    <s v="*MAV250901124"/>
    <n v="9.1721380941672953E-5"/>
  </r>
  <r>
    <x v="25"/>
    <s v="Pesos"/>
    <d v="2026-09-29T00:00:00"/>
    <s v="29/09/2026"/>
    <n v="1"/>
    <m/>
    <n v="12500000"/>
    <n v="12500000"/>
    <n v="12500000"/>
    <n v="12500000"/>
    <n v="90027594"/>
    <s v="AMOMPY"/>
    <s v="Momentum Capital Investment S.A."/>
    <s v="03/07/2026"/>
    <s v="03/07/2026"/>
    <n v="28"/>
    <s v="No"/>
    <s v=""/>
    <m/>
    <m/>
    <s v="*CVA250900020"/>
    <s v="*CVA250900020"/>
    <n v="1.6618211023205389E-4"/>
  </r>
  <r>
    <x v="26"/>
    <s v="Pesos"/>
    <d v="2026-09-29T00:00:00"/>
    <s v="29/09/2026"/>
    <n v="1"/>
    <m/>
    <n v="29575498"/>
    <n v="29575498"/>
    <n v="29575498"/>
    <n v="29575498"/>
    <n v="90044735"/>
    <s v="AMOMPY"/>
    <s v="Momentum Capital Investment S.A."/>
    <s v="21/08/2026"/>
    <s v="21/08/2026"/>
    <n v="32"/>
    <s v="No"/>
    <s v=""/>
    <m/>
    <m/>
    <s v="*MAV250901611"/>
    <s v="*MAV250901611"/>
    <n v="3.9319349350431116E-4"/>
  </r>
  <r>
    <x v="26"/>
    <s v="Pesos"/>
    <d v="2026-09-29T00:00:00"/>
    <s v="29/09/2026"/>
    <n v="1"/>
    <m/>
    <n v="5636569"/>
    <n v="5636569"/>
    <n v="5636569"/>
    <n v="5636569"/>
    <n v="90044888"/>
    <s v="AMOMPY"/>
    <s v="Momentum Capital Investment S.A."/>
    <s v="28/08/2026"/>
    <s v="28/08/2026"/>
    <n v="32"/>
    <s v="No"/>
    <s v=""/>
    <m/>
    <m/>
    <s v="*MAV250901712"/>
    <s v="*MAV250901712"/>
    <n v="7.4935754471086219E-5"/>
  </r>
  <r>
    <x v="27"/>
    <s v="Pesos"/>
    <d v="2026-09-29T00:00:00"/>
    <s v="29/09/2026"/>
    <n v="1"/>
    <m/>
    <n v="10000000"/>
    <n v="10000000"/>
    <n v="10000000"/>
    <n v="10000000"/>
    <n v="360567"/>
    <s v="AMOMPY"/>
    <s v="Momentum Capital Investment S.A."/>
    <s v="21/04/2026"/>
    <s v="21/04/2026"/>
    <n v="28"/>
    <s v="No"/>
    <s v=""/>
    <m/>
    <m/>
    <s v="*MOV250900071"/>
    <s v="*MOV250900071"/>
    <n v="1.3294568818564311E-4"/>
  </r>
  <r>
    <x v="28"/>
    <s v="Pesos"/>
    <d v="2026-09-29T00:00:00"/>
    <s v="29/09/2026"/>
    <n v="1"/>
    <m/>
    <n v="2000000"/>
    <n v="2000000"/>
    <n v="2000000"/>
    <n v="2000000"/>
    <n v="1008"/>
    <s v="AMOMPY"/>
    <s v="Momentum Capital Investment S.A."/>
    <s v="18/08/2026"/>
    <s v="18/08/2026"/>
    <n v="32"/>
    <s v="No"/>
    <s v=""/>
    <m/>
    <m/>
    <s v="*MAV250901564"/>
    <s v="*MAV250901564"/>
    <n v="2.6589137637128622E-5"/>
  </r>
  <r>
    <x v="29"/>
    <s v="Pesos"/>
    <d v="2026-09-29T00:00:00"/>
    <s v="29/09/2026"/>
    <n v="1"/>
    <m/>
    <n v="65000000"/>
    <n v="65000000"/>
    <n v="65000000"/>
    <n v="65000000"/>
    <n v="334"/>
    <s v="AMOMPY"/>
    <s v="Momentum Capital Investment S.A."/>
    <s v="26/06/2026"/>
    <s v="26/06/2026"/>
    <n v="32"/>
    <s v="No"/>
    <s v=""/>
    <m/>
    <m/>
    <s v="*MAV250901239"/>
    <s v="*MAV250901239"/>
    <n v="8.6414697320668027E-4"/>
  </r>
  <r>
    <x v="0"/>
    <s v="Pesos"/>
    <d v="2026-09-30T00:00:00"/>
    <s v="29/09/2026"/>
    <n v="0.99912405999999998"/>
    <m/>
    <n v="2097348.4"/>
    <n v="2095511.25"/>
    <n v="2097348.4"/>
    <n v="2095511.25"/>
    <n v="76510843"/>
    <s v="AMOMPY"/>
    <s v="Momentum Capital Investment S.A."/>
    <s v="22/07/2026"/>
    <s v="22/07/2026"/>
    <n v="32"/>
    <s v="No"/>
    <s v=""/>
    <m/>
    <m/>
    <s v="*MAV280901019"/>
    <s v="*MAV280901019"/>
    <n v="2.7858918523200723E-5"/>
  </r>
  <r>
    <x v="28"/>
    <s v="Pesos"/>
    <d v="2026-09-30T00:00:00"/>
    <s v="29/09/2026"/>
    <n v="0.99917876000000005"/>
    <m/>
    <n v="10000000"/>
    <n v="9991787.5800000001"/>
    <n v="10000000"/>
    <n v="9991787.5800000001"/>
    <n v="581"/>
    <s v="AMOMPY"/>
    <s v="Momentum Capital Investment S.A."/>
    <s v="02/06/2026"/>
    <s v="02/06/2026"/>
    <n v="30"/>
    <s v="No"/>
    <s v=""/>
    <m/>
    <m/>
    <s v="*MAV280900830"/>
    <s v="*MAV280900830"/>
    <n v="1.3283650760278617E-4"/>
  </r>
  <r>
    <x v="28"/>
    <s v="Pesos"/>
    <d v="2026-09-30T00:00:00"/>
    <s v="29/09/2026"/>
    <n v="0.99917876000000005"/>
    <m/>
    <n v="10000000"/>
    <n v="9991787.5700000003"/>
    <n v="10000000"/>
    <n v="9991787.5700000003"/>
    <n v="514"/>
    <s v="AMOMPY"/>
    <s v="Momentum Capital Investment S.A."/>
    <s v="18/05/2026"/>
    <s v="18/05/2026"/>
    <n v="30"/>
    <s v="No"/>
    <s v=""/>
    <m/>
    <m/>
    <s v="*MAV260901228"/>
    <s v="*MAV260901228"/>
    <n v="1.3283650746984048E-4"/>
  </r>
  <r>
    <x v="28"/>
    <s v="Pesos"/>
    <d v="2026-09-30T00:00:00"/>
    <s v="29/09/2026"/>
    <n v="0.99912407000000003"/>
    <m/>
    <n v="10000000"/>
    <n v="9991240.6500000004"/>
    <n v="10000000"/>
    <n v="9991240.6500000004"/>
    <n v="1101"/>
    <s v="AMOMPY"/>
    <s v="Momentum Capital Investment S.A."/>
    <s v="28/08/2026"/>
    <s v="28/08/2026"/>
    <n v="32"/>
    <s v="No"/>
    <s v=""/>
    <m/>
    <m/>
    <s v="*MAV280901310"/>
    <s v="*MAV280901310"/>
    <n v="1.3282923640426224E-4"/>
  </r>
  <r>
    <x v="30"/>
    <s v="Pesos"/>
    <d v="2026-09-30T00:00:00"/>
    <s v="29/09/2026"/>
    <n v="0.99912409999999996"/>
    <m/>
    <n v="200000"/>
    <n v="199824.82"/>
    <n v="200000"/>
    <n v="199824.82"/>
    <n v="4668"/>
    <s v="AMOMPY"/>
    <s v="Momentum Capital Investment S.A."/>
    <s v="18/09/2026"/>
    <s v="18/09/2026"/>
    <n v="32"/>
    <s v="No"/>
    <s v=""/>
    <m/>
    <m/>
    <s v="*MAV260901605"/>
    <s v="*MAV260901605"/>
    <n v="2.6565848211472262E-6"/>
  </r>
  <r>
    <x v="31"/>
    <s v="Pesos"/>
    <d v="2026-09-30T00:00:00"/>
    <s v="29/09/2026"/>
    <n v="0.99912407000000003"/>
    <m/>
    <n v="808920.03"/>
    <n v="808211.47"/>
    <n v="808920.03"/>
    <n v="808211.47"/>
    <n v="2882"/>
    <s v="AMOMPY"/>
    <s v="Momentum Capital Investment S.A."/>
    <s v="18/09/2026"/>
    <s v="18/09/2026"/>
    <n v="32"/>
    <s v="No"/>
    <s v=""/>
    <m/>
    <m/>
    <s v="*MAV260901604"/>
    <s v="*MAV260901604"/>
    <n v="1.0744823007868025E-5"/>
  </r>
  <r>
    <x v="32"/>
    <s v="Pesos"/>
    <d v="2026-09-30T00:00:00"/>
    <s v="29/09/2026"/>
    <n v="0.99912405999999998"/>
    <m/>
    <n v="30000000"/>
    <n v="29973721.75"/>
    <n v="30000000"/>
    <n v="29973721.75"/>
    <n v="29635892"/>
    <s v="AMOMPY"/>
    <s v="Momentum Capital Investment S.A."/>
    <s v="14/07/2026"/>
    <s v="14/07/2026"/>
    <n v="32"/>
    <s v="No"/>
    <s v=""/>
    <m/>
    <m/>
    <s v="*MAV280900977"/>
    <s v="*MAV280900977"/>
    <n v="3.9848770655387291E-4"/>
  </r>
  <r>
    <x v="33"/>
    <s v="Pesos"/>
    <d v="2026-09-30T00:00:00"/>
    <s v="29/09/2026"/>
    <n v="0.99912403999999999"/>
    <m/>
    <n v="73770.070000000007"/>
    <n v="73705.45"/>
    <n v="73770.070000000007"/>
    <n v="73705.45"/>
    <n v="75636568"/>
    <s v="AMOMPY"/>
    <s v="Momentum Capital Investment S.A."/>
    <s v="18/09/2026"/>
    <s v="18/09/2026"/>
    <n v="32"/>
    <s v="No"/>
    <s v=""/>
    <m/>
    <m/>
    <s v="*MAV280901563"/>
    <s v="*MAV280901563"/>
    <n v="9.7988217732825086E-7"/>
  </r>
  <r>
    <x v="1"/>
    <s v="Pesos"/>
    <d v="2026-09-30T00:00:00"/>
    <s v="29/09/2026"/>
    <n v="0.99923346999999996"/>
    <m/>
    <n v="12000000"/>
    <n v="11990801.58"/>
    <n v="12000000"/>
    <n v="11990801.58"/>
    <n v="29830739"/>
    <s v="AMOMPY"/>
    <s v="Momentum Capital Investment S.A."/>
    <s v="10/08/2026"/>
    <s v="10/08/2026"/>
    <n v="28"/>
    <s v="No"/>
    <s v=""/>
    <m/>
    <m/>
    <s v="*MAV280901136"/>
    <s v="*MAV280901136"/>
    <n v="1.5941253679505968E-4"/>
  </r>
  <r>
    <x v="2"/>
    <s v="Pesos"/>
    <d v="2026-09-30T00:00:00"/>
    <s v="29/09/2026"/>
    <n v="0.99912405999999998"/>
    <m/>
    <n v="40000000"/>
    <n v="39964962.32"/>
    <n v="40000000"/>
    <n v="39964962.32"/>
    <n v="13662792"/>
    <s v="AMOMPY"/>
    <s v="Momentum Capital Investment S.A."/>
    <s v="12/06/2026"/>
    <s v="12/06/2026"/>
    <n v="32"/>
    <s v="No"/>
    <s v=""/>
    <m/>
    <m/>
    <s v="*MAV280900860"/>
    <s v="*MAV280900860"/>
    <n v="5.313169418945696E-4"/>
  </r>
  <r>
    <x v="3"/>
    <s v="Pesos"/>
    <d v="2026-09-30T00:00:00"/>
    <s v="29/09/2026"/>
    <n v="0.99923346000000002"/>
    <m/>
    <n v="19222299.34"/>
    <n v="19207564.77"/>
    <n v="19222299.34"/>
    <n v="19207564.77"/>
    <n v="10537631"/>
    <s v="AMOMPY"/>
    <s v="Momentum Capital Investment S.A."/>
    <s v="10/08/2026"/>
    <s v="10/08/2026"/>
    <n v="28"/>
    <s v="No"/>
    <s v=""/>
    <m/>
    <m/>
    <s v="*MAV280901135"/>
    <s v="*MAV280901135"/>
    <n v="2.553562916717964E-4"/>
  </r>
  <r>
    <x v="34"/>
    <s v="Pesos"/>
    <d v="2026-09-30T00:00:00"/>
    <s v="29/09/2026"/>
    <n v="0.99909671"/>
    <m/>
    <n v="2500000"/>
    <n v="2497741.77"/>
    <n v="2500000"/>
    <n v="2497741.77"/>
    <n v="1202"/>
    <s v="AMOMPY"/>
    <s v="Momentum Capital Investment S.A."/>
    <s v="19/05/2026"/>
    <s v="19/05/2026"/>
    <n v="33"/>
    <s v="No"/>
    <s v=""/>
    <m/>
    <m/>
    <s v="*MAV280900819"/>
    <s v="*MAV280900819"/>
    <n v="3.320639985226763E-5"/>
  </r>
  <r>
    <x v="35"/>
    <s v="Pesos"/>
    <d v="2026-09-30T00:00:00"/>
    <s v="29/09/2026"/>
    <n v="0.99909671"/>
    <m/>
    <n v="5000000"/>
    <n v="4995483.55"/>
    <n v="5000000"/>
    <n v="4995483.55"/>
    <n v="3042"/>
    <s v="AMOMPY"/>
    <s v="Momentum Capital Investment S.A."/>
    <s v="21/07/2026"/>
    <s v="21/07/2026"/>
    <n v="33"/>
    <s v="No"/>
    <s v=""/>
    <m/>
    <m/>
    <s v="*MAV280901016"/>
    <s v="*MAV280901016"/>
    <n v="6.6412799837480956E-5"/>
  </r>
  <r>
    <x v="8"/>
    <s v="Pesos"/>
    <d v="2026-09-30T00:00:00"/>
    <s v="29/09/2026"/>
    <n v="0.99923346999999996"/>
    <m/>
    <n v="9000000"/>
    <n v="8993101.1899999995"/>
    <n v="9000000"/>
    <n v="8993101.1899999995"/>
    <n v="68958373"/>
    <s v="AMOMPY"/>
    <s v="Momentum Capital Investment S.A."/>
    <s v="14/08/2026"/>
    <s v="14/08/2026"/>
    <n v="28"/>
    <s v="No"/>
    <s v=""/>
    <m/>
    <m/>
    <s v="*MIL280900025"/>
    <s v="*MIL280900025"/>
    <n v="1.195594026627676E-4"/>
  </r>
  <r>
    <x v="8"/>
    <s v="Pesos"/>
    <d v="2026-09-30T00:00:00"/>
    <s v="29/09/2026"/>
    <n v="0.99923346999999996"/>
    <m/>
    <n v="14000000"/>
    <n v="13989268.52"/>
    <n v="14000000"/>
    <n v="13989268.52"/>
    <n v="198"/>
    <s v="AMOMPY"/>
    <s v="Momentum Capital Investment S.A."/>
    <s v="14/08/2026"/>
    <s v="14/08/2026"/>
    <n v="28"/>
    <s v="No"/>
    <s v=""/>
    <m/>
    <m/>
    <s v="*MIL260900036"/>
    <s v="*MIL260900036"/>
    <n v="1.859812930605153E-4"/>
  </r>
  <r>
    <x v="36"/>
    <s v="Pesos"/>
    <d v="2026-09-30T00:00:00"/>
    <s v="29/09/2026"/>
    <n v="0.99909672999999999"/>
    <m/>
    <n v="437235"/>
    <n v="436840.06"/>
    <n v="437235"/>
    <n v="436840.06"/>
    <n v="88187681"/>
    <s v="AMOMPY"/>
    <s v="Momentum Capital Investment S.A."/>
    <s v="14/09/2026"/>
    <s v="14/09/2026"/>
    <n v="33"/>
    <s v="No"/>
    <s v=""/>
    <m/>
    <m/>
    <s v="*MAV260901568"/>
    <s v="*MAV260901568"/>
    <n v="5.8076002403757626E-6"/>
  </r>
  <r>
    <x v="9"/>
    <s v="Pesos"/>
    <d v="2026-09-30T00:00:00"/>
    <s v="29/09/2026"/>
    <n v="0.99909671"/>
    <m/>
    <n v="42880531.420000002"/>
    <n v="42841797.899999999"/>
    <n v="42880531.420000002"/>
    <n v="42841797.899999999"/>
    <n v="68960995"/>
    <s v="AMOMPY"/>
    <s v="Momentum Capital Investment S.A."/>
    <s v="19/08/2026"/>
    <s v="19/08/2026"/>
    <n v="33"/>
    <s v="No"/>
    <s v=""/>
    <m/>
    <m/>
    <s v="*MAV260901429"/>
    <s v="*MAV260901429"/>
    <n v="5.6956323049257396E-4"/>
  </r>
  <r>
    <x v="10"/>
    <s v="Pesos"/>
    <d v="2026-09-30T00:00:00"/>
    <s v="29/09/2026"/>
    <n v="0.99915140999999996"/>
    <m/>
    <n v="2408000"/>
    <n v="2405956.6"/>
    <n v="2408000"/>
    <n v="2405956.6"/>
    <n v="759"/>
    <s v="AMOMPY"/>
    <s v="Momentum Capital Investment S.A."/>
    <s v="03/09/2026"/>
    <s v="03/09/2026"/>
    <n v="31"/>
    <s v="No"/>
    <s v=""/>
    <m/>
    <m/>
    <s v="*MAV280901395"/>
    <s v="*MAV280901395"/>
    <n v="3.1986155593179008E-5"/>
  </r>
  <r>
    <x v="37"/>
    <s v="Pesos"/>
    <d v="2026-09-30T00:00:00"/>
    <s v="29/09/2026"/>
    <n v="0.99917876000000005"/>
    <m/>
    <n v="50000000"/>
    <n v="49958937.950000003"/>
    <n v="50000000"/>
    <n v="49958937.950000003"/>
    <n v="787"/>
    <s v="AMOMPY"/>
    <s v="Momentum Capital Investment S.A."/>
    <s v="22/04/2026"/>
    <s v="22/04/2026"/>
    <n v="30"/>
    <s v="No"/>
    <s v=""/>
    <m/>
    <m/>
    <s v="*AFB280900003"/>
    <s v="*AFB280900003"/>
    <n v="6.6418253867865933E-4"/>
  </r>
  <r>
    <x v="38"/>
    <s v="Pesos"/>
    <d v="2026-09-30T00:00:00"/>
    <s v="29/09/2026"/>
    <n v="0.99923346000000002"/>
    <m/>
    <n v="35000000"/>
    <n v="34973171.270000003"/>
    <n v="35000000"/>
    <n v="34973171.270000003"/>
    <n v="3329633"/>
    <s v="AMOMPY"/>
    <s v="Momentum Capital Investment S.A."/>
    <s v="30/04/2026"/>
    <s v="30/04/2026"/>
    <n v="28"/>
    <s v="No"/>
    <s v=""/>
    <m/>
    <m/>
    <s v="*FID260900031"/>
    <s v="*FID260900031"/>
    <n v="4.6495323225245126E-4"/>
  </r>
  <r>
    <x v="39"/>
    <s v="Pesos"/>
    <d v="2026-09-30T00:00:00"/>
    <s v="29/09/2026"/>
    <n v="0.99926082000000005"/>
    <m/>
    <n v="5000000"/>
    <n v="4996304.12"/>
    <n v="5000000"/>
    <n v="4996304.12"/>
    <n v="6903287"/>
    <s v="AMOMPY"/>
    <s v="Momentum Capital Investment S.A."/>
    <s v="02/09/2026"/>
    <s v="02/09/2026"/>
    <n v="27"/>
    <s v="No"/>
    <s v=""/>
    <m/>
    <m/>
    <s v="*FED260900029"/>
    <s v="*FED260900029"/>
    <n v="6.6423708961816402E-5"/>
  </r>
  <r>
    <x v="39"/>
    <s v="Pesos"/>
    <d v="2026-09-30T00:00:00"/>
    <s v="29/09/2026"/>
    <n v="0.99931552000000001"/>
    <m/>
    <n v="408135"/>
    <n v="407855.64"/>
    <n v="408135"/>
    <n v="407855.64"/>
    <n v="2227"/>
    <s v="AMOMPY"/>
    <s v="Momentum Capital Investment S.A."/>
    <s v="04/08/2026"/>
    <s v="04/08/2026"/>
    <n v="25"/>
    <s v="No"/>
    <s v=""/>
    <m/>
    <m/>
    <s v="*FED280900127"/>
    <s v="*FED280900127"/>
    <n v="5.422264874019591E-6"/>
  </r>
  <r>
    <x v="40"/>
    <s v="Pesos"/>
    <d v="2026-09-30T00:00:00"/>
    <s v="29/09/2026"/>
    <n v="0.99917876000000005"/>
    <m/>
    <n v="830000"/>
    <n v="829318.37"/>
    <n v="830000"/>
    <n v="829318.37"/>
    <n v="90"/>
    <s v="AMOMPY"/>
    <s v="Momentum Capital Investment S.A."/>
    <s v="15/07/2026"/>
    <s v="15/07/2026"/>
    <n v="30"/>
    <s v="No"/>
    <s v=""/>
    <m/>
    <m/>
    <s v="*MAV280900981"/>
    <s v="*MAV280900981"/>
    <n v="1.102543014246458E-5"/>
  </r>
  <r>
    <x v="41"/>
    <s v="Pesos"/>
    <d v="2026-09-30T00:00:00"/>
    <s v="29/09/2026"/>
    <n v="0.99917876000000005"/>
    <m/>
    <n v="2500000"/>
    <n v="2497946.9"/>
    <n v="2500000"/>
    <n v="2497946.9"/>
    <n v="383"/>
    <s v="AMOMPY"/>
    <s v="Momentum Capital Investment S.A."/>
    <s v="15/07/2026"/>
    <s v="15/07/2026"/>
    <n v="30"/>
    <s v="No"/>
    <s v=""/>
    <m/>
    <m/>
    <s v="*MAV280900982"/>
    <s v="*MAV280900982"/>
    <n v="3.3209126967169383E-5"/>
  </r>
  <r>
    <x v="42"/>
    <s v="Pesos"/>
    <d v="2026-09-30T00:00:00"/>
    <s v="29/09/2026"/>
    <n v="0.99917876000000005"/>
    <m/>
    <n v="2870567.11"/>
    <n v="2868209.68"/>
    <n v="2870567.11"/>
    <n v="2868209.68"/>
    <n v="107"/>
    <s v="AMOMPY"/>
    <s v="Momentum Capital Investment S.A."/>
    <s v="20/07/2026"/>
    <s v="20/07/2026"/>
    <n v="30"/>
    <s v="No"/>
    <s v=""/>
    <m/>
    <m/>
    <s v="*MAV260901324"/>
    <s v="*MAV260901324"/>
    <n v="3.8131610976832323E-5"/>
  </r>
  <r>
    <x v="43"/>
    <s v="Pesos"/>
    <d v="2026-09-30T00:00:00"/>
    <s v="29/09/2026"/>
    <n v="0.99917876999999999"/>
    <m/>
    <n v="555886.5"/>
    <n v="555429.99"/>
    <n v="555886.5"/>
    <n v="555429.99"/>
    <n v="113284"/>
    <s v="AMOMPY"/>
    <s v="Momentum Capital Investment S.A."/>
    <s v="29/07/2026"/>
    <s v="29/07/2026"/>
    <n v="30"/>
    <s v="No"/>
    <s v=""/>
    <m/>
    <m/>
    <s v="*MAV280901048"/>
    <s v="*MAV280901048"/>
    <n v="7.384202225949487E-6"/>
  </r>
  <r>
    <x v="44"/>
    <s v="Pesos"/>
    <d v="2026-09-30T00:00:00"/>
    <s v="29/09/2026"/>
    <n v="0.99917876000000005"/>
    <m/>
    <n v="1500000"/>
    <n v="1498768.14"/>
    <n v="1500000"/>
    <n v="1498768.14"/>
    <n v="1971"/>
    <s v="AMOMPY"/>
    <s v="Momentum Capital Investment S.A."/>
    <s v="24/07/2026"/>
    <s v="24/07/2026"/>
    <n v="30"/>
    <s v="No"/>
    <s v=""/>
    <m/>
    <m/>
    <s v="*MAV260901340"/>
    <s v="*MAV260901340"/>
    <n v="1.9925476180301631E-5"/>
  </r>
  <r>
    <x v="15"/>
    <s v="Pesos"/>
    <d v="2026-09-30T00:00:00"/>
    <s v="29/09/2026"/>
    <n v="0.99923346999999996"/>
    <m/>
    <n v="5225717"/>
    <n v="5221711.3099999996"/>
    <n v="5225717"/>
    <n v="5221711.3099999996"/>
    <n v="3172"/>
    <s v="AMOMPY"/>
    <s v="Momentum Capital Investment S.A."/>
    <s v="10/08/2026"/>
    <s v="10/08/2026"/>
    <n v="28"/>
    <s v="No"/>
    <s v=""/>
    <m/>
    <m/>
    <s v="*MAV260901395"/>
    <s v="*MAV260901395"/>
    <n v="6.9420400361470602E-5"/>
  </r>
  <r>
    <x v="45"/>
    <s v="Pesos"/>
    <d v="2026-09-30T00:00:00"/>
    <s v="29/09/2026"/>
    <n v="0.99920611000000004"/>
    <m/>
    <n v="10000000"/>
    <n v="9992061.1099999994"/>
    <n v="10000000"/>
    <n v="9992061.1099999994"/>
    <n v="3487824"/>
    <s v="AMOMPY"/>
    <s v="Momentum Capital Investment S.A."/>
    <s v="05/05/2026"/>
    <s v="05/05/2026"/>
    <n v="29"/>
    <s v="No"/>
    <s v=""/>
    <m/>
    <m/>
    <s v="*NEU260900020"/>
    <s v="*NEU260900020"/>
    <n v="1.328401440661951E-4"/>
  </r>
  <r>
    <x v="46"/>
    <s v="Pesos"/>
    <d v="2026-09-30T00:00:00"/>
    <s v="29/09/2026"/>
    <n v="0.99909672000000005"/>
    <m/>
    <n v="5818733.0800000001"/>
    <n v="5813477.1200000001"/>
    <n v="5818733.0800000001"/>
    <n v="5813477.1200000001"/>
    <n v="14315661"/>
    <s v="AMOMPY"/>
    <s v="Momentum Capital Investment S.A."/>
    <s v="07/09/2026"/>
    <s v="07/09/2026"/>
    <n v="33"/>
    <s v="No"/>
    <s v=""/>
    <m/>
    <m/>
    <s v="*MAV280901419"/>
    <s v="*MAV280901419"/>
    <n v="7.7287671646989064E-5"/>
  </r>
  <r>
    <x v="47"/>
    <s v="Pesos"/>
    <d v="2026-09-30T00:00:00"/>
    <s v="29/09/2026"/>
    <n v="0.99923346999999996"/>
    <m/>
    <n v="11902483.460000001"/>
    <n v="11893359.789999999"/>
    <n v="11902483.460000001"/>
    <n v="11893359.789999999"/>
    <n v="31834827"/>
    <s v="AMOMPY"/>
    <s v="Momentum Capital Investment S.A."/>
    <s v="10/08/2026"/>
    <s v="10/08/2026"/>
    <n v="28"/>
    <s v="No"/>
    <s v=""/>
    <m/>
    <m/>
    <s v="*MAV270901096"/>
    <s v="*MAV270901096"/>
    <n v="1.5811709021210058E-4"/>
  </r>
  <r>
    <x v="48"/>
    <s v="Pesos"/>
    <d v="2026-09-30T00:00:00"/>
    <s v="29/09/2026"/>
    <n v="0.99904201999999998"/>
    <m/>
    <n v="6000000"/>
    <n v="5994252.0899999999"/>
    <n v="6000000"/>
    <n v="5994252.0899999999"/>
    <n v="40761910"/>
    <s v="AMOMPY"/>
    <s v="Momentum Capital Investment S.A."/>
    <s v="16/07/2026"/>
    <s v="16/07/2026"/>
    <n v="35"/>
    <s v="No"/>
    <s v=""/>
    <m/>
    <m/>
    <s v="*MAV280900986"/>
    <s v="*MAV280900986"/>
    <n v="7.9690996926327952E-5"/>
  </r>
  <r>
    <x v="49"/>
    <s v="Pesos"/>
    <d v="2026-09-30T00:00:00"/>
    <s v="29/09/2026"/>
    <n v="0.99895999000000002"/>
    <m/>
    <n v="4500591.28"/>
    <n v="4495910.62"/>
    <n v="4500591.28"/>
    <n v="4495910.62"/>
    <n v="90000179"/>
    <s v="AMOMPY"/>
    <s v="Momentum Capital Investment S.A."/>
    <s v="22/04/2026"/>
    <s v="22/04/2026"/>
    <n v="38"/>
    <s v="No"/>
    <s v=""/>
    <m/>
    <m/>
    <s v="*MAV260901222"/>
    <s v="*MAV260901222"/>
    <n v="5.9771193139704141E-5"/>
  </r>
  <r>
    <x v="50"/>
    <s v="Pesos"/>
    <d v="2026-09-30T00:00:00"/>
    <s v="29/09/2026"/>
    <n v="0.99917876000000005"/>
    <m/>
    <n v="100000000"/>
    <n v="99917875.849999994"/>
    <n v="100000000"/>
    <n v="99917875.849999994"/>
    <n v="90003961"/>
    <s v="AMOMPY"/>
    <s v="Momentum Capital Investment S.A."/>
    <s v="31/07/2026"/>
    <s v="31/07/2026"/>
    <n v="30"/>
    <s v="No"/>
    <s v=""/>
    <m/>
    <m/>
    <s v="*MAV280901079"/>
    <s v="*MAV280901079"/>
    <n v="1.32836507669259E-3"/>
  </r>
  <r>
    <x v="51"/>
    <s v="Pesos"/>
    <d v="2026-09-30T00:00:00"/>
    <s v="29/09/2026"/>
    <n v="0.99909671"/>
    <m/>
    <n v="1716831.66"/>
    <n v="1715280.86"/>
    <n v="1716831.66"/>
    <n v="1715280.86"/>
    <n v="112156"/>
    <s v="AMOMPY"/>
    <s v="Momentum Capital Investment S.A."/>
    <s v="11/08/2026"/>
    <s v="11/08/2026"/>
    <n v="33"/>
    <s v="No"/>
    <s v=""/>
    <m/>
    <m/>
    <s v="*MAV280901151"/>
    <s v="*MAV280901151"/>
    <n v="2.2803919436436178E-5"/>
  </r>
  <r>
    <x v="51"/>
    <s v="Pesos"/>
    <d v="2026-09-30T00:00:00"/>
    <s v="29/09/2026"/>
    <n v="0.99909671"/>
    <m/>
    <n v="21884339.98"/>
    <n v="21864572.050000001"/>
    <n v="21884339.98"/>
    <n v="21864572.050000001"/>
    <n v="112097"/>
    <s v="AMOMPY"/>
    <s v="Momentum Capital Investment S.A."/>
    <s v="11/08/2026"/>
    <s v="11/08/2026"/>
    <n v="33"/>
    <s v="No"/>
    <s v=""/>
    <m/>
    <m/>
    <s v="*MAV280901152"/>
    <s v="*MAV280901152"/>
    <n v="2.9068005780718279E-4"/>
  </r>
  <r>
    <x v="26"/>
    <s v="Pesos"/>
    <d v="2026-09-30T00:00:00"/>
    <s v="29/09/2026"/>
    <n v="0.99912405999999998"/>
    <m/>
    <n v="3696365"/>
    <n v="3693127.22"/>
    <n v="3696365"/>
    <n v="3693127.22"/>
    <n v="90044889"/>
    <s v="AMOMPY"/>
    <s v="Momentum Capital Investment S.A."/>
    <s v="28/08/2026"/>
    <s v="28/08/2026"/>
    <n v="32"/>
    <s v="No"/>
    <s v=""/>
    <m/>
    <m/>
    <s v="*MAV280901302"/>
    <s v="*MAV280901302"/>
    <n v="4.9098533982003102E-5"/>
  </r>
  <r>
    <x v="28"/>
    <s v="Pesos"/>
    <d v="2026-09-30T00:00:00"/>
    <s v="29/09/2026"/>
    <n v="0.99917876000000005"/>
    <m/>
    <n v="3300000"/>
    <n v="3297289.91"/>
    <n v="3300000"/>
    <n v="3297289.91"/>
    <n v="921"/>
    <s v="AMOMPY"/>
    <s v="Momentum Capital Investment S.A."/>
    <s v="11/08/2026"/>
    <s v="11/08/2026"/>
    <n v="30"/>
    <s v="No"/>
    <s v=""/>
    <m/>
    <m/>
    <s v="*MAV280901148"/>
    <s v="*MAV280901148"/>
    <n v="4.3836047623252725E-5"/>
  </r>
  <r>
    <x v="52"/>
    <s v="Pesos"/>
    <d v="2026-10-01T00:00:00"/>
    <s v="29/09/2026"/>
    <n v="0.99819506000000002"/>
    <m/>
    <n v="500000000"/>
    <n v="499097527.69999999"/>
    <n v="500000000"/>
    <n v="499097527.69999999"/>
    <n v="162911"/>
    <s v="AMOMPY"/>
    <s v="Momentum Capital Investment S.A."/>
    <s v="31/08/2026"/>
    <s v="31/08/2026"/>
    <n v="33"/>
    <s v="No"/>
    <s v=""/>
    <m/>
    <m/>
    <s v="#MAV300960080"/>
    <s v="#MAV300960080"/>
    <n v="6.6352864291829572E-3"/>
  </r>
  <r>
    <x v="28"/>
    <s v="Pesos"/>
    <d v="2026-10-01T00:00:00"/>
    <s v="29/09/2026"/>
    <n v="0.99835887000000001"/>
    <m/>
    <n v="10000000"/>
    <n v="9983588.6600000001"/>
    <n v="10000000"/>
    <n v="9983588.6600000001"/>
    <n v="675"/>
    <s v="AMOMPY"/>
    <s v="Momentum Capital Investment S.A."/>
    <s v="23/06/2026"/>
    <s v="23/06/2026"/>
    <n v="30"/>
    <s v="No"/>
    <s v=""/>
    <m/>
    <m/>
    <s v="*MAV290901239"/>
    <s v="*MAV290901239"/>
    <n v="1.3272750649660826E-4"/>
  </r>
  <r>
    <x v="28"/>
    <s v="Pesos"/>
    <d v="2026-10-01T00:00:00"/>
    <s v="29/09/2026"/>
    <n v="0.99835885999999996"/>
    <m/>
    <n v="5000000"/>
    <n v="4991794.32"/>
    <n v="5000000"/>
    <n v="4991794.32"/>
    <n v="784"/>
    <s v="AMOMPY"/>
    <s v="Momentum Capital Investment S.A."/>
    <s v="14/07/2026"/>
    <s v="14/07/2026"/>
    <n v="30"/>
    <s v="No"/>
    <s v=""/>
    <m/>
    <m/>
    <s v="*MAV290901311"/>
    <s v="*MAV290901311"/>
    <n v="6.6363753115358448E-5"/>
  </r>
  <r>
    <x v="32"/>
    <s v="Pesos"/>
    <d v="2026-10-01T00:00:00"/>
    <s v="29/09/2026"/>
    <n v="0.99824964999999999"/>
    <m/>
    <n v="30000000"/>
    <n v="29947489.420000002"/>
    <n v="30000000"/>
    <n v="29947489.420000002"/>
    <n v="29635891"/>
    <s v="AMOMPY"/>
    <s v="Momentum Capital Investment S.A."/>
    <s v="14/07/2026"/>
    <s v="14/07/2026"/>
    <n v="32"/>
    <s v="No"/>
    <s v=""/>
    <m/>
    <m/>
    <s v="*MAV290901307"/>
    <s v="*MAV290901307"/>
    <n v="3.9813895903741662E-4"/>
  </r>
  <r>
    <x v="3"/>
    <s v="Pesos"/>
    <d v="2026-10-01T00:00:00"/>
    <s v="29/09/2026"/>
    <n v="0.99846811000000002"/>
    <m/>
    <n v="19300000"/>
    <n v="19270434.559999999"/>
    <n v="19300000"/>
    <n v="19270434.559999999"/>
    <n v="10537630"/>
    <s v="AMOMPY"/>
    <s v="Momentum Capital Investment S.A."/>
    <s v="10/08/2026"/>
    <s v="10/08/2026"/>
    <n v="28"/>
    <s v="No"/>
    <s v=""/>
    <m/>
    <m/>
    <s v="*MAV290901445"/>
    <s v="*MAV290901445"/>
    <n v="2.5619211842156008E-4"/>
  </r>
  <r>
    <x v="53"/>
    <s v="Pesos"/>
    <d v="2026-10-01T00:00:00"/>
    <s v="29/09/2026"/>
    <n v="0.99819504999999997"/>
    <m/>
    <n v="15000000"/>
    <n v="14972925.75"/>
    <n v="15000000"/>
    <n v="14972925.75"/>
    <n v="2338"/>
    <s v="AMOMPY"/>
    <s v="Momentum Capital Investment S.A."/>
    <s v="08/07/2026"/>
    <s v="08/07/2026"/>
    <n v="33"/>
    <s v="No"/>
    <s v=""/>
    <m/>
    <m/>
    <s v="*MAV290901291"/>
    <s v="*MAV290901291"/>
    <n v="1.9905859179862866E-4"/>
  </r>
  <r>
    <x v="53"/>
    <s v="Pesos"/>
    <d v="2026-10-01T00:00:00"/>
    <s v="29/09/2026"/>
    <n v="0.99819504999999997"/>
    <m/>
    <n v="15000000"/>
    <n v="14972925.75"/>
    <n v="15000000"/>
    <n v="14972925.75"/>
    <n v="2327"/>
    <s v="AMOMPY"/>
    <s v="Momentum Capital Investment S.A."/>
    <s v="08/07/2026"/>
    <s v="08/07/2026"/>
    <n v="33"/>
    <s v="No"/>
    <s v=""/>
    <m/>
    <m/>
    <s v="*MAV290901292"/>
    <s v="*MAV290901292"/>
    <n v="1.9905859179862866E-4"/>
  </r>
  <r>
    <x v="54"/>
    <s v="Pesos"/>
    <d v="2026-10-01T00:00:00"/>
    <s v="29/09/2026"/>
    <n v="0.99835887000000001"/>
    <m/>
    <n v="1852533.42"/>
    <n v="1849493.18"/>
    <n v="1852533.42"/>
    <n v="1849493.18"/>
    <n v="20521665"/>
    <s v="AMOMPY"/>
    <s v="Momentum Capital Investment S.A."/>
    <s v="11/09/2026"/>
    <s v="11/09/2026"/>
    <n v="30"/>
    <s v="No"/>
    <s v=""/>
    <m/>
    <m/>
    <s v="*MAV290901746"/>
    <s v="*MAV290901746"/>
    <n v="2.458821436097535E-5"/>
  </r>
  <r>
    <x v="6"/>
    <s v="Pesos"/>
    <d v="2026-10-01T00:00:00"/>
    <s v="29/09/2026"/>
    <n v="0.99863201999999995"/>
    <m/>
    <n v="32000000"/>
    <n v="31956224.539999999"/>
    <n v="32000000"/>
    <n v="31956224.539999999"/>
    <n v="5311"/>
    <s v="AMOMPY"/>
    <s v="Momentum Capital Investment S.A."/>
    <s v="16/07/2026"/>
    <s v="16/07/2026"/>
    <n v="25"/>
    <s v="No"/>
    <s v=""/>
    <m/>
    <m/>
    <s v="*PRO290900004"/>
    <s v="*PRO290900004"/>
    <n v="4.2484422632852364E-4"/>
  </r>
  <r>
    <x v="55"/>
    <s v="Pesos"/>
    <d v="2026-10-01T00:00:00"/>
    <s v="29/09/2026"/>
    <n v="0.99846811000000002"/>
    <m/>
    <n v="62410311.859999999"/>
    <n v="62314705.969999999"/>
    <n v="62410311.859999999"/>
    <n v="62314705.969999999"/>
    <n v="40292289"/>
    <s v="AMOMPY"/>
    <s v="Momentum Capital Investment S.A."/>
    <s v="05/08/2026"/>
    <s v="05/08/2026"/>
    <n v="28"/>
    <s v="No"/>
    <s v=""/>
    <m/>
    <m/>
    <s v="*MAV290901415"/>
    <s v="*MAV290901415"/>
    <n v="8.284471469267653E-4"/>
  </r>
  <r>
    <x v="8"/>
    <s v="Pesos"/>
    <d v="2026-10-01T00:00:00"/>
    <s v="29/09/2026"/>
    <n v="0.99863201000000001"/>
    <m/>
    <n v="10000000"/>
    <n v="9986320.1199999992"/>
    <n v="10000000"/>
    <n v="9986320.1199999992"/>
    <n v="188"/>
    <s v="AMOMPY"/>
    <s v="Momentum Capital Investment S.A."/>
    <s v="17/07/2026"/>
    <s v="17/07/2026"/>
    <n v="25"/>
    <s v="No"/>
    <s v=""/>
    <m/>
    <m/>
    <s v="*MIL290900039"/>
    <s v="*MIL290900039"/>
    <n v="1.3276382007955341E-4"/>
  </r>
  <r>
    <x v="56"/>
    <s v="Pesos"/>
    <d v="2026-10-01T00:00:00"/>
    <s v="29/09/2026"/>
    <n v="0.99819506000000002"/>
    <m/>
    <n v="500000000"/>
    <n v="499097527.69999999"/>
    <n v="500000000"/>
    <n v="499097527.69999999"/>
    <n v="162912"/>
    <s v="AMOMPY"/>
    <s v="Momentum Capital Investment S.A."/>
    <s v="31/08/2026"/>
    <s v="31/08/2026"/>
    <n v="33"/>
    <s v="No"/>
    <s v=""/>
    <m/>
    <m/>
    <s v="#MAV300960078"/>
    <s v="#MAV300960078"/>
    <n v="6.6352864291829572E-3"/>
  </r>
  <r>
    <x v="57"/>
    <s v="Pesos"/>
    <d v="2026-10-01T00:00:00"/>
    <s v="29/09/2026"/>
    <n v="0.99835885999999996"/>
    <m/>
    <n v="2000000"/>
    <n v="1996717.73"/>
    <n v="2000000"/>
    <n v="1996717.73"/>
    <n v="9805"/>
    <s v="AMOMPY"/>
    <s v="Momentum Capital Investment S.A."/>
    <s v="04/08/2026"/>
    <s v="04/08/2026"/>
    <n v="30"/>
    <s v="No"/>
    <s v=""/>
    <m/>
    <m/>
    <s v="*MAV290901408"/>
    <s v="*MAV290901408"/>
    <n v="2.6545501272732515E-5"/>
  </r>
  <r>
    <x v="58"/>
    <s v="Pesos"/>
    <d v="2026-10-01T00:00:00"/>
    <s v="29/09/2026"/>
    <n v="0.99819506000000002"/>
    <m/>
    <n v="12936672"/>
    <n v="12913322.07"/>
    <n v="12936672"/>
    <n v="12913322.07"/>
    <n v="99913013"/>
    <s v="AMOMPY"/>
    <s v="Momentum Capital Investment S.A."/>
    <s v="18/08/2026"/>
    <s v="18/08/2026"/>
    <n v="33"/>
    <s v="No"/>
    <s v=""/>
    <m/>
    <m/>
    <s v="*MAV290901494"/>
    <s v="*MAV290901494"/>
    <n v="1.7167704893590035E-4"/>
  </r>
  <r>
    <x v="59"/>
    <s v="Pesos"/>
    <d v="2026-10-01T00:00:00"/>
    <s v="29/09/2026"/>
    <n v="0.99824964999999999"/>
    <m/>
    <n v="1391500"/>
    <n v="1389064.39"/>
    <n v="1391500"/>
    <n v="1389064.39"/>
    <n v="90001265"/>
    <s v="AMOMPY"/>
    <s v="Momentum Capital Investment S.A."/>
    <s v="22/07/2026"/>
    <s v="22/07/2026"/>
    <n v="32"/>
    <s v="No"/>
    <s v=""/>
    <m/>
    <m/>
    <s v="*MAV290901342"/>
    <s v="*MAV290901342"/>
    <n v="1.8467012126272054E-5"/>
  </r>
  <r>
    <x v="15"/>
    <s v="Pesos"/>
    <d v="2026-10-01T00:00:00"/>
    <s v="29/09/2026"/>
    <n v="0.99846811000000002"/>
    <m/>
    <n v="5225717"/>
    <n v="5217711.79"/>
    <n v="5225717"/>
    <n v="5217711.79"/>
    <n v="3173"/>
    <s v="AMOMPY"/>
    <s v="Momentum Capital Investment S.A."/>
    <s v="10/08/2026"/>
    <s v="10/08/2026"/>
    <n v="28"/>
    <s v="No"/>
    <s v=""/>
    <m/>
    <m/>
    <s v="*MAV290901446"/>
    <s v="*MAV290901446"/>
    <n v="6.9367228467589386E-5"/>
  </r>
  <r>
    <x v="60"/>
    <s v="Pesos"/>
    <d v="2026-10-01T00:00:00"/>
    <s v="29/09/2026"/>
    <n v="0.99792214999999995"/>
    <m/>
    <n v="298500000"/>
    <n v="297879762.00999999"/>
    <n v="298500000"/>
    <n v="297879762.00999999"/>
    <n v="70403626"/>
    <s v="AMOMPY"/>
    <s v="Momentum Capital Investment S.A."/>
    <s v="18/08/2026"/>
    <s v="18/08/2026"/>
    <n v="38"/>
    <s v="No"/>
    <s v=""/>
    <m/>
    <m/>
    <s v="*MAV290901490"/>
    <s v="*MAV290901490"/>
    <n v="3.9601829956995042E-3"/>
  </r>
  <r>
    <x v="61"/>
    <s v="Pesos"/>
    <d v="2026-10-01T00:00:00"/>
    <s v="29/09/2026"/>
    <n v="0.99819504999999997"/>
    <m/>
    <n v="1500000000"/>
    <n v="1497292578.3"/>
    <n v="1500000000"/>
    <n v="1497292578.3"/>
    <n v="162639"/>
    <s v="AMOMPY"/>
    <s v="Momentum Capital Investment S.A."/>
    <s v="27/08/2026"/>
    <s v="27/08/2026"/>
    <n v="33"/>
    <s v="No"/>
    <s v=""/>
    <m/>
    <m/>
    <s v="#MAV300960074"/>
    <s v="#MAV300960074"/>
    <n v="1.9905859223734942E-2"/>
  </r>
  <r>
    <x v="48"/>
    <s v="Pesos"/>
    <d v="2026-10-01T00:00:00"/>
    <s v="29/09/2026"/>
    <n v="0.99808587000000004"/>
    <m/>
    <n v="1500000"/>
    <n v="1497128.8"/>
    <n v="1500000"/>
    <n v="1497128.8"/>
    <n v="40768642"/>
    <s v="AMOMPY"/>
    <s v="Momentum Capital Investment S.A."/>
    <s v="05/08/2026"/>
    <s v="05/08/2026"/>
    <n v="35"/>
    <s v="No"/>
    <s v=""/>
    <m/>
    <m/>
    <s v="*MAV290901416"/>
    <s v="*MAV290901416"/>
    <n v="1.9903681861854606E-5"/>
  </r>
  <r>
    <x v="21"/>
    <s v="Pesos"/>
    <d v="2026-10-01T00:00:00"/>
    <s v="29/09/2026"/>
    <n v="0.99824966000000004"/>
    <m/>
    <n v="10000000"/>
    <n v="9982496.6099999994"/>
    <n v="10000000"/>
    <n v="9982496.6099999994"/>
    <n v="14422561"/>
    <s v="AMOMPY"/>
    <s v="Momentum Capital Investment S.A."/>
    <s v="01/09/2026"/>
    <s v="01/09/2026"/>
    <n v="32"/>
    <s v="No"/>
    <s v=""/>
    <m/>
    <m/>
    <s v="*MAV290901627"/>
    <s v="*MAV290901627"/>
    <n v="1.3271298816272995E-4"/>
  </r>
  <r>
    <x v="50"/>
    <s v="Pesos"/>
    <d v="2026-10-01T00:00:00"/>
    <s v="29/09/2026"/>
    <n v="0.99835885999999996"/>
    <m/>
    <n v="100000000"/>
    <n v="99835886.200000003"/>
    <n v="100000000"/>
    <n v="99835886.200000003"/>
    <n v="90003962"/>
    <s v="AMOMPY"/>
    <s v="Momentum Capital Investment S.A."/>
    <s v="31/07/2026"/>
    <s v="31/07/2026"/>
    <n v="30"/>
    <s v="No"/>
    <s v=""/>
    <m/>
    <m/>
    <s v="*MAV290901395"/>
    <s v="*MAV290901395"/>
    <n v="1.327275059648255E-3"/>
  </r>
  <r>
    <x v="28"/>
    <s v="Pesos"/>
    <d v="2026-10-01T00:00:00"/>
    <s v="29/09/2026"/>
    <n v="0.99824966000000004"/>
    <m/>
    <n v="2000000"/>
    <n v="1996499.32"/>
    <n v="2000000"/>
    <n v="1996499.32"/>
    <n v="1007"/>
    <s v="AMOMPY"/>
    <s v="Momentum Capital Investment S.A."/>
    <s v="18/08/2026"/>
    <s v="18/08/2026"/>
    <n v="32"/>
    <s v="No"/>
    <s v=""/>
    <m/>
    <m/>
    <s v="*MAV290901491"/>
    <s v="*MAV290901491"/>
    <n v="2.6542597605956851E-5"/>
  </r>
  <r>
    <x v="28"/>
    <s v="Pesos"/>
    <d v="2026-10-01T00:00:00"/>
    <s v="29/09/2026"/>
    <n v="0.99835887000000001"/>
    <m/>
    <n v="2500000"/>
    <n v="2495897.1800000002"/>
    <n v="2500000"/>
    <n v="2495897.1800000002"/>
    <n v="902"/>
    <s v="AMOMPY"/>
    <s v="Momentum Capital Investment S.A."/>
    <s v="07/08/2026"/>
    <s v="07/08/2026"/>
    <n v="30"/>
    <s v="No"/>
    <s v=""/>
    <m/>
    <m/>
    <s v="*MAV290901425"/>
    <s v="*MAV290901425"/>
    <n v="3.3181876823570598E-5"/>
  </r>
  <r>
    <x v="28"/>
    <s v="Pesos"/>
    <d v="2026-10-01T00:00:00"/>
    <s v="29/09/2026"/>
    <n v="0.99835887000000001"/>
    <m/>
    <n v="2500000"/>
    <n v="2495897.1800000002"/>
    <n v="2500000"/>
    <n v="2495897.1800000002"/>
    <n v="911"/>
    <s v="AMOMPY"/>
    <s v="Momentum Capital Investment S.A."/>
    <s v="10/08/2026"/>
    <s v="10/08/2026"/>
    <n v="30"/>
    <s v="No"/>
    <s v=""/>
    <m/>
    <m/>
    <s v="*MAV290901434"/>
    <s v="*MAV290901434"/>
    <n v="3.3181876823570598E-5"/>
  </r>
  <r>
    <x v="28"/>
    <s v="Pesos"/>
    <d v="2026-10-02T00:00:00"/>
    <s v="29/09/2026"/>
    <n v="0.99754030999999999"/>
    <m/>
    <n v="10000000"/>
    <n v="9975403.1500000004"/>
    <n v="10000000"/>
    <n v="9975403.1500000004"/>
    <n v="571"/>
    <s v="AMOMPY"/>
    <s v="Momentum Capital Investment S.A."/>
    <s v="01/06/2026"/>
    <s v="01/06/2026"/>
    <n v="30"/>
    <s v="No"/>
    <s v=""/>
    <m/>
    <m/>
    <s v="*MAV300901898"/>
    <s v="*MAV300901898"/>
    <n v="1.3261868367059823E-4"/>
  </r>
  <r>
    <x v="28"/>
    <s v="Pesos"/>
    <d v="2026-10-02T00:00:00"/>
    <s v="29/09/2026"/>
    <n v="0.99754030999999999"/>
    <m/>
    <n v="5000000"/>
    <n v="4987701.57"/>
    <n v="5000000"/>
    <n v="4987701.57"/>
    <n v="785"/>
    <s v="AMOMPY"/>
    <s v="Momentum Capital Investment S.A."/>
    <s v="14/07/2026"/>
    <s v="14/07/2026"/>
    <n v="30"/>
    <s v="No"/>
    <s v=""/>
    <m/>
    <m/>
    <s v="*MAV300902141"/>
    <s v="*MAV300902141"/>
    <n v="6.6309341768826271E-5"/>
  </r>
  <r>
    <x v="32"/>
    <s v="Pesos"/>
    <d v="2026-10-02T00:00:00"/>
    <s v="29/09/2026"/>
    <n v="0.99737675999999997"/>
    <m/>
    <n v="33683512.119999997"/>
    <n v="33595152.299999997"/>
    <n v="33683512.119999997"/>
    <n v="33595152.299999997"/>
    <n v="29635893"/>
    <s v="AMOMPY"/>
    <s v="Momentum Capital Investment S.A."/>
    <s v="14/07/2026"/>
    <s v="14/07/2026"/>
    <n v="32"/>
    <s v="No"/>
    <s v=""/>
    <m/>
    <m/>
    <s v="*MAV300902138"/>
    <s v="*MAV300902138"/>
    <n v="4.4663306422249905E-4"/>
  </r>
  <r>
    <x v="3"/>
    <s v="Pesos"/>
    <d v="2026-10-02T00:00:00"/>
    <s v="29/09/2026"/>
    <n v="0.99770391999999997"/>
    <m/>
    <n v="19300000"/>
    <n v="19255685.699999999"/>
    <n v="19300000"/>
    <n v="19255685.699999999"/>
    <n v="10537629"/>
    <s v="AMOMPY"/>
    <s v="Momentum Capital Investment S.A."/>
    <s v="10/08/2026"/>
    <s v="10/08/2026"/>
    <n v="28"/>
    <s v="No"/>
    <s v=""/>
    <m/>
    <m/>
    <s v="*MAV300902428"/>
    <s v="*MAV300902428"/>
    <n v="2.5599603868729472E-4"/>
  </r>
  <r>
    <x v="62"/>
    <s v="Pesos"/>
    <d v="2026-10-02T00:00:00"/>
    <s v="29/09/2026"/>
    <n v="0.99737677000000002"/>
    <m/>
    <n v="21607710.25"/>
    <n v="21551028.170000002"/>
    <n v="21607710.25"/>
    <n v="21551028.170000002"/>
    <n v="8292025"/>
    <s v="AMOMPY"/>
    <s v="Momentum Capital Investment S.A."/>
    <s v="22/07/2026"/>
    <s v="22/07/2026"/>
    <n v="32"/>
    <s v="No"/>
    <s v=""/>
    <m/>
    <m/>
    <s v="*MAV300902204"/>
    <s v="*MAV300902204"/>
    <n v="2.8651162711688314E-4"/>
  </r>
  <r>
    <x v="35"/>
    <s v="Pesos"/>
    <d v="2026-10-02T00:00:00"/>
    <s v="29/09/2026"/>
    <n v="0.99729500999999998"/>
    <m/>
    <n v="5000000"/>
    <n v="4986475.04"/>
    <n v="5000000"/>
    <n v="4986475.04"/>
    <n v="3041"/>
    <s v="AMOMPY"/>
    <s v="Momentum Capital Investment S.A."/>
    <s v="21/07/2026"/>
    <s v="21/07/2026"/>
    <n v="33"/>
    <s v="No"/>
    <s v=""/>
    <m/>
    <m/>
    <s v="*MAV300902190"/>
    <s v="*MAV300902190"/>
    <n v="6.6293035581333233E-5"/>
  </r>
  <r>
    <x v="8"/>
    <s v="Pesos"/>
    <d v="2026-10-02T00:00:00"/>
    <s v="29/09/2026"/>
    <n v="0.99786757999999998"/>
    <m/>
    <n v="10000000"/>
    <n v="9978675.8000000007"/>
    <n v="10000000"/>
    <n v="9978675.8000000007"/>
    <n v="9621091"/>
    <s v="AMOMPY"/>
    <s v="Momentum Capital Investment S.A."/>
    <s v="17/07/2026"/>
    <s v="17/07/2026"/>
    <n v="26"/>
    <s v="No"/>
    <s v=""/>
    <m/>
    <m/>
    <s v="*MIL300900039"/>
    <s v="*MIL300900039"/>
    <n v="1.3266219214124229E-4"/>
  </r>
  <r>
    <x v="63"/>
    <s v="Pesos"/>
    <d v="2026-10-02T00:00:00"/>
    <s v="29/09/2026"/>
    <n v="0.99737677000000002"/>
    <m/>
    <n v="1852832.7"/>
    <n v="1847972.3"/>
    <n v="1852832.7"/>
    <n v="1847972.3"/>
    <n v="3655"/>
    <s v="AMOMPY"/>
    <s v="Momentum Capital Investment S.A."/>
    <s v="18/09/2026"/>
    <s v="18/09/2026"/>
    <n v="32"/>
    <s v="No"/>
    <s v=""/>
    <m/>
    <m/>
    <s v="*MAV300903071"/>
    <s v="*MAV300903071"/>
    <n v="2.4567994917150575E-5"/>
  </r>
  <r>
    <x v="64"/>
    <s v="Pesos"/>
    <d v="2026-10-02T00:00:00"/>
    <s v="29/09/2026"/>
    <n v="0.99745854"/>
    <m/>
    <n v="41429083"/>
    <n v="41323792.509999998"/>
    <n v="41429083"/>
    <n v="41323792.509999998"/>
    <n v="3870371"/>
    <s v="AMOMPY"/>
    <s v="Momentum Capital Investment S.A."/>
    <s v="31/08/2026"/>
    <s v="31/08/2026"/>
    <n v="31"/>
    <s v="No"/>
    <s v=""/>
    <m/>
    <m/>
    <s v="*MAV300902710"/>
    <s v="*MAV300902710"/>
    <n v="5.4938200336826742E-4"/>
  </r>
  <r>
    <x v="65"/>
    <s v="Pesos"/>
    <d v="2026-10-02T00:00:00"/>
    <s v="29/09/2026"/>
    <n v="0.99729502000000003"/>
    <m/>
    <n v="23000000"/>
    <n v="22937785.449999999"/>
    <n v="23000000"/>
    <n v="22937785.449999999"/>
    <n v="173"/>
    <s v="AMOMPY"/>
    <s v="Momentum Capital Investment S.A."/>
    <s v="28/08/2026"/>
    <s v="28/08/2026"/>
    <n v="33"/>
    <s v="No"/>
    <s v=""/>
    <m/>
    <m/>
    <s v="*MAV300902668"/>
    <s v="*MAV300902668"/>
    <n v="3.0494796721048815E-4"/>
  </r>
  <r>
    <x v="66"/>
    <s v="Pesos"/>
    <d v="2026-10-02T00:00:00"/>
    <s v="29/09/2026"/>
    <n v="0.99745854"/>
    <m/>
    <n v="889795.53"/>
    <n v="887534.15"/>
    <n v="889795.53"/>
    <n v="887534.15"/>
    <n v="1877"/>
    <s v="AMOMPY"/>
    <s v="Momentum Capital Investment S.A."/>
    <s v="07/09/2026"/>
    <s v="07/09/2026"/>
    <n v="31"/>
    <s v="No"/>
    <s v=""/>
    <m/>
    <m/>
    <s v="*MAV300902824"/>
    <s v="*MAV300902824"/>
    <n v="1.1799383836000981E-5"/>
  </r>
  <r>
    <x v="39"/>
    <s v="Pesos"/>
    <d v="2026-10-02T00:00:00"/>
    <s v="29/09/2026"/>
    <n v="0.99794941999999998"/>
    <m/>
    <n v="1073337.5"/>
    <n v="1071136.54"/>
    <n v="1073337.5"/>
    <n v="1071136.54"/>
    <n v="396"/>
    <s v="AMOMPY"/>
    <s v="Momentum Capital Investment S.A."/>
    <s v="04/08/2026"/>
    <s v="04/08/2026"/>
    <n v="25"/>
    <s v="No"/>
    <s v=""/>
    <m/>
    <m/>
    <s v="*FED300900062"/>
    <s v="*FED300900062"/>
    <n v="1.4240298445108866E-5"/>
  </r>
  <r>
    <x v="67"/>
    <s v="Pesos"/>
    <d v="2026-10-02T00:00:00"/>
    <s v="29/09/2026"/>
    <n v="0.99745852999999995"/>
    <m/>
    <n v="16500000"/>
    <n v="16458065.810000001"/>
    <n v="16500000"/>
    <n v="16458065.810000001"/>
    <n v="28675"/>
    <s v="AMOMPY"/>
    <s v="Momentum Capital Investment S.A."/>
    <s v="27/04/2026"/>
    <s v="27/04/2026"/>
    <n v="31"/>
    <s v="No"/>
    <s v=""/>
    <m/>
    <m/>
    <s v="*MAV300901858"/>
    <s v="*MAV300901858"/>
    <n v="2.1880288853150541E-4"/>
  </r>
  <r>
    <x v="8"/>
    <s v="Pesos"/>
    <d v="2026-10-02T00:00:00"/>
    <s v="29/09/2026"/>
    <n v="0.99778573999999998"/>
    <m/>
    <n v="24500000"/>
    <n v="24445750.559999999"/>
    <n v="24500000"/>
    <n v="24445750.559999999"/>
    <n v="34218"/>
    <s v="AMOMPY"/>
    <s v="Momentum Capital Investment S.A."/>
    <s v="07/07/2026"/>
    <s v="07/07/2026"/>
    <n v="27"/>
    <s v="No"/>
    <s v=""/>
    <m/>
    <m/>
    <s v="*MIL300900038"/>
    <s v="*MIL300900038"/>
    <n v="3.2499571314137702E-4"/>
  </r>
  <r>
    <x v="44"/>
    <s v="Pesos"/>
    <d v="2026-10-02T00:00:00"/>
    <s v="29/09/2026"/>
    <n v="0.99754032999999998"/>
    <m/>
    <n v="1500000"/>
    <n v="1496310.49"/>
    <n v="1500000"/>
    <n v="1496310.49"/>
    <n v="1972"/>
    <s v="AMOMPY"/>
    <s v="Momentum Capital Investment S.A."/>
    <s v="24/07/2026"/>
    <s v="24/07/2026"/>
    <n v="30"/>
    <s v="No"/>
    <s v=""/>
    <m/>
    <m/>
    <s v="*MAV300902232"/>
    <s v="*MAV300902232"/>
    <n v="1.9892802783244687E-5"/>
  </r>
  <r>
    <x v="68"/>
    <s v="Pesos"/>
    <d v="2026-10-02T00:00:00"/>
    <s v="29/09/2026"/>
    <n v="0.99729502000000003"/>
    <m/>
    <n v="11504835.23"/>
    <n v="11473714.869999999"/>
    <n v="11504835.23"/>
    <n v="11473714.869999999"/>
    <n v="10061748"/>
    <s v="AMOMPY"/>
    <s v="Momentum Capital Investment S.A."/>
    <s v="24/07/2026"/>
    <s v="24/07/2026"/>
    <n v="33"/>
    <s v="No"/>
    <s v=""/>
    <m/>
    <m/>
    <s v="*MAV300902234"/>
    <s v="*MAV300902234"/>
    <n v="1.5253809194379966E-4"/>
  </r>
  <r>
    <x v="69"/>
    <s v="Pesos"/>
    <d v="2026-10-02T00:00:00"/>
    <s v="29/09/2026"/>
    <n v="0.99729502000000003"/>
    <m/>
    <n v="2113037.46"/>
    <n v="2107321.73"/>
    <n v="2113037.46"/>
    <n v="2107321.73"/>
    <n v="10226062"/>
    <s v="AMOMPY"/>
    <s v="Momentum Capital Investment S.A."/>
    <s v="24/07/2026"/>
    <s v="24/07/2026"/>
    <n v="33"/>
    <s v="No"/>
    <s v=""/>
    <m/>
    <m/>
    <s v="*MAV300902235"/>
    <s v="*MAV300902235"/>
    <n v="2.8015933762341E-5"/>
  </r>
  <r>
    <x v="70"/>
    <s v="Pesos"/>
    <d v="2026-10-02T00:00:00"/>
    <s v="29/09/2026"/>
    <n v="0.99754032999999998"/>
    <m/>
    <n v="4957748.6399999997"/>
    <n v="4945554.1900000004"/>
    <n v="4957748.6399999997"/>
    <n v="4945554.1900000004"/>
    <n v="68735170"/>
    <s v="AMOMPY"/>
    <s v="Momentum Capital Investment S.A."/>
    <s v="04/08/2026"/>
    <s v="04/08/2026"/>
    <n v="30"/>
    <s v="No"/>
    <s v=""/>
    <m/>
    <m/>
    <s v="*MAV300902342"/>
    <s v="*MAV300902342"/>
    <n v="6.5749010524894091E-5"/>
  </r>
  <r>
    <x v="71"/>
    <s v="Pesos"/>
    <d v="2026-10-02T00:00:00"/>
    <s v="29/09/2026"/>
    <n v="0.99770391999999997"/>
    <m/>
    <n v="5437493"/>
    <n v="5425008.0899999999"/>
    <n v="5437493"/>
    <n v="5425008.0899999999"/>
    <n v="68347513"/>
    <s v="AMOMPY"/>
    <s v="Momentum Capital Investment S.A."/>
    <s v="10/08/2026"/>
    <s v="10/08/2026"/>
    <n v="28"/>
    <s v="No"/>
    <s v=""/>
    <m/>
    <m/>
    <s v="*MAV300902427"/>
    <s v="*MAV300902427"/>
    <n v="7.2123143393773134E-5"/>
  </r>
  <r>
    <x v="45"/>
    <s v="Pesos"/>
    <d v="2026-10-02T00:00:00"/>
    <s v="29/09/2026"/>
    <n v="0.99786757000000004"/>
    <m/>
    <n v="9000000"/>
    <n v="8980808.1600000001"/>
    <n v="9000000"/>
    <n v="8980808.1600000001"/>
    <n v="3487870"/>
    <s v="AMOMPY"/>
    <s v="Momentum Capital Investment S.A."/>
    <s v="29/05/2026"/>
    <s v="29/05/2026"/>
    <n v="26"/>
    <s v="No"/>
    <s v=""/>
    <m/>
    <m/>
    <s v="*NEU300900063"/>
    <s v="*NEU300900063"/>
    <n v="1.1939597212944394E-4"/>
  </r>
  <r>
    <x v="45"/>
    <s v="Pesos"/>
    <d v="2026-10-02T00:00:00"/>
    <s v="29/09/2026"/>
    <n v="0.99786757000000004"/>
    <m/>
    <n v="9000000"/>
    <n v="8980808.1600000001"/>
    <n v="9000000"/>
    <n v="8980808.1600000001"/>
    <n v="3385280"/>
    <s v="AMOMPY"/>
    <s v="Momentum Capital Investment S.A."/>
    <s v="29/05/2026"/>
    <s v="29/05/2026"/>
    <n v="26"/>
    <s v="No"/>
    <s v=""/>
    <m/>
    <m/>
    <s v="*NEU300900064"/>
    <s v="*NEU300900064"/>
    <n v="1.1939597212944394E-4"/>
  </r>
  <r>
    <x v="45"/>
    <s v="Pesos"/>
    <d v="2026-10-02T00:00:00"/>
    <s v="29/09/2026"/>
    <n v="0.99762211000000001"/>
    <m/>
    <n v="10000000"/>
    <n v="9976221.1099999994"/>
    <n v="10000000"/>
    <n v="9976221.1099999994"/>
    <n v="3487825"/>
    <s v="AMOMPY"/>
    <s v="Momentum Capital Investment S.A."/>
    <s v="05/05/2026"/>
    <s v="05/05/2026"/>
    <n v="29"/>
    <s v="No"/>
    <s v=""/>
    <m/>
    <m/>
    <s v="*NEU300900061"/>
    <s v="*NEU300900061"/>
    <n v="1.3262955809610903E-4"/>
  </r>
  <r>
    <x v="17"/>
    <s v="Pesos"/>
    <d v="2026-10-02T00:00:00"/>
    <s v="29/09/2026"/>
    <n v="0.99696817000000004"/>
    <m/>
    <n v="9033526.6500000004"/>
    <n v="9006138.5"/>
    <n v="9033526.6500000004"/>
    <n v="9006138.5"/>
    <n v="68"/>
    <s v="AMOMPY"/>
    <s v="Momentum Capital Investment S.A."/>
    <s v="16/09/2026"/>
    <s v="16/09/2026"/>
    <n v="37"/>
    <s v="No"/>
    <s v=""/>
    <m/>
    <m/>
    <s v="%CP1011000001"/>
    <s v="%CP1011000001"/>
    <n v="1.1973272807777156E-4"/>
  </r>
  <r>
    <x v="17"/>
    <s v="Pesos"/>
    <d v="2026-10-02T00:00:00"/>
    <s v="29/09/2026"/>
    <n v="0.99696823999999995"/>
    <m/>
    <n v="65767192.159999996"/>
    <n v="65567801.530000001"/>
    <n v="65767192.159999996"/>
    <n v="65567801.530000001"/>
    <n v="24698"/>
    <s v="AMOMPY"/>
    <s v="Momentum Capital Investment S.A."/>
    <s v="24/09/2026"/>
    <s v="24/09/2026"/>
    <n v="37"/>
    <s v="No"/>
    <s v=""/>
    <m/>
    <m/>
    <s v="%CP1011000002"/>
    <s v="%CP1011000002"/>
    <n v="8.7169564972255139E-4"/>
  </r>
  <r>
    <x v="72"/>
    <s v="Pesos"/>
    <d v="2026-10-02T00:00:00"/>
    <s v="29/09/2026"/>
    <n v="0.99737677000000002"/>
    <m/>
    <n v="200000000"/>
    <n v="199475354.72"/>
    <n v="200000000"/>
    <n v="199475354.72"/>
    <n v="9779580"/>
    <s v="AMOMPY"/>
    <s v="Momentum Capital Investment S.A."/>
    <s v="21/08/2026"/>
    <s v="21/08/2026"/>
    <n v="32"/>
    <s v="No"/>
    <s v=""/>
    <m/>
    <m/>
    <s v="*MAV300902570"/>
    <s v="*MAV300902570"/>
    <n v="2.6519388309325675E-3"/>
  </r>
  <r>
    <x v="72"/>
    <s v="Pesos"/>
    <d v="2026-10-02T00:00:00"/>
    <s v="29/09/2026"/>
    <n v="0.99754032000000004"/>
    <m/>
    <n v="100000000"/>
    <n v="99754032.010000005"/>
    <n v="100000000"/>
    <n v="99754032.010000005"/>
    <n v="9779575"/>
    <s v="AMOMPY"/>
    <s v="Momentum Capital Investment S.A."/>
    <s v="27/07/2026"/>
    <s v="27/07/2026"/>
    <n v="30"/>
    <s v="No"/>
    <s v=""/>
    <m/>
    <m/>
    <s v="*MAV300902241"/>
    <s v="*MAV300902241"/>
    <n v="1.3261868434862123E-3"/>
  </r>
  <r>
    <x v="72"/>
    <s v="Pesos"/>
    <d v="2026-10-02T00:00:00"/>
    <s v="29/09/2026"/>
    <n v="0.99754032000000004"/>
    <m/>
    <n v="100000000"/>
    <n v="99754032.010000005"/>
    <n v="100000000"/>
    <n v="99754032.010000005"/>
    <n v="9779576"/>
    <s v="AMOMPY"/>
    <s v="Momentum Capital Investment S.A."/>
    <s v="27/07/2026"/>
    <s v="27/07/2026"/>
    <n v="30"/>
    <s v="No"/>
    <s v=""/>
    <m/>
    <m/>
    <s v="*MAV300902242"/>
    <s v="*MAV300902242"/>
    <n v="1.3261868434862123E-3"/>
  </r>
  <r>
    <x v="72"/>
    <s v="Pesos"/>
    <d v="2026-10-02T00:00:00"/>
    <s v="29/09/2026"/>
    <n v="0.99754032000000004"/>
    <m/>
    <n v="100000000"/>
    <n v="99754032.010000005"/>
    <n v="100000000"/>
    <n v="99754032.010000005"/>
    <n v="9779578"/>
    <s v="AMOMPY"/>
    <s v="Momentum Capital Investment S.A."/>
    <s v="27/07/2026"/>
    <s v="27/07/2026"/>
    <n v="30"/>
    <s v="No"/>
    <s v=""/>
    <m/>
    <m/>
    <s v="*MAV300902243"/>
    <s v="*MAV300902243"/>
    <n v="1.3261868434862123E-3"/>
  </r>
  <r>
    <x v="72"/>
    <s v="Pesos"/>
    <d v="2026-10-02T00:00:00"/>
    <s v="29/09/2026"/>
    <n v="0.99754032000000004"/>
    <m/>
    <n v="100000000"/>
    <n v="99754032.010000005"/>
    <n v="100000000"/>
    <n v="99754032.010000005"/>
    <n v="9779577"/>
    <s v="AMOMPY"/>
    <s v="Momentum Capital Investment S.A."/>
    <s v="27/07/2026"/>
    <s v="27/07/2026"/>
    <n v="30"/>
    <s v="No"/>
    <s v=""/>
    <m/>
    <m/>
    <s v="*MAV300902245"/>
    <s v="*MAV300902245"/>
    <n v="1.3261868434862123E-3"/>
  </r>
  <r>
    <x v="72"/>
    <s v="Pesos"/>
    <d v="2026-10-02T00:00:00"/>
    <s v="29/09/2026"/>
    <n v="0.99754032000000004"/>
    <m/>
    <n v="100000000"/>
    <n v="99754032.010000005"/>
    <n v="100000000"/>
    <n v="99754032.010000005"/>
    <n v="9779579"/>
    <s v="AMOMPY"/>
    <s v="Momentum Capital Investment S.A."/>
    <s v="27/07/2026"/>
    <s v="27/07/2026"/>
    <n v="30"/>
    <s v="No"/>
    <s v=""/>
    <m/>
    <m/>
    <s v="*MAV300902246"/>
    <s v="*MAV300902246"/>
    <n v="1.3261868434862123E-3"/>
  </r>
  <r>
    <x v="72"/>
    <s v="Pesos"/>
    <d v="2026-10-02T00:00:00"/>
    <s v="29/09/2026"/>
    <n v="0.99754030999999999"/>
    <m/>
    <n v="100000000"/>
    <n v="99754031.489999995"/>
    <n v="100000000"/>
    <n v="99754031.489999995"/>
    <n v="6676"/>
    <s v="AMOMPY"/>
    <s v="Momentum Capital Investment S.A."/>
    <s v="16/06/2026"/>
    <s v="16/06/2026"/>
    <n v="30"/>
    <s v="No"/>
    <s v=""/>
    <m/>
    <m/>
    <s v="*MAV300901974"/>
    <s v="*MAV300901974"/>
    <n v="1.3261868365730364E-3"/>
  </r>
  <r>
    <x v="60"/>
    <s v="Pesos"/>
    <d v="2026-10-02T00:00:00"/>
    <s v="29/09/2026"/>
    <n v="0.99713154999999998"/>
    <m/>
    <n v="250000000"/>
    <n v="249282887.22999999"/>
    <n v="250000000"/>
    <n v="249282887.22999999"/>
    <n v="70400474"/>
    <s v="AMOMPY"/>
    <s v="Momentum Capital Investment S.A."/>
    <s v="10/08/2026"/>
    <s v="10/08/2026"/>
    <n v="35"/>
    <s v="No"/>
    <s v=""/>
    <m/>
    <m/>
    <s v="*MAV300902422"/>
    <s v="*MAV300902422"/>
    <n v="3.3141084995696414E-3"/>
  </r>
  <r>
    <x v="73"/>
    <s v="Pesos"/>
    <d v="2026-10-02T00:00:00"/>
    <s v="29/09/2026"/>
    <n v="0.99729500999999998"/>
    <m/>
    <n v="3772034.12"/>
    <n v="3761830.82"/>
    <n v="3772034.12"/>
    <n v="3761830.82"/>
    <n v="638"/>
    <s v="AMOMPY"/>
    <s v="Momentum Capital Investment S.A."/>
    <s v="02/06/2026"/>
    <s v="02/06/2026"/>
    <n v="33"/>
    <s v="No"/>
    <s v=""/>
    <m/>
    <m/>
    <s v="*MAV300901921"/>
    <s v="*MAV300901921"/>
    <n v="5.0011918720286214E-5"/>
  </r>
  <r>
    <x v="74"/>
    <s v="Pesos"/>
    <d v="2026-10-02T00:00:00"/>
    <s v="29/09/2026"/>
    <n v="0.99745852999999995"/>
    <m/>
    <n v="50544541.340000004"/>
    <n v="50416084.009999998"/>
    <n v="50544541.340000004"/>
    <n v="50416084.009999998"/>
    <n v="70667889"/>
    <s v="AMOMPY"/>
    <s v="Momentum Capital Investment S.A."/>
    <s v="03/09/2026"/>
    <s v="03/09/2026"/>
    <n v="31"/>
    <s v="No"/>
    <s v=""/>
    <m/>
    <m/>
    <s v="*MAV300902777"/>
    <s v="*MAV300902777"/>
    <n v="6.7026009843346472E-4"/>
  </r>
  <r>
    <x v="48"/>
    <s v="Pesos"/>
    <d v="2026-10-02T00:00:00"/>
    <s v="29/09/2026"/>
    <n v="0.99713154000000004"/>
    <m/>
    <n v="6500000"/>
    <n v="6481355.0300000003"/>
    <n v="6500000"/>
    <n v="6481355.0300000003"/>
    <n v="40761904"/>
    <s v="AMOMPY"/>
    <s v="Momentum Capital Investment S.A."/>
    <s v="22/07/2026"/>
    <s v="22/07/2026"/>
    <n v="35"/>
    <s v="No"/>
    <s v=""/>
    <m/>
    <m/>
    <s v="*MAV300902203"/>
    <s v="*MAV300902203"/>
    <n v="8.6166820483882958E-5"/>
  </r>
  <r>
    <x v="75"/>
    <s v="Pesos"/>
    <d v="2026-10-02T00:00:00"/>
    <s v="29/09/2026"/>
    <n v="0.99729500999999998"/>
    <m/>
    <n v="2000000"/>
    <n v="1994590.03"/>
    <n v="2000000"/>
    <n v="1994590.03"/>
    <n v="41"/>
    <s v="AMOMPY"/>
    <s v="Momentum Capital Investment S.A."/>
    <s v="13/08/2026"/>
    <s v="13/08/2026"/>
    <n v="33"/>
    <s v="No"/>
    <s v=""/>
    <m/>
    <m/>
    <s v="*MAV300902480"/>
    <s v="*MAV300902480"/>
    <n v="2.6517214418657255E-5"/>
  </r>
  <r>
    <x v="21"/>
    <s v="Pesos"/>
    <d v="2026-10-02T00:00:00"/>
    <s v="29/09/2026"/>
    <n v="0.99745854"/>
    <m/>
    <n v="10000000"/>
    <n v="9974585.4100000001"/>
    <n v="10000000"/>
    <n v="9974585.4100000001"/>
    <n v="14004256"/>
    <s v="AMOMPY"/>
    <s v="Momentum Capital Investment S.A."/>
    <s v="31/07/2026"/>
    <s v="31/07/2026"/>
    <n v="31"/>
    <s v="No"/>
    <s v=""/>
    <m/>
    <m/>
    <s v="*MAV300902309"/>
    <s v="*MAV300902309"/>
    <n v="1.3260781216989251E-4"/>
  </r>
  <r>
    <x v="45"/>
    <s v="Pesos"/>
    <d v="2026-10-02T00:00:00"/>
    <s v="29/09/2026"/>
    <n v="0.99729500999999998"/>
    <m/>
    <n v="21387500"/>
    <n v="21329647.09"/>
    <n v="21387500"/>
    <n v="21329647.09"/>
    <n v="3233105"/>
    <s v="AMOMPY"/>
    <s v="Momentum Capital Investment S.A."/>
    <s v="20/04/2026"/>
    <s v="20/04/2026"/>
    <n v="33"/>
    <s v="No"/>
    <s v=""/>
    <m/>
    <m/>
    <s v="*NEU300900058"/>
    <s v="*NEU300900058"/>
    <n v="2.8356846111369502E-4"/>
  </r>
  <r>
    <x v="50"/>
    <s v="Pesos"/>
    <d v="2026-10-02T00:00:00"/>
    <s v="29/09/2026"/>
    <n v="0.99754030999999999"/>
    <m/>
    <n v="100000000"/>
    <n v="99754031.400000006"/>
    <n v="100000000"/>
    <n v="99754031.400000006"/>
    <n v="90003950"/>
    <s v="AMOMPY"/>
    <s v="Momentum Capital Investment S.A."/>
    <s v="29/07/2026"/>
    <s v="29/07/2026"/>
    <n v="30"/>
    <s v="No"/>
    <s v=""/>
    <m/>
    <m/>
    <s v="*MAV300902268"/>
    <s v="*MAV300902268"/>
    <n v="1.3261868353765254E-3"/>
  </r>
  <r>
    <x v="50"/>
    <s v="Pesos"/>
    <d v="2026-10-02T00:00:00"/>
    <s v="29/09/2026"/>
    <n v="0.99754032000000004"/>
    <m/>
    <n v="100000000"/>
    <n v="99754032.200000003"/>
    <n v="100000000"/>
    <n v="99754032.200000003"/>
    <n v="90003963"/>
    <s v="AMOMPY"/>
    <s v="Momentum Capital Investment S.A."/>
    <s v="31/07/2026"/>
    <s v="31/07/2026"/>
    <n v="30"/>
    <s v="No"/>
    <s v=""/>
    <m/>
    <m/>
    <s v="*MAV300902315"/>
    <s v="*MAV300902315"/>
    <n v="1.3261868460121803E-3"/>
  </r>
  <r>
    <x v="27"/>
    <s v="Pesos"/>
    <d v="2026-10-02T00:00:00"/>
    <s v="29/09/2026"/>
    <n v="0.99770391000000003"/>
    <m/>
    <n v="15000000"/>
    <n v="14965558.720000001"/>
    <n v="15000000"/>
    <n v="14965558.720000001"/>
    <n v="360568"/>
    <s v="AMOMPY"/>
    <s v="Momentum Capital Investment S.A."/>
    <s v="21/04/2026"/>
    <s v="21/04/2026"/>
    <n v="28"/>
    <s v="No"/>
    <s v=""/>
    <m/>
    <m/>
    <s v="*MOV300900114"/>
    <s v="*MOV300900114"/>
    <n v="1.9896065031130525E-4"/>
  </r>
  <r>
    <x v="28"/>
    <s v="Pesos"/>
    <d v="2026-10-02T00:00:00"/>
    <s v="29/09/2026"/>
    <n v="0.99754032000000004"/>
    <m/>
    <n v="2500000"/>
    <n v="2493850.81"/>
    <n v="2500000"/>
    <n v="2493850.81"/>
    <n v="903"/>
    <s v="AMOMPY"/>
    <s v="Momentum Capital Investment S.A."/>
    <s v="07/08/2026"/>
    <s v="07/08/2026"/>
    <n v="30"/>
    <s v="No"/>
    <s v=""/>
    <m/>
    <m/>
    <s v="*MAV300902398"/>
    <s v="*MAV300902398"/>
    <n v="3.3154671216777351E-5"/>
  </r>
  <r>
    <x v="28"/>
    <s v="Pesos"/>
    <d v="2026-10-02T00:00:00"/>
    <s v="29/09/2026"/>
    <n v="0.99754032000000004"/>
    <m/>
    <n v="2500000"/>
    <n v="2493850.7999999998"/>
    <n v="2500000"/>
    <n v="2493850.7999999998"/>
    <n v="912"/>
    <s v="AMOMPY"/>
    <s v="Momentum Capital Investment S.A."/>
    <s v="10/08/2026"/>
    <s v="10/08/2026"/>
    <n v="30"/>
    <s v="No"/>
    <s v=""/>
    <m/>
    <m/>
    <s v="*MAV300902407"/>
    <s v="*MAV300902407"/>
    <n v="3.3154671083831661E-5"/>
  </r>
  <r>
    <x v="76"/>
    <s v="Pesos"/>
    <d v="2026-10-02T00:00:00"/>
    <s v="29/09/2026"/>
    <n v="0.99688644999999998"/>
    <m/>
    <n v="1082000000"/>
    <n v="1078631139.01"/>
    <n v="1082000000"/>
    <n v="1078631139.01"/>
    <n v="70219559"/>
    <s v="AMOMPY"/>
    <s v="Momentum Capital Investment S.A."/>
    <s v="31/07/2026"/>
    <s v="31/07/2026"/>
    <n v="38"/>
    <s v="No"/>
    <s v=""/>
    <m/>
    <m/>
    <s v="*MAV300902301"/>
    <s v="*MAV300902301"/>
    <n v="1.4339935907414853E-2"/>
  </r>
  <r>
    <x v="76"/>
    <s v="Pesos"/>
    <d v="2026-10-02T00:00:00"/>
    <s v="29/09/2026"/>
    <n v="0.99688644999999998"/>
    <m/>
    <n v="100000000"/>
    <n v="99688645.010000005"/>
    <n v="100000000"/>
    <n v="99688645.010000005"/>
    <n v="70219560"/>
    <s v="AMOMPY"/>
    <s v="Momentum Capital Investment S.A."/>
    <s v="31/07/2026"/>
    <s v="31/07/2026"/>
    <n v="38"/>
    <s v="No"/>
    <s v=""/>
    <m/>
    <m/>
    <s v="*MAV300902302"/>
    <s v="*MAV300902302"/>
    <n v="1.3253175515148727E-3"/>
  </r>
  <r>
    <x v="50"/>
    <s v="Pesos"/>
    <d v="2026-10-05T00:00:00"/>
    <s v="29/09/2026"/>
    <n v="0.99509270000000005"/>
    <m/>
    <n v="100000000"/>
    <n v="99509270.329999998"/>
    <n v="100000000"/>
    <n v="99509270.329999998"/>
    <n v="90003951"/>
    <s v="AMOMPY"/>
    <s v="Momentum Capital Investment S.A."/>
    <s v="29/07/2026"/>
    <s v="29/07/2026"/>
    <n v="30"/>
    <s v="No"/>
    <s v=""/>
    <m/>
    <m/>
    <s v="*MAV011001168"/>
    <s v="*MAV011001168"/>
    <n v="1.3229328424873047E-3"/>
  </r>
  <r>
    <x v="28"/>
    <s v="Pesos"/>
    <d v="2026-10-05T00:00:00"/>
    <s v="29/09/2026"/>
    <n v="0.99476726999999998"/>
    <m/>
    <n v="4000000"/>
    <n v="3979069.06"/>
    <n v="4000000"/>
    <n v="3979069.06"/>
    <n v="1141"/>
    <s v="AMOMPY"/>
    <s v="Momentum Capital Investment S.A."/>
    <s v="03/09/2026"/>
    <s v="03/09/2026"/>
    <n v="32"/>
    <s v="No"/>
    <s v=""/>
    <m/>
    <m/>
    <s v="*MAV011001441"/>
    <s v="*MAV011001441"/>
    <n v="5.2900007451990005E-5"/>
  </r>
  <r>
    <x v="28"/>
    <s v="Pesos"/>
    <d v="2026-10-05T00:00:00"/>
    <s v="29/09/2026"/>
    <n v="0.99509272000000004"/>
    <m/>
    <n v="5000000"/>
    <n v="4975463.62"/>
    <n v="5000000"/>
    <n v="4975463.62"/>
    <n v="1214"/>
    <s v="AMOMPY"/>
    <s v="Momentum Capital Investment S.A."/>
    <s v="11/09/2026"/>
    <s v="11/09/2026"/>
    <n v="30"/>
    <s v="No"/>
    <s v=""/>
    <m/>
    <m/>
    <s v="*MAV011001553"/>
    <s v="*MAV011001553"/>
    <n v="6.6146643500353115E-5"/>
  </r>
  <r>
    <x v="28"/>
    <s v="Pesos"/>
    <d v="2026-10-05T00:00:00"/>
    <s v="29/09/2026"/>
    <n v="0.99509274999999997"/>
    <m/>
    <n v="5000000"/>
    <n v="4975463.7699999996"/>
    <n v="5000000"/>
    <n v="4975463.7699999996"/>
    <n v="1200"/>
    <s v="AMOMPY"/>
    <s v="Momentum Capital Investment S.A."/>
    <s v="09/09/2026"/>
    <s v="09/09/2026"/>
    <n v="30"/>
    <s v="No"/>
    <s v=""/>
    <m/>
    <m/>
    <s v="*MAV011001532"/>
    <s v="*MAV011001532"/>
    <n v="6.6146645494538436E-5"/>
  </r>
  <r>
    <x v="28"/>
    <s v="Pesos"/>
    <d v="2026-10-05T00:00:00"/>
    <s v="29/09/2026"/>
    <n v="0.99509270000000005"/>
    <m/>
    <n v="5000000"/>
    <n v="4975463.49"/>
    <n v="5000000"/>
    <n v="4975463.49"/>
    <n v="788"/>
    <s v="AMOMPY"/>
    <s v="Momentum Capital Investment S.A."/>
    <s v="14/07/2026"/>
    <s v="14/07/2026"/>
    <n v="30"/>
    <s v="No"/>
    <s v=""/>
    <m/>
    <m/>
    <s v="*MAV011001109"/>
    <s v="*MAV011001109"/>
    <n v="6.6146641772059174E-5"/>
  </r>
  <r>
    <x v="77"/>
    <s v="Pesos"/>
    <d v="2026-10-05T00:00:00"/>
    <s v="29/09/2026"/>
    <n v="0.99460466999999997"/>
    <m/>
    <n v="1000000"/>
    <n v="994604.67"/>
    <n v="1000000"/>
    <n v="994604.67"/>
    <n v="17352220"/>
    <s v="AMOMPY"/>
    <s v="Momentum Capital Investment S.A."/>
    <s v="25/09/2026"/>
    <s v="25/09/2026"/>
    <n v="33"/>
    <s v="No"/>
    <s v=""/>
    <m/>
    <m/>
    <s v="*MAV011001723"/>
    <s v="*MAV011001723"/>
    <n v="1.3222840232580447E-5"/>
  </r>
  <r>
    <x v="78"/>
    <s v="Pesos"/>
    <d v="2026-10-05T00:00:00"/>
    <s v="29/09/2026"/>
    <n v="0.99541837"/>
    <m/>
    <n v="7523782.9100000001"/>
    <n v="7489311.7000000002"/>
    <n v="7523782.9100000001"/>
    <n v="7489311.7000000002"/>
    <n v="3215694"/>
    <s v="AMOMPY"/>
    <s v="Momentum Capital Investment S.A."/>
    <s v="10/08/2026"/>
    <s v="10/08/2026"/>
    <n v="28"/>
    <s v="No"/>
    <s v=""/>
    <m/>
    <m/>
    <s v="*MAV011001274"/>
    <s v="*MAV011001274"/>
    <n v="9.9567169799328885E-5"/>
  </r>
  <r>
    <x v="79"/>
    <s v="Pesos"/>
    <d v="2026-10-05T00:00:00"/>
    <s v="29/09/2026"/>
    <n v="0.99509272000000004"/>
    <m/>
    <n v="2500000"/>
    <n v="2487731.81"/>
    <n v="2500000"/>
    <n v="2487731.81"/>
    <n v="2256"/>
    <s v="AMOMPY"/>
    <s v="Momentum Capital Investment S.A."/>
    <s v="11/09/2026"/>
    <s v="11/09/2026"/>
    <n v="30"/>
    <s v="No"/>
    <s v=""/>
    <m/>
    <m/>
    <s v="*MAV011001556"/>
    <s v="*MAV011001556"/>
    <n v="3.3073321750176557E-5"/>
  </r>
  <r>
    <x v="80"/>
    <s v="Pesos"/>
    <d v="2026-10-05T00:00:00"/>
    <s v="29/09/2026"/>
    <n v="0.99476728000000003"/>
    <m/>
    <n v="1016376"/>
    <n v="1011057.59"/>
    <n v="1016376"/>
    <n v="1011057.59"/>
    <n v="68280012"/>
    <s v="AMOMPY"/>
    <s v="Momentum Capital Investment S.A."/>
    <s v="31/07/2026"/>
    <s v="31/07/2026"/>
    <n v="32"/>
    <s v="No"/>
    <s v=""/>
    <m/>
    <m/>
    <s v="*MAV011001179"/>
    <s v="*MAV011001179"/>
    <n v="1.344157470978678E-5"/>
  </r>
  <r>
    <x v="8"/>
    <s v="Pesos"/>
    <d v="2026-10-05T00:00:00"/>
    <s v="29/09/2026"/>
    <n v="0.99590725000000002"/>
    <m/>
    <n v="8650000"/>
    <n v="8614597.6999999993"/>
    <n v="8650000"/>
    <n v="8614597.6999999993"/>
    <n v="34383"/>
    <s v="AMOMPY"/>
    <s v="Momentum Capital Investment S.A."/>
    <s v="20/07/2026"/>
    <s v="20/07/2026"/>
    <n v="25"/>
    <s v="No"/>
    <s v=""/>
    <m/>
    <m/>
    <s v="*MIL011000030"/>
    <s v="*MIL011000030"/>
    <n v="1.1452736196689582E-4"/>
  </r>
  <r>
    <x v="81"/>
    <s v="Pesos"/>
    <d v="2026-10-05T00:00:00"/>
    <s v="29/09/2026"/>
    <n v="0.99492996"/>
    <m/>
    <n v="5000000"/>
    <n v="4974649.8"/>
    <n v="5000000"/>
    <n v="4974649.8"/>
    <n v="69492641"/>
    <s v="AMOMPY"/>
    <s v="Momentum Capital Investment S.A."/>
    <s v="03/09/2026"/>
    <s v="03/09/2026"/>
    <n v="31"/>
    <s v="No"/>
    <s v=""/>
    <m/>
    <m/>
    <s v="*MAV011001476"/>
    <s v="*MAV011001476"/>
    <n v="6.613582411435719E-5"/>
  </r>
  <r>
    <x v="82"/>
    <s v="Pesos"/>
    <d v="2026-10-05T00:00:00"/>
    <s v="29/09/2026"/>
    <n v="0.99509272999999998"/>
    <m/>
    <n v="2700000"/>
    <n v="2686750.36"/>
    <n v="2700000"/>
    <n v="2686750.36"/>
    <n v="6904"/>
    <s v="AMOMPY"/>
    <s v="Momentum Capital Investment S.A."/>
    <s v="11/09/2026"/>
    <s v="11/09/2026"/>
    <n v="30"/>
    <s v="No"/>
    <s v=""/>
    <m/>
    <m/>
    <s v="*MAV011001555"/>
    <s v="*MAV011001555"/>
    <n v="3.5719187559322438E-5"/>
  </r>
  <r>
    <x v="83"/>
    <s v="Pesos"/>
    <d v="2026-10-05T00:00:00"/>
    <s v="29/09/2026"/>
    <n v="0.99460473000000005"/>
    <m/>
    <n v="1123403.5"/>
    <n v="1117342.43"/>
    <n v="1123403.5"/>
    <n v="1117342.43"/>
    <n v="69775642"/>
    <s v="AMOMPY"/>
    <s v="Momentum Capital Investment S.A."/>
    <s v="23/09/2026"/>
    <s v="23/09/2026"/>
    <n v="33"/>
    <s v="No"/>
    <s v=""/>
    <m/>
    <m/>
    <s v="*MAV011001663"/>
    <s v="*MAV011001663"/>
    <n v="1.4854585829536876E-5"/>
  </r>
  <r>
    <x v="84"/>
    <s v="Pesos"/>
    <d v="2026-10-05T00:00:00"/>
    <s v="29/09/2026"/>
    <n v="0.99476728999999997"/>
    <m/>
    <n v="6000000"/>
    <n v="5968603.7199999997"/>
    <n v="6000000"/>
    <n v="5968603.7199999997"/>
    <n v="90001649"/>
    <s v="AMOMPY"/>
    <s v="Momentum Capital Investment S.A."/>
    <s v="25/08/2026"/>
    <s v="25/08/2026"/>
    <n v="32"/>
    <s v="No"/>
    <s v=""/>
    <m/>
    <m/>
    <s v="*MAV011001363"/>
    <s v="*MAV011001363"/>
    <n v="7.9350012906278955E-5"/>
  </r>
  <r>
    <x v="15"/>
    <s v="Pesos"/>
    <d v="2026-10-05T00:00:00"/>
    <s v="29/09/2026"/>
    <n v="0.99476728999999997"/>
    <m/>
    <n v="5444206"/>
    <n v="5415718.0300000003"/>
    <n v="5444206"/>
    <n v="5415718.0300000003"/>
    <n v="3438"/>
    <s v="AMOMPY"/>
    <s v="Momentum Capital Investment S.A."/>
    <s v="25/08/2026"/>
    <s v="25/08/2026"/>
    <n v="32"/>
    <s v="No"/>
    <s v=""/>
    <m/>
    <m/>
    <s v="*MAV011001362"/>
    <s v="*MAV011001362"/>
    <n v="7.1999636051774549E-5"/>
  </r>
  <r>
    <x v="17"/>
    <s v="Pesos"/>
    <d v="2026-10-05T00:00:00"/>
    <s v="29/09/2026"/>
    <n v="0.99444204000000003"/>
    <m/>
    <n v="11233238.84"/>
    <n v="11170804.9"/>
    <n v="11233238.84"/>
    <n v="11170804.9"/>
    <n v="91"/>
    <s v="AMOMPY"/>
    <s v="Momentum Capital Investment S.A."/>
    <s v="10/09/2026"/>
    <s v="10/09/2026"/>
    <n v="34"/>
    <s v="No"/>
    <s v=""/>
    <m/>
    <m/>
    <s v="%CP1021000001"/>
    <s v="%CP1021000001"/>
    <n v="1.4851103450180543E-4"/>
  </r>
  <r>
    <x v="17"/>
    <s v="Pesos"/>
    <d v="2026-10-05T00:00:00"/>
    <s v="29/09/2026"/>
    <n v="0.99444204000000003"/>
    <m/>
    <n v="11233238.84"/>
    <n v="11170804.9"/>
    <n v="11233238.84"/>
    <n v="11170804.9"/>
    <n v="92"/>
    <s v="AMOMPY"/>
    <s v="Momentum Capital Investment S.A."/>
    <s v="10/09/2026"/>
    <s v="10/09/2026"/>
    <n v="34"/>
    <s v="No"/>
    <s v=""/>
    <m/>
    <m/>
    <s v="%CP1021000002"/>
    <s v="%CP1021000002"/>
    <n v="1.4851103450180543E-4"/>
  </r>
  <r>
    <x v="17"/>
    <s v="Pesos"/>
    <d v="2026-10-05T00:00:00"/>
    <s v="29/09/2026"/>
    <n v="0.99444202999999998"/>
    <m/>
    <n v="10657519.18"/>
    <n v="10598285.060000001"/>
    <n v="10657519.18"/>
    <n v="10598285.060000001"/>
    <n v="93"/>
    <s v="AMOMPY"/>
    <s v="Momentum Capital Investment S.A."/>
    <s v="10/09/2026"/>
    <s v="10/09/2026"/>
    <n v="34"/>
    <s v="No"/>
    <s v=""/>
    <m/>
    <m/>
    <s v="%CP1021000003"/>
    <s v="%CP1021000003"/>
    <n v="1.4089963008893201E-4"/>
  </r>
  <r>
    <x v="17"/>
    <s v="Pesos"/>
    <d v="2026-10-05T00:00:00"/>
    <s v="29/09/2026"/>
    <n v="0.99395467000000004"/>
    <m/>
    <n v="7054622.8799999999"/>
    <n v="7011975.3600000003"/>
    <n v="7054622.8799999999"/>
    <n v="7011975.3600000003"/>
    <n v="69"/>
    <s v="AMOMPY"/>
    <s v="Momentum Capital Investment S.A."/>
    <s v="16/09/2026"/>
    <s v="16/09/2026"/>
    <n v="37"/>
    <s v="No"/>
    <s v=""/>
    <m/>
    <m/>
    <s v="%CP1021000004"/>
    <s v="%CP1021000004"/>
    <n v="9.3221188977597264E-5"/>
  </r>
  <r>
    <x v="85"/>
    <s v="Pesos"/>
    <d v="2026-10-05T00:00:00"/>
    <s v="29/09/2026"/>
    <n v="0.99379220000000001"/>
    <m/>
    <n v="6500236.5700000003"/>
    <n v="6459884.4299999997"/>
    <n v="6500236.5700000003"/>
    <n v="6459884.4299999997"/>
    <n v="90000580"/>
    <s v="AMOMPY"/>
    <s v="Momentum Capital Investment S.A."/>
    <s v="24/04/2026"/>
    <s v="24/04/2026"/>
    <n v="38"/>
    <s v="No"/>
    <s v=""/>
    <m/>
    <m/>
    <s v="*MAV011001000"/>
    <s v="*MAV011001000"/>
    <n v="8.5881378114607089E-5"/>
  </r>
  <r>
    <x v="86"/>
    <s v="Pesos"/>
    <d v="2026-10-05T00:00:00"/>
    <s v="29/09/2026"/>
    <n v="0.99346760999999995"/>
    <m/>
    <n v="7203888"/>
    <n v="7156829.4100000001"/>
    <n v="7203888"/>
    <n v="7156829.4100000001"/>
    <n v="66329827"/>
    <s v="AMOMPY"/>
    <s v="Momentum Capital Investment S.A."/>
    <s v="17/04/2026"/>
    <s v="17/04/2026"/>
    <n v="40"/>
    <s v="No"/>
    <s v=""/>
    <m/>
    <m/>
    <s v="*MAV011000998"/>
    <s v="*MAV011000998"/>
    <n v="9.5146961113970027E-5"/>
  </r>
  <r>
    <x v="21"/>
    <s v="Pesos"/>
    <d v="2026-10-05T00:00:00"/>
    <s v="29/09/2026"/>
    <n v="0.99476728999999997"/>
    <m/>
    <n v="10000000"/>
    <n v="9947672.9100000001"/>
    <n v="10000000"/>
    <n v="9947672.9100000001"/>
    <n v="14422562"/>
    <s v="AMOMPY"/>
    <s v="Momentum Capital Investment S.A."/>
    <s v="01/09/2026"/>
    <s v="01/09/2026"/>
    <n v="32"/>
    <s v="No"/>
    <s v=""/>
    <m/>
    <m/>
    <s v="*MAV011001420"/>
    <s v="*MAV011001420"/>
    <n v="1.322500220865629E-4"/>
  </r>
  <r>
    <x v="87"/>
    <s v="Dolar 3500"/>
    <d v="2026-10-05T00:00:00"/>
    <s v="29/09/2026"/>
    <n v="0.998359"/>
    <s v="1 US3 = 1523,9697583441 $"/>
    <n v="70000"/>
    <n v="69885.13"/>
    <n v="106677883.08"/>
    <n v="106502824.68000001"/>
    <n v="163087"/>
    <s v="AMOMPY"/>
    <s v="Momentum Capital Investment S.A."/>
    <s v="31/08/2026"/>
    <s v="31/08/2026"/>
    <n v="10"/>
    <s v="No"/>
    <s v=""/>
    <m/>
    <m/>
    <s v="#UMV011060031"/>
    <s v="#UMV011060031"/>
    <n v="1.4159091320797496E-3"/>
  </r>
  <r>
    <x v="88"/>
    <s v="Dolar 3500"/>
    <d v="2026-10-05T00:00:00"/>
    <s v="29/09/2026"/>
    <n v="0.99868659999999998"/>
    <s v="1 US3 = 1523,9697583441 $"/>
    <n v="188100"/>
    <n v="187852.95"/>
    <n v="286658711.54000002"/>
    <n v="286282214.81999999"/>
    <n v="160721"/>
    <s v="AMOMPY"/>
    <s v="Momentum Capital Investment S.A."/>
    <s v="12/08/2026"/>
    <s v="12/08/2026"/>
    <n v="8"/>
    <s v="No"/>
    <s v=""/>
    <m/>
    <m/>
    <s v="#UMV011060030"/>
    <s v="#UMV011060030"/>
    <n v="3.8059986064555018E-3"/>
  </r>
  <r>
    <x v="88"/>
    <s v="Dolar 3500"/>
    <d v="2026-10-05T00:00:00"/>
    <s v="29/09/2026"/>
    <n v="0.99885060000000003"/>
    <s v="1 US3 = 1523,9697583441 $"/>
    <n v="50000"/>
    <n v="49942.53"/>
    <n v="76198487.920000002"/>
    <n v="76110905.379999995"/>
    <n v="150093"/>
    <s v="AMOMPY"/>
    <s v="Momentum Capital Investment S.A."/>
    <s v="15/05/2026"/>
    <s v="15/05/2026"/>
    <n v="7"/>
    <s v="No"/>
    <s v=""/>
    <m/>
    <m/>
    <s v="#UMV011060013"/>
    <s v="#UMV011060013"/>
    <n v="1.0118616694176467E-3"/>
  </r>
  <r>
    <x v="88"/>
    <s v="Dolar 3500"/>
    <d v="2026-10-05T00:00:00"/>
    <s v="29/09/2026"/>
    <n v="0.99852280000000004"/>
    <s v="1 US3 = 1523,9697583441 $"/>
    <n v="25000"/>
    <n v="24963.07"/>
    <n v="38099243.960000001"/>
    <n v="38042963.759999998"/>
    <n v="150614"/>
    <s v="AMOMPY"/>
    <s v="Momentum Capital Investment S.A."/>
    <s v="19/05/2026"/>
    <s v="19/05/2026"/>
    <n v="9"/>
    <s v="No"/>
    <s v=""/>
    <m/>
    <m/>
    <s v="#UMV011060014"/>
    <s v="#UMV011060014"/>
    <n v="5.0576479976946812E-4"/>
  </r>
  <r>
    <x v="28"/>
    <s v="Pesos"/>
    <d v="2026-10-05T00:00:00"/>
    <s v="29/09/2026"/>
    <n v="0.99476728999999997"/>
    <m/>
    <n v="3000000"/>
    <n v="2984301.87"/>
    <n v="3000000"/>
    <n v="2984301.87"/>
    <n v="1034"/>
    <s v="AMOMPY"/>
    <s v="Momentum Capital Investment S.A."/>
    <s v="25/08/2026"/>
    <s v="25/08/2026"/>
    <n v="32"/>
    <s v="No"/>
    <s v=""/>
    <m/>
    <m/>
    <s v="*MAV011001354"/>
    <s v="*MAV011001354"/>
    <n v="3.9675006586085168E-5"/>
  </r>
  <r>
    <x v="28"/>
    <s v="Pesos"/>
    <d v="2026-10-05T00:00:00"/>
    <s v="29/09/2026"/>
    <n v="0.99476726000000004"/>
    <m/>
    <n v="2000000"/>
    <n v="1989534.51"/>
    <n v="2000000"/>
    <n v="1989534.51"/>
    <n v="1081"/>
    <s v="AMOMPY"/>
    <s v="Momentum Capital Investment S.A."/>
    <s v="26/08/2026"/>
    <s v="26/08/2026"/>
    <n v="32"/>
    <s v="No"/>
    <s v=""/>
    <m/>
    <m/>
    <s v="*MAV011001375"/>
    <s v="*MAV011001375"/>
    <n v="2.6450003460103625E-5"/>
  </r>
  <r>
    <x v="28"/>
    <s v="Pesos"/>
    <d v="2026-10-05T00:00:00"/>
    <s v="29/09/2026"/>
    <n v="0.99509272000000004"/>
    <m/>
    <n v="3300000"/>
    <n v="3283805.99"/>
    <n v="3300000"/>
    <n v="3283805.99"/>
    <n v="922"/>
    <s v="AMOMPY"/>
    <s v="Momentum Capital Investment S.A."/>
    <s v="11/08/2026"/>
    <s v="11/08/2026"/>
    <n v="30"/>
    <s v="No"/>
    <s v=""/>
    <m/>
    <m/>
    <s v="*MAV011001284"/>
    <s v="*MAV011001284"/>
    <n v="4.3656784720868713E-5"/>
  </r>
  <r>
    <x v="28"/>
    <s v="Pesos"/>
    <d v="2026-10-05T00:00:00"/>
    <s v="29/09/2026"/>
    <n v="0.99509272000000004"/>
    <m/>
    <n v="2500000"/>
    <n v="2487731.79"/>
    <n v="2500000"/>
    <n v="2487731.79"/>
    <n v="904"/>
    <s v="AMOMPY"/>
    <s v="Momentum Capital Investment S.A."/>
    <s v="07/08/2026"/>
    <s v="07/08/2026"/>
    <n v="30"/>
    <s v="No"/>
    <s v=""/>
    <m/>
    <m/>
    <s v="*MAV011001237"/>
    <s v="*MAV011001237"/>
    <n v="3.3073321484285183E-5"/>
  </r>
  <r>
    <x v="89"/>
    <s v="Pesos"/>
    <d v="2026-10-06T00:00:00"/>
    <s v="29/09/2026"/>
    <n v="0.99541837"/>
    <m/>
    <n v="5000000"/>
    <n v="4977091.84"/>
    <n v="5000000"/>
    <n v="4977091.84"/>
    <n v="16831529"/>
    <s v="AMOMPY"/>
    <s v="Momentum Capital Investment S.A."/>
    <s v="21/07/2026"/>
    <s v="21/07/2026"/>
    <n v="24"/>
    <s v="No"/>
    <s v=""/>
    <m/>
    <m/>
    <s v="*INP021000033"/>
    <s v="*INP021000033"/>
    <n v="6.6168289983194867E-5"/>
  </r>
  <r>
    <x v="90"/>
    <s v="Pesos"/>
    <d v="2026-10-06T00:00:00"/>
    <s v="29/09/2026"/>
    <n v="0.99427949999999998"/>
    <m/>
    <n v="5577023.0199999996"/>
    <n v="5545119.6600000001"/>
    <n v="5577023.0199999996"/>
    <n v="5545119.6600000001"/>
    <n v="90017209"/>
    <s v="AMOMPY"/>
    <s v="Momentum Capital Investment S.A."/>
    <s v="11/09/2026"/>
    <s v="11/09/2026"/>
    <n v="30"/>
    <s v="No"/>
    <s v=""/>
    <m/>
    <m/>
    <s v="*MAV021001538"/>
    <s v="*MAV021001538"/>
    <n v="7.3719974927043938E-5"/>
  </r>
  <r>
    <x v="50"/>
    <s v="Pesos"/>
    <d v="2026-10-06T00:00:00"/>
    <s v="29/09/2026"/>
    <n v="0.99427949000000004"/>
    <m/>
    <n v="100000000"/>
    <n v="99427949.069999993"/>
    <n v="100000000"/>
    <n v="99427949.069999993"/>
    <n v="90003952"/>
    <s v="AMOMPY"/>
    <s v="Momentum Capital Investment S.A."/>
    <s v="29/07/2026"/>
    <s v="29/07/2026"/>
    <n v="30"/>
    <s v="No"/>
    <s v=""/>
    <m/>
    <m/>
    <s v="*MAV021001096"/>
    <s v="*MAV021001096"/>
    <n v="1.3218517113998223E-3"/>
  </r>
  <r>
    <x v="91"/>
    <s v="Dolar Link"/>
    <d v="2026-10-06T00:00:00"/>
    <s v="29/09/2026"/>
    <n v="0.99713138999999995"/>
    <s v="1 BNA = 1544,9999783700 $"/>
    <n v="6619.93"/>
    <n v="6600.94"/>
    <n v="10227791.710000001"/>
    <n v="10198452.16"/>
    <n v="65"/>
    <s v="AMOMPY"/>
    <s v="Momentum Capital Investment S.A."/>
    <s v="17/09/2026"/>
    <s v="17/09/2026"/>
    <n v="15"/>
    <s v="No"/>
    <s v=""/>
    <m/>
    <m/>
    <s v="%UZV041000001"/>
    <s v="%UZV041000001"/>
    <n v="1.3558402408395587E-4"/>
  </r>
  <r>
    <x v="28"/>
    <s v="Pesos"/>
    <d v="2026-10-06T00:00:00"/>
    <s v="29/09/2026"/>
    <n v="0.99390051000000001"/>
    <m/>
    <n v="4000000"/>
    <n v="3975602.05"/>
    <n v="4000000"/>
    <n v="3975602.05"/>
    <n v="1144"/>
    <s v="AMOMPY"/>
    <s v="Momentum Capital Investment S.A."/>
    <s v="03/09/2026"/>
    <s v="03/09/2026"/>
    <n v="32"/>
    <s v="No"/>
    <s v=""/>
    <m/>
    <m/>
    <s v="*MAV021001360"/>
    <s v="*MAV021001360"/>
    <n v="5.2853915048950352E-5"/>
  </r>
  <r>
    <x v="28"/>
    <s v="Pesos"/>
    <d v="2026-10-06T00:00:00"/>
    <s v="29/09/2026"/>
    <n v="0.99427949999999998"/>
    <m/>
    <n v="5000000"/>
    <n v="4971397.51"/>
    <n v="5000000"/>
    <n v="4971397.51"/>
    <n v="1215"/>
    <s v="AMOMPY"/>
    <s v="Momentum Capital Investment S.A."/>
    <s v="11/09/2026"/>
    <s v="11/09/2026"/>
    <n v="30"/>
    <s v="No"/>
    <s v=""/>
    <m/>
    <m/>
    <s v="*MAV021001525"/>
    <s v="*MAV021001525"/>
    <n v="6.6092586321134253E-5"/>
  </r>
  <r>
    <x v="28"/>
    <s v="Pesos"/>
    <d v="2026-10-06T00:00:00"/>
    <s v="29/09/2026"/>
    <n v="0.99427958000000005"/>
    <m/>
    <n v="5000000"/>
    <n v="4971397.9000000004"/>
    <n v="5000000"/>
    <n v="4971397.9000000004"/>
    <n v="1221"/>
    <s v="AMOMPY"/>
    <s v="Momentum Capital Investment S.A."/>
    <s v="14/09/2026"/>
    <s v="14/09/2026"/>
    <n v="30"/>
    <s v="No"/>
    <s v=""/>
    <m/>
    <m/>
    <s v="*MAV021001541"/>
    <s v="*MAV021001541"/>
    <n v="6.60925915060161E-5"/>
  </r>
  <r>
    <x v="28"/>
    <s v="Pesos"/>
    <d v="2026-10-06T00:00:00"/>
    <s v="29/09/2026"/>
    <n v="0.99427953999999996"/>
    <m/>
    <n v="5000000"/>
    <n v="4971397.7"/>
    <n v="5000000"/>
    <n v="4971397.7"/>
    <n v="1225"/>
    <s v="AMOMPY"/>
    <s v="Momentum Capital Investment S.A."/>
    <s v="16/09/2026"/>
    <s v="16/09/2026"/>
    <n v="30"/>
    <s v="No"/>
    <s v=""/>
    <m/>
    <m/>
    <s v="*MAV021001569"/>
    <s v="*MAV021001569"/>
    <n v="6.6092588847102335E-5"/>
  </r>
  <r>
    <x v="28"/>
    <s v="Pesos"/>
    <d v="2026-10-06T00:00:00"/>
    <s v="29/09/2026"/>
    <n v="0.99390047000000004"/>
    <m/>
    <n v="3000000"/>
    <n v="2981701.42"/>
    <n v="3000000"/>
    <n v="2981701.42"/>
    <n v="1035"/>
    <s v="AMOMPY"/>
    <s v="Momentum Capital Investment S.A."/>
    <s v="25/08/2026"/>
    <s v="25/08/2026"/>
    <n v="32"/>
    <s v="No"/>
    <s v=""/>
    <m/>
    <m/>
    <s v="*MAV021001284"/>
    <s v="*MAV021001284"/>
    <n v="3.9640434724600929E-5"/>
  </r>
  <r>
    <x v="92"/>
    <s v="Pesos"/>
    <d v="2026-10-06T00:00:00"/>
    <s v="29/09/2026"/>
    <n v="0.99465882999999999"/>
    <m/>
    <n v="8584260.9900000002"/>
    <n v="8538411"/>
    <n v="8584260.9900000002"/>
    <n v="8538411"/>
    <n v="629236"/>
    <s v="AMOMPY"/>
    <s v="Momentum Capital Investment S.A."/>
    <s v="10/08/2026"/>
    <s v="10/08/2026"/>
    <n v="28"/>
    <s v="No"/>
    <s v=""/>
    <m/>
    <m/>
    <s v="*MAV021001181"/>
    <s v="*MAV021001181"/>
    <n v="1.1351449264068652E-4"/>
  </r>
  <r>
    <x v="92"/>
    <s v="Pesos"/>
    <d v="2026-10-06T00:00:00"/>
    <s v="29/09/2026"/>
    <n v="0.99465882999999999"/>
    <m/>
    <n v="8584260.9900000002"/>
    <n v="8538411"/>
    <n v="8584260.9900000002"/>
    <n v="8538411"/>
    <n v="629242"/>
    <s v="AMOMPY"/>
    <s v="Momentum Capital Investment S.A."/>
    <s v="10/08/2026"/>
    <s v="10/08/2026"/>
    <n v="28"/>
    <s v="No"/>
    <s v=""/>
    <m/>
    <m/>
    <s v="*MAV021001182"/>
    <s v="*MAV021001182"/>
    <n v="1.1351449264068652E-4"/>
  </r>
  <r>
    <x v="92"/>
    <s v="Pesos"/>
    <d v="2026-10-06T00:00:00"/>
    <s v="29/09/2026"/>
    <n v="0.99465882999999999"/>
    <m/>
    <n v="8584260.9900000002"/>
    <n v="8538411"/>
    <n v="8584260.9900000002"/>
    <n v="8538411"/>
    <n v="629234"/>
    <s v="AMOMPY"/>
    <s v="Momentum Capital Investment S.A."/>
    <s v="10/08/2026"/>
    <s v="10/08/2026"/>
    <n v="28"/>
    <s v="No"/>
    <s v=""/>
    <m/>
    <m/>
    <s v="*MAV021001183"/>
    <s v="*MAV021001183"/>
    <n v="1.1351449264068652E-4"/>
  </r>
  <r>
    <x v="93"/>
    <s v="Pesos"/>
    <d v="2026-10-06T00:00:00"/>
    <s v="29/09/2026"/>
    <n v="0.99371116999999998"/>
    <m/>
    <n v="34382424.25"/>
    <n v="34166199.020000003"/>
    <n v="34382424.25"/>
    <n v="34166199.020000003"/>
    <n v="90022563"/>
    <s v="AMOMPY"/>
    <s v="Momentum Capital Investment S.A."/>
    <s v="24/09/2026"/>
    <s v="24/09/2026"/>
    <n v="33"/>
    <s v="No"/>
    <s v=""/>
    <m/>
    <m/>
    <s v="*MAV021001704"/>
    <s v="*MAV021001704"/>
    <n v="4.5422488414015457E-4"/>
  </r>
  <r>
    <x v="94"/>
    <s v="Pesos"/>
    <d v="2026-10-06T00:00:00"/>
    <s v="29/09/2026"/>
    <n v="0.99427949999999998"/>
    <m/>
    <n v="6150126.3399999999"/>
    <n v="6114944.5499999998"/>
    <n v="6150126.3399999999"/>
    <n v="6114944.5499999998"/>
    <n v="57"/>
    <s v="AMOMPY"/>
    <s v="Momentum Capital Investment S.A."/>
    <s v="11/09/2026"/>
    <s v="11/09/2026"/>
    <n v="30"/>
    <s v="No"/>
    <s v=""/>
    <m/>
    <m/>
    <s v="*MAV021001539"/>
    <s v="*MAV021001539"/>
    <n v="8.129555114167978E-5"/>
  </r>
  <r>
    <x v="6"/>
    <s v="Pesos"/>
    <d v="2026-10-06T00:00:00"/>
    <s v="29/09/2026"/>
    <n v="0.99541837"/>
    <m/>
    <n v="2500000"/>
    <n v="2488545.92"/>
    <n v="2500000"/>
    <n v="2488545.92"/>
    <n v="16821015"/>
    <s v="AMOMPY"/>
    <s v="Momentum Capital Investment S.A."/>
    <s v="17/07/2026"/>
    <s v="17/07/2026"/>
    <n v="24"/>
    <s v="No"/>
    <s v=""/>
    <m/>
    <m/>
    <s v="*PRO021000009"/>
    <s v="*PRO021000009"/>
    <n v="3.3084144991597434E-5"/>
  </r>
  <r>
    <x v="35"/>
    <s v="Pesos"/>
    <d v="2026-10-06T00:00:00"/>
    <s v="29/09/2026"/>
    <n v="0.99371105999999998"/>
    <m/>
    <n v="5000000"/>
    <n v="4968555.3099999996"/>
    <n v="5000000"/>
    <n v="4968555.3099999996"/>
    <n v="3040"/>
    <s v="AMOMPY"/>
    <s v="Momentum Capital Investment S.A."/>
    <s v="21/07/2026"/>
    <s v="21/07/2026"/>
    <n v="33"/>
    <s v="No"/>
    <s v=""/>
    <m/>
    <m/>
    <s v="*MAV021001048"/>
    <s v="*MAV021001048"/>
    <n v="6.6054800497638135E-5"/>
  </r>
  <r>
    <x v="8"/>
    <s v="Pesos"/>
    <d v="2026-10-06T00:00:00"/>
    <s v="29/09/2026"/>
    <n v="0.99522836999999997"/>
    <m/>
    <n v="25000000"/>
    <n v="24880709.359999999"/>
    <n v="25000000"/>
    <n v="24880709.359999999"/>
    <n v="68393694"/>
    <s v="AMOMPY"/>
    <s v="Momentum Capital Investment S.A."/>
    <s v="17/07/2026"/>
    <s v="17/07/2026"/>
    <n v="25"/>
    <s v="No"/>
    <s v=""/>
    <m/>
    <m/>
    <s v="*MIL021000029"/>
    <s v="*MIL021000029"/>
    <n v="3.3077830284121721E-4"/>
  </r>
  <r>
    <x v="95"/>
    <s v="Pesos"/>
    <d v="2026-10-06T00:00:00"/>
    <s v="29/09/2026"/>
    <n v="0.99408996999999999"/>
    <m/>
    <n v="8523310"/>
    <n v="8472937.0199999996"/>
    <n v="8523310"/>
    <n v="8472937.0199999996"/>
    <n v="13680132"/>
    <s v="AMOMPY"/>
    <s v="Momentum Capital Investment S.A."/>
    <s v="02/09/2026"/>
    <s v="02/09/2026"/>
    <n v="31"/>
    <s v="No"/>
    <s v=""/>
    <m/>
    <m/>
    <s v="*MAV021001375"/>
    <s v="*MAV021001375"/>
    <n v="1.1264404430775121E-4"/>
  </r>
  <r>
    <x v="96"/>
    <s v="Pesos"/>
    <d v="2026-10-06T00:00:00"/>
    <s v="29/09/2026"/>
    <n v="0.99314325000000003"/>
    <m/>
    <n v="100000000"/>
    <n v="99314324.849999994"/>
    <n v="100000000"/>
    <n v="99314324.849999994"/>
    <n v="8439"/>
    <s v="AMOMPY"/>
    <s v="Momentum Capital Investment S.A."/>
    <s v="02/07/2026"/>
    <s v="02/07/2026"/>
    <n v="36"/>
    <s v="No"/>
    <s v=""/>
    <m/>
    <m/>
    <s v="*MAV021000989"/>
    <s v="*MAV021000989"/>
    <n v="1.3203411263875767E-3"/>
  </r>
  <r>
    <x v="8"/>
    <s v="Pesos"/>
    <d v="2026-10-06T00:00:00"/>
    <s v="29/09/2026"/>
    <n v="0.99484859000000003"/>
    <m/>
    <n v="10000000"/>
    <n v="9948485.9399999995"/>
    <n v="10000000"/>
    <n v="9948485.9399999995"/>
    <n v="2009"/>
    <s v="AMOMPY"/>
    <s v="Momentum Capital Investment S.A."/>
    <s v="07/07/2026"/>
    <s v="07/07/2026"/>
    <n v="27"/>
    <s v="No"/>
    <s v=""/>
    <m/>
    <m/>
    <s v="*MIL021000028"/>
    <s v="*MIL021000028"/>
    <n v="1.3226083096984945E-4"/>
  </r>
  <r>
    <x v="97"/>
    <s v="Pesos"/>
    <d v="2026-10-06T00:00:00"/>
    <s v="29/09/2026"/>
    <n v="0.99427951000000003"/>
    <m/>
    <n v="15000000"/>
    <n v="14914192.59"/>
    <n v="15000000"/>
    <n v="14914192.59"/>
    <n v="728"/>
    <s v="AMOMPY"/>
    <s v="Momentum Capital Investment S.A."/>
    <s v="06/07/2026"/>
    <s v="06/07/2026"/>
    <n v="30"/>
    <s v="No"/>
    <s v=""/>
    <m/>
    <m/>
    <s v="*MAV021000994"/>
    <s v="*MAV021000994"/>
    <n v="1.982777597610769E-4"/>
  </r>
  <r>
    <x v="98"/>
    <s v="Pesos"/>
    <d v="2026-10-06T00:00:00"/>
    <s v="29/09/2026"/>
    <n v="0.99390045000000005"/>
    <m/>
    <n v="14395515.539999999"/>
    <n v="14307709.43"/>
    <n v="14395515.539999999"/>
    <n v="14307709.43"/>
    <n v="358"/>
    <s v="AMOMPY"/>
    <s v="Momentum Capital Investment S.A."/>
    <s v="18/09/2026"/>
    <s v="18/09/2026"/>
    <n v="32"/>
    <s v="No"/>
    <s v=""/>
    <m/>
    <m/>
    <s v="*MAV021001625"/>
    <s v="*MAV021001625"/>
    <n v="1.9021482765315656E-4"/>
  </r>
  <r>
    <x v="98"/>
    <s v="Pesos"/>
    <d v="2026-10-06T00:00:00"/>
    <s v="29/09/2026"/>
    <n v="0.99390045000000005"/>
    <m/>
    <n v="15898472.42"/>
    <n v="15801498.970000001"/>
    <n v="15898472.42"/>
    <n v="15801498.970000001"/>
    <n v="364"/>
    <s v="AMOMPY"/>
    <s v="Momentum Capital Investment S.A."/>
    <s v="18/09/2026"/>
    <s v="18/09/2026"/>
    <n v="32"/>
    <s v="No"/>
    <s v=""/>
    <m/>
    <m/>
    <s v="*MAV021001626"/>
    <s v="*MAV021001626"/>
    <n v="2.1007411549313809E-4"/>
  </r>
  <r>
    <x v="98"/>
    <s v="Pesos"/>
    <d v="2026-10-06T00:00:00"/>
    <s v="29/09/2026"/>
    <n v="0.99390045000000005"/>
    <m/>
    <n v="15898472.42"/>
    <n v="15801498.970000001"/>
    <n v="15898472.42"/>
    <n v="15801498.970000001"/>
    <n v="361"/>
    <s v="AMOMPY"/>
    <s v="Momentum Capital Investment S.A."/>
    <s v="18/09/2026"/>
    <s v="18/09/2026"/>
    <n v="32"/>
    <s v="No"/>
    <s v=""/>
    <m/>
    <m/>
    <s v="*MAV021001627"/>
    <s v="*MAV021001627"/>
    <n v="2.1007411549313809E-4"/>
  </r>
  <r>
    <x v="98"/>
    <s v="Pesos"/>
    <d v="2026-10-06T00:00:00"/>
    <s v="29/09/2026"/>
    <n v="0.99390045000000005"/>
    <m/>
    <n v="15898472.42"/>
    <n v="15801498.970000001"/>
    <n v="15898472.42"/>
    <n v="15801498.970000001"/>
    <n v="363"/>
    <s v="AMOMPY"/>
    <s v="Momentum Capital Investment S.A."/>
    <s v="18/09/2026"/>
    <s v="18/09/2026"/>
    <n v="32"/>
    <s v="No"/>
    <s v=""/>
    <m/>
    <m/>
    <s v="*MAV021001628"/>
    <s v="*MAV021001628"/>
    <n v="2.1007411549313809E-4"/>
  </r>
  <r>
    <x v="98"/>
    <s v="Pesos"/>
    <d v="2026-10-06T00:00:00"/>
    <s v="29/09/2026"/>
    <n v="0.99390045000000005"/>
    <m/>
    <n v="15898472.42"/>
    <n v="15801498.970000001"/>
    <n v="15898472.42"/>
    <n v="15801498.970000001"/>
    <n v="360"/>
    <s v="AMOMPY"/>
    <s v="Momentum Capital Investment S.A."/>
    <s v="18/09/2026"/>
    <s v="18/09/2026"/>
    <n v="32"/>
    <s v="No"/>
    <s v=""/>
    <m/>
    <m/>
    <s v="*MAV021001629"/>
    <s v="*MAV021001629"/>
    <n v="2.1007411549313809E-4"/>
  </r>
  <r>
    <x v="98"/>
    <s v="Pesos"/>
    <d v="2026-10-06T00:00:00"/>
    <s v="29/09/2026"/>
    <n v="0.99390045000000005"/>
    <m/>
    <n v="15898472.42"/>
    <n v="15801498.970000001"/>
    <n v="15898472.42"/>
    <n v="15801498.970000001"/>
    <n v="362"/>
    <s v="AMOMPY"/>
    <s v="Momentum Capital Investment S.A."/>
    <s v="18/09/2026"/>
    <s v="18/09/2026"/>
    <n v="32"/>
    <s v="No"/>
    <s v=""/>
    <m/>
    <m/>
    <s v="*MAV021001630"/>
    <s v="*MAV021001630"/>
    <n v="2.1007411549313809E-4"/>
  </r>
  <r>
    <x v="98"/>
    <s v="Pesos"/>
    <d v="2026-10-06T00:00:00"/>
    <s v="29/09/2026"/>
    <n v="0.99390045000000005"/>
    <m/>
    <n v="11589977.25"/>
    <n v="11519283.66"/>
    <n v="11589977.25"/>
    <n v="11519283.66"/>
    <n v="366"/>
    <s v="AMOMPY"/>
    <s v="Momentum Capital Investment S.A."/>
    <s v="18/09/2026"/>
    <s v="18/09/2026"/>
    <n v="32"/>
    <s v="No"/>
    <s v=""/>
    <m/>
    <m/>
    <s v="*MAV021001631"/>
    <s v="*MAV021001631"/>
    <n v="1.5314390935843337E-4"/>
  </r>
  <r>
    <x v="99"/>
    <s v="Pesos"/>
    <d v="2026-10-06T00:00:00"/>
    <s v="29/09/2026"/>
    <n v="0.99390047000000004"/>
    <m/>
    <n v="1588021.51"/>
    <n v="1578335.32"/>
    <n v="1588021.51"/>
    <n v="1578335.32"/>
    <n v="535"/>
    <s v="AMOMPY"/>
    <s v="Momentum Capital Investment S.A."/>
    <s v="14/07/2026"/>
    <s v="14/07/2026"/>
    <n v="32"/>
    <s v="No"/>
    <s v=""/>
    <m/>
    <m/>
    <s v="*MAV021001028"/>
    <s v="*MAV021001028"/>
    <n v="2.0983287530510725E-5"/>
  </r>
  <r>
    <x v="41"/>
    <s v="Pesos"/>
    <d v="2026-10-06T00:00:00"/>
    <s v="29/09/2026"/>
    <n v="0.99427949999999998"/>
    <m/>
    <n v="2584602.4700000002"/>
    <n v="2569817.2400000002"/>
    <n v="2584602.4700000002"/>
    <n v="2569817.2400000002"/>
    <n v="384"/>
    <s v="AMOMPY"/>
    <s v="Momentum Capital Investment S.A."/>
    <s v="15/07/2026"/>
    <s v="15/07/2026"/>
    <n v="30"/>
    <s v="No"/>
    <s v=""/>
    <m/>
    <m/>
    <s v="*MAV021001033"/>
    <s v="*MAV021001033"/>
    <n v="3.4164612148313003E-5"/>
  </r>
  <r>
    <x v="15"/>
    <s v="Pesos"/>
    <d v="2026-10-06T00:00:00"/>
    <s v="29/09/2026"/>
    <n v="0.99390047999999998"/>
    <m/>
    <n v="5444206"/>
    <n v="5410998.9299999997"/>
    <n v="5444206"/>
    <n v="5410998.9299999997"/>
    <n v="3439"/>
    <s v="AMOMPY"/>
    <s v="Momentum Capital Investment S.A."/>
    <s v="25/08/2026"/>
    <s v="25/08/2026"/>
    <n v="32"/>
    <s v="No"/>
    <s v=""/>
    <m/>
    <m/>
    <s v="*MAV021001298"/>
    <s v="*MAV021001298"/>
    <n v="7.1936897652062853E-5"/>
  </r>
  <r>
    <x v="18"/>
    <s v="Pesos"/>
    <d v="2026-10-06T00:00:00"/>
    <s v="29/09/2026"/>
    <n v="0.99371103999999999"/>
    <m/>
    <n v="12500000"/>
    <n v="12421387.98"/>
    <n v="12500000"/>
    <n v="12421387.98"/>
    <n v="1362"/>
    <s v="AMOMPY"/>
    <s v="Momentum Capital Investment S.A."/>
    <s v="21/05/2026"/>
    <s v="21/05/2026"/>
    <n v="33"/>
    <s v="No"/>
    <s v=""/>
    <m/>
    <m/>
    <s v="*MAV021000917"/>
    <s v="*MAV021000917"/>
    <n v="1.6513699732219754E-4"/>
  </r>
  <r>
    <x v="48"/>
    <s v="Pesos"/>
    <d v="2026-10-06T00:00:00"/>
    <s v="29/09/2026"/>
    <n v="0.99333245000000003"/>
    <m/>
    <n v="6000000"/>
    <n v="5959994.6799999997"/>
    <n v="6000000"/>
    <n v="5959994.6799999997"/>
    <n v="40761920"/>
    <s v="AMOMPY"/>
    <s v="Momentum Capital Investment S.A."/>
    <s v="20/07/2026"/>
    <s v="20/07/2026"/>
    <n v="35"/>
    <s v="No"/>
    <s v=""/>
    <m/>
    <m/>
    <s v="*MAV021001042"/>
    <s v="*MAV021001042"/>
    <n v="7.9235559431537183E-5"/>
  </r>
  <r>
    <x v="48"/>
    <s v="Pesos"/>
    <d v="2026-10-06T00:00:00"/>
    <s v="29/09/2026"/>
    <n v="0.99333243999999998"/>
    <m/>
    <n v="4765832.3099999996"/>
    <n v="4734055.8600000003"/>
    <n v="4765832.3099999996"/>
    <n v="4734055.8600000003"/>
    <n v="40768614"/>
    <s v="AMOMPY"/>
    <s v="Momentum Capital Investment S.A."/>
    <s v="03/08/2026"/>
    <s v="03/08/2026"/>
    <n v="35"/>
    <s v="No"/>
    <s v=""/>
    <m/>
    <m/>
    <s v="*MAV021001114"/>
    <s v="*MAV021001114"/>
    <n v="6.2937231421697666E-5"/>
  </r>
  <r>
    <x v="100"/>
    <s v="Pesos"/>
    <d v="2026-10-06T00:00:00"/>
    <s v="29/09/2026"/>
    <n v="0.99352174000000004"/>
    <m/>
    <n v="5150760.3"/>
    <n v="5117392.32"/>
    <n v="5150760.3"/>
    <n v="5117392.32"/>
    <n v="1324"/>
    <s v="AMOMPY"/>
    <s v="Momentum Capital Investment S.A."/>
    <s v="26/08/2026"/>
    <s v="26/08/2026"/>
    <n v="34"/>
    <s v="No"/>
    <s v=""/>
    <m/>
    <m/>
    <s v="*MAV021001304"/>
    <s v="*MAV021001304"/>
    <n v="6.8033524369832485E-5"/>
  </r>
  <r>
    <x v="101"/>
    <s v="Dolar Link"/>
    <d v="2026-10-06T00:00:00"/>
    <s v="29/09/2026"/>
    <n v="0.99770539000000003"/>
    <s v="1 BNA = 1544,9999783700 $"/>
    <n v="4105.28"/>
    <n v="4095.86"/>
    <n v="6342657.5099999998"/>
    <n v="6328103.6100000003"/>
    <n v="70"/>
    <s v="AMOMPY"/>
    <s v="Momentum Capital Investment S.A."/>
    <s v="31/08/2026"/>
    <s v="31/08/2026"/>
    <n v="12"/>
    <s v="No"/>
    <s v=""/>
    <m/>
    <m/>
    <s v="%USP031000001"/>
    <s v="%USP031000001"/>
    <n v="8.4129408934150262E-5"/>
  </r>
  <r>
    <x v="27"/>
    <s v="Pesos"/>
    <d v="2026-10-06T00:00:00"/>
    <s v="29/09/2026"/>
    <n v="0.99465882000000005"/>
    <m/>
    <n v="2500000"/>
    <n v="2486647.06"/>
    <n v="2500000"/>
    <n v="2486647.06"/>
    <n v="90031811"/>
    <s v="AMOMPY"/>
    <s v="Momentum Capital Investment S.A."/>
    <s v="22/04/2026"/>
    <s v="22/04/2026"/>
    <n v="28"/>
    <s v="No"/>
    <s v=""/>
    <m/>
    <m/>
    <s v="*MOV021000044"/>
    <s v="*MOV021000044"/>
    <n v="3.305890046665062E-5"/>
  </r>
  <r>
    <x v="27"/>
    <s v="Pesos"/>
    <d v="2026-10-06T00:00:00"/>
    <s v="29/09/2026"/>
    <n v="0.99465882999999999"/>
    <m/>
    <n v="25000000"/>
    <n v="24866470.739999998"/>
    <n v="25000000"/>
    <n v="24866470.739999998"/>
    <n v="360569"/>
    <s v="AMOMPY"/>
    <s v="Momentum Capital Investment S.A."/>
    <s v="21/04/2026"/>
    <s v="21/04/2026"/>
    <n v="28"/>
    <s v="No"/>
    <s v=""/>
    <m/>
    <m/>
    <s v="*MOV021000043"/>
    <s v="*MOV021000043"/>
    <n v="3.3058900652774579E-4"/>
  </r>
  <r>
    <x v="102"/>
    <s v="Pesos"/>
    <d v="2026-10-06T00:00:00"/>
    <s v="29/09/2026"/>
    <n v="0.99579854999999995"/>
    <m/>
    <n v="13000000"/>
    <n v="12945381.16"/>
    <n v="13000000"/>
    <n v="12945381.16"/>
    <n v="34113"/>
    <s v="AMOMPY"/>
    <s v="Momentum Capital Investment S.A."/>
    <s v="30/06/2026"/>
    <s v="30/06/2026"/>
    <n v="22"/>
    <s v="No"/>
    <s v=""/>
    <m/>
    <m/>
    <s v="*MAV021000966"/>
    <s v="*MAV021000966"/>
    <n v="1.7210326071416589E-4"/>
  </r>
  <r>
    <x v="28"/>
    <s v="Pesos"/>
    <d v="2026-10-06T00:00:00"/>
    <s v="29/09/2026"/>
    <n v="0.99390049000000003"/>
    <m/>
    <n v="2000000"/>
    <n v="1987800.98"/>
    <n v="2000000"/>
    <n v="1987800.98"/>
    <n v="1067"/>
    <s v="AMOMPY"/>
    <s v="Momentum Capital Investment S.A."/>
    <s v="26/08/2026"/>
    <s v="26/08/2026"/>
    <n v="32"/>
    <s v="No"/>
    <s v=""/>
    <m/>
    <m/>
    <s v="*MAV021001309"/>
    <s v="*MAV021001309"/>
    <n v="2.642695692621958E-5"/>
  </r>
  <r>
    <x v="76"/>
    <s v="Pesos"/>
    <d v="2026-10-06T00:00:00"/>
    <s v="29/09/2026"/>
    <n v="0.99276507000000003"/>
    <m/>
    <n v="20000000"/>
    <n v="19855301.48"/>
    <n v="20000000"/>
    <n v="19855301.48"/>
    <n v="70219564"/>
    <s v="AMOMPY"/>
    <s v="Momentum Capital Investment S.A."/>
    <s v="03/08/2026"/>
    <s v="03/08/2026"/>
    <n v="38"/>
    <s v="No"/>
    <s v=""/>
    <m/>
    <m/>
    <s v="*MAV021001116"/>
    <s v="*MAV021001116"/>
    <n v="2.6396767193920186E-4"/>
  </r>
  <r>
    <x v="76"/>
    <s v="Pesos"/>
    <d v="2026-10-06T00:00:00"/>
    <s v="29/09/2026"/>
    <n v="0.99276507000000003"/>
    <m/>
    <n v="20000000"/>
    <n v="19855301.48"/>
    <n v="20000000"/>
    <n v="19855301.48"/>
    <n v="70219565"/>
    <s v="AMOMPY"/>
    <s v="Momentum Capital Investment S.A."/>
    <s v="03/08/2026"/>
    <s v="03/08/2026"/>
    <n v="38"/>
    <s v="No"/>
    <s v=""/>
    <m/>
    <m/>
    <s v="*MAV021001117"/>
    <s v="*MAV021001117"/>
    <n v="2.6396767193920186E-4"/>
  </r>
  <r>
    <x v="103"/>
    <s v="Pesos"/>
    <d v="2026-10-07T00:00:00"/>
    <s v="29/09/2026"/>
    <n v="0.99303516999999997"/>
    <m/>
    <n v="3216984.09"/>
    <n v="3194578.35"/>
    <n v="3216984.09"/>
    <n v="3194578.35"/>
    <n v="98"/>
    <s v="AMOMPY"/>
    <s v="Momentum Capital Investment S.A."/>
    <s v="14/07/2026"/>
    <s v="14/07/2026"/>
    <n v="32"/>
    <s v="No"/>
    <s v=""/>
    <m/>
    <m/>
    <s v="*MAV031001194"/>
    <s v="*MAV031001194"/>
    <n v="4.2470541720370627E-5"/>
  </r>
  <r>
    <x v="28"/>
    <s v="Pesos"/>
    <d v="2026-10-07T00:00:00"/>
    <s v="29/09/2026"/>
    <n v="0.99303520000000001"/>
    <m/>
    <n v="4000000"/>
    <n v="3972140.81"/>
    <n v="4000000"/>
    <n v="3972140.81"/>
    <n v="1145"/>
    <s v="AMOMPY"/>
    <s v="Momentum Capital Investment S.A."/>
    <s v="03/09/2026"/>
    <s v="03/09/2026"/>
    <n v="32"/>
    <s v="No"/>
    <s v=""/>
    <m/>
    <m/>
    <s v="*MAV051001367"/>
    <s v="*MAV051001367"/>
    <n v="5.2807899355572787E-5"/>
  </r>
  <r>
    <x v="28"/>
    <s v="Pesos"/>
    <d v="2026-10-07T00:00:00"/>
    <s v="29/09/2026"/>
    <n v="0.99346769000000001"/>
    <m/>
    <n v="5000000"/>
    <n v="4967338.45"/>
    <n v="5000000"/>
    <n v="4967338.45"/>
    <n v="1216"/>
    <s v="AMOMPY"/>
    <s v="Momentum Capital Investment S.A."/>
    <s v="11/09/2026"/>
    <s v="11/09/2026"/>
    <n v="30"/>
    <s v="No"/>
    <s v=""/>
    <m/>
    <m/>
    <s v="*MAV051001506"/>
    <s v="*MAV051001506"/>
    <n v="6.6038622868625581E-5"/>
  </r>
  <r>
    <x v="28"/>
    <s v="Pesos"/>
    <d v="2026-10-07T00:00:00"/>
    <s v="29/09/2026"/>
    <n v="0.99346762"/>
    <m/>
    <n v="5000000"/>
    <n v="4967338.08"/>
    <n v="5000000"/>
    <n v="4967338.08"/>
    <n v="1195"/>
    <s v="AMOMPY"/>
    <s v="Momentum Capital Investment S.A."/>
    <s v="08/09/2026"/>
    <s v="08/09/2026"/>
    <n v="30"/>
    <s v="No"/>
    <s v=""/>
    <m/>
    <m/>
    <s v="*MAV051001476"/>
    <s v="*MAV051001476"/>
    <n v="6.6038617949635113E-5"/>
  </r>
  <r>
    <x v="28"/>
    <s v="Pesos"/>
    <d v="2026-10-07T00:00:00"/>
    <s v="29/09/2026"/>
    <n v="0.99346767999999996"/>
    <m/>
    <n v="5000000"/>
    <n v="4967338.42"/>
    <n v="5000000"/>
    <n v="4967338.42"/>
    <n v="1222"/>
    <s v="AMOMPY"/>
    <s v="Momentum Capital Investment S.A."/>
    <s v="14/09/2026"/>
    <s v="14/09/2026"/>
    <n v="30"/>
    <s v="No"/>
    <s v=""/>
    <m/>
    <m/>
    <s v="*MAV051001515"/>
    <s v="*MAV051001515"/>
    <n v="6.6038622469788517E-5"/>
  </r>
  <r>
    <x v="104"/>
    <s v="Pesos"/>
    <d v="2026-10-07T00:00:00"/>
    <s v="29/09/2026"/>
    <n v="0.99346769000000001"/>
    <m/>
    <n v="3000000"/>
    <n v="2980403.07"/>
    <n v="3000000"/>
    <n v="2980403.07"/>
    <n v="2661"/>
    <s v="AMOMPY"/>
    <s v="Momentum Capital Investment S.A."/>
    <s v="24/09/2026"/>
    <s v="24/09/2026"/>
    <n v="30"/>
    <s v="No"/>
    <s v=""/>
    <m/>
    <m/>
    <s v="*MAV031001514"/>
    <s v="*MAV031001514"/>
    <n v="3.9623173721175347E-5"/>
  </r>
  <r>
    <x v="105"/>
    <s v="Pesos"/>
    <d v="2026-10-07T00:00:00"/>
    <s v="29/09/2026"/>
    <n v="0.99281909000000002"/>
    <m/>
    <n v="56057920.039999999"/>
    <n v="55655373.310000002"/>
    <n v="56057920.039999999"/>
    <n v="55655373.310000002"/>
    <n v="13510"/>
    <s v="AMOMPY"/>
    <s v="Momentum Capital Investment S.A."/>
    <s v="19/08/2026"/>
    <s v="19/08/2026"/>
    <n v="33"/>
    <s v="No"/>
    <s v=""/>
    <m/>
    <m/>
    <s v="*MAV051001249"/>
    <s v="*MAV051001249"/>
    <n v="7.3991419059268241E-4"/>
  </r>
  <r>
    <x v="92"/>
    <s v="Pesos"/>
    <d v="2026-10-07T00:00:00"/>
    <s v="29/09/2026"/>
    <n v="0.99390045000000005"/>
    <m/>
    <n v="10524359.310000001"/>
    <n v="10460165.460000001"/>
    <n v="10524359.310000001"/>
    <n v="10460165.460000001"/>
    <n v="646229"/>
    <s v="AMOMPY"/>
    <s v="Momentum Capital Investment S.A."/>
    <s v="10/08/2026"/>
    <s v="10/08/2026"/>
    <n v="28"/>
    <s v="No"/>
    <s v=""/>
    <m/>
    <m/>
    <s v="*MAV051001189"/>
    <s v="*MAV051001189"/>
    <n v="1.3906338956153942E-4"/>
  </r>
  <r>
    <x v="3"/>
    <s v="Pesos"/>
    <d v="2026-10-07T00:00:00"/>
    <s v="29/09/2026"/>
    <n v="0.99390045000000005"/>
    <m/>
    <n v="9778370.3499999996"/>
    <n v="9718726.6999999993"/>
    <n v="9778370.3499999996"/>
    <n v="9718726.6999999993"/>
    <n v="10537627"/>
    <s v="AMOMPY"/>
    <s v="Momentum Capital Investment S.A."/>
    <s v="10/08/2026"/>
    <s v="10/08/2026"/>
    <n v="28"/>
    <s v="No"/>
    <s v=""/>
    <m/>
    <m/>
    <s v="*MAV051001188"/>
    <s v="*MAV051001188"/>
    <n v="1.2920628094196843E-4"/>
  </r>
  <r>
    <x v="106"/>
    <s v="Pesos"/>
    <d v="2026-10-07T00:00:00"/>
    <s v="29/09/2026"/>
    <n v="0.99281918000000002"/>
    <m/>
    <n v="6917978.2800000003"/>
    <n v="6868301.5099999998"/>
    <n v="6917978.2800000003"/>
    <n v="6868301.5099999998"/>
    <n v="13757759"/>
    <s v="AMOMPY"/>
    <s v="Momentum Capital Investment S.A."/>
    <s v="15/09/2026"/>
    <s v="15/09/2026"/>
    <n v="33"/>
    <s v="No"/>
    <s v=""/>
    <m/>
    <m/>
    <s v="*MAV031001463"/>
    <s v="*MAV031001463"/>
    <n v="9.1311107091344168E-5"/>
  </r>
  <r>
    <x v="107"/>
    <s v="Pesos"/>
    <d v="2026-10-07T00:00:00"/>
    <s v="29/09/2026"/>
    <n v="0.99281912999999999"/>
    <m/>
    <n v="10000000"/>
    <n v="9928191.3100000005"/>
    <n v="10000000"/>
    <n v="9928191.3100000005"/>
    <n v="233"/>
    <s v="AMOMPY"/>
    <s v="Momentum Capital Investment S.A."/>
    <s v="07/09/2026"/>
    <s v="07/09/2026"/>
    <n v="33"/>
    <s v="No"/>
    <s v=""/>
    <m/>
    <m/>
    <s v="*MAV051001461"/>
    <s v="*MAV051001461"/>
    <n v="1.3199102261466717E-4"/>
  </r>
  <r>
    <x v="108"/>
    <s v="Pesos"/>
    <d v="2026-10-07T00:00:00"/>
    <s v="29/09/2026"/>
    <n v="0.99346769999999995"/>
    <m/>
    <n v="1238104.32"/>
    <n v="1230016.6499999999"/>
    <n v="1238104.32"/>
    <n v="1230016.6499999999"/>
    <n v="3636"/>
    <s v="AMOMPY"/>
    <s v="Momentum Capital Investment S.A."/>
    <s v="11/09/2026"/>
    <s v="11/09/2026"/>
    <n v="30"/>
    <s v="No"/>
    <s v=""/>
    <m/>
    <m/>
    <s v="*MAV031001451"/>
    <s v="*MAV031001451"/>
    <n v="1.6352541001404931E-5"/>
  </r>
  <r>
    <x v="6"/>
    <s v="Pesos"/>
    <d v="2026-10-07T00:00:00"/>
    <s v="29/09/2026"/>
    <n v="0.99476726000000004"/>
    <m/>
    <n v="6250000"/>
    <n v="6217295.4000000004"/>
    <n v="6250000"/>
    <n v="6217295.4000000004"/>
    <n v="50459992"/>
    <s v="AMOMPY"/>
    <s v="Momentum Capital Investment S.A."/>
    <s v="17/07/2026"/>
    <s v="17/07/2026"/>
    <n v="24"/>
    <s v="No"/>
    <s v=""/>
    <m/>
    <m/>
    <s v="*PRO051000011"/>
    <s v="*PRO051000011"/>
    <n v="8.2656261560643332E-5"/>
  </r>
  <r>
    <x v="109"/>
    <s v="Pesos"/>
    <d v="2026-10-07T00:00:00"/>
    <s v="29/09/2026"/>
    <n v="0.99303516999999997"/>
    <m/>
    <n v="14479899.689999999"/>
    <n v="14379049.67"/>
    <n v="14479899.689999999"/>
    <n v="14379049.67"/>
    <n v="9933008"/>
    <s v="AMOMPY"/>
    <s v="Momentum Capital Investment S.A."/>
    <s v="12/06/2026"/>
    <s v="12/06/2026"/>
    <n v="32"/>
    <s v="No"/>
    <s v=""/>
    <m/>
    <m/>
    <s v="*MAV051000919"/>
    <s v="*MAV051000919"/>
    <n v="1.9116326538336944E-4"/>
  </r>
  <r>
    <x v="8"/>
    <s v="Pesos"/>
    <d v="2026-10-07T00:00:00"/>
    <s v="29/09/2026"/>
    <n v="0.99455042000000005"/>
    <m/>
    <n v="8650000"/>
    <n v="8602861.1099999994"/>
    <n v="8650000"/>
    <n v="8602861.1099999994"/>
    <n v="34384"/>
    <s v="AMOMPY"/>
    <s v="Momentum Capital Investment S.A."/>
    <s v="20/07/2026"/>
    <s v="20/07/2026"/>
    <n v="25"/>
    <s v="No"/>
    <s v=""/>
    <m/>
    <m/>
    <s v="*MIL051000025"/>
    <s v="*MIL051000025"/>
    <n v="1.1437132906344555E-4"/>
  </r>
  <r>
    <x v="8"/>
    <s v="Pesos"/>
    <d v="2026-10-07T00:00:00"/>
    <s v="29/09/2026"/>
    <n v="0.99411700999999997"/>
    <m/>
    <n v="15000000"/>
    <n v="14911755.199999999"/>
    <n v="15000000"/>
    <n v="14911755.199999999"/>
    <n v="11338649"/>
    <s v="AMOMPY"/>
    <s v="Momentum Capital Investment S.A."/>
    <s v="16/07/2026"/>
    <s v="16/07/2026"/>
    <n v="27"/>
    <s v="No"/>
    <s v=""/>
    <m/>
    <m/>
    <s v="*MIL051000024"/>
    <s v="*MIL051000024"/>
    <n v="1.9824535571198422E-4"/>
  </r>
  <r>
    <x v="110"/>
    <s v="Pesos"/>
    <d v="2026-10-07T00:00:00"/>
    <s v="29/09/2026"/>
    <n v="0.99238720000000002"/>
    <m/>
    <n v="10000000"/>
    <n v="9923871.9900000002"/>
    <n v="10000000"/>
    <n v="9923871.9900000002"/>
    <n v="16835551"/>
    <s v="AMOMPY"/>
    <s v="Momentum Capital Investment S.A."/>
    <s v="05/08/2026"/>
    <s v="05/08/2026"/>
    <n v="35"/>
    <s v="No"/>
    <s v=""/>
    <m/>
    <m/>
    <s v="*MAV051001142"/>
    <s v="*MAV051001142"/>
    <n v="1.3193359911767776E-4"/>
  </r>
  <r>
    <x v="111"/>
    <s v="Pesos"/>
    <d v="2026-10-07T00:00:00"/>
    <s v="29/09/2026"/>
    <n v="0.99303516999999997"/>
    <m/>
    <n v="104500000"/>
    <n v="103772174.84"/>
    <n v="104500000"/>
    <n v="103772174.84"/>
    <n v="323"/>
    <s v="AMOMPY"/>
    <s v="Momentum Capital Investment S.A."/>
    <s v="18/08/2026"/>
    <s v="18/08/2026"/>
    <n v="32"/>
    <s v="No"/>
    <s v=""/>
    <m/>
    <m/>
    <s v="*MAV051001227"/>
    <s v="*MAV051001227"/>
    <n v="1.3796063198624681E-3"/>
  </r>
  <r>
    <x v="36"/>
    <s v="Pesos"/>
    <d v="2026-10-07T00:00:00"/>
    <s v="29/09/2026"/>
    <n v="0.99281916999999997"/>
    <m/>
    <n v="970000"/>
    <n v="963034.59"/>
    <n v="970000"/>
    <n v="963034.59"/>
    <n v="88188002"/>
    <s v="AMOMPY"/>
    <s v="Momentum Capital Investment S.A."/>
    <s v="21/09/2026"/>
    <s v="21/09/2026"/>
    <n v="33"/>
    <s v="No"/>
    <s v=""/>
    <m/>
    <m/>
    <s v="*MAV031001491"/>
    <s v="*MAV031001491"/>
    <n v="1.2803129631412866E-5"/>
  </r>
  <r>
    <x v="112"/>
    <s v="Pesos"/>
    <d v="2026-10-07T00:00:00"/>
    <s v="29/09/2026"/>
    <n v="0.99303516000000003"/>
    <m/>
    <n v="5084000"/>
    <n v="5048590.7699999996"/>
    <n v="5084000"/>
    <n v="5048590.7699999996"/>
    <n v="69012951"/>
    <s v="AMOMPY"/>
    <s v="Momentum Capital Investment S.A."/>
    <s v="25/08/2026"/>
    <s v="25/08/2026"/>
    <n v="32"/>
    <s v="No"/>
    <s v=""/>
    <m/>
    <m/>
    <s v="*MAV051001299"/>
    <s v="*MAV051001299"/>
    <n v="6.7118837428533585E-5"/>
  </r>
  <r>
    <x v="113"/>
    <s v="Pesos"/>
    <d v="2026-10-07T00:00:00"/>
    <s v="29/09/2026"/>
    <n v="0.99303516000000003"/>
    <m/>
    <n v="7000000"/>
    <n v="6951246.1500000004"/>
    <n v="7000000"/>
    <n v="6951246.1500000004"/>
    <n v="10604194"/>
    <s v="AMOMPY"/>
    <s v="Momentum Capital Investment S.A."/>
    <s v="25/08/2026"/>
    <s v="25/08/2026"/>
    <n v="32"/>
    <s v="No"/>
    <s v=""/>
    <m/>
    <m/>
    <s v="*MAV051001298"/>
    <s v="*MAV051001298"/>
    <n v="9.241382031595523E-5"/>
  </r>
  <r>
    <x v="114"/>
    <s v="Pesos"/>
    <d v="2026-10-07T00:00:00"/>
    <s v="29/09/2026"/>
    <n v="0.99303516000000003"/>
    <m/>
    <n v="12000000"/>
    <n v="11916421.960000001"/>
    <n v="12000000"/>
    <n v="11916421.960000001"/>
    <n v="68962213"/>
    <s v="AMOMPY"/>
    <s v="Momentum Capital Investment S.A."/>
    <s v="25/08/2026"/>
    <s v="25/08/2026"/>
    <n v="32"/>
    <s v="No"/>
    <s v=""/>
    <m/>
    <m/>
    <s v="*MAV031001317"/>
    <s v="*MAV031001317"/>
    <n v="1.5842369181827103E-4"/>
  </r>
  <r>
    <x v="115"/>
    <s v="Pesos"/>
    <d v="2026-10-07T00:00:00"/>
    <s v="29/09/2026"/>
    <n v="0.99325138999999996"/>
    <m/>
    <n v="7500000"/>
    <n v="7449385.4299999997"/>
    <n v="7500000"/>
    <n v="7449385.4299999997"/>
    <n v="3722"/>
    <s v="AMOMPY"/>
    <s v="Momentum Capital Investment S.A."/>
    <s v="31/08/2026"/>
    <s v="31/08/2026"/>
    <n v="31"/>
    <s v="No"/>
    <s v=""/>
    <m/>
    <m/>
    <s v="*MAV031001339"/>
    <s v="*MAV031001339"/>
    <n v="9.9036367255145286E-5"/>
  </r>
  <r>
    <x v="116"/>
    <s v="Pesos"/>
    <d v="2026-10-07T00:00:00"/>
    <s v="29/09/2026"/>
    <n v="0.99303516000000003"/>
    <m/>
    <n v="9915945.7599999998"/>
    <n v="9846882.7899999991"/>
    <n v="9915945.7599999998"/>
    <n v="9846882.7899999991"/>
    <n v="69407771"/>
    <s v="AMOMPY"/>
    <s v="Momentum Capital Investment S.A."/>
    <s v="01/09/2026"/>
    <s v="01/09/2026"/>
    <n v="32"/>
    <s v="No"/>
    <s v=""/>
    <m/>
    <m/>
    <s v="*MAV031001345"/>
    <s v="*MAV031001345"/>
    <n v="1.3091006089999154E-4"/>
  </r>
  <r>
    <x v="117"/>
    <s v="Pesos"/>
    <d v="2026-10-07T00:00:00"/>
    <s v="29/09/2026"/>
    <n v="0.99325136999999997"/>
    <m/>
    <n v="1598248"/>
    <n v="1587462.01"/>
    <n v="1598248"/>
    <n v="1587462.01"/>
    <n v="11999345"/>
    <s v="AMOMPY"/>
    <s v="Momentum Capital Investment S.A."/>
    <s v="02/09/2026"/>
    <s v="02/09/2026"/>
    <n v="31"/>
    <s v="No"/>
    <s v=""/>
    <m/>
    <m/>
    <s v="*MAV031001357"/>
    <s v="*MAV031001357"/>
    <n v="2.1104622938801426E-5"/>
  </r>
  <r>
    <x v="118"/>
    <s v="Pesos"/>
    <d v="2026-10-07T00:00:00"/>
    <s v="29/09/2026"/>
    <n v="0.99303522"/>
    <m/>
    <n v="13000000"/>
    <n v="12909457.91"/>
    <n v="13000000"/>
    <n v="12909457.91"/>
    <n v="1305"/>
    <s v="AMOMPY"/>
    <s v="Momentum Capital Investment S.A."/>
    <s v="04/09/2026"/>
    <s v="04/09/2026"/>
    <n v="32"/>
    <s v="No"/>
    <s v=""/>
    <m/>
    <m/>
    <s v="*MAV041001188"/>
    <s v="*MAV041001188"/>
    <n v="1.716256765948544E-4"/>
  </r>
  <r>
    <x v="119"/>
    <s v="Pesos"/>
    <d v="2026-10-07T00:00:00"/>
    <s v="29/09/2026"/>
    <n v="0.99325138999999996"/>
    <m/>
    <n v="1756706.4"/>
    <n v="1744851.08"/>
    <n v="1756706.4"/>
    <n v="1744851.08"/>
    <n v="500"/>
    <s v="AMOMPY"/>
    <s v="Momentum Capital Investment S.A."/>
    <s v="07/09/2026"/>
    <s v="07/09/2026"/>
    <n v="31"/>
    <s v="No"/>
    <s v=""/>
    <m/>
    <m/>
    <s v="*MAV041001198"/>
    <s v="*MAV041001198"/>
    <n v="2.3197042761206263E-5"/>
  </r>
  <r>
    <x v="120"/>
    <s v="Pesos"/>
    <d v="2026-10-07T00:00:00"/>
    <s v="29/09/2026"/>
    <n v="0.99346769999999995"/>
    <m/>
    <n v="673493.39"/>
    <n v="669093.93000000005"/>
    <n v="673493.39"/>
    <n v="669093.93000000005"/>
    <n v="8756"/>
    <s v="AMOMPY"/>
    <s v="Momentum Capital Investment S.A."/>
    <s v="11/09/2026"/>
    <s v="11/09/2026"/>
    <n v="30"/>
    <s v="No"/>
    <s v=""/>
    <m/>
    <m/>
    <s v="*MAV031001452"/>
    <s v="*MAV031001452"/>
    <n v="8.8953152984686527E-6"/>
  </r>
  <r>
    <x v="8"/>
    <s v="Pesos"/>
    <d v="2026-10-07T00:00:00"/>
    <s v="29/09/2026"/>
    <n v="0.99411702000000002"/>
    <m/>
    <n v="1650000"/>
    <n v="1640293.09"/>
    <n v="1650000"/>
    <n v="1640293.09"/>
    <n v="583"/>
    <s v="AMOMPY"/>
    <s v="Momentum Capital Investment S.A."/>
    <s v="07/07/2026"/>
    <s v="07/07/2026"/>
    <n v="27"/>
    <s v="No"/>
    <s v=""/>
    <m/>
    <m/>
    <s v="*MIL051000023"/>
    <s v="*MIL051000023"/>
    <n v="2.1806989367620505E-5"/>
  </r>
  <r>
    <x v="14"/>
    <s v="Pesos"/>
    <d v="2026-10-07T00:00:00"/>
    <s v="29/09/2026"/>
    <n v="0.99281907999999996"/>
    <m/>
    <n v="10044547.85"/>
    <n v="9972418.75"/>
    <n v="10044547.85"/>
    <n v="9972418.75"/>
    <n v="38"/>
    <s v="AMOMPY"/>
    <s v="Momentum Capital Investment S.A."/>
    <s v="11/08/2026"/>
    <s v="11/08/2026"/>
    <n v="33"/>
    <s v="No"/>
    <s v=""/>
    <m/>
    <m/>
    <s v="*MAV041001144"/>
    <s v="*MAV041001144"/>
    <n v="1.325790073594161E-4"/>
  </r>
  <r>
    <x v="43"/>
    <s v="Pesos"/>
    <d v="2026-10-07T00:00:00"/>
    <s v="29/09/2026"/>
    <n v="0.99346763999999999"/>
    <m/>
    <n v="262422.81"/>
    <n v="260708.57"/>
    <n v="262422.81"/>
    <n v="260708.57"/>
    <n v="30093658"/>
    <s v="AMOMPY"/>
    <s v="Momentum Capital Investment S.A."/>
    <s v="04/08/2026"/>
    <s v="04/08/2026"/>
    <n v="30"/>
    <s v="No"/>
    <s v=""/>
    <m/>
    <m/>
    <s v="*MAV051001127"/>
    <s v="*MAV051001127"/>
    <n v="3.4660080254544913E-6"/>
  </r>
  <r>
    <x v="121"/>
    <s v="Pesos"/>
    <d v="2026-10-07T00:00:00"/>
    <s v="29/09/2026"/>
    <n v="0.99520123999999999"/>
    <m/>
    <n v="5200000"/>
    <n v="5175046.45"/>
    <n v="5200000"/>
    <n v="5175046.45"/>
    <n v="2"/>
    <s v="AMOMPY"/>
    <s v="Momentum Capital Investment S.A."/>
    <s v="05/08/2026"/>
    <s v="05/08/2026"/>
    <n v="22"/>
    <s v="No"/>
    <s v=""/>
    <m/>
    <m/>
    <s v="*MAV051001143"/>
    <s v="*MAV051001143"/>
    <n v="6.8800011168791944E-5"/>
  </r>
  <r>
    <x v="84"/>
    <s v="Pesos"/>
    <d v="2026-10-07T00:00:00"/>
    <s v="29/09/2026"/>
    <n v="0.99303516000000003"/>
    <m/>
    <n v="6000000"/>
    <n v="5958210.9699999997"/>
    <n v="6000000"/>
    <n v="5958210.9699999997"/>
    <n v="90001650"/>
    <s v="AMOMPY"/>
    <s v="Momentum Capital Investment S.A."/>
    <s v="25/08/2026"/>
    <s v="25/08/2026"/>
    <n v="32"/>
    <s v="No"/>
    <s v=""/>
    <m/>
    <m/>
    <s v="*MAV031001319"/>
    <s v="*MAV031001319"/>
    <n v="7.9211845776189818E-5"/>
  </r>
  <r>
    <x v="15"/>
    <s v="Pesos"/>
    <d v="2026-10-07T00:00:00"/>
    <s v="29/09/2026"/>
    <n v="0.99303516000000003"/>
    <m/>
    <n v="5444206"/>
    <n v="5406288"/>
    <n v="5444206"/>
    <n v="5406288"/>
    <n v="3440"/>
    <s v="AMOMPY"/>
    <s v="Momentum Capital Investment S.A."/>
    <s v="25/08/2026"/>
    <s v="25/08/2026"/>
    <n v="32"/>
    <s v="No"/>
    <s v=""/>
    <m/>
    <m/>
    <s v="*MAV031001318"/>
    <s v="*MAV031001318"/>
    <n v="7.1874267868978419E-5"/>
  </r>
  <r>
    <x v="19"/>
    <s v="Pesos"/>
    <d v="2026-10-07T00:00:00"/>
    <s v="29/09/2026"/>
    <n v="0.99174004000000004"/>
    <m/>
    <n v="25000000"/>
    <n v="24793500.93"/>
    <n v="25000000"/>
    <n v="24793500.93"/>
    <n v="70393026"/>
    <s v="AMOMPY"/>
    <s v="Momentum Capital Investment S.A."/>
    <s v="03/08/2026"/>
    <s v="03/08/2026"/>
    <n v="38"/>
    <s v="No"/>
    <s v=""/>
    <m/>
    <m/>
    <s v="*MAV051001119"/>
    <s v="*MAV051001119"/>
    <n v="3.2961890436702327E-4"/>
  </r>
  <r>
    <x v="122"/>
    <s v="Pesos"/>
    <d v="2026-10-07T00:00:00"/>
    <s v="29/09/2026"/>
    <n v="0.99260307999999997"/>
    <m/>
    <n v="100000000"/>
    <n v="99260308.120000005"/>
    <n v="100000000"/>
    <n v="99260308.120000005"/>
    <n v="853"/>
    <s v="AMOMPY"/>
    <s v="Momentum Capital Investment S.A."/>
    <s v="25/08/2026"/>
    <s v="25/08/2026"/>
    <n v="34"/>
    <s v="No"/>
    <s v=""/>
    <m/>
    <m/>
    <s v="*MAV051001293"/>
    <s v="*MAV051001293"/>
    <n v="1.319622997253238E-3"/>
  </r>
  <r>
    <x v="48"/>
    <s v="Pesos"/>
    <d v="2026-10-07T00:00:00"/>
    <s v="29/09/2026"/>
    <n v="0.99260309000000002"/>
    <m/>
    <n v="4300000"/>
    <n v="4268193.29"/>
    <n v="4300000"/>
    <n v="4268193.29"/>
    <n v="40768561"/>
    <s v="AMOMPY"/>
    <s v="Momentum Capital Investment S.A."/>
    <s v="28/07/2026"/>
    <s v="28/07/2026"/>
    <n v="34"/>
    <s v="No"/>
    <s v=""/>
    <m/>
    <m/>
    <s v="*MAV051001068"/>
    <s v="*MAV051001068"/>
    <n v="5.6743789424839424E-5"/>
  </r>
  <r>
    <x v="48"/>
    <s v="Pesos"/>
    <d v="2026-10-07T00:00:00"/>
    <s v="29/09/2026"/>
    <n v="0.99238716999999999"/>
    <m/>
    <n v="4750000"/>
    <n v="4713839.08"/>
    <n v="4750000"/>
    <n v="4713839.08"/>
    <n v="40768615"/>
    <s v="AMOMPY"/>
    <s v="Momentum Capital Investment S.A."/>
    <s v="03/08/2026"/>
    <s v="03/08/2026"/>
    <n v="35"/>
    <s v="No"/>
    <s v=""/>
    <m/>
    <m/>
    <s v="*MAV051001116"/>
    <s v="*MAV051001116"/>
    <n v="6.2668458048697879E-5"/>
  </r>
  <r>
    <x v="123"/>
    <s v="Pesos"/>
    <d v="2026-10-07T00:00:00"/>
    <s v="29/09/2026"/>
    <n v="0.99281907000000003"/>
    <m/>
    <n v="30000000"/>
    <n v="29784572.23"/>
    <n v="30000000"/>
    <n v="29784572.23"/>
    <n v="475882"/>
    <s v="AMOMPY"/>
    <s v="Momentum Capital Investment S.A."/>
    <s v="07/08/2026"/>
    <s v="07/08/2026"/>
    <n v="33"/>
    <s v="No"/>
    <s v=""/>
    <m/>
    <m/>
    <s v="*MAV031001248"/>
    <s v="*MAV031001248"/>
    <n v="3.9597304524323449E-4"/>
  </r>
  <r>
    <x v="86"/>
    <s v="Pesos"/>
    <d v="2026-10-07T00:00:00"/>
    <s v="29/09/2026"/>
    <n v="0.99130907999999995"/>
    <m/>
    <n v="7203888"/>
    <n v="7141279.5999999996"/>
    <n v="7203888"/>
    <n v="7141279.5999999996"/>
    <n v="66329877"/>
    <s v="AMOMPY"/>
    <s v="Momentum Capital Investment S.A."/>
    <s v="17/04/2026"/>
    <s v="17/04/2026"/>
    <n v="40"/>
    <s v="No"/>
    <s v=""/>
    <m/>
    <m/>
    <s v="*MAV051000897"/>
    <s v="*MAV051000897"/>
    <n v="9.4940233094809414E-5"/>
  </r>
  <r>
    <x v="86"/>
    <s v="Pesos"/>
    <d v="2026-10-07T00:00:00"/>
    <s v="29/09/2026"/>
    <n v="0.99130907999999995"/>
    <m/>
    <n v="7900000"/>
    <n v="7831341.7400000002"/>
    <n v="7900000"/>
    <n v="7831341.7400000002"/>
    <n v="877"/>
    <s v="AMOMPY"/>
    <s v="Momentum Capital Investment S.A."/>
    <s v="17/04/2026"/>
    <s v="17/04/2026"/>
    <n v="40"/>
    <s v="No"/>
    <s v=""/>
    <m/>
    <m/>
    <s v="*MAV051000898"/>
    <s v="*MAV051000898"/>
    <n v="1.0411431170412518E-4"/>
  </r>
  <r>
    <x v="123"/>
    <s v="Pesos"/>
    <d v="2026-10-07T00:00:00"/>
    <s v="29/09/2026"/>
    <n v="0.99281907999999996"/>
    <m/>
    <n v="25000000"/>
    <n v="24820477.039999999"/>
    <n v="25000000"/>
    <n v="24820477.039999999"/>
    <n v="1233892"/>
    <s v="AMOMPY"/>
    <s v="Momentum Capital Investment S.A."/>
    <s v="01/06/2026"/>
    <s v="01/06/2026"/>
    <n v="33"/>
    <s v="No"/>
    <s v=""/>
    <m/>
    <m/>
    <s v="*MAV031001149"/>
    <s v="*MAV031001149"/>
    <n v="3.2997754011787541E-4"/>
  </r>
  <r>
    <x v="22"/>
    <s v="Pesos"/>
    <d v="2026-10-07T00:00:00"/>
    <s v="29/09/2026"/>
    <n v="0.99281918999999996"/>
    <m/>
    <n v="443866.08"/>
    <n v="440678.76"/>
    <n v="443866.08"/>
    <n v="440678.76"/>
    <n v="10568415"/>
    <s v="AMOMPY"/>
    <s v="Momentum Capital Investment S.A."/>
    <s v="15/09/2026"/>
    <s v="15/09/2026"/>
    <n v="33"/>
    <s v="No"/>
    <s v=""/>
    <m/>
    <m/>
    <s v="*MAV031001464"/>
    <s v="*MAV031001464"/>
    <n v="5.8586341016995857E-6"/>
  </r>
  <r>
    <x v="50"/>
    <s v="Pesos"/>
    <d v="2026-10-07T00:00:00"/>
    <s v="29/09/2026"/>
    <n v="0.99346763000000005"/>
    <m/>
    <n v="100000000"/>
    <n v="99346762.75"/>
    <n v="100000000"/>
    <n v="99346762.75"/>
    <n v="90003979"/>
    <s v="AMOMPY"/>
    <s v="Momentum Capital Investment S.A."/>
    <s v="04/08/2026"/>
    <s v="04/08/2026"/>
    <n v="30"/>
    <s v="No"/>
    <s v=""/>
    <m/>
    <m/>
    <s v="*MAV051001132"/>
    <s v="*MAV051001132"/>
    <n v="1.3207723742814565E-3"/>
  </r>
  <r>
    <x v="26"/>
    <s v="Pesos"/>
    <d v="2026-10-07T00:00:00"/>
    <s v="29/09/2026"/>
    <n v="0.99303514999999998"/>
    <m/>
    <n v="5935576"/>
    <n v="5894235.6200000001"/>
    <n v="5935576"/>
    <n v="5894235.6200000001"/>
    <n v="90044891"/>
    <s v="AMOMPY"/>
    <s v="Momentum Capital Investment S.A."/>
    <s v="28/08/2026"/>
    <s v="28/08/2026"/>
    <n v="32"/>
    <s v="No"/>
    <s v=""/>
    <m/>
    <m/>
    <s v="*MAV031001331"/>
    <s v="*MAV031001331"/>
    <n v="7.8361321082923084E-5"/>
  </r>
  <r>
    <x v="27"/>
    <s v="Pesos"/>
    <d v="2026-10-07T00:00:00"/>
    <s v="29/09/2026"/>
    <n v="0.99390045999999999"/>
    <m/>
    <n v="2500000"/>
    <n v="2484751.15"/>
    <n v="2500000"/>
    <n v="2484751.15"/>
    <n v="90031812"/>
    <s v="AMOMPY"/>
    <s v="Momentum Capital Investment S.A."/>
    <s v="22/04/2026"/>
    <s v="22/04/2026"/>
    <n v="28"/>
    <s v="No"/>
    <s v=""/>
    <m/>
    <m/>
    <s v="*MOV051000047"/>
    <s v="*MOV051000047"/>
    <n v="3.3033695160681813E-5"/>
  </r>
  <r>
    <x v="28"/>
    <s v="Pesos"/>
    <d v="2026-10-07T00:00:00"/>
    <s v="29/09/2026"/>
    <n v="0.99303518000000002"/>
    <m/>
    <n v="2000000"/>
    <n v="1986070.36"/>
    <n v="2000000"/>
    <n v="1986070.36"/>
    <n v="1068"/>
    <s v="AMOMPY"/>
    <s v="Momentum Capital Investment S.A."/>
    <s v="26/08/2026"/>
    <s v="26/08/2026"/>
    <n v="32"/>
    <s v="No"/>
    <s v=""/>
    <m/>
    <m/>
    <s v="*MAV051001313"/>
    <s v="*MAV051001313"/>
    <n v="2.6403949079530797E-5"/>
  </r>
  <r>
    <x v="28"/>
    <s v="Pesos"/>
    <d v="2026-10-07T00:00:00"/>
    <s v="29/09/2026"/>
    <n v="0.99346763000000005"/>
    <m/>
    <n v="3300000"/>
    <n v="3278443.18"/>
    <n v="3300000"/>
    <n v="3278443.18"/>
    <n v="923"/>
    <s v="AMOMPY"/>
    <s v="Momentum Capital Investment S.A."/>
    <s v="11/08/2026"/>
    <s v="11/08/2026"/>
    <n v="30"/>
    <s v="No"/>
    <s v=""/>
    <m/>
    <m/>
    <s v="*MAV051001194"/>
    <s v="*MAV051001194"/>
    <n v="4.3585488474262826E-5"/>
  </r>
  <r>
    <x v="29"/>
    <s v="Pesos"/>
    <d v="2026-10-07T00:00:00"/>
    <s v="29/09/2026"/>
    <n v="0.99346763000000005"/>
    <m/>
    <n v="75000000"/>
    <n v="74510072.060000002"/>
    <n v="75000000"/>
    <n v="74510072.060000002"/>
    <n v="340"/>
    <s v="AMOMPY"/>
    <s v="Momentum Capital Investment S.A."/>
    <s v="04/08/2026"/>
    <s v="04/08/2026"/>
    <n v="30"/>
    <s v="No"/>
    <s v=""/>
    <m/>
    <m/>
    <s v="*MAV051001126"/>
    <s v="*MAV051001126"/>
    <n v="9.9057928067785585E-4"/>
  </r>
  <r>
    <x v="124"/>
    <s v="Pesos"/>
    <d v="2026-10-07T00:00:00"/>
    <s v="29/09/2026"/>
    <n v="0.99195582000000004"/>
    <m/>
    <n v="12889249.880000001"/>
    <n v="12785566.439999999"/>
    <n v="12889249.880000001"/>
    <n v="12785566.439999999"/>
    <n v="426"/>
    <s v="AMOMPY"/>
    <s v="Momentum Capital Investment S.A."/>
    <s v="28/09/2026"/>
    <s v="28/09/2026"/>
    <n v="37"/>
    <s v="No"/>
    <s v=""/>
    <m/>
    <m/>
    <s v="*MAV041001276"/>
    <s v="*MAV041001276"/>
    <n v="1.6997859292090629E-4"/>
  </r>
  <r>
    <x v="124"/>
    <s v="Pesos"/>
    <d v="2026-10-07T00:00:00"/>
    <s v="29/09/2026"/>
    <n v="0.99195580000000005"/>
    <m/>
    <n v="204671.72"/>
    <n v="203025.3"/>
    <n v="204671.72"/>
    <n v="203025.3"/>
    <n v="428"/>
    <s v="AMOMPY"/>
    <s v="Momentum Capital Investment S.A."/>
    <s v="28/09/2026"/>
    <s v="28/09/2026"/>
    <n v="37"/>
    <s v="No"/>
    <s v=""/>
    <m/>
    <m/>
    <s v="*MAV041001275"/>
    <s v="*MAV041001275"/>
    <n v="2.6991338227596647E-6"/>
  </r>
  <r>
    <x v="89"/>
    <s v="Pesos"/>
    <d v="2026-10-08T00:00:00"/>
    <s v="29/09/2026"/>
    <n v="0.99411702000000002"/>
    <m/>
    <n v="5000000"/>
    <n v="4970585.08"/>
    <n v="5000000"/>
    <n v="4970585.08"/>
    <n v="16831530"/>
    <s v="AMOMPY"/>
    <s v="Momentum Capital Investment S.A."/>
    <s v="21/07/2026"/>
    <s v="21/07/2026"/>
    <n v="24"/>
    <s v="No"/>
    <s v=""/>
    <m/>
    <m/>
    <s v="*INP061000048"/>
    <s v="*INP061000048"/>
    <n v="6.6081785414588991E-5"/>
  </r>
  <r>
    <x v="89"/>
    <s v="Pesos"/>
    <d v="2026-10-08T00:00:00"/>
    <s v="29/09/2026"/>
    <n v="0.99314325000000003"/>
    <m/>
    <n v="8000000"/>
    <n v="7945146.0099999998"/>
    <n v="8000000"/>
    <n v="7945146.0099999998"/>
    <n v="90000138"/>
    <s v="AMOMPY"/>
    <s v="Momentum Capital Investment S.A."/>
    <s v="08/07/2026"/>
    <s v="08/07/2026"/>
    <n v="28"/>
    <s v="No"/>
    <s v=""/>
    <m/>
    <m/>
    <s v="*INP061000046"/>
    <s v="*INP061000046"/>
    <n v="1.0562729040348666E-4"/>
  </r>
  <r>
    <x v="28"/>
    <s v="Pesos"/>
    <d v="2026-10-08T00:00:00"/>
    <s v="29/09/2026"/>
    <n v="0.99217138999999999"/>
    <m/>
    <n v="4000000"/>
    <n v="3968685.57"/>
    <n v="4000000"/>
    <n v="3968685.57"/>
    <n v="1142"/>
    <s v="AMOMPY"/>
    <s v="Momentum Capital Investment S.A."/>
    <s v="03/09/2026"/>
    <s v="03/09/2026"/>
    <n v="32"/>
    <s v="No"/>
    <s v=""/>
    <m/>
    <m/>
    <s v="*MAV061001549"/>
    <s v="*MAV061001549"/>
    <n v="5.2761963429608131E-5"/>
  </r>
  <r>
    <x v="28"/>
    <s v="Pesos"/>
    <d v="2026-10-08T00:00:00"/>
    <s v="29/09/2026"/>
    <n v="0.99265713"/>
    <m/>
    <n v="5000000"/>
    <n v="4963285.6399999997"/>
    <n v="5000000"/>
    <n v="4963285.6399999997"/>
    <n v="1196"/>
    <s v="AMOMPY"/>
    <s v="Momentum Capital Investment S.A."/>
    <s v="08/09/2026"/>
    <s v="08/09/2026"/>
    <n v="30"/>
    <s v="No"/>
    <s v=""/>
    <m/>
    <m/>
    <s v="*MAV061001643"/>
    <s v="*MAV061001643"/>
    <n v="6.5984742507172009E-5"/>
  </r>
  <r>
    <x v="28"/>
    <s v="Pesos"/>
    <d v="2026-10-08T00:00:00"/>
    <s v="29/09/2026"/>
    <n v="0.99265705999999998"/>
    <m/>
    <n v="5000000"/>
    <n v="4963285.3099999996"/>
    <n v="5000000"/>
    <n v="4963285.3099999996"/>
    <n v="1201"/>
    <s v="AMOMPY"/>
    <s v="Momentum Capital Investment S.A."/>
    <s v="09/09/2026"/>
    <s v="09/09/2026"/>
    <n v="30"/>
    <s v="No"/>
    <s v=""/>
    <m/>
    <m/>
    <s v="*MAV061001653"/>
    <s v="*MAV061001653"/>
    <n v="6.5984738119964303E-5"/>
  </r>
  <r>
    <x v="28"/>
    <s v="Pesos"/>
    <d v="2026-10-08T00:00:00"/>
    <s v="29/09/2026"/>
    <n v="0.99265709999999996"/>
    <m/>
    <n v="5000000"/>
    <n v="4963285.5199999996"/>
    <n v="5000000"/>
    <n v="4963285.5199999996"/>
    <n v="1223"/>
    <s v="AMOMPY"/>
    <s v="Momentum Capital Investment S.A."/>
    <s v="14/09/2026"/>
    <s v="14/09/2026"/>
    <n v="30"/>
    <s v="No"/>
    <s v=""/>
    <m/>
    <m/>
    <s v="*MAV061001682"/>
    <s v="*MAV061001682"/>
    <n v="6.5984740911823752E-5"/>
  </r>
  <r>
    <x v="28"/>
    <s v="Pesos"/>
    <d v="2026-10-08T00:00:00"/>
    <s v="29/09/2026"/>
    <n v="0.99265707000000003"/>
    <m/>
    <n v="5000000"/>
    <n v="4963285.3600000003"/>
    <n v="5000000"/>
    <n v="4963285.3600000003"/>
    <n v="789"/>
    <s v="AMOMPY"/>
    <s v="Momentum Capital Investment S.A."/>
    <s v="14/07/2026"/>
    <s v="14/07/2026"/>
    <n v="30"/>
    <s v="No"/>
    <s v=""/>
    <m/>
    <m/>
    <s v="*MAV061001283"/>
    <s v="*MAV061001283"/>
    <n v="6.5984738784692748E-5"/>
  </r>
  <r>
    <x v="28"/>
    <s v="Pesos"/>
    <d v="2026-10-08T00:00:00"/>
    <s v="29/09/2026"/>
    <n v="0.99217142000000003"/>
    <m/>
    <n v="3000000"/>
    <n v="2976514.27"/>
    <n v="3000000"/>
    <n v="2976514.27"/>
    <n v="1036"/>
    <s v="AMOMPY"/>
    <s v="Momentum Capital Investment S.A."/>
    <s v="25/08/2026"/>
    <s v="25/08/2026"/>
    <n v="32"/>
    <s v="No"/>
    <s v=""/>
    <m/>
    <m/>
    <s v="*MAV061001486"/>
    <s v="*MAV061001486"/>
    <n v="3.9571473801953717E-5"/>
  </r>
  <r>
    <x v="3"/>
    <s v="Pesos"/>
    <d v="2026-10-08T00:00:00"/>
    <s v="29/09/2026"/>
    <n v="0.99314327000000002"/>
    <m/>
    <n v="9800000"/>
    <n v="9732804"/>
    <n v="9800000"/>
    <n v="9732804"/>
    <n v="10537626"/>
    <s v="AMOMPY"/>
    <s v="Momentum Capital Investment S.A."/>
    <s v="10/08/2026"/>
    <s v="10/08/2026"/>
    <n v="28"/>
    <s v="No"/>
    <s v=""/>
    <m/>
    <m/>
    <s v="*MAV061001407"/>
    <s v="*MAV061001407"/>
    <n v="1.2939343257559801E-4"/>
  </r>
  <r>
    <x v="3"/>
    <s v="Pesos"/>
    <d v="2026-10-08T00:00:00"/>
    <s v="29/09/2026"/>
    <n v="0.99217142000000003"/>
    <m/>
    <n v="4327290"/>
    <n v="4293413.47"/>
    <n v="4327290"/>
    <n v="4293413.47"/>
    <n v="10537647"/>
    <s v="AMOMPY"/>
    <s v="Momentum Capital Investment S.A."/>
    <s v="25/08/2026"/>
    <s v="25/08/2026"/>
    <n v="32"/>
    <s v="No"/>
    <s v=""/>
    <m/>
    <m/>
    <s v="*MAV061001488"/>
    <s v="*MAV061001488"/>
    <n v="5.7079080843465996E-5"/>
  </r>
  <r>
    <x v="125"/>
    <s v="Pesos"/>
    <d v="2026-10-08T00:00:00"/>
    <s v="29/09/2026"/>
    <n v="0.99314327000000002"/>
    <m/>
    <n v="19247714"/>
    <n v="19115737.530000001"/>
    <n v="19247714"/>
    <n v="19115737.530000001"/>
    <n v="72607192"/>
    <s v="AMOMPY"/>
    <s v="Momentum Capital Investment S.A."/>
    <s v="10/08/2026"/>
    <s v="10/08/2026"/>
    <n v="28"/>
    <s v="No"/>
    <s v=""/>
    <m/>
    <m/>
    <s v="*MAV061001408"/>
    <s v="*MAV061001408"/>
    <n v="2.5413548811019761E-4"/>
  </r>
  <r>
    <x v="35"/>
    <s v="Pesos"/>
    <d v="2026-10-08T00:00:00"/>
    <s v="29/09/2026"/>
    <n v="0.99120147999999997"/>
    <m/>
    <n v="1874176.47"/>
    <n v="1857686.49"/>
    <n v="1874176.47"/>
    <n v="1857686.49"/>
    <n v="3453"/>
    <s v="AMOMPY"/>
    <s v="Momentum Capital Investment S.A."/>
    <s v="08/09/2026"/>
    <s v="08/09/2026"/>
    <n v="36"/>
    <s v="No"/>
    <s v=""/>
    <m/>
    <m/>
    <s v="*MAV061001646"/>
    <s v="*MAV061001646"/>
    <n v="2.4697140884622183E-5"/>
  </r>
  <r>
    <x v="126"/>
    <s v="Pesos"/>
    <d v="2026-10-08T00:00:00"/>
    <s v="29/09/2026"/>
    <n v="0.99192877999999995"/>
    <m/>
    <n v="7040260.4900000002"/>
    <n v="6983436.9900000002"/>
    <n v="7040260.4900000002"/>
    <n v="6983436.9900000002"/>
    <n v="806"/>
    <s v="AMOMPY"/>
    <s v="Momentum Capital Investment S.A."/>
    <s v="15/09/2026"/>
    <s v="15/09/2026"/>
    <n v="33"/>
    <s v="No"/>
    <s v=""/>
    <m/>
    <m/>
    <s v="*MAV061001704"/>
    <s v="*MAV061001704"/>
    <n v="9.284178365366262E-5"/>
  </r>
  <r>
    <x v="127"/>
    <s v="Pesos"/>
    <d v="2026-10-08T00:00:00"/>
    <s v="29/09/2026"/>
    <n v="0.99192871999999999"/>
    <m/>
    <n v="13604342"/>
    <n v="13494537.609999999"/>
    <n v="13604342"/>
    <n v="13494537.609999999"/>
    <n v="80358739"/>
    <s v="AMOMPY"/>
    <s v="Momentum Capital Investment S.A."/>
    <s v="24/09/2026"/>
    <s v="24/09/2026"/>
    <n v="33"/>
    <s v="No"/>
    <s v=""/>
    <m/>
    <m/>
    <s v="*MAV061001767"/>
    <s v="*MAV061001767"/>
    <n v="1.7940405893084936E-4"/>
  </r>
  <r>
    <x v="6"/>
    <s v="Pesos"/>
    <d v="2026-10-08T00:00:00"/>
    <s v="29/09/2026"/>
    <n v="0.99338649999999995"/>
    <m/>
    <n v="20000000"/>
    <n v="19867730"/>
    <n v="20000000"/>
    <n v="19867730"/>
    <n v="9508920"/>
    <s v="AMOMPY"/>
    <s v="Momentum Capital Investment S.A."/>
    <s v="13/07/2026"/>
    <s v="13/07/2026"/>
    <n v="27"/>
    <s v="No"/>
    <s v=""/>
    <m/>
    <m/>
    <s v="*PRO061000010"/>
    <s v="*PRO061000010"/>
    <n v="2.6413290375365474E-4"/>
  </r>
  <r>
    <x v="55"/>
    <s v="Pesos"/>
    <d v="2026-10-08T00:00:00"/>
    <s v="29/09/2026"/>
    <n v="0.99314327000000002"/>
    <m/>
    <n v="48082135.859999999"/>
    <n v="47752449.75"/>
    <n v="48082135.859999999"/>
    <n v="47752449.75"/>
    <n v="40292529"/>
    <s v="AMOMPY"/>
    <s v="Momentum Capital Investment S.A."/>
    <s v="14/08/2026"/>
    <s v="14/08/2026"/>
    <n v="28"/>
    <s v="No"/>
    <s v=""/>
    <m/>
    <m/>
    <s v="*MAV061001432"/>
    <s v="*MAV061001432"/>
    <n v="6.348482294564092E-4"/>
  </r>
  <r>
    <x v="55"/>
    <s v="Pesos"/>
    <d v="2026-10-08T00:00:00"/>
    <s v="29/09/2026"/>
    <n v="0.99314327000000002"/>
    <m/>
    <n v="48082135.859999999"/>
    <n v="47752449.75"/>
    <n v="48082135.859999999"/>
    <n v="47752449.75"/>
    <n v="40292539"/>
    <s v="AMOMPY"/>
    <s v="Momentum Capital Investment S.A."/>
    <s v="14/08/2026"/>
    <s v="14/08/2026"/>
    <n v="28"/>
    <s v="No"/>
    <s v=""/>
    <m/>
    <m/>
    <s v="*MAV061001433"/>
    <s v="*MAV061001433"/>
    <n v="6.348482294564092E-4"/>
  </r>
  <r>
    <x v="55"/>
    <s v="Pesos"/>
    <d v="2026-10-08T00:00:00"/>
    <s v="29/09/2026"/>
    <n v="0.99314327000000002"/>
    <m/>
    <n v="48082135.859999999"/>
    <n v="47752449.75"/>
    <n v="48082135.859999999"/>
    <n v="47752449.75"/>
    <n v="40292538"/>
    <s v="AMOMPY"/>
    <s v="Momentum Capital Investment S.A."/>
    <s v="14/08/2026"/>
    <s v="14/08/2026"/>
    <n v="28"/>
    <s v="No"/>
    <s v=""/>
    <m/>
    <m/>
    <s v="*MAV061001434"/>
    <s v="*MAV061001434"/>
    <n v="6.348482294564092E-4"/>
  </r>
  <r>
    <x v="55"/>
    <s v="Pesos"/>
    <d v="2026-10-08T00:00:00"/>
    <s v="29/09/2026"/>
    <n v="0.99314327000000002"/>
    <m/>
    <n v="48082135.859999999"/>
    <n v="47752449.75"/>
    <n v="48082135.859999999"/>
    <n v="47752449.75"/>
    <n v="40292519"/>
    <s v="AMOMPY"/>
    <s v="Momentum Capital Investment S.A."/>
    <s v="14/08/2026"/>
    <s v="14/08/2026"/>
    <n v="28"/>
    <s v="No"/>
    <s v=""/>
    <m/>
    <m/>
    <s v="*MAV061001435"/>
    <s v="*MAV061001435"/>
    <n v="6.348482294564092E-4"/>
  </r>
  <r>
    <x v="55"/>
    <s v="Pesos"/>
    <d v="2026-10-08T00:00:00"/>
    <s v="29/09/2026"/>
    <n v="0.99314327000000002"/>
    <m/>
    <n v="68400163.159999996"/>
    <n v="67931161.870000005"/>
    <n v="68400163.159999996"/>
    <n v="67931161.870000005"/>
    <n v="40292536"/>
    <s v="AMOMPY"/>
    <s v="Momentum Capital Investment S.A."/>
    <s v="14/08/2026"/>
    <s v="14/08/2026"/>
    <n v="28"/>
    <s v="No"/>
    <s v=""/>
    <m/>
    <m/>
    <s v="*MAV061001436"/>
    <s v="*MAV061001436"/>
    <n v="9.03115506405747E-4"/>
  </r>
  <r>
    <x v="55"/>
    <s v="Pesos"/>
    <d v="2026-10-08T00:00:00"/>
    <s v="29/09/2026"/>
    <n v="0.99314327000000002"/>
    <m/>
    <n v="48082135.859999999"/>
    <n v="47752449.75"/>
    <n v="48082135.859999999"/>
    <n v="47752449.75"/>
    <n v="40292518"/>
    <s v="AMOMPY"/>
    <s v="Momentum Capital Investment S.A."/>
    <s v="14/08/2026"/>
    <s v="14/08/2026"/>
    <n v="28"/>
    <s v="No"/>
    <s v=""/>
    <m/>
    <m/>
    <s v="*MAV061001437"/>
    <s v="*MAV061001437"/>
    <n v="6.348482294564092E-4"/>
  </r>
  <r>
    <x v="55"/>
    <s v="Pesos"/>
    <d v="2026-10-08T00:00:00"/>
    <s v="29/09/2026"/>
    <n v="0.99314327000000002"/>
    <m/>
    <n v="48082135.859999999"/>
    <n v="47752449.75"/>
    <n v="48082135.859999999"/>
    <n v="47752449.75"/>
    <n v="40292530"/>
    <s v="AMOMPY"/>
    <s v="Momentum Capital Investment S.A."/>
    <s v="14/08/2026"/>
    <s v="14/08/2026"/>
    <n v="28"/>
    <s v="No"/>
    <s v=""/>
    <m/>
    <m/>
    <s v="*MAV061001438"/>
    <s v="*MAV061001438"/>
    <n v="6.348482294564092E-4"/>
  </r>
  <r>
    <x v="55"/>
    <s v="Pesos"/>
    <d v="2026-10-08T00:00:00"/>
    <s v="29/09/2026"/>
    <n v="0.99314327000000002"/>
    <m/>
    <n v="48082135.859999999"/>
    <n v="47752449.75"/>
    <n v="48082135.859999999"/>
    <n v="47752449.75"/>
    <n v="40292517"/>
    <s v="AMOMPY"/>
    <s v="Momentum Capital Investment S.A."/>
    <s v="14/08/2026"/>
    <s v="14/08/2026"/>
    <n v="28"/>
    <s v="No"/>
    <s v=""/>
    <m/>
    <m/>
    <s v="*MAV061001439"/>
    <s v="*MAV061001439"/>
    <n v="6.348482294564092E-4"/>
  </r>
  <r>
    <x v="55"/>
    <s v="Pesos"/>
    <d v="2026-10-08T00:00:00"/>
    <s v="29/09/2026"/>
    <n v="0.99314327000000002"/>
    <m/>
    <n v="48082135.859999999"/>
    <n v="47752449.75"/>
    <n v="48082135.859999999"/>
    <n v="47752449.75"/>
    <n v="40292547"/>
    <s v="AMOMPY"/>
    <s v="Momentum Capital Investment S.A."/>
    <s v="14/08/2026"/>
    <s v="14/08/2026"/>
    <n v="28"/>
    <s v="No"/>
    <s v=""/>
    <m/>
    <m/>
    <s v="*MAV061001440"/>
    <s v="*MAV061001440"/>
    <n v="6.348482294564092E-4"/>
  </r>
  <r>
    <x v="55"/>
    <s v="Pesos"/>
    <d v="2026-10-08T00:00:00"/>
    <s v="29/09/2026"/>
    <n v="0.99314327000000002"/>
    <m/>
    <n v="68400163.150000006"/>
    <n v="67931161.859999999"/>
    <n v="68400163.150000006"/>
    <n v="67931161.859999999"/>
    <n v="40292516"/>
    <s v="AMOMPY"/>
    <s v="Momentum Capital Investment S.A."/>
    <s v="14/08/2026"/>
    <s v="14/08/2026"/>
    <n v="28"/>
    <s v="No"/>
    <s v=""/>
    <m/>
    <m/>
    <s v="*MAV061001441"/>
    <s v="*MAV061001441"/>
    <n v="9.0311550627280126E-4"/>
  </r>
  <r>
    <x v="55"/>
    <s v="Pesos"/>
    <d v="2026-10-08T00:00:00"/>
    <s v="29/09/2026"/>
    <n v="0.99314327000000002"/>
    <m/>
    <n v="48082135.869999997"/>
    <n v="47752449.759999998"/>
    <n v="48082135.869999997"/>
    <n v="47752449.759999998"/>
    <n v="40292548"/>
    <s v="AMOMPY"/>
    <s v="Momentum Capital Investment S.A."/>
    <s v="14/08/2026"/>
    <s v="14/08/2026"/>
    <n v="28"/>
    <s v="No"/>
    <s v=""/>
    <m/>
    <m/>
    <s v="*MAV061001442"/>
    <s v="*MAV061001442"/>
    <n v="6.3484822958935483E-4"/>
  </r>
  <r>
    <x v="55"/>
    <s v="Pesos"/>
    <d v="2026-10-08T00:00:00"/>
    <s v="29/09/2026"/>
    <n v="0.99314327000000002"/>
    <m/>
    <n v="48082135.859999999"/>
    <n v="47752449.75"/>
    <n v="48082135.859999999"/>
    <n v="47752449.75"/>
    <n v="40292560"/>
    <s v="AMOMPY"/>
    <s v="Momentum Capital Investment S.A."/>
    <s v="14/08/2026"/>
    <s v="14/08/2026"/>
    <n v="28"/>
    <s v="No"/>
    <s v=""/>
    <m/>
    <m/>
    <s v="*MAV061001443"/>
    <s v="*MAV061001443"/>
    <n v="6.348482294564092E-4"/>
  </r>
  <r>
    <x v="55"/>
    <s v="Pesos"/>
    <d v="2026-10-08T00:00:00"/>
    <s v="29/09/2026"/>
    <n v="0.99314325000000003"/>
    <m/>
    <n v="64965211.600000001"/>
    <n v="64519761.270000003"/>
    <n v="64965211.600000001"/>
    <n v="64519761.270000003"/>
    <n v="40292544"/>
    <s v="AMOMPY"/>
    <s v="Momentum Capital Investment S.A."/>
    <s v="05/08/2026"/>
    <s v="05/08/2026"/>
    <n v="28"/>
    <s v="No"/>
    <s v=""/>
    <m/>
    <m/>
    <s v="*MAV061001373"/>
    <s v="*MAV061001373"/>
    <n v="8.5776240636135535E-4"/>
  </r>
  <r>
    <x v="55"/>
    <s v="Pesos"/>
    <d v="2026-10-08T00:00:00"/>
    <s v="29/09/2026"/>
    <n v="0.99314325000000003"/>
    <m/>
    <n v="64965211.600000001"/>
    <n v="64519761.270000003"/>
    <n v="64965211.600000001"/>
    <n v="64519761.270000003"/>
    <n v="40292563"/>
    <s v="AMOMPY"/>
    <s v="Momentum Capital Investment S.A."/>
    <s v="05/08/2026"/>
    <s v="05/08/2026"/>
    <n v="28"/>
    <s v="No"/>
    <s v=""/>
    <m/>
    <m/>
    <s v="*MAV061001374"/>
    <s v="*MAV061001374"/>
    <n v="8.5776240636135535E-4"/>
  </r>
  <r>
    <x v="109"/>
    <s v="Pesos"/>
    <d v="2026-10-08T00:00:00"/>
    <s v="29/09/2026"/>
    <n v="0.99217138000000005"/>
    <m/>
    <n v="14479899.68"/>
    <n v="14366541.99"/>
    <n v="14479899.68"/>
    <n v="14366541.99"/>
    <n v="9933007"/>
    <s v="AMOMPY"/>
    <s v="Momentum Capital Investment S.A."/>
    <s v="12/06/2026"/>
    <s v="12/06/2026"/>
    <n v="32"/>
    <s v="No"/>
    <s v=""/>
    <m/>
    <m/>
    <s v="*MAV061001220"/>
    <s v="*MAV061001220"/>
    <n v="1.9099698117084889E-4"/>
  </r>
  <r>
    <x v="35"/>
    <s v="Pesos"/>
    <d v="2026-10-08T00:00:00"/>
    <s v="29/09/2026"/>
    <n v="0.99192871000000005"/>
    <m/>
    <n v="5000000"/>
    <n v="4959643.53"/>
    <n v="5000000"/>
    <n v="4959643.53"/>
    <n v="3039"/>
    <s v="AMOMPY"/>
    <s v="Momentum Capital Investment S.A."/>
    <s v="21/07/2026"/>
    <s v="21/07/2026"/>
    <n v="33"/>
    <s v="No"/>
    <s v=""/>
    <m/>
    <m/>
    <s v="*MAV061001301"/>
    <s v="*MAV061001301"/>
    <n v="6.5936322225132238E-5"/>
  </r>
  <r>
    <x v="128"/>
    <s v="Pesos"/>
    <d v="2026-10-08T00:00:00"/>
    <s v="29/09/2026"/>
    <n v="0.99192871000000005"/>
    <m/>
    <n v="38402544.32"/>
    <n v="38092586.149999999"/>
    <n v="38402544.32"/>
    <n v="38092586.149999999"/>
    <n v="90027958"/>
    <s v="AMOMPY"/>
    <s v="Momentum Capital Investment S.A."/>
    <s v="19/08/2026"/>
    <s v="19/08/2026"/>
    <n v="33"/>
    <s v="No"/>
    <s v=""/>
    <m/>
    <m/>
    <s v="*MAV061001461"/>
    <s v="*MAV061001461"/>
    <n v="5.064245080482647E-4"/>
  </r>
  <r>
    <x v="82"/>
    <s v="Pesos"/>
    <d v="2026-10-08T00:00:00"/>
    <s v="29/09/2026"/>
    <n v="0.99265711999999995"/>
    <m/>
    <n v="2700000"/>
    <n v="2680174.2200000002"/>
    <n v="2700000"/>
    <n v="2680174.2200000002"/>
    <n v="6905"/>
    <s v="AMOMPY"/>
    <s v="Momentum Capital Investment S.A."/>
    <s v="11/09/2026"/>
    <s v="11/09/2026"/>
    <n v="30"/>
    <s v="No"/>
    <s v=""/>
    <m/>
    <m/>
    <s v="*MAV061001679"/>
    <s v="*MAV061001679"/>
    <n v="3.5631760613531927E-5"/>
  </r>
  <r>
    <x v="129"/>
    <s v="Pesos"/>
    <d v="2026-10-08T00:00:00"/>
    <s v="29/09/2026"/>
    <n v="0.99217138000000005"/>
    <m/>
    <n v="7500000"/>
    <n v="7441285.3200000003"/>
    <n v="7500000"/>
    <n v="7441285.3200000003"/>
    <n v="67195465"/>
    <s v="AMOMPY"/>
    <s v="Momentum Capital Investment S.A."/>
    <s v="14/07/2026"/>
    <s v="14/07/2026"/>
    <n v="32"/>
    <s v="No"/>
    <s v=""/>
    <m/>
    <m/>
    <s v="*MAV061001281"/>
    <s v="*MAV061001281"/>
    <n v="9.8928679785312363E-5"/>
  </r>
  <r>
    <x v="16"/>
    <s v="Pesos"/>
    <d v="2026-10-08T00:00:00"/>
    <s v="29/09/2026"/>
    <n v="0.99217142000000003"/>
    <m/>
    <n v="6000000"/>
    <n v="5953028.5199999996"/>
    <n v="6000000"/>
    <n v="5953028.5199999996"/>
    <n v="10816031"/>
    <s v="AMOMPY"/>
    <s v="Momentum Capital Investment S.A."/>
    <s v="25/08/2026"/>
    <s v="25/08/2026"/>
    <n v="32"/>
    <s v="No"/>
    <s v=""/>
    <m/>
    <m/>
    <s v="*MAV061001489"/>
    <s v="*MAV061001489"/>
    <n v="7.9142947338016052E-5"/>
  </r>
  <r>
    <x v="60"/>
    <s v="Pesos"/>
    <d v="2026-10-08T00:00:00"/>
    <s v="29/09/2026"/>
    <n v="0.99071717999999998"/>
    <m/>
    <n v="154000000"/>
    <n v="152570445.61000001"/>
    <n v="154000000"/>
    <n v="152570445.61000001"/>
    <n v="70406521"/>
    <s v="AMOMPY"/>
    <s v="Momentum Capital Investment S.A."/>
    <s v="28/08/2026"/>
    <s v="28/08/2026"/>
    <n v="38"/>
    <s v="No"/>
    <s v=""/>
    <m/>
    <m/>
    <s v="*MAV061001518"/>
    <s v="*MAV061001518"/>
    <n v="2.0283582888411685E-3"/>
  </r>
  <r>
    <x v="19"/>
    <s v="Pesos"/>
    <d v="2026-10-08T00:00:00"/>
    <s v="29/09/2026"/>
    <n v="0.99023331999999997"/>
    <m/>
    <n v="25000000"/>
    <n v="24755832.899999999"/>
    <n v="25000000"/>
    <n v="24755832.899999999"/>
    <n v="70393029"/>
    <s v="AMOMPY"/>
    <s v="Momentum Capital Investment S.A."/>
    <s v="07/08/2026"/>
    <s v="07/08/2026"/>
    <n v="40"/>
    <s v="No"/>
    <s v=""/>
    <m/>
    <m/>
    <s v="*MAV061001397"/>
    <s v="*MAV061001397"/>
    <n v="3.291181241499285E-4"/>
  </r>
  <r>
    <x v="130"/>
    <s v="Pesos"/>
    <d v="2026-10-08T00:00:00"/>
    <s v="29/09/2026"/>
    <n v="0.99047516999999996"/>
    <m/>
    <n v="3750000"/>
    <n v="3714281.87"/>
    <n v="3750000"/>
    <n v="3714281.87"/>
    <n v="66919994"/>
    <s v="AMOMPY"/>
    <s v="Momentum Capital Investment S.A."/>
    <s v="13/05/2026"/>
    <s v="13/05/2026"/>
    <n v="39"/>
    <s v="No"/>
    <s v=""/>
    <m/>
    <m/>
    <s v="*MAV061001207"/>
    <s v="*MAV061001207"/>
    <n v="4.9379775932260741E-5"/>
  </r>
  <r>
    <x v="48"/>
    <s v="Pesos"/>
    <d v="2026-10-08T00:00:00"/>
    <s v="29/09/2026"/>
    <n v="0.99144374999999996"/>
    <m/>
    <n v="4750000"/>
    <n v="4709357.8"/>
    <n v="4750000"/>
    <n v="4709357.8"/>
    <n v="40768616"/>
    <s v="AMOMPY"/>
    <s v="Momentum Capital Investment S.A."/>
    <s v="03/08/2026"/>
    <s v="03/08/2026"/>
    <n v="35"/>
    <s v="No"/>
    <s v=""/>
    <m/>
    <m/>
    <s v="*MAV061001341"/>
    <s v="*MAV061001341"/>
    <n v="6.2608881363342627E-5"/>
  </r>
  <r>
    <x v="86"/>
    <s v="Pesos"/>
    <d v="2026-10-08T00:00:00"/>
    <s v="29/09/2026"/>
    <n v="0.99023331999999997"/>
    <m/>
    <n v="7900000"/>
    <n v="7822843.2400000002"/>
    <n v="7900000"/>
    <n v="7822843.2400000002"/>
    <n v="15"/>
    <s v="AMOMPY"/>
    <s v="Momentum Capital Investment S.A."/>
    <s v="17/04/2026"/>
    <s v="17/04/2026"/>
    <n v="40"/>
    <s v="No"/>
    <s v=""/>
    <m/>
    <m/>
    <s v="*MAV061001203"/>
    <s v="*MAV061001203"/>
    <n v="1.0400132781102062E-4"/>
  </r>
  <r>
    <x v="86"/>
    <s v="Pesos"/>
    <d v="2026-10-08T00:00:00"/>
    <s v="29/09/2026"/>
    <n v="0.99023331999999997"/>
    <m/>
    <n v="7203888"/>
    <n v="7133529.9500000002"/>
    <n v="7203888"/>
    <n v="7133529.9500000002"/>
    <n v="876"/>
    <s v="AMOMPY"/>
    <s v="Momentum Capital Investment S.A."/>
    <s v="17/04/2026"/>
    <s v="17/04/2026"/>
    <n v="40"/>
    <s v="No"/>
    <s v=""/>
    <m/>
    <m/>
    <s v="*MAV061001204"/>
    <s v="*MAV061001204"/>
    <n v="9.4837204839564636E-5"/>
  </r>
  <r>
    <x v="21"/>
    <s v="Pesos"/>
    <d v="2026-10-08T00:00:00"/>
    <s v="29/09/2026"/>
    <n v="0.99217142999999997"/>
    <m/>
    <n v="10000000"/>
    <n v="9921714.2799999993"/>
    <n v="10000000"/>
    <n v="9921714.2799999993"/>
    <n v="14422563"/>
    <s v="AMOMPY"/>
    <s v="Momentum Capital Investment S.A."/>
    <s v="01/09/2026"/>
    <s v="01/09/2026"/>
    <n v="32"/>
    <s v="No"/>
    <s v=""/>
    <m/>
    <m/>
    <s v="*MAV061001541"/>
    <s v="*MAV061001541"/>
    <n v="1.3190491329359225E-4"/>
  </r>
  <r>
    <x v="131"/>
    <s v="Pesos"/>
    <d v="2026-10-08T00:00:00"/>
    <s v="29/09/2026"/>
    <n v="0.99023333999999996"/>
    <m/>
    <n v="187200000"/>
    <n v="185371680.59"/>
    <n v="187200000"/>
    <n v="185371680.59"/>
    <n v="70397197"/>
    <s v="AMOMPY"/>
    <s v="Momentum Capital Investment S.A."/>
    <s v="19/08/2026"/>
    <s v="19/08/2026"/>
    <n v="40"/>
    <s v="No"/>
    <s v=""/>
    <m/>
    <m/>
    <s v="*MAV061001459"/>
    <s v="*MAV061001459"/>
    <n v="2.4644365646166772E-3"/>
  </r>
  <r>
    <x v="50"/>
    <s v="Pesos"/>
    <d v="2026-10-08T00:00:00"/>
    <s v="29/09/2026"/>
    <n v="0.99265707000000003"/>
    <m/>
    <n v="100000000"/>
    <n v="99265706.519999996"/>
    <n v="100000000"/>
    <n v="99265706.519999996"/>
    <n v="90003980"/>
    <s v="AMOMPY"/>
    <s v="Momentum Capital Investment S.A."/>
    <s v="04/08/2026"/>
    <s v="04/08/2026"/>
    <n v="30"/>
    <s v="No"/>
    <s v=""/>
    <m/>
    <m/>
    <s v="*MAV061001358"/>
    <s v="*MAV061001358"/>
    <n v="1.3196947666535481E-3"/>
  </r>
  <r>
    <x v="28"/>
    <s v="Pesos"/>
    <d v="2026-10-08T00:00:00"/>
    <s v="29/09/2026"/>
    <n v="0.99217137"/>
    <m/>
    <n v="2000000"/>
    <n v="1984342.74"/>
    <n v="2000000"/>
    <n v="1984342.74"/>
    <n v="1069"/>
    <s v="AMOMPY"/>
    <s v="Momentum Capital Investment S.A."/>
    <s v="26/08/2026"/>
    <s v="26/08/2026"/>
    <n v="32"/>
    <s v="No"/>
    <s v=""/>
    <m/>
    <m/>
    <s v="*MAV061001495"/>
    <s v="*MAV061001495"/>
    <n v="2.6380981116548469E-5"/>
  </r>
  <r>
    <x v="28"/>
    <s v="Pesos"/>
    <d v="2026-10-08T00:00:00"/>
    <s v="29/09/2026"/>
    <n v="0.99265705999999998"/>
    <m/>
    <n v="3300000"/>
    <n v="3275768.3"/>
    <n v="3300000"/>
    <n v="3275768.3"/>
    <n v="924"/>
    <s v="AMOMPY"/>
    <s v="Momentum Capital Investment S.A."/>
    <s v="11/08/2026"/>
    <s v="11/08/2026"/>
    <n v="30"/>
    <s v="No"/>
    <s v=""/>
    <m/>
    <m/>
    <s v="*MAV061001413"/>
    <s v="*MAV061001413"/>
    <n v="4.3549927098021419E-5"/>
  </r>
  <r>
    <x v="76"/>
    <s v="Pesos"/>
    <d v="2026-10-08T00:00:00"/>
    <s v="29/09/2026"/>
    <n v="0.99071715999999999"/>
    <m/>
    <n v="20000000"/>
    <n v="19814343.260000002"/>
    <n v="20000000"/>
    <n v="19814343.260000002"/>
    <n v="70219568"/>
    <s v="AMOMPY"/>
    <s v="Momentum Capital Investment S.A."/>
    <s v="03/08/2026"/>
    <s v="03/08/2026"/>
    <n v="38"/>
    <s v="No"/>
    <s v=""/>
    <m/>
    <m/>
    <s v="*MAV061001343"/>
    <s v="*MAV061001343"/>
    <n v="2.6342315006472593E-4"/>
  </r>
  <r>
    <x v="76"/>
    <s v="Pesos"/>
    <d v="2026-10-08T00:00:00"/>
    <s v="29/09/2026"/>
    <n v="0.99071715999999999"/>
    <m/>
    <n v="20000000"/>
    <n v="19814343.260000002"/>
    <n v="20000000"/>
    <n v="19814343.260000002"/>
    <n v="70219566"/>
    <s v="AMOMPY"/>
    <s v="Momentum Capital Investment S.A."/>
    <s v="03/08/2026"/>
    <s v="03/08/2026"/>
    <n v="38"/>
    <s v="No"/>
    <s v=""/>
    <m/>
    <m/>
    <s v="*MAV061001344"/>
    <s v="*MAV061001344"/>
    <n v="2.6342315006472593E-4"/>
  </r>
  <r>
    <x v="76"/>
    <s v="Pesos"/>
    <d v="2026-10-08T00:00:00"/>
    <s v="29/09/2026"/>
    <n v="0.99071715999999999"/>
    <m/>
    <n v="20000000"/>
    <n v="19814343.260000002"/>
    <n v="20000000"/>
    <n v="19814343.260000002"/>
    <n v="70219567"/>
    <s v="AMOMPY"/>
    <s v="Momentum Capital Investment S.A."/>
    <s v="03/08/2026"/>
    <s v="03/08/2026"/>
    <n v="38"/>
    <s v="No"/>
    <s v=""/>
    <m/>
    <m/>
    <s v="*MAV061001345"/>
    <s v="*MAV061001345"/>
    <n v="2.6342315006472593E-4"/>
  </r>
  <r>
    <x v="76"/>
    <s v="Pesos"/>
    <d v="2026-10-08T00:00:00"/>
    <s v="29/09/2026"/>
    <n v="0.99071715999999999"/>
    <m/>
    <n v="20000000"/>
    <n v="19814343.260000002"/>
    <n v="20000000"/>
    <n v="19814343.260000002"/>
    <n v="70219569"/>
    <s v="AMOMPY"/>
    <s v="Momentum Capital Investment S.A."/>
    <s v="03/08/2026"/>
    <s v="03/08/2026"/>
    <n v="38"/>
    <s v="No"/>
    <s v=""/>
    <m/>
    <m/>
    <s v="*MAV061001346"/>
    <s v="*MAV061001346"/>
    <n v="2.6342315006472593E-4"/>
  </r>
  <r>
    <x v="28"/>
    <s v="Pesos"/>
    <d v="2026-10-09T00:00:00"/>
    <s v="29/09/2026"/>
    <n v="0.99184795999999997"/>
    <m/>
    <n v="5000000"/>
    <n v="4959239.78"/>
    <n v="5000000"/>
    <n v="4959239.78"/>
    <n v="1239"/>
    <s v="AMOMPY"/>
    <s v="Momentum Capital Investment S.A."/>
    <s v="17/09/2026"/>
    <s v="17/09/2026"/>
    <n v="30"/>
    <s v="No"/>
    <s v=""/>
    <m/>
    <m/>
    <s v="*MAV071001637"/>
    <s v="*MAV071001637"/>
    <n v="6.5930954542971738E-5"/>
  </r>
  <r>
    <x v="28"/>
    <s v="Pesos"/>
    <d v="2026-10-09T00:00:00"/>
    <s v="29/09/2026"/>
    <n v="0.99130912000000004"/>
    <m/>
    <n v="3000000"/>
    <n v="2973927.36"/>
    <n v="3000000"/>
    <n v="2973927.36"/>
    <n v="1037"/>
    <s v="AMOMPY"/>
    <s v="Momentum Capital Investment S.A."/>
    <s v="25/08/2026"/>
    <s v="25/08/2026"/>
    <n v="32"/>
    <s v="No"/>
    <s v=""/>
    <m/>
    <m/>
    <s v="*MAV071001404"/>
    <s v="*MAV071001404"/>
    <n v="3.9537081948931281E-5"/>
  </r>
  <r>
    <x v="132"/>
    <s v="Pesos"/>
    <d v="2026-10-09T00:00:00"/>
    <s v="29/09/2026"/>
    <n v="0.99157843000000001"/>
    <m/>
    <n v="9990457.7799999993"/>
    <n v="9906322.3900000006"/>
    <n v="9990457.7799999993"/>
    <n v="9906322.3900000006"/>
    <n v="3021"/>
    <s v="AMOMPY"/>
    <s v="Momentum Capital Investment S.A."/>
    <s v="08/09/2026"/>
    <s v="08/09/2026"/>
    <n v="31"/>
    <s v="No"/>
    <s v=""/>
    <m/>
    <m/>
    <s v="*MAV071001536"/>
    <s v="*MAV071001536"/>
    <n v="1.3170028475273948E-4"/>
  </r>
  <r>
    <x v="133"/>
    <s v="Pesos"/>
    <d v="2026-10-09T00:00:00"/>
    <s v="29/09/2026"/>
    <n v="0.99103996999999999"/>
    <m/>
    <n v="9698126.2200000007"/>
    <n v="9611230.7200000007"/>
    <n v="9698126.2200000007"/>
    <n v="9611230.7200000007"/>
    <n v="69049621"/>
    <s v="AMOMPY"/>
    <s v="Momentum Capital Investment S.A."/>
    <s v="15/09/2026"/>
    <s v="15/09/2026"/>
    <n v="33"/>
    <s v="No"/>
    <s v=""/>
    <m/>
    <m/>
    <s v="*MAV071001619"/>
    <s v="*MAV071001619"/>
    <n v="1.2777716823813944E-4"/>
  </r>
  <r>
    <x v="127"/>
    <s v="Pesos"/>
    <d v="2026-10-09T00:00:00"/>
    <s v="29/09/2026"/>
    <n v="0.99104011000000003"/>
    <m/>
    <n v="13604342"/>
    <n v="13482448.529999999"/>
    <n v="13604342"/>
    <n v="13482448.529999999"/>
    <n v="80358740"/>
    <s v="AMOMPY"/>
    <s v="Momentum Capital Investment S.A."/>
    <s v="24/09/2026"/>
    <s v="24/09/2026"/>
    <n v="33"/>
    <s v="No"/>
    <s v=""/>
    <m/>
    <m/>
    <s v="*MAV071001693"/>
    <s v="*MAV071001693"/>
    <n v="1.7924333982483623E-4"/>
  </r>
  <r>
    <x v="6"/>
    <s v="Pesos"/>
    <d v="2026-10-09T00:00:00"/>
    <s v="29/09/2026"/>
    <n v="0.99319729999999995"/>
    <m/>
    <n v="25000000"/>
    <n v="24829932.489999998"/>
    <n v="25000000"/>
    <n v="24829932.489999998"/>
    <n v="6534"/>
    <s v="AMOMPY"/>
    <s v="Momentum Capital Investment S.A."/>
    <s v="16/07/2026"/>
    <s v="16/07/2026"/>
    <n v="25"/>
    <s v="No"/>
    <s v=""/>
    <m/>
    <m/>
    <s v="*PRO071000011"/>
    <s v="*PRO071000011"/>
    <n v="3.3010324624861091E-4"/>
  </r>
  <r>
    <x v="6"/>
    <s v="Pesos"/>
    <d v="2026-10-09T00:00:00"/>
    <s v="29/09/2026"/>
    <n v="0.99319729999999995"/>
    <m/>
    <n v="25000000"/>
    <n v="24829932.489999998"/>
    <n v="25000000"/>
    <n v="24829932.489999998"/>
    <n v="6535"/>
    <s v="AMOMPY"/>
    <s v="Momentum Capital Investment S.A."/>
    <s v="16/07/2026"/>
    <s v="16/07/2026"/>
    <n v="25"/>
    <s v="No"/>
    <s v=""/>
    <m/>
    <m/>
    <s v="*PRO071000010"/>
    <s v="*PRO071000010"/>
    <n v="3.3010324624861091E-4"/>
  </r>
  <r>
    <x v="6"/>
    <s v="Pesos"/>
    <d v="2026-10-09T00:00:00"/>
    <s v="29/09/2026"/>
    <n v="0.99346763999999999"/>
    <m/>
    <n v="6250000"/>
    <n v="6209172.7400000002"/>
    <n v="6250000"/>
    <n v="6209172.7400000002"/>
    <n v="50459993"/>
    <s v="AMOMPY"/>
    <s v="Momentum Capital Investment S.A."/>
    <s v="17/07/2026"/>
    <s v="17/07/2026"/>
    <n v="24"/>
    <s v="No"/>
    <s v=""/>
    <m/>
    <m/>
    <s v="*PRO071000012"/>
    <s v="*PRO071000012"/>
    <n v="8.2548274298283533E-5"/>
  </r>
  <r>
    <x v="6"/>
    <s v="Pesos"/>
    <d v="2026-10-09T00:00:00"/>
    <s v="29/09/2026"/>
    <n v="0.99319729999999995"/>
    <m/>
    <n v="25000000"/>
    <n v="24829932.530000001"/>
    <n v="25000000"/>
    <n v="24829932.530000001"/>
    <n v="929"/>
    <s v="AMOMPY"/>
    <s v="Momentum Capital Investment S.A."/>
    <s v="02/07/2026"/>
    <s v="02/07/2026"/>
    <n v="25"/>
    <s v="No"/>
    <s v=""/>
    <m/>
    <m/>
    <s v="*PRO071000009"/>
    <s v="*PRO071000009"/>
    <n v="3.3010324678039369E-4"/>
  </r>
  <r>
    <x v="55"/>
    <s v="Pesos"/>
    <d v="2026-10-09T00:00:00"/>
    <s v="29/09/2026"/>
    <n v="0.99238720000000002"/>
    <m/>
    <n v="55696615.780000001"/>
    <n v="55272608.539999999"/>
    <n v="55696615.780000001"/>
    <n v="55272608.539999999"/>
    <n v="40292798"/>
    <s v="AMOMPY"/>
    <s v="Momentum Capital Investment S.A."/>
    <s v="07/08/2026"/>
    <s v="07/08/2026"/>
    <n v="28"/>
    <s v="No"/>
    <s v=""/>
    <m/>
    <m/>
    <s v="*MAV071001308"/>
    <s v="*MAV071001308"/>
    <n v="7.3482549801659545E-4"/>
  </r>
  <r>
    <x v="55"/>
    <s v="Pesos"/>
    <d v="2026-10-09T00:00:00"/>
    <s v="29/09/2026"/>
    <n v="0.99238720000000002"/>
    <m/>
    <n v="55696615.780000001"/>
    <n v="55272608.539999999"/>
    <n v="55696615.780000001"/>
    <n v="55272608.539999999"/>
    <n v="40292779"/>
    <s v="AMOMPY"/>
    <s v="Momentum Capital Investment S.A."/>
    <s v="07/08/2026"/>
    <s v="07/08/2026"/>
    <n v="28"/>
    <s v="No"/>
    <s v=""/>
    <m/>
    <m/>
    <s v="*MAV071001309"/>
    <s v="*MAV071001309"/>
    <n v="7.3482549801659545E-4"/>
  </r>
  <r>
    <x v="109"/>
    <s v="Pesos"/>
    <d v="2026-10-09T00:00:00"/>
    <s v="29/09/2026"/>
    <n v="0.99130907999999995"/>
    <m/>
    <n v="14479899.68"/>
    <n v="14354056.060000001"/>
    <n v="14479899.68"/>
    <n v="14354056.060000001"/>
    <n v="9933006"/>
    <s v="AMOMPY"/>
    <s v="Momentum Capital Investment S.A."/>
    <s v="12/06/2026"/>
    <s v="12/06/2026"/>
    <n v="32"/>
    <s v="No"/>
    <s v=""/>
    <m/>
    <m/>
    <s v="*MAV071001163"/>
    <s v="*MAV071001163"/>
    <n v="1.9083098611520009E-4"/>
  </r>
  <r>
    <x v="8"/>
    <s v="Pesos"/>
    <d v="2026-10-09T00:00:00"/>
    <s v="29/09/2026"/>
    <n v="0.99319729999999995"/>
    <m/>
    <n v="8650000"/>
    <n v="8591156.6699999999"/>
    <n v="8650000"/>
    <n v="8591156.6699999999"/>
    <n v="34385"/>
    <s v="AMOMPY"/>
    <s v="Momentum Capital Investment S.A."/>
    <s v="20/07/2026"/>
    <s v="20/07/2026"/>
    <n v="25"/>
    <s v="No"/>
    <s v=""/>
    <m/>
    <m/>
    <s v="*MIL071000032"/>
    <s v="*MIL071000032"/>
    <n v="1.142157235803828E-4"/>
  </r>
  <r>
    <x v="64"/>
    <s v="Pesos"/>
    <d v="2026-10-09T00:00:00"/>
    <s v="29/09/2026"/>
    <n v="0.99157839999999997"/>
    <m/>
    <n v="20000000"/>
    <n v="19831568"/>
    <n v="20000000"/>
    <n v="19831568"/>
    <n v="3870370"/>
    <s v="AMOMPY"/>
    <s v="Momentum Capital Investment S.A."/>
    <s v="31/08/2026"/>
    <s v="31/08/2026"/>
    <n v="31"/>
    <s v="No"/>
    <s v=""/>
    <m/>
    <m/>
    <s v="*MAV071001434"/>
    <s v="*MAV071001434"/>
    <n v="2.6365214555603783E-4"/>
  </r>
  <r>
    <x v="36"/>
    <s v="Pesos"/>
    <d v="2026-10-09T00:00:00"/>
    <s v="29/09/2026"/>
    <n v="0.99157850000000003"/>
    <m/>
    <n v="598500"/>
    <n v="593459.73"/>
    <n v="598500"/>
    <n v="593459.73"/>
    <n v="88196079"/>
    <s v="AMOMPY"/>
    <s v="Momentum Capital Investment S.A."/>
    <s v="23/09/2026"/>
    <s v="23/09/2026"/>
    <n v="31"/>
    <s v="No"/>
    <s v=""/>
    <m/>
    <m/>
    <s v="*MAV071001678"/>
    <s v="*MAV071001678"/>
    <n v="7.889791221531595E-6"/>
  </r>
  <r>
    <x v="57"/>
    <s v="Pesos"/>
    <d v="2026-10-09T00:00:00"/>
    <s v="29/09/2026"/>
    <n v="0.99184786999999996"/>
    <m/>
    <n v="2000000"/>
    <n v="1983695.74"/>
    <n v="2000000"/>
    <n v="1983695.74"/>
    <n v="9807"/>
    <s v="AMOMPY"/>
    <s v="Momentum Capital Investment S.A."/>
    <s v="04/08/2026"/>
    <s v="04/08/2026"/>
    <n v="30"/>
    <s v="No"/>
    <s v=""/>
    <m/>
    <m/>
    <s v="*MAV071001280"/>
    <s v="*MAV071001280"/>
    <n v="2.6372379530522858E-5"/>
  </r>
  <r>
    <x v="8"/>
    <s v="Pesos"/>
    <d v="2026-10-09T00:00:00"/>
    <s v="29/09/2026"/>
    <n v="0.99265705999999998"/>
    <m/>
    <n v="24500000"/>
    <n v="24320098.079999998"/>
    <n v="24500000"/>
    <n v="24320098.079999998"/>
    <n v="34219"/>
    <s v="AMOMPY"/>
    <s v="Momentum Capital Investment S.A."/>
    <s v="07/07/2026"/>
    <s v="07/07/2026"/>
    <n v="27"/>
    <s v="No"/>
    <s v=""/>
    <m/>
    <m/>
    <s v="*MIL071000031"/>
    <s v="*MIL071000031"/>
    <n v="3.2332521759879376E-4"/>
  </r>
  <r>
    <x v="134"/>
    <s v="Pesos"/>
    <d v="2026-10-09T00:00:00"/>
    <s v="29/09/2026"/>
    <n v="0.99130912000000004"/>
    <m/>
    <n v="40000000"/>
    <n v="39652364.609999999"/>
    <n v="40000000"/>
    <n v="39652364.609999999"/>
    <n v="10629809"/>
    <s v="AMOMPY"/>
    <s v="Momentum Capital Investment S.A."/>
    <s v="11/08/2026"/>
    <s v="11/08/2026"/>
    <n v="32"/>
    <s v="No"/>
    <s v=""/>
    <m/>
    <m/>
    <s v="*MAV071001327"/>
    <s v="*MAV071001327"/>
    <n v="5.27161090126449E-4"/>
  </r>
  <r>
    <x v="135"/>
    <s v="Pesos"/>
    <d v="2026-10-09T00:00:00"/>
    <s v="29/09/2026"/>
    <n v="0.99077090000000001"/>
    <m/>
    <n v="50000000"/>
    <n v="49538545.060000002"/>
    <n v="50000000"/>
    <n v="49538545.060000002"/>
    <n v="550"/>
    <s v="AMOMPY"/>
    <s v="Momentum Capital Investment S.A."/>
    <s v="28/07/2026"/>
    <s v="28/07/2026"/>
    <n v="34"/>
    <s v="No"/>
    <s v=""/>
    <m/>
    <m/>
    <s v="*MAV071001250"/>
    <s v="*MAV071001250"/>
    <n v="6.585935964717192E-4"/>
  </r>
  <r>
    <x v="136"/>
    <s v="Pesos"/>
    <d v="2026-10-09T00:00:00"/>
    <s v="29/09/2026"/>
    <n v="0.99103991999999996"/>
    <m/>
    <n v="85000000"/>
    <n v="84238392.890000001"/>
    <n v="85000000"/>
    <n v="84238392.890000001"/>
    <n v="68458909"/>
    <s v="AMOMPY"/>
    <s v="Momentum Capital Investment S.A."/>
    <s v="21/07/2026"/>
    <s v="21/07/2026"/>
    <n v="33"/>
    <s v="No"/>
    <s v=""/>
    <m/>
    <m/>
    <s v="*MAV071001239"/>
    <s v="*MAV071001239"/>
    <n v="1.1199131114413637E-3"/>
  </r>
  <r>
    <x v="50"/>
    <s v="Pesos"/>
    <d v="2026-10-09T00:00:00"/>
    <s v="29/09/2026"/>
    <n v="0.99184786999999996"/>
    <m/>
    <n v="100000000"/>
    <n v="99184786.709999993"/>
    <n v="100000000"/>
    <n v="99184786.709999993"/>
    <n v="90003981"/>
    <s v="AMOMPY"/>
    <s v="Momentum Capital Investment S.A."/>
    <s v="04/08/2026"/>
    <s v="04/08/2026"/>
    <n v="30"/>
    <s v="No"/>
    <s v=""/>
    <m/>
    <m/>
    <s v="*MAV071001282"/>
    <s v="*MAV071001282"/>
    <n v="1.3186189726707178E-3"/>
  </r>
  <r>
    <x v="26"/>
    <s v="Pesos"/>
    <d v="2026-10-09T00:00:00"/>
    <s v="29/09/2026"/>
    <n v="0.99130910999999999"/>
    <m/>
    <n v="17357571"/>
    <n v="17206718.219999999"/>
    <n v="17357571"/>
    <n v="17206718.219999999"/>
    <n v="90044753"/>
    <s v="AMOMPY"/>
    <s v="Momentum Capital Investment S.A."/>
    <s v="21/08/2026"/>
    <s v="21/08/2026"/>
    <n v="32"/>
    <s v="No"/>
    <s v=""/>
    <m/>
    <m/>
    <s v="*MAV071001378"/>
    <s v="*MAV071001378"/>
    <n v="2.2875589951743439E-4"/>
  </r>
  <r>
    <x v="27"/>
    <s v="Pesos"/>
    <d v="2026-10-09T00:00:00"/>
    <s v="29/09/2026"/>
    <n v="0.99238716999999999"/>
    <m/>
    <n v="2500000"/>
    <n v="2480967.9300000002"/>
    <n v="2500000"/>
    <n v="2480967.9300000002"/>
    <n v="90031813"/>
    <s v="AMOMPY"/>
    <s v="Momentum Capital Investment S.A."/>
    <s v="22/04/2026"/>
    <s v="22/04/2026"/>
    <n v="28"/>
    <s v="No"/>
    <s v=""/>
    <m/>
    <m/>
    <s v="*MOV071000055"/>
    <s v="*MOV071000055"/>
    <n v="3.298339888203605E-5"/>
  </r>
  <r>
    <x v="28"/>
    <s v="Pesos"/>
    <d v="2026-10-09T00:00:00"/>
    <s v="29/09/2026"/>
    <n v="0.99130914000000003"/>
    <m/>
    <n v="2000000"/>
    <n v="1982618.28"/>
    <n v="2000000"/>
    <n v="1982618.28"/>
    <n v="1082"/>
    <s v="AMOMPY"/>
    <s v="Momentum Capital Investment S.A."/>
    <s v="26/08/2026"/>
    <s v="26/08/2026"/>
    <n v="32"/>
    <s v="No"/>
    <s v=""/>
    <m/>
    <m/>
    <s v="*MAV071001411"/>
    <s v="*MAV071001411"/>
    <n v="2.6358055164403607E-5"/>
  </r>
  <r>
    <x v="76"/>
    <s v="Pesos"/>
    <d v="2026-10-09T00:00:00"/>
    <s v="29/09/2026"/>
    <n v="0.98969636000000005"/>
    <m/>
    <n v="20000000"/>
    <n v="19793927.109999999"/>
    <n v="20000000"/>
    <n v="19793927.109999999"/>
    <n v="70219570"/>
    <s v="AMOMPY"/>
    <s v="Momentum Capital Investment S.A."/>
    <s v="07/08/2026"/>
    <s v="07/08/2026"/>
    <n v="38"/>
    <s v="No"/>
    <s v=""/>
    <m/>
    <m/>
    <s v="*MAV071001303"/>
    <s v="*MAV071001303"/>
    <n v="2.6315172615354077E-4"/>
  </r>
  <r>
    <x v="137"/>
    <s v="Pesos"/>
    <d v="2026-10-13T00:00:00"/>
    <s v="29/09/2026"/>
    <n v="0.98787488999999995"/>
    <m/>
    <n v="115000000"/>
    <n v="113605611.92"/>
    <n v="115000000"/>
    <n v="113605611.92"/>
    <n v="84234761"/>
    <s v="AMOMPY"/>
    <s v="Momentum Capital Investment S.A."/>
    <s v="04/09/2026"/>
    <s v="04/09/2026"/>
    <n v="32"/>
    <s v="No"/>
    <s v=""/>
    <m/>
    <m/>
    <s v="*MAV081001398"/>
    <s v="*MAV081001398"/>
    <n v="1.5103376258455501E-3"/>
  </r>
  <r>
    <x v="28"/>
    <s v="Pesos"/>
    <d v="2026-10-13T00:00:00"/>
    <s v="29/09/2026"/>
    <n v="0.98787484999999997"/>
    <m/>
    <n v="4000000"/>
    <n v="3951499.42"/>
    <n v="4000000"/>
    <n v="3951499.42"/>
    <n v="1143"/>
    <s v="AMOMPY"/>
    <s v="Momentum Capital Investment S.A."/>
    <s v="03/09/2026"/>
    <s v="03/09/2026"/>
    <n v="32"/>
    <s v="No"/>
    <s v=""/>
    <m/>
    <m/>
    <s v="*MAV081001361"/>
    <s v="*MAV081001361"/>
    <n v="5.2533480975706962E-5"/>
  </r>
  <r>
    <x v="28"/>
    <s v="Pesos"/>
    <d v="2026-10-13T00:00:00"/>
    <s v="29/09/2026"/>
    <n v="0.98862413999999998"/>
    <m/>
    <n v="5000000"/>
    <n v="4943120.68"/>
    <n v="5000000"/>
    <n v="4943120.68"/>
    <n v="1202"/>
    <s v="AMOMPY"/>
    <s v="Momentum Capital Investment S.A."/>
    <s v="09/09/2026"/>
    <s v="09/09/2026"/>
    <n v="30"/>
    <s v="No"/>
    <s v=""/>
    <m/>
    <m/>
    <s v="*MAV081001461"/>
    <s v="*MAV081001461"/>
    <n v="6.5716658058728418E-5"/>
  </r>
  <r>
    <x v="28"/>
    <s v="Pesos"/>
    <d v="2026-10-13T00:00:00"/>
    <s v="29/09/2026"/>
    <n v="0.98862415999999997"/>
    <m/>
    <n v="4000000"/>
    <n v="3954496.64"/>
    <n v="4000000"/>
    <n v="3954496.64"/>
    <n v="1286"/>
    <s v="AMOMPY"/>
    <s v="Momentum Capital Investment S.A."/>
    <s v="23/09/2026"/>
    <s v="23/09/2026"/>
    <n v="30"/>
    <s v="No"/>
    <s v=""/>
    <m/>
    <m/>
    <s v="*MAV081001595"/>
    <s v="*MAV081001595"/>
    <n v="5.2573327723261343E-5"/>
  </r>
  <r>
    <x v="28"/>
    <s v="Pesos"/>
    <d v="2026-10-13T00:00:00"/>
    <s v="29/09/2026"/>
    <n v="0.98862406000000003"/>
    <m/>
    <n v="5000000"/>
    <n v="4943120.29"/>
    <n v="5000000"/>
    <n v="4943120.29"/>
    <n v="790"/>
    <s v="AMOMPY"/>
    <s v="Momentum Capital Investment S.A."/>
    <s v="14/07/2026"/>
    <s v="14/07/2026"/>
    <n v="30"/>
    <s v="No"/>
    <s v=""/>
    <m/>
    <m/>
    <s v="*MAV081001116"/>
    <s v="*MAV081001116"/>
    <n v="6.5716652873846584E-5"/>
  </r>
  <r>
    <x v="28"/>
    <s v="Pesos"/>
    <d v="2026-10-13T00:00:00"/>
    <s v="29/09/2026"/>
    <n v="0.98787491000000005"/>
    <m/>
    <n v="3000000"/>
    <n v="2963624.72"/>
    <n v="3000000"/>
    <n v="2963624.72"/>
    <n v="1038"/>
    <s v="AMOMPY"/>
    <s v="Momentum Capital Investment S.A."/>
    <s v="25/08/2026"/>
    <s v="25/08/2026"/>
    <n v="32"/>
    <s v="No"/>
    <s v=""/>
    <m/>
    <m/>
    <s v="*MAV081001298"/>
    <s v="*MAV081001298"/>
    <n v="3.9400112792438389E-5"/>
  </r>
  <r>
    <x v="138"/>
    <s v="Pesos"/>
    <d v="2026-10-13T00:00:00"/>
    <s v="29/09/2026"/>
    <n v="0.98862406999999997"/>
    <m/>
    <n v="2996311.46"/>
    <n v="2962225.62"/>
    <n v="2996311.46"/>
    <n v="2962225.62"/>
    <n v="70570605"/>
    <s v="AMOMPY"/>
    <s v="Momentum Capital Investment S.A."/>
    <s v="25/09/2026"/>
    <s v="25/09/2026"/>
    <n v="30"/>
    <s v="No"/>
    <s v=""/>
    <m/>
    <m/>
    <s v="*MAV081001620"/>
    <s v="*MAV081001620"/>
    <n v="3.9381512361204334E-5"/>
  </r>
  <r>
    <x v="139"/>
    <s v="Pesos"/>
    <d v="2026-10-13T00:00:00"/>
    <s v="29/09/2026"/>
    <n v="0.98862406999999997"/>
    <m/>
    <n v="2270000"/>
    <n v="2244176.63"/>
    <n v="2270000"/>
    <n v="2244176.63"/>
    <n v="10287264"/>
    <s v="AMOMPY"/>
    <s v="Momentum Capital Investment S.A."/>
    <s v="25/09/2026"/>
    <s v="25/09/2026"/>
    <n v="30"/>
    <s v="No"/>
    <s v=""/>
    <m/>
    <m/>
    <s v="*MAV081001619"/>
    <s v="*MAV081001619"/>
    <n v="2.9835360648548736E-5"/>
  </r>
  <r>
    <x v="2"/>
    <s v="Pesos"/>
    <d v="2026-10-13T00:00:00"/>
    <s v="29/09/2026"/>
    <n v="0.98787484999999997"/>
    <m/>
    <n v="15000000"/>
    <n v="14818122.82"/>
    <n v="15000000"/>
    <n v="14818122.82"/>
    <n v="13953460"/>
    <s v="AMOMPY"/>
    <s v="Momentum Capital Investment S.A."/>
    <s v="14/07/2026"/>
    <s v="14/07/2026"/>
    <n v="32"/>
    <s v="No"/>
    <s v=""/>
    <m/>
    <m/>
    <s v="*MAV081001114"/>
    <s v="*MAV081001114"/>
    <n v="1.9700055359242826E-4"/>
  </r>
  <r>
    <x v="2"/>
    <s v="Pesos"/>
    <d v="2026-10-13T00:00:00"/>
    <s v="29/09/2026"/>
    <n v="0.98787488999999995"/>
    <m/>
    <n v="40000000"/>
    <n v="39514995.420000002"/>
    <n v="40000000"/>
    <n v="39514995.420000002"/>
    <n v="13795907"/>
    <s v="AMOMPY"/>
    <s v="Momentum Capital Investment S.A."/>
    <s v="25/06/2026"/>
    <s v="25/06/2026"/>
    <n v="32"/>
    <s v="No"/>
    <s v=""/>
    <m/>
    <m/>
    <s v="*MAV081001065"/>
    <s v="*MAV081001065"/>
    <n v="5.2533482597644362E-4"/>
  </r>
  <r>
    <x v="35"/>
    <s v="Pesos"/>
    <d v="2026-10-13T00:00:00"/>
    <s v="29/09/2026"/>
    <n v="0.98637991000000003"/>
    <m/>
    <n v="1874176.47"/>
    <n v="1848650.02"/>
    <n v="1874176.47"/>
    <n v="1848650.02"/>
    <n v="3455"/>
    <s v="AMOMPY"/>
    <s v="Momentum Capital Investment S.A."/>
    <s v="08/09/2026"/>
    <s v="08/09/2026"/>
    <n v="36"/>
    <s v="No"/>
    <s v=""/>
    <m/>
    <m/>
    <s v="*MAV081001444"/>
    <s v="*MAV081001444"/>
    <n v="2.457700491233029E-5"/>
  </r>
  <r>
    <x v="140"/>
    <s v="Pesos"/>
    <d v="2026-10-13T00:00:00"/>
    <s v="29/09/2026"/>
    <n v="0.98824935999999997"/>
    <m/>
    <n v="20398741.449999999"/>
    <n v="20159043.170000002"/>
    <n v="20398741.449999999"/>
    <n v="20159043.170000002"/>
    <n v="69586082"/>
    <s v="AMOMPY"/>
    <s v="Momentum Capital Investment S.A."/>
    <s v="08/09/2026"/>
    <s v="08/09/2026"/>
    <n v="31"/>
    <s v="No"/>
    <s v=""/>
    <m/>
    <m/>
    <s v="*MAV081001443"/>
    <s v="*MAV081001443"/>
    <n v="2.6800578673997387E-4"/>
  </r>
  <r>
    <x v="109"/>
    <s v="Pesos"/>
    <d v="2026-10-13T00:00:00"/>
    <s v="29/09/2026"/>
    <n v="0.98787486000000002"/>
    <m/>
    <n v="14479899.68"/>
    <n v="14304328.9"/>
    <n v="14479899.68"/>
    <n v="14304328.9"/>
    <n v="9933005"/>
    <s v="AMOMPY"/>
    <s v="Momentum Capital Investment S.A."/>
    <s v="12/06/2026"/>
    <s v="12/06/2026"/>
    <n v="32"/>
    <s v="No"/>
    <s v=""/>
    <m/>
    <m/>
    <s v="*MAV081001044"/>
    <s v="*MAV081001044"/>
    <n v="1.9016988496442833E-4"/>
  </r>
  <r>
    <x v="8"/>
    <s v="Pesos"/>
    <d v="2026-10-13T00:00:00"/>
    <s v="29/09/2026"/>
    <n v="0.98975000999999996"/>
    <m/>
    <n v="15000000"/>
    <n v="14846250.17"/>
    <n v="15000000"/>
    <n v="14846250.17"/>
    <n v="11338650"/>
    <s v="AMOMPY"/>
    <s v="Momentum Capital Investment S.A."/>
    <s v="16/07/2026"/>
    <s v="16/07/2026"/>
    <n v="27"/>
    <s v="No"/>
    <s v=""/>
    <m/>
    <m/>
    <s v="*MIL081000034"/>
    <s v="*MIL081000034"/>
    <n v="1.9737449458268711E-4"/>
  </r>
  <r>
    <x v="141"/>
    <s v="Pesos"/>
    <d v="2026-10-13T00:00:00"/>
    <s v="29/09/2026"/>
    <n v="0.98824933000000004"/>
    <m/>
    <n v="48000000"/>
    <n v="47435967.899999999"/>
    <n v="48000000"/>
    <n v="47435967.899999999"/>
    <n v="89"/>
    <s v="AMOMPY"/>
    <s v="Momentum Capital Investment S.A."/>
    <s v="31/08/2026"/>
    <s v="31/08/2026"/>
    <n v="31"/>
    <s v="No"/>
    <s v=""/>
    <m/>
    <m/>
    <s v="*MAV081001336"/>
    <s v="*MAV081001336"/>
    <n v="6.3064073972175761E-4"/>
  </r>
  <r>
    <x v="81"/>
    <s v="Pesos"/>
    <d v="2026-10-13T00:00:00"/>
    <s v="29/09/2026"/>
    <n v="0.98824931000000005"/>
    <m/>
    <n v="5000000"/>
    <n v="4941246.57"/>
    <n v="5000000"/>
    <n v="4941246.57"/>
    <n v="69492660"/>
    <s v="AMOMPY"/>
    <s v="Momentum Capital Investment S.A."/>
    <s v="03/09/2026"/>
    <s v="03/09/2026"/>
    <n v="31"/>
    <s v="No"/>
    <s v=""/>
    <m/>
    <m/>
    <s v="*MAV081001392"/>
    <s v="*MAV081001392"/>
    <n v="6.5691742574359863E-5"/>
  </r>
  <r>
    <x v="39"/>
    <s v="Pesos"/>
    <d v="2026-10-13T00:00:00"/>
    <s v="29/09/2026"/>
    <n v="0.98899908000000003"/>
    <m/>
    <n v="8106418.25"/>
    <n v="8017240.1900000004"/>
    <n v="8106418.25"/>
    <n v="8017240.1900000004"/>
    <n v="90000803"/>
    <s v="AMOMPY"/>
    <s v="Momentum Capital Investment S.A."/>
    <s v="03/07/2026"/>
    <s v="03/07/2026"/>
    <n v="29"/>
    <s v="No"/>
    <s v=""/>
    <m/>
    <m/>
    <s v="*FED081000019"/>
    <s v="*FED081000019"/>
    <n v="1.0658575144091462E-4"/>
  </r>
  <r>
    <x v="129"/>
    <s v="Pesos"/>
    <d v="2026-10-13T00:00:00"/>
    <s v="29/09/2026"/>
    <n v="0.98787484999999997"/>
    <m/>
    <n v="7500000"/>
    <n v="7409061.4100000001"/>
    <n v="7500000"/>
    <n v="7409061.4100000001"/>
    <n v="67195476"/>
    <s v="AMOMPY"/>
    <s v="Momentum Capital Investment S.A."/>
    <s v="14/07/2026"/>
    <s v="14/07/2026"/>
    <n v="32"/>
    <s v="No"/>
    <s v=""/>
    <m/>
    <m/>
    <s v="*MAV081001113"/>
    <s v="*MAV081001113"/>
    <n v="9.8500276796214132E-5"/>
  </r>
  <r>
    <x v="142"/>
    <s v="Pesos"/>
    <d v="2026-10-13T00:00:00"/>
    <s v="29/09/2026"/>
    <n v="0.98750072"/>
    <m/>
    <n v="20000000"/>
    <n v="19750014.420000002"/>
    <n v="20000000"/>
    <n v="19750014.420000002"/>
    <n v="40663539"/>
    <s v="AMOMPY"/>
    <s v="Momentum Capital Investment S.A."/>
    <s v="31/07/2026"/>
    <s v="31/07/2026"/>
    <n v="33"/>
    <s v="No"/>
    <s v=""/>
    <m/>
    <m/>
    <s v="*MAV081001171"/>
    <s v="*MAV081001171"/>
    <n v="2.6256792587432752E-4"/>
  </r>
  <r>
    <x v="130"/>
    <s v="Pesos"/>
    <d v="2026-10-13T00:00:00"/>
    <s v="29/09/2026"/>
    <n v="0.98526157000000003"/>
    <m/>
    <n v="3750000"/>
    <n v="3694730.9"/>
    <n v="3750000"/>
    <n v="3694730.9"/>
    <n v="66920072"/>
    <s v="AMOMPY"/>
    <s v="Momentum Capital Investment S.A."/>
    <s v="13/05/2026"/>
    <s v="13/05/2026"/>
    <n v="39"/>
    <s v="No"/>
    <s v=""/>
    <m/>
    <m/>
    <s v="*MAV081001027"/>
    <s v="*MAV081001027"/>
    <n v="4.9119854216126052E-5"/>
  </r>
  <r>
    <x v="48"/>
    <s v="Pesos"/>
    <d v="2026-10-13T00:00:00"/>
    <s v="29/09/2026"/>
    <n v="0.98712683999999995"/>
    <m/>
    <n v="4300000"/>
    <n v="4244645.41"/>
    <n v="4300000"/>
    <n v="4244645.41"/>
    <n v="40768564"/>
    <s v="AMOMPY"/>
    <s v="Momentum Capital Investment S.A."/>
    <s v="28/07/2026"/>
    <s v="28/07/2026"/>
    <n v="34"/>
    <s v="No"/>
    <s v=""/>
    <m/>
    <m/>
    <s v="*MAV081001153"/>
    <s v="*MAV081001153"/>
    <n v="5.6430730513648128E-5"/>
  </r>
  <r>
    <x v="48"/>
    <s v="Pesos"/>
    <d v="2026-10-13T00:00:00"/>
    <s v="29/09/2026"/>
    <n v="0.98675318000000001"/>
    <m/>
    <n v="2250000"/>
    <n v="2220194.66"/>
    <n v="2250000"/>
    <n v="2220194.66"/>
    <n v="40768589"/>
    <s v="AMOMPY"/>
    <s v="Momentum Capital Investment S.A."/>
    <s v="05/08/2026"/>
    <s v="05/08/2026"/>
    <n v="35"/>
    <s v="No"/>
    <s v=""/>
    <m/>
    <m/>
    <s v="*MAV081001192"/>
    <s v="*MAV081001192"/>
    <n v="2.9516530697978994E-5"/>
  </r>
  <r>
    <x v="21"/>
    <s v="Pesos"/>
    <d v="2026-10-13T00:00:00"/>
    <s v="29/09/2026"/>
    <n v="0.98712681000000002"/>
    <m/>
    <n v="10000000"/>
    <n v="9871268.1300000008"/>
    <n v="10000000"/>
    <n v="9871268.1300000008"/>
    <n v="14284508"/>
    <s v="AMOMPY"/>
    <s v="Momentum Capital Investment S.A."/>
    <s v="24/08/2026"/>
    <s v="24/08/2026"/>
    <n v="34"/>
    <s v="No"/>
    <s v=""/>
    <m/>
    <m/>
    <s v="*MAV081001282"/>
    <s v="*MAV081001282"/>
    <n v="1.3123425348078566E-4"/>
  </r>
  <r>
    <x v="21"/>
    <s v="Pesos"/>
    <d v="2026-10-13T00:00:00"/>
    <s v="29/09/2026"/>
    <n v="0.9878749"/>
    <m/>
    <n v="10000000"/>
    <n v="9878749.0399999991"/>
    <n v="10000000"/>
    <n v="9878749.0399999991"/>
    <n v="14422564"/>
    <s v="AMOMPY"/>
    <s v="Momentum Capital Investment S.A."/>
    <s v="01/09/2026"/>
    <s v="01/09/2026"/>
    <n v="32"/>
    <s v="No"/>
    <s v=""/>
    <m/>
    <m/>
    <s v="*MAV081001342"/>
    <s v="*MAV081001342"/>
    <n v="1.3133370895360611E-4"/>
  </r>
  <r>
    <x v="28"/>
    <s v="Pesos"/>
    <d v="2026-10-13T00:00:00"/>
    <s v="29/09/2026"/>
    <n v="0.98787493000000004"/>
    <m/>
    <n v="2000000"/>
    <n v="1975749.86"/>
    <n v="2000000"/>
    <n v="1975749.86"/>
    <n v="1083"/>
    <s v="AMOMPY"/>
    <s v="Momentum Capital Investment S.A."/>
    <s v="26/08/2026"/>
    <s v="26/08/2026"/>
    <n v="32"/>
    <s v="No"/>
    <s v=""/>
    <m/>
    <m/>
    <s v="*MAV081001305"/>
    <s v="*MAV081001305"/>
    <n v="2.6266742482038805E-5"/>
  </r>
  <r>
    <x v="28"/>
    <s v="Pesos"/>
    <d v="2026-10-13T00:00:00"/>
    <s v="29/09/2026"/>
    <n v="0.98862410000000001"/>
    <m/>
    <n v="2500000"/>
    <n v="2471560.2400000002"/>
    <n v="2500000"/>
    <n v="2471560.2400000002"/>
    <n v="905"/>
    <s v="AMOMPY"/>
    <s v="Momentum Capital Investment S.A."/>
    <s v="07/08/2026"/>
    <s v="07/08/2026"/>
    <n v="30"/>
    <s v="No"/>
    <s v=""/>
    <m/>
    <m/>
    <s v="*MAV081001200"/>
    <s v="*MAV081001200"/>
    <n v="3.2858327699907326E-5"/>
  </r>
  <r>
    <x v="28"/>
    <s v="Pesos"/>
    <d v="2026-10-13T00:00:00"/>
    <s v="29/09/2026"/>
    <n v="0.98862406000000003"/>
    <m/>
    <n v="4000000"/>
    <n v="3954496.23"/>
    <n v="4000000"/>
    <n v="3954496.23"/>
    <n v="859"/>
    <s v="AMOMPY"/>
    <s v="Momentum Capital Investment S.A."/>
    <s v="05/08/2026"/>
    <s v="05/08/2026"/>
    <n v="30"/>
    <s v="No"/>
    <s v=""/>
    <m/>
    <m/>
    <s v="*MAV081001190"/>
    <s v="*MAV081001190"/>
    <n v="5.2573322272488121E-5"/>
  </r>
  <r>
    <x v="28"/>
    <s v="Pesos"/>
    <d v="2026-10-13T00:00:00"/>
    <s v="29/09/2026"/>
    <n v="0.98862408000000002"/>
    <m/>
    <n v="2500000"/>
    <n v="2471560.19"/>
    <n v="2500000"/>
    <n v="2471560.19"/>
    <n v="882"/>
    <s v="AMOMPY"/>
    <s v="Momentum Capital Investment S.A."/>
    <s v="06/08/2026"/>
    <s v="06/08/2026"/>
    <n v="30"/>
    <s v="No"/>
    <s v=""/>
    <m/>
    <m/>
    <s v="*MAV081001195"/>
    <s v="*MAV081001195"/>
    <n v="3.2858327035178882E-5"/>
  </r>
  <r>
    <x v="89"/>
    <s v="Pesos"/>
    <d v="2026-10-14T00:00:00"/>
    <s v="29/09/2026"/>
    <n v="0.99023335000000001"/>
    <m/>
    <n v="5000000"/>
    <n v="4951166.7300000004"/>
    <n v="5000000"/>
    <n v="4951166.7300000004"/>
    <n v="16831531"/>
    <s v="AMOMPY"/>
    <s v="Momentum Capital Investment S.A."/>
    <s v="21/07/2026"/>
    <s v="21/07/2026"/>
    <n v="24"/>
    <s v="No"/>
    <s v=""/>
    <m/>
    <m/>
    <s v="*INP091000050"/>
    <s v="*INP091000050"/>
    <n v="6.5823626824171029E-5"/>
  </r>
  <r>
    <x v="91"/>
    <s v="Dolar Link"/>
    <d v="2026-10-14T00:00:00"/>
    <s v="29/09/2026"/>
    <n v="0.99387333"/>
    <s v="1 BNA = 1544,9999783700 $"/>
    <n v="33187.68"/>
    <n v="32984.35"/>
    <n v="51274964.880000003"/>
    <n v="50960820.039999999"/>
    <n v="6359"/>
    <s v="AMOMPY"/>
    <s v="Momentum Capital Investment S.A."/>
    <s v="21/09/2026"/>
    <s v="21/09/2026"/>
    <n v="15"/>
    <s v="No"/>
    <s v=""/>
    <m/>
    <m/>
    <s v="%UZV121000001"/>
    <s v="%UZV121000001"/>
    <n v="6.7750212907225133E-4"/>
  </r>
  <r>
    <x v="28"/>
    <s v="Pesos"/>
    <d v="2026-10-14T00:00:00"/>
    <s v="29/09/2026"/>
    <n v="0.98702009000000002"/>
    <m/>
    <n v="10000000"/>
    <n v="9870200.9399999995"/>
    <n v="10000000"/>
    <n v="9870200.9399999995"/>
    <n v="1085"/>
    <s v="AMOMPY"/>
    <s v="Momentum Capital Investment S.A."/>
    <s v="27/08/2026"/>
    <s v="27/08/2026"/>
    <n v="32"/>
    <s v="No"/>
    <s v=""/>
    <m/>
    <m/>
    <s v="*MAV091001544"/>
    <s v="*MAV091001544"/>
    <n v="1.3122006564988815E-4"/>
  </r>
  <r>
    <x v="28"/>
    <s v="Pesos"/>
    <d v="2026-10-14T00:00:00"/>
    <s v="29/09/2026"/>
    <n v="0.98702003000000005"/>
    <m/>
    <n v="3000000"/>
    <n v="2961060.1"/>
    <n v="3000000"/>
    <n v="2961060.1"/>
    <n v="1039"/>
    <s v="AMOMPY"/>
    <s v="Momentum Capital Investment S.A."/>
    <s v="25/08/2026"/>
    <s v="25/08/2026"/>
    <n v="32"/>
    <s v="No"/>
    <s v=""/>
    <m/>
    <m/>
    <s v="*MAV091001512"/>
    <s v="*MAV091001512"/>
    <n v="3.9366017275354923E-5"/>
  </r>
  <r>
    <x v="77"/>
    <s v="Pesos"/>
    <d v="2026-10-14T00:00:00"/>
    <s v="29/09/2026"/>
    <n v="0.98662002000000004"/>
    <m/>
    <n v="1448241.66"/>
    <n v="1428864.21"/>
    <n v="1448241.66"/>
    <n v="1428864.21"/>
    <n v="18652221"/>
    <s v="AMOMPY"/>
    <s v="Momentum Capital Investment S.A."/>
    <s v="25/09/2026"/>
    <s v="25/09/2026"/>
    <n v="33"/>
    <s v="No"/>
    <s v=""/>
    <m/>
    <m/>
    <s v="*MAV091001993"/>
    <s v="*MAV091001993"/>
    <n v="1.8996133572228526E-5"/>
  </r>
  <r>
    <x v="143"/>
    <s v="Pesos"/>
    <d v="2026-10-14T00:00:00"/>
    <s v="29/09/2026"/>
    <n v="0.98702005999999998"/>
    <m/>
    <n v="3023662.75"/>
    <n v="2984415.78"/>
    <n v="3023662.75"/>
    <n v="2984415.78"/>
    <n v="2527"/>
    <s v="AMOMPY"/>
    <s v="Momentum Capital Investment S.A."/>
    <s v="14/07/2026"/>
    <s v="14/07/2026"/>
    <n v="32"/>
    <s v="No"/>
    <s v=""/>
    <m/>
    <m/>
    <s v="*MAV091001182"/>
    <s v="*MAV091001182"/>
    <n v="3.9676520970419288E-5"/>
  </r>
  <r>
    <x v="2"/>
    <s v="Pesos"/>
    <d v="2026-10-14T00:00:00"/>
    <s v="29/09/2026"/>
    <n v="0.98702005000000004"/>
    <m/>
    <n v="15000000"/>
    <n v="14805300.779999999"/>
    <n v="15000000"/>
    <n v="14805300.779999999"/>
    <n v="13953461"/>
    <s v="AMOMPY"/>
    <s v="Momentum Capital Investment S.A."/>
    <s v="14/07/2026"/>
    <s v="14/07/2026"/>
    <n v="32"/>
    <s v="No"/>
    <s v=""/>
    <m/>
    <m/>
    <s v="*MAV091001183"/>
    <s v="*MAV091001183"/>
    <n v="1.9683009009925387E-4"/>
  </r>
  <r>
    <x v="2"/>
    <s v="Pesos"/>
    <d v="2026-10-14T00:00:00"/>
    <s v="29/09/2026"/>
    <n v="0.98702003999999999"/>
    <m/>
    <n v="40000000"/>
    <n v="39480801.420000002"/>
    <n v="40000000"/>
    <n v="39480801.420000002"/>
    <n v="13795908"/>
    <s v="AMOMPY"/>
    <s v="Momentum Capital Investment S.A."/>
    <s v="25/06/2026"/>
    <s v="25/06/2026"/>
    <n v="32"/>
    <s v="No"/>
    <s v=""/>
    <m/>
    <m/>
    <s v="*MAV091001118"/>
    <s v="*MAV091001118"/>
    <n v="5.2488023149026167E-4"/>
  </r>
  <r>
    <x v="144"/>
    <s v="Dolar Link"/>
    <d v="2026-10-14T00:00:00"/>
    <s v="29/09/2026"/>
    <n v="0.99387380999999997"/>
    <s v="1 BNA = 1544,9999783700 $"/>
    <n v="6354.68"/>
    <n v="6315.75"/>
    <n v="9817980.4600000009"/>
    <n v="9757833.6099999994"/>
    <n v="72"/>
    <s v="AMOMPY"/>
    <s v="Momentum Capital Investment S.A."/>
    <s v="16/09/2026"/>
    <s v="16/09/2026"/>
    <n v="15"/>
    <s v="No"/>
    <s v=""/>
    <m/>
    <m/>
    <s v="%UON101000001"/>
    <s v="%UON101000001"/>
    <n v="1.2972619044824483E-4"/>
  </r>
  <r>
    <x v="4"/>
    <s v="Pesos"/>
    <d v="2026-10-14T00:00:00"/>
    <s v="29/09/2026"/>
    <n v="0.98742054999999995"/>
    <m/>
    <n v="388276.23"/>
    <n v="383391.93"/>
    <n v="388276.23"/>
    <n v="383391.93"/>
    <n v="5473"/>
    <s v="AMOMPY"/>
    <s v="Momentum Capital Investment S.A."/>
    <s v="08/09/2026"/>
    <s v="08/09/2026"/>
    <n v="31"/>
    <s v="No"/>
    <s v=""/>
    <m/>
    <m/>
    <s v="*MAV091001697"/>
    <s v="*MAV091001697"/>
    <n v="5.0970303978671912E-6"/>
  </r>
  <r>
    <x v="6"/>
    <s v="Pesos"/>
    <d v="2026-10-14T00:00:00"/>
    <s v="29/09/2026"/>
    <n v="0.98862404999999998"/>
    <m/>
    <n v="10950000"/>
    <n v="10825433.369999999"/>
    <n v="10950000"/>
    <n v="10825433.369999999"/>
    <n v="90000870"/>
    <s v="AMOMPY"/>
    <s v="Momentum Capital Investment S.A."/>
    <s v="13/08/2026"/>
    <s v="13/08/2026"/>
    <n v="28"/>
    <s v="No"/>
    <s v=""/>
    <m/>
    <m/>
    <s v="*PRO091000013"/>
    <s v="*PRO091000013"/>
    <n v="1.4391946892824755E-4"/>
  </r>
  <r>
    <x v="55"/>
    <s v="Pesos"/>
    <d v="2026-10-14T00:00:00"/>
    <s v="29/09/2026"/>
    <n v="0.98862410000000001"/>
    <m/>
    <n v="43906518.189999998"/>
    <n v="43407042.039999999"/>
    <n v="43906518.189999998"/>
    <n v="43407042.039999999"/>
    <n v="40292985"/>
    <s v="AMOMPY"/>
    <s v="Momentum Capital Investment S.A."/>
    <s v="12/08/2026"/>
    <s v="12/08/2026"/>
    <n v="28"/>
    <s v="No"/>
    <s v=""/>
    <m/>
    <m/>
    <s v="*MAV091001340"/>
    <s v="*MAV091001340"/>
    <n v="5.770779076110942E-4"/>
  </r>
  <r>
    <x v="55"/>
    <s v="Pesos"/>
    <d v="2026-10-14T00:00:00"/>
    <s v="29/09/2026"/>
    <n v="0.98862410000000001"/>
    <m/>
    <n v="42705929.289999999"/>
    <n v="42220110.920000002"/>
    <n v="42705929.289999999"/>
    <n v="42220110.920000002"/>
    <n v="40293026"/>
    <s v="AMOMPY"/>
    <s v="Momentum Capital Investment S.A."/>
    <s v="12/08/2026"/>
    <s v="12/08/2026"/>
    <n v="28"/>
    <s v="No"/>
    <s v=""/>
    <m/>
    <m/>
    <s v="*MAV091001341"/>
    <s v="*MAV091001341"/>
    <n v="5.6129817015335864E-4"/>
  </r>
  <r>
    <x v="55"/>
    <s v="Pesos"/>
    <d v="2026-10-14T00:00:00"/>
    <s v="29/09/2026"/>
    <n v="0.98862410000000001"/>
    <m/>
    <n v="43306223.729999997"/>
    <n v="42813576.469999999"/>
    <n v="43306223.729999997"/>
    <n v="42813576.469999999"/>
    <n v="40293006"/>
    <s v="AMOMPY"/>
    <s v="Momentum Capital Investment S.A."/>
    <s v="12/08/2026"/>
    <s v="12/08/2026"/>
    <n v="28"/>
    <s v="No"/>
    <s v=""/>
    <m/>
    <m/>
    <s v="*MAV091001342"/>
    <s v="*MAV091001342"/>
    <n v="5.6918803874928068E-4"/>
  </r>
  <r>
    <x v="109"/>
    <s v="Pesos"/>
    <d v="2026-10-14T00:00:00"/>
    <s v="29/09/2026"/>
    <n v="0.98702000999999995"/>
    <m/>
    <n v="14479899.68"/>
    <n v="14291950.74"/>
    <n v="14479899.68"/>
    <n v="14291950.74"/>
    <n v="9933004"/>
    <s v="AMOMPY"/>
    <s v="Momentum Capital Investment S.A."/>
    <s v="12/06/2026"/>
    <s v="12/06/2026"/>
    <n v="32"/>
    <s v="No"/>
    <s v=""/>
    <m/>
    <m/>
    <s v="*MAV091001103"/>
    <s v="*MAV091001103"/>
    <n v="1.9000532266446113E-4"/>
  </r>
  <r>
    <x v="8"/>
    <s v="Pesos"/>
    <d v="2026-10-14T00:00:00"/>
    <s v="29/09/2026"/>
    <n v="0.98983052999999999"/>
    <m/>
    <n v="50000000"/>
    <n v="49491526.369999997"/>
    <n v="50000000"/>
    <n v="49491526.369999997"/>
    <n v="14032588"/>
    <s v="AMOMPY"/>
    <s v="Momentum Capital Investment S.A."/>
    <s v="20/07/2026"/>
    <s v="20/07/2026"/>
    <n v="25"/>
    <s v="No"/>
    <s v=""/>
    <m/>
    <m/>
    <s v="*MIL091000034"/>
    <s v="*MIL091000034"/>
    <n v="6.5796850326175539E-4"/>
  </r>
  <r>
    <x v="8"/>
    <s v="Pesos"/>
    <d v="2026-10-14T00:00:00"/>
    <s v="29/09/2026"/>
    <n v="0.98983052999999999"/>
    <m/>
    <n v="8650000"/>
    <n v="8562034.0600000005"/>
    <n v="8650000"/>
    <n v="8562034.0600000005"/>
    <n v="34386"/>
    <s v="AMOMPY"/>
    <s v="Momentum Capital Investment S.A."/>
    <s v="20/07/2026"/>
    <s v="20/07/2026"/>
    <n v="25"/>
    <s v="No"/>
    <s v=""/>
    <m/>
    <m/>
    <s v="*MIL091000035"/>
    <s v="*MIL091000035"/>
    <n v="1.138285510375616E-4"/>
  </r>
  <r>
    <x v="8"/>
    <s v="Pesos"/>
    <d v="2026-10-14T00:00:00"/>
    <s v="29/09/2026"/>
    <n v="0.98782139999999996"/>
    <m/>
    <n v="5000000"/>
    <n v="4939107"/>
    <n v="5000000"/>
    <n v="4939107"/>
    <n v="8777"/>
    <s v="AMOMPY"/>
    <s v="Momentum Capital Investment S.A."/>
    <s v="14/08/2026"/>
    <s v="14/08/2026"/>
    <n v="30"/>
    <s v="No"/>
    <s v=""/>
    <m/>
    <m/>
    <s v="*MIL091000039"/>
    <s v="*MIL091000039"/>
    <n v="6.566329791375272E-5"/>
  </r>
  <r>
    <x v="145"/>
    <s v="Pesos"/>
    <d v="2026-10-14T00:00:00"/>
    <s v="29/09/2026"/>
    <n v="0.98702009000000002"/>
    <m/>
    <n v="18239769.260000002"/>
    <n v="18003018.699999999"/>
    <n v="18239769.260000002"/>
    <n v="18003018.699999999"/>
    <n v="3494369"/>
    <s v="AMOMPY"/>
    <s v="Momentum Capital Investment S.A."/>
    <s v="20/08/2026"/>
    <s v="20/08/2026"/>
    <n v="32"/>
    <s v="No"/>
    <s v=""/>
    <m/>
    <m/>
    <s v="*MAV091001460"/>
    <s v="*MAV091001460"/>
    <n v="2.3934237104905021E-4"/>
  </r>
  <r>
    <x v="141"/>
    <s v="Pesos"/>
    <d v="2026-10-14T00:00:00"/>
    <s v="29/09/2026"/>
    <n v="0.98742063000000002"/>
    <m/>
    <n v="40000000"/>
    <n v="39496825.210000001"/>
    <n v="40000000"/>
    <n v="39496825.210000001"/>
    <n v="88"/>
    <s v="AMOMPY"/>
    <s v="Momentum Capital Investment S.A."/>
    <s v="31/08/2026"/>
    <s v="31/08/2026"/>
    <n v="31"/>
    <s v="No"/>
    <s v=""/>
    <m/>
    <m/>
    <s v="*MAV091001586"/>
    <s v="*MAV091001586"/>
    <n v="5.2509326086915085E-4"/>
  </r>
  <r>
    <x v="146"/>
    <s v="Pesos"/>
    <d v="2026-10-14T00:00:00"/>
    <s v="29/09/2026"/>
    <n v="0.98742063999999996"/>
    <m/>
    <n v="6742842"/>
    <n v="6658021.3499999996"/>
    <n v="6742842"/>
    <n v="6658021.3499999996"/>
    <n v="182672"/>
    <s v="AMOMPY"/>
    <s v="Momentum Capital Investment S.A."/>
    <s v="07/09/2026"/>
    <s v="07/09/2026"/>
    <n v="31"/>
    <s v="No"/>
    <s v=""/>
    <m/>
    <m/>
    <s v="*MAV091001679"/>
    <s v="*MAV091001679"/>
    <n v="8.8515523033045452E-5"/>
  </r>
  <r>
    <x v="96"/>
    <s v="Pesos"/>
    <d v="2026-10-14T00:00:00"/>
    <s v="29/09/2026"/>
    <n v="0.98661986000000002"/>
    <m/>
    <n v="85000000"/>
    <n v="83862687.680000007"/>
    <n v="85000000"/>
    <n v="83862687.680000007"/>
    <n v="8444"/>
    <s v="AMOMPY"/>
    <s v="Momentum Capital Investment S.A."/>
    <s v="14/07/2026"/>
    <s v="14/07/2026"/>
    <n v="33"/>
    <s v="No"/>
    <s v=""/>
    <m/>
    <m/>
    <s v="*MAV091001184"/>
    <s v="*MAV091001184"/>
    <n v="1.1149182726715254E-3"/>
  </r>
  <r>
    <x v="147"/>
    <s v="Pesos"/>
    <d v="2026-10-14T00:00:00"/>
    <s v="29/09/2026"/>
    <n v="0.98782150999999996"/>
    <m/>
    <n v="537120"/>
    <n v="530578.68999999994"/>
    <n v="537120"/>
    <n v="530578.68999999994"/>
    <n v="726162"/>
    <s v="AMOMPY"/>
    <s v="Momentum Capital Investment S.A."/>
    <s v="11/09/2026"/>
    <s v="11/09/2026"/>
    <n v="30"/>
    <s v="No"/>
    <s v=""/>
    <m/>
    <m/>
    <s v="*MAV091001794"/>
    <s v="*MAV091001794"/>
    <n v="7.0538149078686993E-6"/>
  </r>
  <r>
    <x v="39"/>
    <s v="Pesos"/>
    <d v="2026-10-14T00:00:00"/>
    <s v="29/09/2026"/>
    <n v="0.98983051"/>
    <m/>
    <n v="40000000"/>
    <n v="39593220.369999997"/>
    <n v="40000000"/>
    <n v="39593220.369999997"/>
    <n v="67620341"/>
    <s v="AMOMPY"/>
    <s v="Momentum Capital Investment S.A."/>
    <s v="12/06/2026"/>
    <s v="12/06/2026"/>
    <n v="25"/>
    <s v="No"/>
    <s v=""/>
    <m/>
    <m/>
    <s v="*FED091000019"/>
    <s v="*FED091000019"/>
    <n v="5.2637479295754731E-4"/>
  </r>
  <r>
    <x v="148"/>
    <s v="Pesos"/>
    <d v="2026-10-14T00:00:00"/>
    <s v="29/09/2026"/>
    <n v="0.98621994999999996"/>
    <m/>
    <n v="5400000"/>
    <n v="5325587.75"/>
    <n v="5400000"/>
    <n v="5325587.75"/>
    <n v="162797"/>
    <s v="AMOMPY"/>
    <s v="Momentum Capital Investment S.A."/>
    <s v="28/08/2026"/>
    <s v="28/08/2026"/>
    <n v="34"/>
    <s v="No"/>
    <s v=""/>
    <m/>
    <m/>
    <s v="#MAV121060025"/>
    <s v="#MAV121060025"/>
    <n v="7.0801392841678067E-5"/>
  </r>
  <r>
    <x v="8"/>
    <s v="Pesos"/>
    <d v="2026-10-14T00:00:00"/>
    <s v="29/09/2026"/>
    <n v="0.98902590999999995"/>
    <m/>
    <n v="10000000"/>
    <n v="9890259.1099999994"/>
    <n v="10000000"/>
    <n v="9890259.1099999994"/>
    <n v="2010"/>
    <s v="AMOMPY"/>
    <s v="Momentum Capital Investment S.A."/>
    <s v="07/07/2026"/>
    <s v="07/07/2026"/>
    <n v="27"/>
    <s v="No"/>
    <s v=""/>
    <m/>
    <m/>
    <s v="*MIL091000033"/>
    <s v="*MIL091000033"/>
    <n v="1.3148673037132762E-4"/>
  </r>
  <r>
    <x v="149"/>
    <s v="Pesos"/>
    <d v="2026-10-14T00:00:00"/>
    <s v="29/09/2026"/>
    <n v="0.98661982999999998"/>
    <m/>
    <n v="47215422"/>
    <n v="46583671.530000001"/>
    <n v="47215422"/>
    <n v="46583671.530000001"/>
    <n v="396"/>
    <s v="AMOMPY"/>
    <s v="Momentum Capital Investment S.A."/>
    <s v="10/08/2026"/>
    <s v="10/08/2026"/>
    <n v="33"/>
    <s v="No"/>
    <s v=""/>
    <m/>
    <m/>
    <s v="*MAV091001328"/>
    <s v="*MAV091001328"/>
    <n v="6.1930982697698002E-4"/>
  </r>
  <r>
    <x v="84"/>
    <s v="Pesos"/>
    <d v="2026-10-14T00:00:00"/>
    <s v="29/09/2026"/>
    <n v="0.98702003999999999"/>
    <m/>
    <n v="6000000"/>
    <n v="5922120.2300000004"/>
    <n v="6000000"/>
    <n v="5922120.2300000004"/>
    <n v="90001653"/>
    <s v="AMOMPY"/>
    <s v="Momentum Capital Investment S.A."/>
    <s v="25/08/2026"/>
    <s v="25/08/2026"/>
    <n v="32"/>
    <s v="No"/>
    <s v=""/>
    <m/>
    <m/>
    <s v="*MAV091001514"/>
    <s v="*MAV091001514"/>
    <n v="7.873203494954691E-5"/>
  </r>
  <r>
    <x v="18"/>
    <s v="Pesos"/>
    <d v="2026-10-14T00:00:00"/>
    <s v="29/09/2026"/>
    <n v="0.98661980999999999"/>
    <m/>
    <n v="12500000"/>
    <n v="12332747.67"/>
    <n v="12500000"/>
    <n v="12332747.67"/>
    <n v="1363"/>
    <s v="AMOMPY"/>
    <s v="Momentum Capital Investment S.A."/>
    <s v="21/05/2026"/>
    <s v="21/05/2026"/>
    <n v="33"/>
    <s v="No"/>
    <s v=""/>
    <m/>
    <m/>
    <s v="*MAV091001085"/>
    <s v="*MAV091001085"/>
    <n v="1.6395856262080367E-4"/>
  </r>
  <r>
    <x v="60"/>
    <s v="Pesos"/>
    <d v="2026-10-14T00:00:00"/>
    <s v="29/09/2026"/>
    <n v="0.98582040999999998"/>
    <m/>
    <n v="250000000"/>
    <n v="246455101.69999999"/>
    <n v="250000000"/>
    <n v="246455101.69999999"/>
    <n v="70400475"/>
    <s v="AMOMPY"/>
    <s v="Momentum Capital Investment S.A."/>
    <s v="10/08/2026"/>
    <s v="10/08/2026"/>
    <n v="35"/>
    <s v="No"/>
    <s v=""/>
    <m/>
    <m/>
    <s v="*MAV091001327"/>
    <s v="*MAV091001327"/>
    <n v="3.2765143102369159E-3"/>
  </r>
  <r>
    <x v="150"/>
    <s v="Pesos"/>
    <d v="2026-10-14T00:00:00"/>
    <s v="29/09/2026"/>
    <n v="0.98661982000000004"/>
    <m/>
    <n v="650000000"/>
    <n v="641302883.72000003"/>
    <n v="650000000"/>
    <n v="641302883.72000003"/>
    <n v="152838"/>
    <s v="AMOMPY"/>
    <s v="Momentum Capital Investment S.A."/>
    <s v="09/06/2026"/>
    <s v="09/06/2026"/>
    <n v="33"/>
    <s v="No"/>
    <s v=""/>
    <m/>
    <m/>
    <s v="#MAV121060010"/>
    <s v="#MAV121060010"/>
    <n v="8.5258453211592873E-3"/>
  </r>
  <r>
    <x v="151"/>
    <s v="Pesos"/>
    <d v="2026-10-14T00:00:00"/>
    <s v="29/09/2026"/>
    <n v="0.98661982999999998"/>
    <m/>
    <n v="650000000"/>
    <n v="641302890.74000001"/>
    <n v="650000000"/>
    <n v="641302890.74000001"/>
    <n v="153163"/>
    <s v="AMOMPY"/>
    <s v="Momentum Capital Investment S.A."/>
    <s v="10/06/2026"/>
    <s v="10/06/2026"/>
    <n v="33"/>
    <s v="No"/>
    <s v=""/>
    <m/>
    <m/>
    <s v="#MAV131060021"/>
    <s v="#MAV131060021"/>
    <n v="8.5258454144871605E-3"/>
  </r>
  <r>
    <x v="61"/>
    <s v="Pesos"/>
    <d v="2026-10-14T00:00:00"/>
    <s v="29/09/2026"/>
    <n v="0.98661982000000004"/>
    <m/>
    <n v="800000000"/>
    <n v="789295856.88"/>
    <n v="800000000"/>
    <n v="789295856.88"/>
    <n v="152839"/>
    <s v="AMOMPY"/>
    <s v="Momentum Capital Investment S.A."/>
    <s v="09/06/2026"/>
    <s v="09/06/2026"/>
    <n v="33"/>
    <s v="No"/>
    <s v=""/>
    <m/>
    <m/>
    <s v="#MAV121060011"/>
    <s v="#MAV121060011"/>
    <n v="1.0493348087498848E-2"/>
  </r>
  <r>
    <x v="152"/>
    <s v="Pesos"/>
    <d v="2026-10-14T00:00:00"/>
    <s v="29/09/2026"/>
    <n v="0.98742059000000004"/>
    <m/>
    <n v="50000000"/>
    <n v="49371029.310000002"/>
    <n v="50000000"/>
    <n v="49371029.310000002"/>
    <n v="16836863"/>
    <s v="AMOMPY"/>
    <s v="Momentum Capital Investment S.A."/>
    <s v="09/09/2026"/>
    <s v="09/09/2026"/>
    <n v="31"/>
    <s v="No"/>
    <s v=""/>
    <m/>
    <m/>
    <s v="*MAV091001748"/>
    <s v="*MAV091001748"/>
    <n v="6.5636654680515077E-4"/>
  </r>
  <r>
    <x v="45"/>
    <s v="Pesos"/>
    <d v="2026-10-14T00:00:00"/>
    <s v="29/09/2026"/>
    <n v="0.98822255999999997"/>
    <m/>
    <n v="10000000"/>
    <n v="9882225.6199999992"/>
    <n v="10000000"/>
    <n v="9882225.6199999992"/>
    <n v="80620808"/>
    <s v="AMOMPY"/>
    <s v="Momentum Capital Investment S.A."/>
    <s v="01/07/2026"/>
    <s v="01/07/2026"/>
    <n v="29"/>
    <s v="No"/>
    <s v=""/>
    <m/>
    <m/>
    <s v="*NEU091000021"/>
    <s v="*NEU091000021"/>
    <n v="1.3137992858566937E-4"/>
  </r>
  <r>
    <x v="50"/>
    <s v="Pesos"/>
    <d v="2026-10-14T00:00:00"/>
    <s v="29/09/2026"/>
    <n v="0.98782139000000002"/>
    <m/>
    <n v="150000000"/>
    <n v="148173207.94999999"/>
    <n v="150000000"/>
    <n v="148173207.94999999"/>
    <n v="90003992"/>
    <s v="AMOMPY"/>
    <s v="Momentum Capital Investment S.A."/>
    <s v="06/08/2026"/>
    <s v="06/08/2026"/>
    <n v="30"/>
    <s v="No"/>
    <s v=""/>
    <m/>
    <m/>
    <s v="*MAV091001314"/>
    <s v="*MAV091001314"/>
    <n v="1.9698989101587152E-3"/>
  </r>
  <r>
    <x v="27"/>
    <s v="Pesos"/>
    <d v="2026-10-14T00:00:00"/>
    <s v="29/09/2026"/>
    <n v="0.98862404999999998"/>
    <m/>
    <n v="2500000"/>
    <n v="2471560.12"/>
    <n v="2500000"/>
    <n v="2471560.12"/>
    <n v="90031814"/>
    <s v="AMOMPY"/>
    <s v="Momentum Capital Investment S.A."/>
    <s v="22/04/2026"/>
    <s v="22/04/2026"/>
    <n v="28"/>
    <s v="No"/>
    <s v=""/>
    <m/>
    <m/>
    <s v="*MOV091000055"/>
    <s v="*MOV091000055"/>
    <n v="3.285832610455907E-5"/>
  </r>
  <r>
    <x v="27"/>
    <s v="Pesos"/>
    <d v="2026-10-14T00:00:00"/>
    <s v="29/09/2026"/>
    <n v="0.98862406999999997"/>
    <m/>
    <n v="25000000"/>
    <n v="24715601.75"/>
    <n v="25000000"/>
    <n v="24715601.75"/>
    <n v="360570"/>
    <s v="AMOMPY"/>
    <s v="Momentum Capital Investment S.A."/>
    <s v="21/04/2026"/>
    <s v="21/04/2026"/>
    <n v="28"/>
    <s v="No"/>
    <s v=""/>
    <m/>
    <m/>
    <s v="*MOV091000054"/>
    <s v="*MOV091000054"/>
    <n v="3.2858326835760352E-4"/>
  </r>
  <r>
    <x v="28"/>
    <s v="Pesos"/>
    <d v="2026-10-14T00:00:00"/>
    <s v="29/09/2026"/>
    <n v="0.98702005999999998"/>
    <m/>
    <n v="2000000"/>
    <n v="1974040.13"/>
    <n v="2000000"/>
    <n v="1974040.13"/>
    <n v="1070"/>
    <s v="AMOMPY"/>
    <s v="Momentum Capital Investment S.A."/>
    <s v="26/08/2026"/>
    <s v="26/08/2026"/>
    <n v="32"/>
    <s v="No"/>
    <s v=""/>
    <m/>
    <m/>
    <s v="*MAV091001523"/>
    <s v="*MAV091001523"/>
    <n v="2.6244012358892638E-5"/>
  </r>
  <r>
    <x v="28"/>
    <s v="Pesos"/>
    <d v="2026-10-14T00:00:00"/>
    <s v="29/09/2026"/>
    <n v="0.98782139000000002"/>
    <m/>
    <n v="2500000"/>
    <n v="2469553.4700000002"/>
    <n v="2500000"/>
    <n v="2469553.4700000002"/>
    <n v="156"/>
    <s v="AMOMPY"/>
    <s v="Momentum Capital Investment S.A."/>
    <s v="06/08/2026"/>
    <s v="06/08/2026"/>
    <n v="30"/>
    <s v="No"/>
    <s v=""/>
    <m/>
    <m/>
    <s v="*MAV091001307"/>
    <s v="*MAV091001307"/>
    <n v="3.2831648558039296E-5"/>
  </r>
  <r>
    <x v="76"/>
    <s v="Pesos"/>
    <d v="2026-10-14T00:00:00"/>
    <s v="29/09/2026"/>
    <n v="0.98462369999999999"/>
    <m/>
    <n v="42000000"/>
    <n v="41354195.450000003"/>
    <n v="42000000"/>
    <n v="41354195.450000003"/>
    <n v="160222"/>
    <s v="AMOMPY"/>
    <s v="Momentum Capital Investment S.A."/>
    <s v="10/08/2026"/>
    <s v="10/08/2026"/>
    <n v="38"/>
    <s v="No"/>
    <s v=""/>
    <m/>
    <m/>
    <s v="#MAV131060049"/>
    <s v="#MAV131060049"/>
    <n v="5.4978619734638416E-4"/>
  </r>
  <r>
    <x v="76"/>
    <s v="Pesos"/>
    <d v="2026-10-14T00:00:00"/>
    <s v="29/09/2026"/>
    <n v="0.98462371000000004"/>
    <m/>
    <n v="42000000"/>
    <n v="41354196.020000003"/>
    <n v="42000000"/>
    <n v="41354196.020000003"/>
    <n v="160220"/>
    <s v="AMOMPY"/>
    <s v="Momentum Capital Investment S.A."/>
    <s v="07/08/2026"/>
    <s v="07/08/2026"/>
    <n v="38"/>
    <s v="No"/>
    <s v=""/>
    <m/>
    <m/>
    <s v="#MAV131060046"/>
    <s v="#MAV131060046"/>
    <n v="5.4978620492428839E-4"/>
  </r>
  <r>
    <x v="76"/>
    <s v="Pesos"/>
    <d v="2026-10-14T00:00:00"/>
    <s v="29/09/2026"/>
    <n v="0.98462371000000004"/>
    <m/>
    <n v="42000000"/>
    <n v="41354196.020000003"/>
    <n v="42000000"/>
    <n v="41354196.020000003"/>
    <n v="160221"/>
    <s v="AMOMPY"/>
    <s v="Momentum Capital Investment S.A."/>
    <s v="07/08/2026"/>
    <s v="07/08/2026"/>
    <n v="38"/>
    <s v="No"/>
    <s v=""/>
    <m/>
    <m/>
    <s v="#MAV131060047"/>
    <s v="#MAV131060047"/>
    <n v="5.4978620492428839E-4"/>
  </r>
  <r>
    <x v="89"/>
    <s v="Pesos"/>
    <d v="2026-10-15T00:00:00"/>
    <s v="29/09/2026"/>
    <n v="0.98958900000000005"/>
    <m/>
    <n v="5000000"/>
    <n v="4947945.0199999996"/>
    <n v="5000000"/>
    <n v="4947945.0199999996"/>
    <n v="16831532"/>
    <s v="AMOMPY"/>
    <s v="Momentum Capital Investment S.A."/>
    <s v="21/07/2026"/>
    <s v="21/07/2026"/>
    <n v="24"/>
    <s v="No"/>
    <s v=""/>
    <m/>
    <m/>
    <s v="*INP121000043"/>
    <s v="*INP121000043"/>
    <n v="6.5780795578862565E-5"/>
  </r>
  <r>
    <x v="89"/>
    <s v="Pesos"/>
    <d v="2026-10-15T00:00:00"/>
    <s v="29/09/2026"/>
    <n v="0.98830282999999997"/>
    <m/>
    <n v="1600000"/>
    <n v="1581284.53"/>
    <n v="1600000"/>
    <n v="1581284.53"/>
    <n v="90000270"/>
    <s v="AMOMPY"/>
    <s v="Momentum Capital Investment S.A."/>
    <s v="27/07/2026"/>
    <s v="27/07/2026"/>
    <n v="27"/>
    <s v="No"/>
    <s v=""/>
    <m/>
    <m/>
    <s v="*INP131000059"/>
    <s v="*INP131000059"/>
    <n v="2.1022496005816124E-5"/>
  </r>
  <r>
    <x v="89"/>
    <s v="Pesos"/>
    <d v="2026-10-15T00:00:00"/>
    <s v="29/09/2026"/>
    <n v="0.98830282999999997"/>
    <m/>
    <n v="19000000"/>
    <n v="18777753.789999999"/>
    <n v="19000000"/>
    <n v="18777753.789999999"/>
    <n v="90000370"/>
    <s v="AMOMPY"/>
    <s v="Momentum Capital Investment S.A."/>
    <s v="27/07/2026"/>
    <s v="27/07/2026"/>
    <n v="27"/>
    <s v="No"/>
    <s v=""/>
    <m/>
    <m/>
    <s v="*INP131000060"/>
    <s v="*INP131000060"/>
    <n v="2.4964214001921183E-4"/>
  </r>
  <r>
    <x v="89"/>
    <s v="Pesos"/>
    <d v="2026-10-15T00:00:00"/>
    <s v="29/09/2026"/>
    <n v="0.98830282999999997"/>
    <m/>
    <n v="8100000"/>
    <n v="8005252.9199999999"/>
    <n v="8100000"/>
    <n v="8005252.9199999999"/>
    <n v="90000311"/>
    <s v="AMOMPY"/>
    <s v="Momentum Capital Investment S.A."/>
    <s v="27/07/2026"/>
    <s v="27/07/2026"/>
    <n v="27"/>
    <s v="No"/>
    <s v=""/>
    <m/>
    <m/>
    <s v="*INP131000056"/>
    <s v="*INP131000056"/>
    <n v="1.064263858549529E-4"/>
  </r>
  <r>
    <x v="89"/>
    <s v="Pesos"/>
    <d v="2026-10-15T00:00:00"/>
    <s v="29/09/2026"/>
    <n v="0.98830284000000002"/>
    <m/>
    <n v="2000000"/>
    <n v="1976605.69"/>
    <n v="2000000"/>
    <n v="1976605.69"/>
    <n v="90000265"/>
    <s v="AMOMPY"/>
    <s v="Momentum Capital Investment S.A."/>
    <s v="27/07/2026"/>
    <s v="27/07/2026"/>
    <n v="27"/>
    <s v="No"/>
    <s v=""/>
    <m/>
    <m/>
    <s v="*INP131000057"/>
    <s v="*INP131000057"/>
    <n v="2.6278120372870795E-5"/>
  </r>
  <r>
    <x v="89"/>
    <s v="Pesos"/>
    <d v="2026-10-15T00:00:00"/>
    <s v="29/09/2026"/>
    <n v="0.98830282999999997"/>
    <m/>
    <n v="13000000"/>
    <n v="12847936.82"/>
    <n v="13000000"/>
    <n v="12847936.82"/>
    <n v="90000237"/>
    <s v="AMOMPY"/>
    <s v="Momentum Capital Investment S.A."/>
    <s v="27/07/2026"/>
    <s v="27/07/2026"/>
    <n v="27"/>
    <s v="No"/>
    <s v=""/>
    <m/>
    <m/>
    <s v="*INP131000058"/>
    <s v="*INP131000058"/>
    <n v="1.7080778023005632E-4"/>
  </r>
  <r>
    <x v="89"/>
    <s v="Pesos"/>
    <d v="2026-10-15T00:00:00"/>
    <s v="29/09/2026"/>
    <n v="0.98830282999999997"/>
    <m/>
    <n v="15500000"/>
    <n v="15318693.880000001"/>
    <n v="15500000"/>
    <n v="15318693.880000001"/>
    <n v="90000349"/>
    <s v="AMOMPY"/>
    <s v="Momentum Capital Investment S.A."/>
    <s v="27/07/2026"/>
    <s v="27/07/2026"/>
    <n v="27"/>
    <s v="No"/>
    <s v=""/>
    <m/>
    <m/>
    <s v="*INP131000054"/>
    <s v="*INP131000054"/>
    <n v="2.0365542999817995E-4"/>
  </r>
  <r>
    <x v="89"/>
    <s v="Pesos"/>
    <d v="2026-10-15T00:00:00"/>
    <s v="29/09/2026"/>
    <n v="0.98830282999999997"/>
    <m/>
    <n v="16300000"/>
    <n v="16109336.15"/>
    <n v="16300000"/>
    <n v="16109336.15"/>
    <n v="90000274"/>
    <s v="AMOMPY"/>
    <s v="Momentum Capital Investment S.A."/>
    <s v="27/07/2026"/>
    <s v="27/07/2026"/>
    <n v="27"/>
    <s v="No"/>
    <s v=""/>
    <m/>
    <m/>
    <s v="*INP131000055"/>
    <s v="*INP131000055"/>
    <n v="2.1416667806756085E-4"/>
  </r>
  <r>
    <x v="89"/>
    <s v="Pesos"/>
    <d v="2026-10-15T00:00:00"/>
    <s v="29/09/2026"/>
    <n v="0.98830282999999997"/>
    <m/>
    <n v="23800000"/>
    <n v="23521607.379999999"/>
    <n v="23800000"/>
    <n v="23521607.379999999"/>
    <n v="90000318"/>
    <s v="AMOMPY"/>
    <s v="Momentum Capital Investment S.A."/>
    <s v="27/07/2026"/>
    <s v="27/07/2026"/>
    <n v="27"/>
    <s v="No"/>
    <s v=""/>
    <m/>
    <m/>
    <s v="*INP131000052"/>
    <s v="*INP131000052"/>
    <n v="3.1270962803666016E-4"/>
  </r>
  <r>
    <x v="89"/>
    <s v="Pesos"/>
    <d v="2026-10-15T00:00:00"/>
    <s v="29/09/2026"/>
    <n v="0.98830282999999997"/>
    <m/>
    <n v="20000000"/>
    <n v="19766056.620000001"/>
    <n v="20000000"/>
    <n v="19766056.620000001"/>
    <n v="90016593"/>
    <s v="AMOMPY"/>
    <s v="Momentum Capital Investment S.A."/>
    <s v="27/07/2026"/>
    <s v="27/07/2026"/>
    <n v="27"/>
    <s v="No"/>
    <s v=""/>
    <m/>
    <m/>
    <s v="*INP131000051"/>
    <s v="*INP131000051"/>
    <n v="2.6278120000622872E-4"/>
  </r>
  <r>
    <x v="89"/>
    <s v="Pesos"/>
    <d v="2026-10-15T00:00:00"/>
    <s v="29/09/2026"/>
    <n v="0.98830282999999997"/>
    <m/>
    <n v="12500000"/>
    <n v="12353785.41"/>
    <n v="12500000"/>
    <n v="12353785.41"/>
    <n v="90000341"/>
    <s v="AMOMPY"/>
    <s v="Momentum Capital Investment S.A."/>
    <s v="27/07/2026"/>
    <s v="27/07/2026"/>
    <n v="27"/>
    <s v="No"/>
    <s v=""/>
    <m/>
    <m/>
    <s v="*INP131000053"/>
    <s v="*INP131000053"/>
    <n v="1.6423825030302072E-4"/>
  </r>
  <r>
    <x v="89"/>
    <s v="Pesos"/>
    <d v="2026-10-15T00:00:00"/>
    <s v="29/09/2026"/>
    <n v="0.98830282999999997"/>
    <m/>
    <n v="11500000"/>
    <n v="11365482.550000001"/>
    <n v="11500000"/>
    <n v="11365482.550000001"/>
    <n v="90000406"/>
    <s v="AMOMPY"/>
    <s v="Momentum Capital Investment S.A."/>
    <s v="27/07/2026"/>
    <s v="27/07/2026"/>
    <n v="27"/>
    <s v="No"/>
    <s v=""/>
    <m/>
    <m/>
    <s v="*INP131000049"/>
    <s v="*INP131000049"/>
    <n v="1.5109918991716682E-4"/>
  </r>
  <r>
    <x v="89"/>
    <s v="Pesos"/>
    <d v="2026-10-15T00:00:00"/>
    <s v="29/09/2026"/>
    <n v="0.98830282999999997"/>
    <m/>
    <n v="29000000"/>
    <n v="28660782.100000001"/>
    <n v="29000000"/>
    <n v="28660782.100000001"/>
    <n v="90000424"/>
    <s v="AMOMPY"/>
    <s v="Momentum Capital Investment S.A."/>
    <s v="27/07/2026"/>
    <s v="27/07/2026"/>
    <n v="27"/>
    <s v="No"/>
    <s v=""/>
    <m/>
    <m/>
    <s v="*INP131000046"/>
    <s v="*INP131000046"/>
    <n v="3.8103274002232619E-4"/>
  </r>
  <r>
    <x v="89"/>
    <s v="Pesos"/>
    <d v="2026-10-15T00:00:00"/>
    <s v="29/09/2026"/>
    <n v="0.98830282999999997"/>
    <m/>
    <n v="10795000"/>
    <n v="10668729.050000001"/>
    <n v="10795000"/>
    <n v="10668729.050000001"/>
    <n v="90000315"/>
    <s v="AMOMPY"/>
    <s v="Momentum Capital Investment S.A."/>
    <s v="27/07/2026"/>
    <s v="27/07/2026"/>
    <n v="27"/>
    <s v="No"/>
    <s v=""/>
    <m/>
    <m/>
    <s v="*INP131000050"/>
    <s v="*INP131000050"/>
    <n v="1.4183615256184125E-4"/>
  </r>
  <r>
    <x v="89"/>
    <s v="Pesos"/>
    <d v="2026-10-15T00:00:00"/>
    <s v="29/09/2026"/>
    <n v="0.98830282999999997"/>
    <m/>
    <n v="20000000"/>
    <n v="19766056.620000001"/>
    <n v="20000000"/>
    <n v="19766056.620000001"/>
    <n v="90000348"/>
    <s v="AMOMPY"/>
    <s v="Momentum Capital Investment S.A."/>
    <s v="27/07/2026"/>
    <s v="27/07/2026"/>
    <n v="27"/>
    <s v="No"/>
    <s v=""/>
    <m/>
    <m/>
    <s v="*INP131000045"/>
    <s v="*INP131000045"/>
    <n v="2.6278120000622872E-4"/>
  </r>
  <r>
    <x v="89"/>
    <s v="Pesos"/>
    <d v="2026-10-15T00:00:00"/>
    <s v="29/09/2026"/>
    <n v="0.98702005000000004"/>
    <m/>
    <n v="2000000"/>
    <n v="1974040.1"/>
    <n v="2000000"/>
    <n v="1974040.1"/>
    <n v="13442185"/>
    <s v="AMOMPY"/>
    <s v="Momentum Capital Investment S.A."/>
    <s v="29/05/2026"/>
    <s v="29/05/2026"/>
    <n v="30"/>
    <s v="No"/>
    <s v=""/>
    <m/>
    <m/>
    <s v="*INP121000042"/>
    <s v="*INP121000042"/>
    <n v="2.6244011960055577E-5"/>
  </r>
  <r>
    <x v="28"/>
    <s v="Pesos"/>
    <d v="2026-10-15T00:00:00"/>
    <s v="29/09/2026"/>
    <n v="0.98702011000000001"/>
    <m/>
    <n v="5000000"/>
    <n v="4935100.53"/>
    <n v="5000000"/>
    <n v="4935100.53"/>
    <n v="1217"/>
    <s v="AMOMPY"/>
    <s v="Momentum Capital Investment S.A."/>
    <s v="11/09/2026"/>
    <s v="11/09/2026"/>
    <n v="30"/>
    <s v="No"/>
    <s v=""/>
    <m/>
    <m/>
    <s v="*MAV131002046"/>
    <s v="*MAV131002046"/>
    <n v="6.5610033622618216E-5"/>
  </r>
  <r>
    <x v="28"/>
    <s v="Pesos"/>
    <d v="2026-10-15T00:00:00"/>
    <s v="29/09/2026"/>
    <n v="0.98702011999999995"/>
    <m/>
    <n v="5000000"/>
    <n v="4935100.59"/>
    <n v="5000000"/>
    <n v="4935100.59"/>
    <n v="1197"/>
    <s v="AMOMPY"/>
    <s v="Momentum Capital Investment S.A."/>
    <s v="08/09/2026"/>
    <s v="08/09/2026"/>
    <n v="30"/>
    <s v="No"/>
    <s v=""/>
    <m/>
    <m/>
    <s v="*MAV131001995"/>
    <s v="*MAV131001995"/>
    <n v="6.5610034420292331E-5"/>
  </r>
  <r>
    <x v="153"/>
    <s v="Pesos"/>
    <d v="2026-10-15T00:00:00"/>
    <s v="29/09/2026"/>
    <n v="0.98702007000000003"/>
    <m/>
    <n v="20865247.91"/>
    <n v="20594418.370000001"/>
    <n v="20865247.91"/>
    <n v="20594418.370000001"/>
    <n v="69908189"/>
    <s v="AMOMPY"/>
    <s v="Momentum Capital Investment S.A."/>
    <s v="24/09/2026"/>
    <s v="24/09/2026"/>
    <n v="30"/>
    <s v="No"/>
    <s v=""/>
    <m/>
    <m/>
    <s v="*MAV101001927"/>
    <s v="*MAV101001927"/>
    <n v="2.7379391229827006E-4"/>
  </r>
  <r>
    <x v="154"/>
    <s v="Pesos"/>
    <d v="2026-10-15T00:00:00"/>
    <s v="29/09/2026"/>
    <n v="0.98702013"/>
    <m/>
    <n v="814027.5"/>
    <n v="803461.53"/>
    <n v="814027.5"/>
    <n v="803461.53"/>
    <n v="10837297"/>
    <s v="AMOMPY"/>
    <s v="Momentum Capital Investment S.A."/>
    <s v="25/09/2026"/>
    <s v="25/09/2026"/>
    <n v="30"/>
    <s v="No"/>
    <s v=""/>
    <m/>
    <m/>
    <s v="*MAV121001237"/>
    <s v="*MAV121001237"/>
    <n v="1.0681674603653975E-5"/>
  </r>
  <r>
    <x v="92"/>
    <s v="Pesos"/>
    <d v="2026-10-15T00:00:00"/>
    <s v="29/09/2026"/>
    <n v="0.98574055000000005"/>
    <m/>
    <n v="24760170.170000002"/>
    <n v="24407103.879999999"/>
    <n v="24760170.170000002"/>
    <n v="24407103.879999999"/>
    <n v="634087"/>
    <s v="AMOMPY"/>
    <s v="Momentum Capital Investment S.A."/>
    <s v="19/08/2026"/>
    <s v="19/08/2026"/>
    <n v="33"/>
    <s v="No"/>
    <s v=""/>
    <m/>
    <m/>
    <s v="*MAV131001756"/>
    <s v="*MAV131001756"/>
    <n v="3.2448192219450799E-4"/>
  </r>
  <r>
    <x v="92"/>
    <s v="Pesos"/>
    <d v="2026-10-15T00:00:00"/>
    <s v="29/09/2026"/>
    <n v="0.98787491000000005"/>
    <m/>
    <n v="5138761.4000000004"/>
    <n v="5076453.47"/>
    <n v="5138761.4000000004"/>
    <n v="5076453.47"/>
    <n v="646844"/>
    <s v="AMOMPY"/>
    <s v="Momentum Capital Investment S.A."/>
    <s v="10/08/2026"/>
    <s v="10/08/2026"/>
    <n v="28"/>
    <s v="No"/>
    <s v=""/>
    <m/>
    <m/>
    <s v="*MAV131001660"/>
    <s v="*MAV131001660"/>
    <n v="6.7489260011154592E-5"/>
  </r>
  <r>
    <x v="92"/>
    <s v="Pesos"/>
    <d v="2026-10-15T00:00:00"/>
    <s v="29/09/2026"/>
    <n v="0.98787491000000005"/>
    <m/>
    <n v="19156984.969999999"/>
    <n v="18924704.84"/>
    <n v="19156984.969999999"/>
    <n v="18924704.84"/>
    <n v="639279"/>
    <s v="AMOMPY"/>
    <s v="Momentum Capital Investment S.A."/>
    <s v="10/08/2026"/>
    <s v="10/08/2026"/>
    <n v="28"/>
    <s v="No"/>
    <s v=""/>
    <m/>
    <m/>
    <s v="*MAV131001662"/>
    <s v="*MAV131001662"/>
    <n v="2.5159579086639713E-4"/>
  </r>
  <r>
    <x v="92"/>
    <s v="Pesos"/>
    <d v="2026-10-15T00:00:00"/>
    <s v="29/09/2026"/>
    <n v="0.98787491000000005"/>
    <m/>
    <n v="51998969.399999999"/>
    <n v="51368477.310000002"/>
    <n v="51998969.399999999"/>
    <n v="51368477.310000002"/>
    <n v="639780"/>
    <s v="AMOMPY"/>
    <s v="Momentum Capital Investment S.A."/>
    <s v="10/08/2026"/>
    <s v="10/08/2026"/>
    <n v="28"/>
    <s v="No"/>
    <s v=""/>
    <m/>
    <m/>
    <s v="*MAV131001661"/>
    <s v="*MAV131001661"/>
    <n v="6.8292175670265438E-4"/>
  </r>
  <r>
    <x v="155"/>
    <s v="Pesos"/>
    <d v="2026-10-15T00:00:00"/>
    <s v="29/09/2026"/>
    <n v="0.98702005000000004"/>
    <m/>
    <n v="50000000"/>
    <n v="49351002.420000002"/>
    <n v="50000000"/>
    <n v="49351002.420000002"/>
    <n v="68018"/>
    <s v="AMOMPY"/>
    <s v="Momentum Capital Investment S.A."/>
    <s v="29/07/2026"/>
    <s v="29/07/2026"/>
    <n v="30"/>
    <s v="No"/>
    <s v=""/>
    <m/>
    <m/>
    <s v="*MAV131001547"/>
    <s v="*MAV131001547"/>
    <n v="6.5610029793782389E-4"/>
  </r>
  <r>
    <x v="156"/>
    <s v="Pesos"/>
    <d v="2026-10-15T00:00:00"/>
    <s v="29/09/2026"/>
    <n v="0.98702011000000001"/>
    <m/>
    <n v="5700000"/>
    <n v="5626014.5999999996"/>
    <n v="5700000"/>
    <n v="5626014.5999999996"/>
    <n v="695"/>
    <s v="AMOMPY"/>
    <s v="Momentum Capital Investment S.A."/>
    <s v="11/09/2026"/>
    <s v="11/09/2026"/>
    <n v="30"/>
    <s v="No"/>
    <s v=""/>
    <m/>
    <m/>
    <s v="*MAV101001773"/>
    <s v="*MAV101001773"/>
    <n v="7.4795438273947561E-5"/>
  </r>
  <r>
    <x v="157"/>
    <s v="Pesos"/>
    <d v="2026-10-15T00:00:00"/>
    <s v="29/09/2026"/>
    <n v="0.98574066000000005"/>
    <m/>
    <n v="500000"/>
    <n v="492870.33"/>
    <n v="500000"/>
    <n v="492870.33"/>
    <n v="272"/>
    <s v="AMOMPY"/>
    <s v="Momentum Capital Investment S.A."/>
    <s v="15/09/2026"/>
    <s v="15/09/2026"/>
    <n v="33"/>
    <s v="No"/>
    <s v=""/>
    <m/>
    <m/>
    <s v="*MAV101001813"/>
    <s v="*MAV101001813"/>
    <n v="6.5524985208135024E-6"/>
  </r>
  <r>
    <x v="158"/>
    <s v="Pesos"/>
    <d v="2026-10-15T00:00:00"/>
    <s v="29/09/2026"/>
    <n v="0.98574066999999999"/>
    <m/>
    <n v="914507"/>
    <n v="901466.74"/>
    <n v="914507"/>
    <n v="901466.74"/>
    <n v="47800044"/>
    <s v="AMOMPY"/>
    <s v="Momentum Capital Investment S.A."/>
    <s v="15/09/2026"/>
    <s v="15/09/2026"/>
    <n v="33"/>
    <s v="No"/>
    <s v=""/>
    <m/>
    <m/>
    <s v="*MAV101001812"/>
    <s v="*MAV101001812"/>
    <n v="1.1984611612576822E-5"/>
  </r>
  <r>
    <x v="159"/>
    <s v="Pesos"/>
    <d v="2026-10-15T00:00:00"/>
    <s v="29/09/2026"/>
    <n v="0.98616676999999997"/>
    <m/>
    <n v="1869225"/>
    <n v="1843367.59"/>
    <n v="1869225"/>
    <n v="1843367.59"/>
    <n v="4"/>
    <s v="AMOMPY"/>
    <s v="Momentum Capital Investment S.A."/>
    <s v="15/09/2026"/>
    <s v="15/09/2026"/>
    <n v="32"/>
    <s v="No"/>
    <s v=""/>
    <m/>
    <m/>
    <s v="*MAV121001166"/>
    <s v="*MAV121001166"/>
    <n v="2.4506777283166043E-5"/>
  </r>
  <r>
    <x v="160"/>
    <s v="Pesos"/>
    <d v="2026-10-15T00:00:00"/>
    <s v="29/09/2026"/>
    <n v="0.98616678000000002"/>
    <m/>
    <n v="8123170.71"/>
    <n v="8010801.0800000001"/>
    <n v="8123170.71"/>
    <n v="8010801.0800000001"/>
    <n v="11243"/>
    <s v="AMOMPY"/>
    <s v="Momentum Capital Investment S.A."/>
    <s v="15/09/2026"/>
    <s v="15/09/2026"/>
    <n v="32"/>
    <s v="No"/>
    <s v=""/>
    <m/>
    <m/>
    <s v="*MAV111001075"/>
    <s v="*MAV111001075"/>
    <n v="1.0650014624988932E-4"/>
  </r>
  <r>
    <x v="161"/>
    <s v="Pesos"/>
    <d v="2026-10-15T00:00:00"/>
    <s v="29/09/2026"/>
    <n v="0.98616678999999996"/>
    <m/>
    <n v="1129854.56"/>
    <n v="1114225.04"/>
    <n v="1129854.56"/>
    <n v="1114225.04"/>
    <n v="1024"/>
    <s v="AMOMPY"/>
    <s v="Momentum Capital Investment S.A."/>
    <s v="15/09/2026"/>
    <s v="15/09/2026"/>
    <n v="32"/>
    <s v="No"/>
    <s v=""/>
    <m/>
    <m/>
    <s v="*MAV111001073"/>
    <s v="*MAV111001073"/>
    <n v="1.4813141473647574E-5"/>
  </r>
  <r>
    <x v="162"/>
    <s v="Pesos"/>
    <d v="2026-10-15T00:00:00"/>
    <s v="29/09/2026"/>
    <n v="0.98616665999999997"/>
    <m/>
    <n v="37348528.700000003"/>
    <n v="36831873.729999997"/>
    <n v="37348528.700000003"/>
    <n v="36831873.729999997"/>
    <n v="260"/>
    <s v="AMOMPY"/>
    <s v="Momentum Capital Investment S.A."/>
    <s v="16/09/2026"/>
    <s v="16/09/2026"/>
    <n v="32"/>
    <s v="No"/>
    <s v=""/>
    <m/>
    <m/>
    <s v="*MAV101001819"/>
    <s v="*MAV101001819"/>
    <n v="4.8966388002015591E-4"/>
  </r>
  <r>
    <x v="6"/>
    <s v="Pesos"/>
    <d v="2026-10-15T00:00:00"/>
    <s v="29/09/2026"/>
    <n v="0.98915995000000001"/>
    <m/>
    <n v="624882.48"/>
    <n v="618108.72"/>
    <n v="624882.48"/>
    <n v="618108.72"/>
    <n v="1150214"/>
    <s v="AMOMPY"/>
    <s v="Momentum Capital Investment S.A."/>
    <s v="24/09/2026"/>
    <s v="24/09/2026"/>
    <n v="25"/>
    <s v="No"/>
    <s v=""/>
    <m/>
    <m/>
    <s v="*PRO101000025"/>
    <s v="*PRO101000025"/>
    <n v="8.2174889153946989E-6"/>
  </r>
  <r>
    <x v="6"/>
    <s v="Pesos"/>
    <d v="2026-10-15T00:00:00"/>
    <s v="29/09/2026"/>
    <n v="0.98915993000000002"/>
    <m/>
    <n v="612376.29"/>
    <n v="605738.09"/>
    <n v="612376.29"/>
    <n v="605738.09"/>
    <n v="1981222"/>
    <s v="AMOMPY"/>
    <s v="Momentum Capital Investment S.A."/>
    <s v="24/09/2026"/>
    <s v="24/09/2026"/>
    <n v="25"/>
    <s v="No"/>
    <s v=""/>
    <m/>
    <m/>
    <s v="*PRO101000024"/>
    <s v="*PRO101000024"/>
    <n v="8.053026723530702E-6"/>
  </r>
  <r>
    <x v="109"/>
    <s v="Pesos"/>
    <d v="2026-10-15T00:00:00"/>
    <s v="29/09/2026"/>
    <n v="0.98616667999999996"/>
    <m/>
    <n v="14479899.68"/>
    <n v="14279594.57"/>
    <n v="14479899.68"/>
    <n v="14279594.57"/>
    <n v="9933003"/>
    <s v="AMOMPY"/>
    <s v="Momentum Capital Investment S.A."/>
    <s v="12/06/2026"/>
    <s v="12/06/2026"/>
    <n v="32"/>
    <s v="No"/>
    <s v=""/>
    <m/>
    <m/>
    <s v="*MAV131001308"/>
    <s v="*MAV131001308"/>
    <n v="1.8984105271206225E-4"/>
  </r>
  <r>
    <x v="163"/>
    <s v="Pesos"/>
    <d v="2026-10-15T00:00:00"/>
    <s v="29/09/2026"/>
    <n v="0.98531477999999995"/>
    <m/>
    <n v="20000000"/>
    <n v="19706295.620000001"/>
    <n v="20000000"/>
    <n v="19706295.620000001"/>
    <n v="4403"/>
    <s v="AMOMPY"/>
    <s v="Momentum Capital Investment S.A."/>
    <s v="17/07/2026"/>
    <s v="17/07/2026"/>
    <n v="34"/>
    <s v="No"/>
    <s v=""/>
    <m/>
    <m/>
    <s v="*MAV121000944"/>
    <s v="*MAV121000944"/>
    <n v="2.619867032790625E-4"/>
  </r>
  <r>
    <x v="8"/>
    <s v="Pesos"/>
    <d v="2026-10-15T00:00:00"/>
    <s v="29/09/2026"/>
    <n v="0.98830282999999997"/>
    <m/>
    <n v="15000000"/>
    <n v="14824542.449999999"/>
    <n v="15000000"/>
    <n v="14824542.449999999"/>
    <n v="11338651"/>
    <s v="AMOMPY"/>
    <s v="Momentum Capital Investment S.A."/>
    <s v="16/07/2026"/>
    <s v="16/07/2026"/>
    <n v="27"/>
    <s v="No"/>
    <s v=""/>
    <m/>
    <m/>
    <s v="*MIL121000020"/>
    <s v="*MIL121000020"/>
    <n v="1.9708589980525299E-4"/>
  </r>
  <r>
    <x v="8"/>
    <s v="Pesos"/>
    <d v="2026-10-15T00:00:00"/>
    <s v="29/09/2026"/>
    <n v="0.98830282999999997"/>
    <m/>
    <n v="20000000"/>
    <n v="19766056.600000001"/>
    <n v="20000000"/>
    <n v="19766056.600000001"/>
    <n v="884"/>
    <s v="AMOMPY"/>
    <s v="Momentum Capital Investment S.A."/>
    <s v="16/07/2026"/>
    <s v="16/07/2026"/>
    <n v="27"/>
    <s v="No"/>
    <s v=""/>
    <m/>
    <m/>
    <s v="*MIL131000028"/>
    <s v="*MIL131000028"/>
    <n v="2.6278119974033735E-4"/>
  </r>
  <r>
    <x v="8"/>
    <s v="Pesos"/>
    <d v="2026-10-15T00:00:00"/>
    <s v="29/09/2026"/>
    <n v="0.98830282999999997"/>
    <m/>
    <n v="20000000"/>
    <n v="19766056.600000001"/>
    <n v="20000000"/>
    <n v="19766056.600000001"/>
    <n v="886"/>
    <s v="AMOMPY"/>
    <s v="Momentum Capital Investment S.A."/>
    <s v="16/07/2026"/>
    <s v="16/07/2026"/>
    <n v="27"/>
    <s v="No"/>
    <s v=""/>
    <m/>
    <m/>
    <s v="*MIL121000021"/>
    <s v="*MIL121000021"/>
    <n v="2.6278119974033735E-4"/>
  </r>
  <r>
    <x v="8"/>
    <s v="Pesos"/>
    <d v="2026-10-15T00:00:00"/>
    <s v="29/09/2026"/>
    <n v="0.98702000999999995"/>
    <m/>
    <n v="40000000"/>
    <n v="39480800.469999999"/>
    <n v="40000000"/>
    <n v="39480800.469999999"/>
    <n v="4373"/>
    <s v="AMOMPY"/>
    <s v="Momentum Capital Investment S.A."/>
    <s v="14/08/2026"/>
    <s v="14/08/2026"/>
    <n v="30"/>
    <s v="No"/>
    <s v=""/>
    <m/>
    <m/>
    <s v="*MIL121000023"/>
    <s v="*MIL121000023"/>
    <n v="5.2488021886042124E-4"/>
  </r>
  <r>
    <x v="164"/>
    <s v="Pesos"/>
    <d v="2026-10-15T00:00:00"/>
    <s v="29/09/2026"/>
    <n v="0.98830287999999999"/>
    <m/>
    <n v="3000000"/>
    <n v="2964908.63"/>
    <n v="3000000"/>
    <n v="2964908.63"/>
    <n v="90023128"/>
    <s v="AMOMPY"/>
    <s v="Momentum Capital Investment S.A."/>
    <s v="24/09/2026"/>
    <s v="24/09/2026"/>
    <n v="27"/>
    <s v="No"/>
    <s v=""/>
    <m/>
    <m/>
    <s v="*NIO131000026"/>
    <s v="*NIO131000026"/>
    <n v="3.9417181822290228E-5"/>
  </r>
  <r>
    <x v="165"/>
    <s v="Pesos"/>
    <d v="2026-10-15T00:00:00"/>
    <s v="29/09/2026"/>
    <n v="0.98787488000000001"/>
    <m/>
    <n v="50000000"/>
    <n v="49393744.140000001"/>
    <n v="50000000"/>
    <n v="49393744.140000001"/>
    <n v="29"/>
    <s v="AMOMPY"/>
    <s v="Momentum Capital Investment S.A."/>
    <s v="12/08/2026"/>
    <s v="12/08/2026"/>
    <n v="28"/>
    <s v="No"/>
    <s v=""/>
    <m/>
    <m/>
    <s v="*MAV121001005"/>
    <s v="*MAV121001005"/>
    <n v="6.5666853067578772E-4"/>
  </r>
  <r>
    <x v="64"/>
    <s v="Pesos"/>
    <d v="2026-10-15T00:00:00"/>
    <s v="29/09/2026"/>
    <n v="0.98531482000000004"/>
    <m/>
    <n v="40000000"/>
    <n v="39412592.920000002"/>
    <n v="40000000"/>
    <n v="39412592.920000002"/>
    <n v="3794762"/>
    <s v="AMOMPY"/>
    <s v="Momentum Capital Investment S.A."/>
    <s v="13/08/2026"/>
    <s v="13/08/2026"/>
    <n v="34"/>
    <s v="No"/>
    <s v=""/>
    <m/>
    <m/>
    <s v="*MAV121001014"/>
    <s v="*MAV121001014"/>
    <n v="5.239734288930006E-4"/>
  </r>
  <r>
    <x v="113"/>
    <s v="Pesos"/>
    <d v="2026-10-15T00:00:00"/>
    <s v="29/09/2026"/>
    <n v="0.98616665000000003"/>
    <m/>
    <n v="7000000"/>
    <n v="6903166.5499999998"/>
    <n v="7000000"/>
    <n v="6903166.5499999998"/>
    <n v="10604195"/>
    <s v="AMOMPY"/>
    <s v="Momentum Capital Investment S.A."/>
    <s v="25/08/2026"/>
    <s v="25/08/2026"/>
    <n v="32"/>
    <s v="No"/>
    <s v=""/>
    <m/>
    <m/>
    <s v="*MAV121001060"/>
    <s v="*MAV121001060"/>
    <n v="9.1774622764986179E-5"/>
  </r>
  <r>
    <x v="114"/>
    <s v="Pesos"/>
    <d v="2026-10-15T00:00:00"/>
    <s v="29/09/2026"/>
    <n v="0.98616665000000003"/>
    <m/>
    <n v="12000000"/>
    <n v="11833999.800000001"/>
    <n v="12000000"/>
    <n v="11833999.800000001"/>
    <n v="68962620"/>
    <s v="AMOMPY"/>
    <s v="Momentum Capital Investment S.A."/>
    <s v="25/08/2026"/>
    <s v="25/08/2026"/>
    <n v="32"/>
    <s v="No"/>
    <s v=""/>
    <m/>
    <m/>
    <s v="*MAV101001624"/>
    <s v="*MAV101001624"/>
    <n v="1.5732792473997632E-4"/>
  </r>
  <r>
    <x v="166"/>
    <s v="Pesos"/>
    <d v="2026-10-15T00:00:00"/>
    <s v="29/09/2026"/>
    <n v="0.98702011000000001"/>
    <m/>
    <n v="3000000"/>
    <n v="2961060.32"/>
    <n v="3000000"/>
    <n v="2961060.32"/>
    <n v="1298"/>
    <s v="AMOMPY"/>
    <s v="Momentum Capital Investment S.A."/>
    <s v="11/09/2026"/>
    <s v="11/09/2026"/>
    <n v="30"/>
    <s v="No"/>
    <s v=""/>
    <m/>
    <m/>
    <s v="*MAV121001149"/>
    <s v="*MAV121001149"/>
    <n v="3.9366020200160062E-5"/>
  </r>
  <r>
    <x v="82"/>
    <s v="Pesos"/>
    <d v="2026-10-15T00:00:00"/>
    <s v="29/09/2026"/>
    <n v="0.98702009999999996"/>
    <m/>
    <n v="2700000"/>
    <n v="2664954.2799999998"/>
    <n v="2700000"/>
    <n v="2664954.2799999998"/>
    <n v="6906"/>
    <s v="AMOMPY"/>
    <s v="Momentum Capital Investment S.A."/>
    <s v="11/09/2026"/>
    <s v="11/09/2026"/>
    <n v="30"/>
    <s v="No"/>
    <s v=""/>
    <m/>
    <m/>
    <s v="*MAV111001069"/>
    <s v="*MAV111001069"/>
    <n v="3.5429418073787506E-5"/>
  </r>
  <r>
    <x v="8"/>
    <s v="Pesos"/>
    <d v="2026-10-15T00:00:00"/>
    <s v="29/09/2026"/>
    <n v="0.98830284999999995"/>
    <m/>
    <n v="20000000"/>
    <n v="19766057.039999999"/>
    <n v="20000000"/>
    <n v="19766057.039999999"/>
    <n v="68122772"/>
    <s v="AMOMPY"/>
    <s v="Momentum Capital Investment S.A."/>
    <s v="07/07/2026"/>
    <s v="07/07/2026"/>
    <n v="27"/>
    <s v="No"/>
    <s v=""/>
    <m/>
    <m/>
    <s v="*MIL131000027"/>
    <s v="*MIL131000027"/>
    <n v="2.6278120558994759E-4"/>
  </r>
  <r>
    <x v="8"/>
    <s v="Pesos"/>
    <d v="2026-10-15T00:00:00"/>
    <s v="29/09/2026"/>
    <n v="0.98873129999999998"/>
    <m/>
    <n v="4000000"/>
    <n v="3954925.19"/>
    <n v="4000000"/>
    <n v="3954925.19"/>
    <n v="90002227"/>
    <s v="AMOMPY"/>
    <s v="Momentum Capital Investment S.A."/>
    <s v="22/09/2026"/>
    <s v="22/09/2026"/>
    <n v="26"/>
    <s v="No"/>
    <s v=""/>
    <m/>
    <m/>
    <s v="*MIL131000030"/>
    <s v="*MIL131000030"/>
    <n v="5.2579025110728532E-5"/>
  </r>
  <r>
    <x v="43"/>
    <s v="Pesos"/>
    <d v="2026-10-15T00:00:00"/>
    <s v="29/09/2026"/>
    <n v="0.98488935"/>
    <m/>
    <n v="463612.88"/>
    <n v="456607.39"/>
    <n v="463612.88"/>
    <n v="456607.39"/>
    <n v="115549"/>
    <s v="AMOMPY"/>
    <s v="Momentum Capital Investment S.A."/>
    <s v="11/08/2026"/>
    <s v="11/08/2026"/>
    <n v="35"/>
    <s v="No"/>
    <s v=""/>
    <m/>
    <m/>
    <s v="*MAV131001666"/>
    <s v="*MAV131001666"/>
    <n v="6.0703983694200342E-6"/>
  </r>
  <r>
    <x v="167"/>
    <s v="Pesos"/>
    <d v="2026-10-15T00:00:00"/>
    <s v="29/09/2026"/>
    <n v="0.98702003000000005"/>
    <m/>
    <n v="2531175.63"/>
    <n v="2498321.0499999998"/>
    <n v="2531175.63"/>
    <n v="2498321.0499999998"/>
    <n v="392"/>
    <s v="AMOMPY"/>
    <s v="Momentum Capital Investment S.A."/>
    <s v="24/07/2026"/>
    <s v="24/07/2026"/>
    <n v="30"/>
    <s v="No"/>
    <s v=""/>
    <m/>
    <m/>
    <s v="*MAV101001482"/>
    <s v="*MAV101001482"/>
    <n v="3.321410113009285E-5"/>
  </r>
  <r>
    <x v="84"/>
    <s v="Pesos"/>
    <d v="2026-10-15T00:00:00"/>
    <s v="29/09/2026"/>
    <n v="0.98616665000000003"/>
    <m/>
    <n v="5834327.1299999999"/>
    <n v="5753618.8499999996"/>
    <n v="5834327.1299999999"/>
    <n v="5753618.8499999996"/>
    <n v="90001654"/>
    <s v="AMOMPY"/>
    <s v="Momentum Capital Investment S.A."/>
    <s v="25/08/2026"/>
    <s v="25/08/2026"/>
    <n v="32"/>
    <s v="No"/>
    <s v=""/>
    <m/>
    <m/>
    <s v="*MAV111001019"/>
    <s v="*MAV111001019"/>
    <n v="7.6491881757113854E-5"/>
  </r>
  <r>
    <x v="45"/>
    <s v="Pesos"/>
    <d v="2026-10-15T00:00:00"/>
    <s v="29/09/2026"/>
    <n v="0.98830293999999996"/>
    <m/>
    <n v="3620482.75"/>
    <n v="3578133.73"/>
    <n v="3620482.75"/>
    <n v="3578133.73"/>
    <n v="4321"/>
    <s v="AMOMPY"/>
    <s v="Momentum Capital Investment S.A."/>
    <s v="25/09/2026"/>
    <s v="25/09/2026"/>
    <n v="27"/>
    <s v="No"/>
    <s v=""/>
    <m/>
    <m/>
    <s v="*NEU101000053"/>
    <s v="*NEU101000053"/>
    <n v="4.7569745115511214E-5"/>
  </r>
  <r>
    <x v="45"/>
    <s v="Pesos"/>
    <d v="2026-10-15T00:00:00"/>
    <s v="29/09/2026"/>
    <n v="0.98830293999999996"/>
    <m/>
    <n v="3620482.75"/>
    <n v="3578133.73"/>
    <n v="3620482.75"/>
    <n v="3578133.73"/>
    <n v="4322"/>
    <s v="AMOMPY"/>
    <s v="Momentum Capital Investment S.A."/>
    <s v="25/09/2026"/>
    <s v="25/09/2026"/>
    <n v="27"/>
    <s v="No"/>
    <s v=""/>
    <m/>
    <m/>
    <s v="*NEU121000016"/>
    <s v="*NEU121000016"/>
    <n v="4.7569745115511214E-5"/>
  </r>
  <r>
    <x v="168"/>
    <s v="Pesos"/>
    <d v="2026-10-15T00:00:00"/>
    <s v="29/09/2026"/>
    <n v="0.98574057999999998"/>
    <m/>
    <n v="70000000"/>
    <n v="69001840.650000006"/>
    <n v="70000000"/>
    <n v="69001840.650000006"/>
    <n v="9795686"/>
    <s v="AMOMPY"/>
    <s v="Momentum Capital Investment S.A."/>
    <s v="10/09/2026"/>
    <s v="10/09/2026"/>
    <n v="33"/>
    <s v="No"/>
    <s v=""/>
    <m/>
    <m/>
    <s v="*MAV101001760"/>
    <s v="*MAV101001760"/>
    <n v="9.1734971912903348E-4"/>
  </r>
  <r>
    <x v="37"/>
    <s v="Pesos"/>
    <d v="2026-10-15T00:00:00"/>
    <s v="29/09/2026"/>
    <n v="0.98702000999999995"/>
    <m/>
    <n v="25000000"/>
    <n v="24675500.289999999"/>
    <n v="25000000"/>
    <n v="24675500.289999999"/>
    <n v="509759"/>
    <s v="AMOMPY"/>
    <s v="Momentum Capital Investment S.A."/>
    <s v="14/08/2026"/>
    <s v="14/08/2026"/>
    <n v="30"/>
    <s v="No"/>
    <s v=""/>
    <m/>
    <m/>
    <s v="*AFB121000009"/>
    <s v="*AFB121000009"/>
    <n v="3.2805013673790863E-4"/>
  </r>
  <r>
    <x v="37"/>
    <s v="Pesos"/>
    <d v="2026-10-15T00:00:00"/>
    <s v="29/09/2026"/>
    <n v="0.98702002"/>
    <m/>
    <n v="3000000"/>
    <n v="2961060.05"/>
    <n v="3000000"/>
    <n v="2961060.05"/>
    <n v="3792079"/>
    <s v="AMOMPY"/>
    <s v="Momentum Capital Investment S.A."/>
    <s v="18/08/2026"/>
    <s v="18/08/2026"/>
    <n v="30"/>
    <s v="No"/>
    <s v=""/>
    <m/>
    <m/>
    <s v="*AFB131000009"/>
    <s v="*AFB131000009"/>
    <n v="3.9366016610626478E-5"/>
  </r>
  <r>
    <x v="169"/>
    <s v="Pesos"/>
    <d v="2026-10-15T00:00:00"/>
    <s v="29/09/2026"/>
    <n v="0.98616665999999997"/>
    <m/>
    <n v="2558197.12"/>
    <n v="2522808.71"/>
    <n v="2558197.12"/>
    <n v="2522808.71"/>
    <n v="354"/>
    <s v="AMOMPY"/>
    <s v="Momentum Capital Investment S.A."/>
    <s v="31/07/2026"/>
    <s v="31/07/2026"/>
    <n v="32"/>
    <s v="No"/>
    <s v=""/>
    <m/>
    <m/>
    <s v="*MAV121000980"/>
    <s v="*MAV121000980"/>
    <n v="3.3539654011168456E-5"/>
  </r>
  <r>
    <x v="170"/>
    <s v="Pesos"/>
    <d v="2026-10-15T00:00:00"/>
    <s v="29/09/2026"/>
    <n v="0.98574061000000002"/>
    <m/>
    <n v="4388922.8899999997"/>
    <n v="4326339.51"/>
    <n v="4388922.8899999997"/>
    <n v="4326339.51"/>
    <n v="596"/>
    <s v="AMOMPY"/>
    <s v="Momentum Capital Investment S.A."/>
    <s v="14/09/2026"/>
    <s v="14/09/2026"/>
    <n v="33"/>
    <s v="No"/>
    <s v=""/>
    <m/>
    <m/>
    <s v="*MAV121001157"/>
    <s v="*MAV121001157"/>
    <n v="5.7516818348168801E-5"/>
  </r>
  <r>
    <x v="170"/>
    <s v="Pesos"/>
    <d v="2026-10-15T00:00:00"/>
    <s v="29/09/2026"/>
    <n v="0.98574061000000002"/>
    <m/>
    <n v="4388922.8899999997"/>
    <n v="4326339.51"/>
    <n v="4388922.8899999997"/>
    <n v="4326339.51"/>
    <n v="589"/>
    <s v="AMOMPY"/>
    <s v="Momentum Capital Investment S.A."/>
    <s v="14/09/2026"/>
    <s v="14/09/2026"/>
    <n v="33"/>
    <s v="No"/>
    <s v=""/>
    <m/>
    <m/>
    <s v="*MAV131002089"/>
    <s v="*MAV131002089"/>
    <n v="5.7516818348168801E-5"/>
  </r>
  <r>
    <x v="170"/>
    <s v="Pesos"/>
    <d v="2026-10-15T00:00:00"/>
    <s v="29/09/2026"/>
    <n v="0.98574052000000001"/>
    <m/>
    <n v="5134985.93"/>
    <n v="5061763.7"/>
    <n v="5134985.93"/>
    <n v="5061763.7"/>
    <n v="414"/>
    <s v="AMOMPY"/>
    <s v="Momentum Capital Investment S.A."/>
    <s v="02/06/2026"/>
    <s v="02/06/2026"/>
    <n v="33"/>
    <s v="No"/>
    <s v=""/>
    <m/>
    <m/>
    <s v="*MAV121000892"/>
    <s v="*MAV121000892"/>
    <n v="6.7293965852960715E-5"/>
  </r>
  <r>
    <x v="134"/>
    <s v="Pesos"/>
    <d v="2026-10-15T00:00:00"/>
    <s v="29/09/2026"/>
    <n v="0.98574054"/>
    <m/>
    <n v="40000000"/>
    <n v="39429621.609999999"/>
    <n v="40000000"/>
    <n v="39429621.609999999"/>
    <n v="5"/>
    <s v="AMOMPY"/>
    <s v="Momentum Capital Investment S.A."/>
    <s v="09/09/2026"/>
    <s v="09/09/2026"/>
    <n v="33"/>
    <s v="No"/>
    <s v=""/>
    <m/>
    <m/>
    <s v="*MAV131002008"/>
    <s v="*MAV131002008"/>
    <n v="5.2419981798409554E-4"/>
  </r>
  <r>
    <x v="122"/>
    <s v="Pesos"/>
    <d v="2026-10-15T00:00:00"/>
    <s v="29/09/2026"/>
    <n v="0.98574055000000005"/>
    <m/>
    <n v="70000000"/>
    <n v="69001838.269999996"/>
    <n v="70000000"/>
    <n v="69001838.269999996"/>
    <n v="905"/>
    <s v="AMOMPY"/>
    <s v="Momentum Capital Investment S.A."/>
    <s v="02/09/2026"/>
    <s v="02/09/2026"/>
    <n v="33"/>
    <s v="No"/>
    <s v=""/>
    <m/>
    <m/>
    <s v="*MAV121001096"/>
    <s v="*MAV121001096"/>
    <n v="9.1734968748795949E-4"/>
  </r>
  <r>
    <x v="152"/>
    <s v="Pesos"/>
    <d v="2026-10-15T00:00:00"/>
    <s v="29/09/2026"/>
    <n v="0.98659315999999997"/>
    <m/>
    <n v="50000000"/>
    <n v="49329658.18"/>
    <n v="50000000"/>
    <n v="49329658.18"/>
    <n v="16836862"/>
    <s v="AMOMPY"/>
    <s v="Momentum Capital Investment S.A."/>
    <s v="09/09/2026"/>
    <s v="09/09/2026"/>
    <n v="31"/>
    <s v="No"/>
    <s v=""/>
    <m/>
    <m/>
    <s v="*MAV131002018"/>
    <s v="*MAV131002018"/>
    <n v="6.5581653547026387E-4"/>
  </r>
  <r>
    <x v="123"/>
    <s v="Pesos"/>
    <d v="2026-10-15T00:00:00"/>
    <s v="29/09/2026"/>
    <n v="0.98574055000000005"/>
    <m/>
    <n v="25000000"/>
    <n v="24643513.670000002"/>
    <n v="25000000"/>
    <n v="24643513.670000002"/>
    <n v="475881"/>
    <s v="AMOMPY"/>
    <s v="Momentum Capital Investment S.A."/>
    <s v="08/06/2026"/>
    <s v="08/06/2026"/>
    <n v="33"/>
    <s v="No"/>
    <s v=""/>
    <m/>
    <m/>
    <s v="*MAV101001396"/>
    <s v="*MAV101001396"/>
    <n v="3.2762488841704538E-4"/>
  </r>
  <r>
    <x v="171"/>
    <s v="Pesos"/>
    <d v="2026-10-15T00:00:00"/>
    <s v="29/09/2026"/>
    <n v="0.98531477000000001"/>
    <m/>
    <n v="10000000"/>
    <n v="9853147.6600000001"/>
    <n v="10000000"/>
    <n v="9853147.6600000001"/>
    <n v="6034857"/>
    <s v="AMOMPY"/>
    <s v="Momentum Capital Investment S.A."/>
    <s v="27/07/2026"/>
    <s v="27/07/2026"/>
    <n v="34"/>
    <s v="No"/>
    <s v=""/>
    <m/>
    <m/>
    <s v="*MAV121000968"/>
    <s v="*MAV121000968"/>
    <n v="1.3099334964534592E-4"/>
  </r>
  <r>
    <x v="171"/>
    <s v="Pesos"/>
    <d v="2026-10-15T00:00:00"/>
    <s v="29/09/2026"/>
    <n v="0.98531477000000001"/>
    <m/>
    <n v="10000000"/>
    <n v="9853147.6600000001"/>
    <n v="10000000"/>
    <n v="9853147.6600000001"/>
    <n v="6034858"/>
    <s v="AMOMPY"/>
    <s v="Momentum Capital Investment S.A."/>
    <s v="27/07/2026"/>
    <s v="27/07/2026"/>
    <n v="34"/>
    <s v="No"/>
    <s v=""/>
    <m/>
    <m/>
    <s v="*MAV131001537"/>
    <s v="*MAV131001537"/>
    <n v="1.3099334964534592E-4"/>
  </r>
  <r>
    <x v="172"/>
    <s v="Pesos"/>
    <d v="2026-10-15T00:00:00"/>
    <s v="29/09/2026"/>
    <n v="0.98873127999999999"/>
    <m/>
    <n v="2052150.6"/>
    <n v="2029025.49"/>
    <n v="2052150.6"/>
    <n v="2029025.49"/>
    <n v="69745978"/>
    <s v="AMOMPY"/>
    <s v="Momentum Capital Investment S.A."/>
    <s v="25/09/2026"/>
    <s v="25/09/2026"/>
    <n v="26"/>
    <s v="No"/>
    <s v=""/>
    <m/>
    <m/>
    <s v="*TRD101000043"/>
    <s v="*TRD101000043"/>
    <n v="2.6975019011426173E-5"/>
  </r>
  <r>
    <x v="172"/>
    <s v="Pesos"/>
    <d v="2026-10-15T00:00:00"/>
    <s v="29/09/2026"/>
    <n v="0.98916006000000001"/>
    <m/>
    <n v="15000000"/>
    <n v="14837400.970000001"/>
    <n v="15000000"/>
    <n v="14837400.970000001"/>
    <n v="69911047"/>
    <s v="AMOMPY"/>
    <s v="Momentum Capital Investment S.A."/>
    <s v="23/09/2026"/>
    <s v="23/09/2026"/>
    <n v="25"/>
    <s v="No"/>
    <s v=""/>
    <m/>
    <m/>
    <s v="*TRD131000025"/>
    <s v="*TRD131000025"/>
    <n v="1.9725684828429788E-4"/>
  </r>
  <r>
    <x v="173"/>
    <s v="Pesos"/>
    <d v="2026-10-15T00:00:00"/>
    <s v="29/09/2026"/>
    <n v="0.98488942999999995"/>
    <m/>
    <n v="20000000"/>
    <n v="19697788.649999999"/>
    <n v="20000000"/>
    <n v="19697788.649999999"/>
    <n v="10549352"/>
    <s v="AMOMPY"/>
    <s v="Momentum Capital Investment S.A."/>
    <s v="13/08/2026"/>
    <s v="13/08/2026"/>
    <n v="35"/>
    <s v="No"/>
    <s v=""/>
    <m/>
    <m/>
    <s v="*MAV131001687"/>
    <s v="*MAV131001687"/>
    <n v="2.6187360678095998E-4"/>
  </r>
  <r>
    <x v="50"/>
    <s v="Pesos"/>
    <d v="2026-10-15T00:00:00"/>
    <s v="29/09/2026"/>
    <n v="0.98702007000000003"/>
    <m/>
    <n v="150000000"/>
    <n v="148053009.88999999"/>
    <n v="150000000"/>
    <n v="148053009.88999999"/>
    <n v="90003993"/>
    <s v="AMOMPY"/>
    <s v="Momentum Capital Investment S.A."/>
    <s v="06/08/2026"/>
    <s v="06/08/2026"/>
    <n v="30"/>
    <s v="No"/>
    <s v=""/>
    <m/>
    <m/>
    <s v="*MAV121000997"/>
    <s v="*MAV121000997"/>
    <n v="1.9683009287781873E-3"/>
  </r>
  <r>
    <x v="26"/>
    <s v="Pesos"/>
    <d v="2026-10-15T00:00:00"/>
    <s v="29/09/2026"/>
    <n v="0.98702011000000001"/>
    <m/>
    <n v="8025439"/>
    <n v="7921269.6600000001"/>
    <n v="8025439"/>
    <n v="7921269.6600000001"/>
    <n v="90044933"/>
    <s v="AMOMPY"/>
    <s v="Momentum Capital Investment S.A."/>
    <s v="11/09/2026"/>
    <s v="11/09/2026"/>
    <n v="30"/>
    <s v="No"/>
    <s v=""/>
    <m/>
    <m/>
    <s v="*MAV131002039"/>
    <s v="*MAV131002039"/>
    <n v="1.0530986462527553E-4"/>
  </r>
  <r>
    <x v="27"/>
    <s v="Pesos"/>
    <d v="2026-10-15T00:00:00"/>
    <s v="29/09/2026"/>
    <n v="0.98787486999999996"/>
    <m/>
    <n v="2500000"/>
    <n v="2469687.1800000002"/>
    <n v="2500000"/>
    <n v="2469687.1800000002"/>
    <n v="90031815"/>
    <s v="AMOMPY"/>
    <s v="Momentum Capital Investment S.A."/>
    <s v="22/04/2026"/>
    <s v="22/04/2026"/>
    <n v="28"/>
    <s v="No"/>
    <s v=""/>
    <m/>
    <m/>
    <s v="*MOV131000083"/>
    <s v="*MOV131000083"/>
    <n v="3.2833426174836031E-5"/>
  </r>
  <r>
    <x v="27"/>
    <s v="Pesos"/>
    <d v="2026-10-15T00:00:00"/>
    <s v="29/09/2026"/>
    <n v="0.98787486000000002"/>
    <m/>
    <n v="25000000"/>
    <n v="24696871.59"/>
    <n v="25000000"/>
    <n v="24696871.59"/>
    <n v="360571"/>
    <s v="AMOMPY"/>
    <s v="Momentum Capital Investment S.A."/>
    <s v="21/04/2026"/>
    <s v="21/04/2026"/>
    <n v="28"/>
    <s v="No"/>
    <s v=""/>
    <m/>
    <m/>
    <s v="*MOV131000082"/>
    <s v="*MOV131000082"/>
    <n v="3.2833425895650083E-4"/>
  </r>
  <r>
    <x v="174"/>
    <s v="Pesos"/>
    <d v="2026-10-15T00:00:00"/>
    <s v="29/09/2026"/>
    <n v="0.98616667000000002"/>
    <m/>
    <n v="3413365"/>
    <n v="3366146.81"/>
    <n v="3413365"/>
    <n v="3366146.81"/>
    <n v="67525693"/>
    <s v="AMOMPY"/>
    <s v="Momentum Capital Investment S.A."/>
    <s v="12/06/2026"/>
    <s v="12/06/2026"/>
    <n v="32"/>
    <s v="No"/>
    <s v=""/>
    <m/>
    <m/>
    <s v="*MAV131001307"/>
    <s v="*MAV131001307"/>
    <n v="4.4751470418935724E-5"/>
  </r>
  <r>
    <x v="76"/>
    <s v="Pesos"/>
    <d v="2026-10-15T00:00:00"/>
    <s v="29/09/2026"/>
    <n v="0.98361547000000005"/>
    <m/>
    <n v="43000000"/>
    <n v="42295465.420000002"/>
    <n v="43000000"/>
    <n v="42295465.420000002"/>
    <n v="160223"/>
    <s v="AMOMPY"/>
    <s v="Momentum Capital Investment S.A."/>
    <s v="10/08/2026"/>
    <s v="10/08/2026"/>
    <n v="38"/>
    <s v="No"/>
    <s v=""/>
    <m/>
    <m/>
    <s v="#MAV141060036"/>
    <s v="#MAV141060036"/>
    <n v="5.6229997573939709E-4"/>
  </r>
  <r>
    <x v="75"/>
    <s v="Pesos"/>
    <d v="2026-10-15T00:00:00"/>
    <s v="29/09/2026"/>
    <n v="0.98531477999999995"/>
    <m/>
    <n v="4000000"/>
    <n v="3941259.13"/>
    <n v="4000000"/>
    <n v="3941259.13"/>
    <n v="90000051"/>
    <s v="AMOMPY"/>
    <s v="Momentum Capital Investment S.A."/>
    <s v="11/06/2026"/>
    <s v="11/06/2026"/>
    <n v="34"/>
    <s v="No"/>
    <s v=""/>
    <m/>
    <m/>
    <s v="*MAV121000902"/>
    <s v="*MAV121000902"/>
    <n v="5.2397340735579908E-5"/>
  </r>
  <r>
    <x v="175"/>
    <s v="Pesos"/>
    <d v="2026-10-15T00:00:00"/>
    <s v="29/09/2026"/>
    <n v="0.98702018999999996"/>
    <m/>
    <n v="2195601.9"/>
    <n v="2167103.41"/>
    <n v="2195601.9"/>
    <n v="2167103.41"/>
    <n v="228"/>
    <s v="AMOMPY"/>
    <s v="Momentum Capital Investment S.A."/>
    <s v="29/09/2026"/>
    <s v="29/09/2026"/>
    <n v="30"/>
    <s v="No"/>
    <s v=""/>
    <m/>
    <m/>
    <s v="*MAV111001133"/>
    <s v="*MAV111001133"/>
    <n v="2.8810705421190395E-5"/>
  </r>
  <r>
    <x v="176"/>
    <s v="Pesos"/>
    <d v="2026-10-15T00:00:00"/>
    <s v="29/09/2026"/>
    <n v="0.98702018999999996"/>
    <m/>
    <n v="6096304.9699999997"/>
    <n v="6017176.0999999996"/>
    <n v="6096304.9699999997"/>
    <n v="6017176.0999999996"/>
    <n v="1024"/>
    <s v="AMOMPY"/>
    <s v="Momentum Capital Investment S.A."/>
    <s v="29/09/2026"/>
    <s v="29/09/2026"/>
    <n v="30"/>
    <s v="No"/>
    <s v=""/>
    <m/>
    <m/>
    <s v="*MAV131002236"/>
    <s v="*MAV131002236"/>
    <n v="7.9995761754870413E-5"/>
  </r>
  <r>
    <x v="89"/>
    <s v="Pesos"/>
    <d v="2026-10-16T00:00:00"/>
    <s v="29/09/2026"/>
    <n v="0.98894548999999998"/>
    <m/>
    <n v="10000000"/>
    <n v="9889454.9499999993"/>
    <n v="10000000"/>
    <n v="9889454.9499999993"/>
    <n v="425"/>
    <s v="AMOMPY"/>
    <s v="Momentum Capital Investment S.A."/>
    <s v="21/07/2026"/>
    <s v="21/07/2026"/>
    <n v="24"/>
    <s v="No"/>
    <s v=""/>
    <m/>
    <m/>
    <s v="*INP141000062"/>
    <s v="*INP141000062"/>
    <n v="1.3147603941086647E-4"/>
  </r>
  <r>
    <x v="28"/>
    <s v="Pesos"/>
    <d v="2026-10-16T00:00:00"/>
    <s v="29/09/2026"/>
    <n v="0.98531479"/>
    <m/>
    <n v="4000000"/>
    <n v="3941259.16"/>
    <n v="4000000"/>
    <n v="3941259.16"/>
    <n v="1146"/>
    <s v="AMOMPY"/>
    <s v="Momentum Capital Investment S.A."/>
    <s v="03/09/2026"/>
    <s v="03/09/2026"/>
    <n v="32"/>
    <s v="No"/>
    <s v=""/>
    <m/>
    <m/>
    <s v="*MAV141001740"/>
    <s v="*MAV141001740"/>
    <n v="5.2397341134416972E-5"/>
  </r>
  <r>
    <x v="28"/>
    <s v="Pesos"/>
    <d v="2026-10-16T00:00:00"/>
    <s v="29/09/2026"/>
    <n v="0.98621994999999996"/>
    <m/>
    <n v="5000000"/>
    <n v="4931099.76"/>
    <n v="5000000"/>
    <n v="4931099.76"/>
    <n v="1240"/>
    <s v="AMOMPY"/>
    <s v="Momentum Capital Investment S.A."/>
    <s v="17/09/2026"/>
    <s v="17/09/2026"/>
    <n v="30"/>
    <s v="No"/>
    <s v=""/>
    <m/>
    <m/>
    <s v="*MAV141001961"/>
    <s v="*MAV141001961"/>
    <n v="6.555684511052596E-5"/>
  </r>
  <r>
    <x v="28"/>
    <s v="Pesos"/>
    <d v="2026-10-16T00:00:00"/>
    <s v="29/09/2026"/>
    <n v="0.98621996999999995"/>
    <m/>
    <n v="6500000"/>
    <n v="6410429.7999999998"/>
    <n v="6500000"/>
    <n v="6410429.7999999998"/>
    <n v="742"/>
    <s v="AMOMPY"/>
    <s v="Momentum Capital Investment S.A."/>
    <s v="08/07/2026"/>
    <s v="08/07/2026"/>
    <n v="30"/>
    <s v="No"/>
    <s v=""/>
    <m/>
    <m/>
    <s v="*MAV141001396"/>
    <s v="*MAV141001396"/>
    <n v="8.5223900132675449E-5"/>
  </r>
  <r>
    <x v="28"/>
    <s v="Pesos"/>
    <d v="2026-10-16T00:00:00"/>
    <s v="29/09/2026"/>
    <n v="0.98621994999999996"/>
    <m/>
    <n v="5000000"/>
    <n v="4931099.7699999996"/>
    <n v="5000000"/>
    <n v="4931099.7699999996"/>
    <n v="791"/>
    <s v="AMOMPY"/>
    <s v="Momentum Capital Investment S.A."/>
    <s v="14/07/2026"/>
    <s v="14/07/2026"/>
    <n v="30"/>
    <s v="No"/>
    <s v=""/>
    <m/>
    <m/>
    <s v="*MAV141001422"/>
    <s v="*MAV141001422"/>
    <n v="6.5556845243471644E-5"/>
  </r>
  <r>
    <x v="2"/>
    <s v="Pesos"/>
    <d v="2026-10-16T00:00:00"/>
    <s v="29/09/2026"/>
    <n v="0.98531475999999996"/>
    <m/>
    <n v="40000000"/>
    <n v="39412590.5"/>
    <n v="40000000"/>
    <n v="39412590.5"/>
    <n v="13795909"/>
    <s v="AMOMPY"/>
    <s v="Momentum Capital Investment S.A."/>
    <s v="25/06/2026"/>
    <s v="25/06/2026"/>
    <n v="32"/>
    <s v="No"/>
    <s v=""/>
    <m/>
    <m/>
    <s v="*MAV141001362"/>
    <s v="*MAV141001362"/>
    <n v="5.2397339672014399E-4"/>
  </r>
  <r>
    <x v="92"/>
    <s v="Pesos"/>
    <d v="2026-10-16T00:00:00"/>
    <s v="29/09/2026"/>
    <n v="0.98758089000000004"/>
    <m/>
    <n v="124590.27"/>
    <n v="123042.97"/>
    <n v="124590.27"/>
    <n v="123042.97"/>
    <n v="670001"/>
    <s v="AMOMPY"/>
    <s v="Momentum Capital Investment S.A."/>
    <s v="07/09/2026"/>
    <s v="07/09/2026"/>
    <n v="27"/>
    <s v="No"/>
    <s v=""/>
    <m/>
    <m/>
    <s v="*MAV141001824"/>
    <s v="*MAV141001824"/>
    <n v="1.635803232305544E-6"/>
  </r>
  <r>
    <x v="92"/>
    <s v="Pesos"/>
    <d v="2026-10-16T00:00:00"/>
    <s v="29/09/2026"/>
    <n v="0.98758089000000004"/>
    <m/>
    <n v="124590.27"/>
    <n v="123042.97"/>
    <n v="124590.27"/>
    <n v="123042.97"/>
    <n v="677266"/>
    <s v="AMOMPY"/>
    <s v="Momentum Capital Investment S.A."/>
    <s v="07/09/2026"/>
    <s v="07/09/2026"/>
    <n v="27"/>
    <s v="No"/>
    <s v=""/>
    <m/>
    <m/>
    <s v="*MAV141001823"/>
    <s v="*MAV141001823"/>
    <n v="1.635803232305544E-6"/>
  </r>
  <r>
    <x v="92"/>
    <s v="Pesos"/>
    <d v="2026-10-16T00:00:00"/>
    <s v="29/09/2026"/>
    <n v="0.98758089000000004"/>
    <m/>
    <n v="124590.27"/>
    <n v="123042.97"/>
    <n v="124590.27"/>
    <n v="123042.97"/>
    <n v="669999"/>
    <s v="AMOMPY"/>
    <s v="Momentum Capital Investment S.A."/>
    <s v="07/09/2026"/>
    <s v="07/09/2026"/>
    <n v="27"/>
    <s v="No"/>
    <s v=""/>
    <m/>
    <m/>
    <s v="*MAV141001820"/>
    <s v="*MAV141001820"/>
    <n v="1.635803232305544E-6"/>
  </r>
  <r>
    <x v="92"/>
    <s v="Pesos"/>
    <d v="2026-10-16T00:00:00"/>
    <s v="29/09/2026"/>
    <n v="0.98758089000000004"/>
    <m/>
    <n v="124590.27"/>
    <n v="123042.97"/>
    <n v="124590.27"/>
    <n v="123042.97"/>
    <n v="670033"/>
    <s v="AMOMPY"/>
    <s v="Momentum Capital Investment S.A."/>
    <s v="07/09/2026"/>
    <s v="07/09/2026"/>
    <n v="27"/>
    <s v="No"/>
    <s v=""/>
    <m/>
    <m/>
    <s v="*MAV141001822"/>
    <s v="*MAV141001822"/>
    <n v="1.635803232305544E-6"/>
  </r>
  <r>
    <x v="92"/>
    <s v="Pesos"/>
    <d v="2026-10-16T00:00:00"/>
    <s v="29/09/2026"/>
    <n v="0.98712683000000001"/>
    <m/>
    <n v="6838855.7400000002"/>
    <n v="6750817.9699999997"/>
    <n v="6838855.7400000002"/>
    <n v="6750817.9699999997"/>
    <n v="638547"/>
    <s v="AMOMPY"/>
    <s v="Momentum Capital Investment S.A."/>
    <s v="10/08/2026"/>
    <s v="10/08/2026"/>
    <n v="28"/>
    <s v="No"/>
    <s v=""/>
    <m/>
    <m/>
    <s v="*MAV141001546"/>
    <s v="*MAV141001546"/>
    <n v="8.9749214083765619E-5"/>
  </r>
  <r>
    <x v="92"/>
    <s v="Pesos"/>
    <d v="2026-10-16T00:00:00"/>
    <s v="29/09/2026"/>
    <n v="0.98712683000000001"/>
    <m/>
    <n v="9836282.4499999993"/>
    <n v="9709658.3300000001"/>
    <n v="9836282.4499999993"/>
    <n v="9709658.3300000001"/>
    <n v="636527"/>
    <s v="AMOMPY"/>
    <s v="Momentum Capital Investment S.A."/>
    <s v="10/08/2026"/>
    <s v="10/08/2026"/>
    <n v="28"/>
    <s v="No"/>
    <s v=""/>
    <m/>
    <m/>
    <s v="*MAV141001549"/>
    <s v="*MAV141001549"/>
    <n v="1.2908572087293123E-4"/>
  </r>
  <r>
    <x v="92"/>
    <s v="Pesos"/>
    <d v="2026-10-16T00:00:00"/>
    <s v="29/09/2026"/>
    <n v="0.98712683000000001"/>
    <m/>
    <n v="5532603.9199999999"/>
    <n v="5461381.7599999998"/>
    <n v="5532603.9199999999"/>
    <n v="5461381.7599999998"/>
    <n v="636793"/>
    <s v="AMOMPY"/>
    <s v="Momentum Capital Investment S.A."/>
    <s v="10/08/2026"/>
    <s v="10/08/2026"/>
    <n v="28"/>
    <s v="No"/>
    <s v=""/>
    <m/>
    <m/>
    <s v="*MAV141001548"/>
    <s v="*MAV141001548"/>
    <n v="7.2606715652771882E-5"/>
  </r>
  <r>
    <x v="92"/>
    <s v="Pesos"/>
    <d v="2026-10-16T00:00:00"/>
    <s v="29/09/2026"/>
    <n v="0.98712683000000001"/>
    <m/>
    <n v="6838855.7400000002"/>
    <n v="6750817.9699999997"/>
    <n v="6838855.7400000002"/>
    <n v="6750817.9699999997"/>
    <n v="638540"/>
    <s v="AMOMPY"/>
    <s v="Momentum Capital Investment S.A."/>
    <s v="10/08/2026"/>
    <s v="10/08/2026"/>
    <n v="28"/>
    <s v="No"/>
    <s v=""/>
    <m/>
    <m/>
    <s v="*MAV141001547"/>
    <s v="*MAV141001547"/>
    <n v="8.9749214083765619E-5"/>
  </r>
  <r>
    <x v="92"/>
    <s v="Pesos"/>
    <d v="2026-10-16T00:00:00"/>
    <s v="29/09/2026"/>
    <n v="0.98758087999999999"/>
    <m/>
    <n v="4764805.54"/>
    <n v="4705630.83"/>
    <n v="4764805.54"/>
    <n v="4705630.83"/>
    <n v="662330"/>
    <s v="AMOMPY"/>
    <s v="Momentum Capital Investment S.A."/>
    <s v="10/08/2026"/>
    <s v="10/08/2026"/>
    <n v="27"/>
    <s v="No"/>
    <s v=""/>
    <m/>
    <m/>
    <s v="*MAV141001545"/>
    <s v="*MAV141001545"/>
    <n v="6.2559332904192896E-5"/>
  </r>
  <r>
    <x v="35"/>
    <s v="Pesos"/>
    <d v="2026-10-16T00:00:00"/>
    <s v="29/09/2026"/>
    <n v="0.98350947"/>
    <m/>
    <n v="1874176.47"/>
    <n v="1843270.3"/>
    <n v="1874176.47"/>
    <n v="1843270.3"/>
    <n v="3458"/>
    <s v="AMOMPY"/>
    <s v="Momentum Capital Investment S.A."/>
    <s v="08/09/2026"/>
    <s v="08/09/2026"/>
    <n v="36"/>
    <s v="No"/>
    <s v=""/>
    <m/>
    <m/>
    <s v="*MAV141001837"/>
    <s v="*MAV141001837"/>
    <n v="2.4505483854565684E-5"/>
  </r>
  <r>
    <x v="177"/>
    <s v="Pesos"/>
    <d v="2026-10-16T00:00:00"/>
    <s v="29/09/2026"/>
    <n v="0.98531484999999996"/>
    <m/>
    <n v="2112204.7400000002"/>
    <n v="2081186.69"/>
    <n v="2112204.7400000002"/>
    <n v="2081186.69"/>
    <n v="212"/>
    <s v="AMOMPY"/>
    <s v="Momentum Capital Investment S.A."/>
    <s v="15/09/2026"/>
    <s v="15/09/2026"/>
    <n v="32"/>
    <s v="No"/>
    <s v=""/>
    <m/>
    <m/>
    <s v="*MAV141001927"/>
    <s v="*MAV141001927"/>
    <n v="2.7668479674485069E-5"/>
  </r>
  <r>
    <x v="178"/>
    <s v="Pesos"/>
    <d v="2026-10-16T00:00:00"/>
    <s v="29/09/2026"/>
    <n v="0.98531484000000003"/>
    <m/>
    <n v="1566916.35"/>
    <n v="1543905.94"/>
    <n v="1566916.35"/>
    <n v="1543905.94"/>
    <n v="1180"/>
    <s v="AMOMPY"/>
    <s v="Momentum Capital Investment S.A."/>
    <s v="15/09/2026"/>
    <s v="15/09/2026"/>
    <n v="32"/>
    <s v="No"/>
    <s v=""/>
    <m/>
    <m/>
    <s v="*MAV141001928"/>
    <s v="*MAV141001928"/>
    <n v="2.0525563768720222E-5"/>
  </r>
  <r>
    <x v="6"/>
    <s v="Pesos"/>
    <d v="2026-10-16T00:00:00"/>
    <s v="29/09/2026"/>
    <n v="0.98849036000000001"/>
    <m/>
    <n v="1123163.29"/>
    <n v="1110236.0900000001"/>
    <n v="1123163.29"/>
    <n v="1110236.0900000001"/>
    <n v="11312171"/>
    <s v="AMOMPY"/>
    <s v="Momentum Capital Investment S.A."/>
    <s v="24/09/2026"/>
    <s v="24/09/2026"/>
    <n v="25"/>
    <s v="No"/>
    <s v=""/>
    <m/>
    <m/>
    <s v="*PRO141000017"/>
    <s v="*PRO141000017"/>
    <n v="1.4760110103358762E-5"/>
  </r>
  <r>
    <x v="6"/>
    <s v="Pesos"/>
    <d v="2026-10-16T00:00:00"/>
    <s v="29/09/2026"/>
    <n v="0.98849021999999998"/>
    <m/>
    <n v="32000000"/>
    <n v="31631687"/>
    <n v="32000000"/>
    <n v="31631687"/>
    <n v="5312"/>
    <s v="AMOMPY"/>
    <s v="Momentum Capital Investment S.A."/>
    <s v="16/07/2026"/>
    <s v="16/07/2026"/>
    <n v="25"/>
    <s v="No"/>
    <s v=""/>
    <m/>
    <m/>
    <s v="*PRO141000011"/>
    <s v="*PRO141000011"/>
    <n v="4.2052963966878609E-4"/>
  </r>
  <r>
    <x v="55"/>
    <s v="Pesos"/>
    <d v="2026-10-16T00:00:00"/>
    <s v="29/09/2026"/>
    <n v="0.98712685"/>
    <m/>
    <n v="55065217.939999998"/>
    <n v="54356355.170000002"/>
    <n v="55065217.939999998"/>
    <n v="54356355.170000002"/>
    <n v="40293250"/>
    <s v="AMOMPY"/>
    <s v="Momentum Capital Investment S.A."/>
    <s v="18/08/2026"/>
    <s v="18/08/2026"/>
    <n v="28"/>
    <s v="No"/>
    <s v=""/>
    <m/>
    <m/>
    <s v="*MAV141001604"/>
    <s v="*MAV141001604"/>
    <n v="7.2264430453388903E-4"/>
  </r>
  <r>
    <x v="55"/>
    <s v="Pesos"/>
    <d v="2026-10-16T00:00:00"/>
    <s v="29/09/2026"/>
    <n v="0.98712685"/>
    <m/>
    <n v="55065217.939999998"/>
    <n v="54356355.170000002"/>
    <n v="55065217.939999998"/>
    <n v="54356355.170000002"/>
    <n v="40293233"/>
    <s v="AMOMPY"/>
    <s v="Momentum Capital Investment S.A."/>
    <s v="18/08/2026"/>
    <s v="18/08/2026"/>
    <n v="28"/>
    <s v="No"/>
    <s v=""/>
    <m/>
    <m/>
    <s v="*MAV141001605"/>
    <s v="*MAV141001605"/>
    <n v="7.2264430453388903E-4"/>
  </r>
  <r>
    <x v="8"/>
    <s v="Pesos"/>
    <d v="2026-10-16T00:00:00"/>
    <s v="29/09/2026"/>
    <n v="0.98849021999999998"/>
    <m/>
    <n v="8650000"/>
    <n v="8550440.4199999999"/>
    <n v="8650000"/>
    <n v="8550440.4199999999"/>
    <n v="34387"/>
    <s v="AMOMPY"/>
    <s v="Momentum Capital Investment S.A."/>
    <s v="20/07/2026"/>
    <s v="20/07/2026"/>
    <n v="25"/>
    <s v="No"/>
    <s v=""/>
    <m/>
    <m/>
    <s v="*MIL141000028"/>
    <s v="*MIL141000028"/>
    <n v="1.1367441859272393E-4"/>
  </r>
  <r>
    <x v="8"/>
    <s v="Pesos"/>
    <d v="2026-10-16T00:00:00"/>
    <s v="29/09/2026"/>
    <n v="0.98758087000000006"/>
    <m/>
    <n v="15000000"/>
    <n v="14813713.07"/>
    <n v="15000000"/>
    <n v="14813713.07"/>
    <n v="11338652"/>
    <s v="AMOMPY"/>
    <s v="Momentum Capital Investment S.A."/>
    <s v="16/07/2026"/>
    <s v="16/07/2026"/>
    <n v="27"/>
    <s v="No"/>
    <s v=""/>
    <m/>
    <m/>
    <s v="*MIL141000027"/>
    <s v="*MIL141000027"/>
    <n v="1.969419278675806E-4"/>
  </r>
  <r>
    <x v="179"/>
    <s v="Pesos"/>
    <d v="2026-10-16T00:00:00"/>
    <s v="29/09/2026"/>
    <n v="0.98531477000000001"/>
    <m/>
    <n v="475000000"/>
    <n v="468024518.02999997"/>
    <n v="475000000"/>
    <n v="468024518.02999997"/>
    <n v="930"/>
    <s v="AMOMPY"/>
    <s v="Momentum Capital Investment S.A."/>
    <s v="14/07/2026"/>
    <s v="14/07/2026"/>
    <n v="32"/>
    <s v="No"/>
    <s v=""/>
    <m/>
    <m/>
    <s v="*MAV141001420"/>
    <s v="*MAV141001420"/>
    <n v="6.2221841637252282E-3"/>
  </r>
  <r>
    <x v="180"/>
    <s v="Pesos"/>
    <d v="2026-10-16T00:00:00"/>
    <s v="29/09/2026"/>
    <n v="0.98441129000000005"/>
    <m/>
    <n v="100000000"/>
    <n v="98441128.950000003"/>
    <n v="100000000"/>
    <n v="98441128.950000003"/>
    <n v="1982"/>
    <s v="AMOMPY"/>
    <s v="Momentum Capital Investment S.A."/>
    <s v="16/07/2026"/>
    <s v="16/07/2026"/>
    <n v="34"/>
    <s v="No"/>
    <s v=""/>
    <m/>
    <m/>
    <s v="*MAV141001429"/>
    <s v="*MAV141001429"/>
    <n v="1.3087323634029386E-3"/>
  </r>
  <r>
    <x v="57"/>
    <s v="Pesos"/>
    <d v="2026-10-16T00:00:00"/>
    <s v="29/09/2026"/>
    <n v="0.98621994999999996"/>
    <m/>
    <n v="2000000"/>
    <n v="1972439.89"/>
    <n v="2000000"/>
    <n v="1972439.89"/>
    <n v="9800"/>
    <s v="AMOMPY"/>
    <s v="Momentum Capital Investment S.A."/>
    <s v="04/08/2026"/>
    <s v="04/08/2026"/>
    <n v="30"/>
    <s v="No"/>
    <s v=""/>
    <m/>
    <m/>
    <s v="*MAV141001501"/>
    <s v="*MAV141001501"/>
    <n v="2.6222737858086419E-5"/>
  </r>
  <r>
    <x v="8"/>
    <s v="Pesos"/>
    <d v="2026-10-16T00:00:00"/>
    <s v="29/09/2026"/>
    <n v="0.98758084999999995"/>
    <m/>
    <n v="24500000"/>
    <n v="24195730.760000002"/>
    <n v="24500000"/>
    <n v="24195730.760000002"/>
    <n v="34220"/>
    <s v="AMOMPY"/>
    <s v="Momentum Capital Investment S.A."/>
    <s v="07/07/2026"/>
    <s v="07/07/2026"/>
    <n v="27"/>
    <s v="No"/>
    <s v=""/>
    <m/>
    <m/>
    <s v="*MIL141000026"/>
    <s v="*MIL141000026"/>
    <n v="3.2167180770427341E-4"/>
  </r>
  <r>
    <x v="8"/>
    <s v="Pesos"/>
    <d v="2026-10-16T00:00:00"/>
    <s v="29/09/2026"/>
    <n v="0.98803538000000002"/>
    <m/>
    <n v="4000000"/>
    <n v="3952141.5"/>
    <n v="4000000"/>
    <n v="3952141.5"/>
    <n v="90002230"/>
    <s v="AMOMPY"/>
    <s v="Momentum Capital Investment S.A."/>
    <s v="22/09/2026"/>
    <s v="22/09/2026"/>
    <n v="26"/>
    <s v="No"/>
    <s v=""/>
    <m/>
    <m/>
    <s v="*MIL141000033"/>
    <s v="*MIL141000033"/>
    <n v="5.2542017152453983E-5"/>
  </r>
  <r>
    <x v="129"/>
    <s v="Pesos"/>
    <d v="2026-10-16T00:00:00"/>
    <s v="29/09/2026"/>
    <n v="0.98531477000000001"/>
    <m/>
    <n v="9936187.5"/>
    <n v="9790272.3499999996"/>
    <n v="9936187.5"/>
    <n v="9790272.3499999996"/>
    <n v="67195494"/>
    <s v="AMOMPY"/>
    <s v="Momentum Capital Investment S.A."/>
    <s v="14/07/2026"/>
    <s v="14/07/2026"/>
    <n v="32"/>
    <s v="No"/>
    <s v=""/>
    <m/>
    <m/>
    <s v="*MAV141001419"/>
    <s v="*MAV141001419"/>
    <n v="1.3015744950956235E-4"/>
  </r>
  <r>
    <x v="45"/>
    <s v="Pesos"/>
    <d v="2026-10-16T00:00:00"/>
    <s v="29/09/2026"/>
    <n v="0.98758089000000004"/>
    <m/>
    <n v="3620482.75"/>
    <n v="3575519.56"/>
    <n v="3620482.75"/>
    <n v="3575519.56"/>
    <n v="4323"/>
    <s v="AMOMPY"/>
    <s v="Momentum Capital Investment S.A."/>
    <s v="25/09/2026"/>
    <s v="25/09/2026"/>
    <n v="27"/>
    <s v="No"/>
    <s v=""/>
    <m/>
    <m/>
    <s v="*NEU141000036"/>
    <s v="*NEU141000036"/>
    <n v="4.7534990852542786E-5"/>
  </r>
  <r>
    <x v="60"/>
    <s v="Pesos"/>
    <d v="2026-10-16T00:00:00"/>
    <s v="29/09/2026"/>
    <n v="0.98260924999999999"/>
    <m/>
    <n v="269000000"/>
    <n v="264321888.78999999"/>
    <n v="269000000"/>
    <n v="264321888.78999999"/>
    <n v="70403625"/>
    <s v="AMOMPY"/>
    <s v="Momentum Capital Investment S.A."/>
    <s v="18/08/2026"/>
    <s v="18/08/2026"/>
    <n v="38"/>
    <s v="No"/>
    <s v=""/>
    <m/>
    <m/>
    <s v="*MAV141001613"/>
    <s v="*MAV141001613"/>
    <n v="3.5140455407715577E-3"/>
  </r>
  <r>
    <x v="181"/>
    <s v="Pesos"/>
    <d v="2026-10-16T00:00:00"/>
    <s v="29/09/2026"/>
    <n v="0.98531484000000003"/>
    <m/>
    <n v="5072132.87"/>
    <n v="4997647.7699999996"/>
    <n v="5072132.87"/>
    <n v="4997647.7699999996"/>
    <n v="30043166"/>
    <s v="AMOMPY"/>
    <s v="Momentum Capital Investment S.A."/>
    <s v="25/08/2026"/>
    <s v="25/08/2026"/>
    <n v="32"/>
    <s v="No"/>
    <s v=""/>
    <m/>
    <m/>
    <s v="*MAV141001681"/>
    <s v="*MAV141001681"/>
    <n v="6.6441572209209455E-5"/>
  </r>
  <r>
    <x v="85"/>
    <s v="Pesos"/>
    <d v="2026-10-16T00:00:00"/>
    <s v="29/09/2026"/>
    <n v="0.98486282000000003"/>
    <m/>
    <n v="7261808.2000000002"/>
    <n v="7151884.9199999999"/>
    <n v="7261808.2000000002"/>
    <n v="7151884.9199999999"/>
    <n v="90000672"/>
    <s v="AMOMPY"/>
    <s v="Momentum Capital Investment S.A."/>
    <s v="02/06/2026"/>
    <s v="02/06/2026"/>
    <n v="33"/>
    <s v="No"/>
    <s v=""/>
    <m/>
    <m/>
    <s v="*MAV141001328"/>
    <s v="*MAV141001328"/>
    <n v="9.5081226251392316E-5"/>
  </r>
  <r>
    <x v="130"/>
    <s v="Pesos"/>
    <d v="2026-10-16T00:00:00"/>
    <s v="29/09/2026"/>
    <n v="0.98215967999999998"/>
    <m/>
    <n v="3750000"/>
    <n v="3683098.8"/>
    <n v="3750000"/>
    <n v="3683098.8"/>
    <n v="66920206"/>
    <s v="AMOMPY"/>
    <s v="Momentum Capital Investment S.A."/>
    <s v="13/05/2026"/>
    <s v="13/05/2026"/>
    <n v="39"/>
    <s v="No"/>
    <s v=""/>
    <m/>
    <m/>
    <s v="*MAV141001310"/>
    <s v="*MAV141001310"/>
    <n v="4.8965210462171633E-5"/>
  </r>
  <r>
    <x v="182"/>
    <s v="Pesos"/>
    <d v="2026-10-16T00:00:00"/>
    <s v="29/09/2026"/>
    <n v="0.98486282000000003"/>
    <m/>
    <n v="7190687"/>
    <n v="7081840.2999999998"/>
    <n v="7190687"/>
    <n v="7081840.2999999998"/>
    <n v="90001573"/>
    <s v="AMOMPY"/>
    <s v="Momentum Capital Investment S.A."/>
    <s v="02/06/2026"/>
    <s v="02/06/2026"/>
    <n v="33"/>
    <s v="No"/>
    <s v=""/>
    <m/>
    <m/>
    <s v="*MAV141001327"/>
    <s v="*MAV141001327"/>
    <n v="9.4150013230432129E-5"/>
  </r>
  <r>
    <x v="183"/>
    <s v="Pesos"/>
    <d v="2026-10-16T00:00:00"/>
    <s v="29/09/2026"/>
    <n v="0.98531482000000004"/>
    <m/>
    <n v="30000000"/>
    <n v="29559444.68"/>
    <n v="30000000"/>
    <n v="29559444.68"/>
    <n v="10506"/>
    <s v="AMOMPY"/>
    <s v="Momentum Capital Investment S.A."/>
    <s v="28/08/2026"/>
    <s v="28/08/2026"/>
    <n v="32"/>
    <s v="No"/>
    <s v=""/>
    <m/>
    <m/>
    <s v="*MAV141001710"/>
    <s v="*MAV141001710"/>
    <n v="3.9298007153680471E-4"/>
  </r>
  <r>
    <x v="152"/>
    <s v="Pesos"/>
    <d v="2026-10-16T00:00:00"/>
    <s v="29/09/2026"/>
    <n v="0.98576726000000003"/>
    <m/>
    <n v="50000000"/>
    <n v="49288363.119999997"/>
    <n v="50000000"/>
    <n v="49288363.119999997"/>
    <n v="16836861"/>
    <s v="AMOMPY"/>
    <s v="Momentum Capital Investment S.A."/>
    <s v="09/09/2026"/>
    <s v="09/09/2026"/>
    <n v="31"/>
    <s v="No"/>
    <s v=""/>
    <m/>
    <m/>
    <s v="*MAV141001854"/>
    <s v="*MAV141001854"/>
    <n v="6.5526753545322718E-4"/>
  </r>
  <r>
    <x v="48"/>
    <s v="Pesos"/>
    <d v="2026-10-16T00:00:00"/>
    <s v="29/09/2026"/>
    <n v="0.98396011999999999"/>
    <m/>
    <n v="3455000"/>
    <n v="3399582.2"/>
    <n v="3455000"/>
    <n v="3399582.2"/>
    <n v="40773792"/>
    <s v="AMOMPY"/>
    <s v="Momentum Capital Investment S.A."/>
    <s v="12/08/2026"/>
    <s v="12/08/2026"/>
    <n v="35"/>
    <s v="No"/>
    <s v=""/>
    <m/>
    <m/>
    <s v="*MAV141001567"/>
    <s v="*MAV141001567"/>
    <n v="4.5195979512266263E-5"/>
  </r>
  <r>
    <x v="184"/>
    <s v="Dolar 3500"/>
    <d v="2026-10-16T00:00:00"/>
    <s v="29/09/2026"/>
    <n v="0.99628799000000001"/>
    <s v="1 US3 = 1523,9697583441 $"/>
    <n v="18230"/>
    <n v="18162.330000000002"/>
    <n v="27781968.690000001"/>
    <n v="27678841.66"/>
    <n v="146445"/>
    <s v="AMOMPY"/>
    <s v="Momentum Capital Investment S.A."/>
    <s v="17/04/2026"/>
    <s v="17/04/2026"/>
    <n v="8"/>
    <s v="No"/>
    <s v=""/>
    <m/>
    <m/>
    <s v="#UMV141060033"/>
    <s v="#UMV141060033"/>
    <n v="3.6797826526701488E-4"/>
  </r>
  <r>
    <x v="21"/>
    <s v="Pesos"/>
    <d v="2026-10-16T00:00:00"/>
    <s v="29/09/2026"/>
    <n v="0.98486282999999997"/>
    <m/>
    <n v="36666666"/>
    <n v="36111636.57"/>
    <n v="36666666"/>
    <n v="36111636.57"/>
    <n v="14537769"/>
    <s v="AMOMPY"/>
    <s v="Momentum Capital Investment S.A."/>
    <s v="14/09/2026"/>
    <s v="14/09/2026"/>
    <n v="33"/>
    <s v="No"/>
    <s v=""/>
    <m/>
    <m/>
    <s v="*MAV141001911"/>
    <s v="*MAV141001911"/>
    <n v="4.8008863753084868E-4"/>
  </r>
  <r>
    <x v="21"/>
    <s v="Pesos"/>
    <d v="2026-10-16T00:00:00"/>
    <s v="29/09/2026"/>
    <n v="0.98486291000000004"/>
    <m/>
    <n v="25000000"/>
    <n v="24621572.77"/>
    <n v="25000000"/>
    <n v="24621572.77"/>
    <n v="14422592"/>
    <s v="AMOMPY"/>
    <s v="Momentum Capital Investment S.A."/>
    <s v="02/09/2026"/>
    <s v="02/09/2026"/>
    <n v="33"/>
    <s v="No"/>
    <s v=""/>
    <m/>
    <m/>
    <s v="*MAV141001747"/>
    <s v="*MAV141001747"/>
    <n v="3.2733319361205414E-4"/>
  </r>
  <r>
    <x v="21"/>
    <s v="Pesos"/>
    <d v="2026-10-16T00:00:00"/>
    <s v="29/09/2026"/>
    <n v="0.98531484000000003"/>
    <m/>
    <n v="10000000"/>
    <n v="9853148.4000000004"/>
    <n v="10000000"/>
    <n v="9853148.4000000004"/>
    <n v="14422565"/>
    <s v="AMOMPY"/>
    <s v="Momentum Capital Investment S.A."/>
    <s v="01/09/2026"/>
    <s v="01/09/2026"/>
    <n v="32"/>
    <s v="No"/>
    <s v=""/>
    <m/>
    <m/>
    <s v="*MAV141001736"/>
    <s v="*MAV141001736"/>
    <n v="1.3099335948332685E-4"/>
  </r>
  <r>
    <x v="171"/>
    <s v="Pesos"/>
    <d v="2026-10-16T00:00:00"/>
    <s v="29/09/2026"/>
    <n v="0.98441129999999999"/>
    <m/>
    <n v="10000000"/>
    <n v="9844112.9600000009"/>
    <n v="10000000"/>
    <n v="9844112.9600000009"/>
    <n v="6034859"/>
    <s v="AMOMPY"/>
    <s v="Momentum Capital Investment S.A."/>
    <s v="27/07/2026"/>
    <s v="27/07/2026"/>
    <n v="34"/>
    <s v="No"/>
    <s v=""/>
    <m/>
    <m/>
    <s v="*MAV141001459"/>
    <s v="*MAV141001459"/>
    <n v="1.3087323720444084E-4"/>
  </r>
  <r>
    <x v="185"/>
    <s v="Pesos"/>
    <d v="2026-10-16T00:00:00"/>
    <s v="29/09/2026"/>
    <n v="0.98803549000000002"/>
    <m/>
    <n v="5000000"/>
    <n v="4940177.45"/>
    <n v="5000000"/>
    <n v="4940177.45"/>
    <n v="92147552"/>
    <s v="AMOMPY"/>
    <s v="Momentum Capital Investment S.A."/>
    <s v="24/09/2026"/>
    <s v="24/09/2026"/>
    <n v="26"/>
    <s v="No"/>
    <s v=""/>
    <m/>
    <m/>
    <s v="NOVA141000008"/>
    <s v="NOVA141000008"/>
    <n v="6.5677529084944559E-5"/>
  </r>
  <r>
    <x v="172"/>
    <s v="Pesos"/>
    <d v="2026-10-16T00:00:00"/>
    <s v="29/09/2026"/>
    <n v="0.98803534999999998"/>
    <m/>
    <n v="4636054.5"/>
    <n v="4580585.7300000004"/>
    <n v="4636054.5"/>
    <n v="4580585.7300000004"/>
    <n v="69910366"/>
    <s v="AMOMPY"/>
    <s v="Momentum Capital Investment S.A."/>
    <s v="25/09/2026"/>
    <s v="25/09/2026"/>
    <n v="26"/>
    <s v="No"/>
    <s v=""/>
    <m/>
    <m/>
    <s v="*TRD141000160"/>
    <s v="*TRD141000160"/>
    <n v="6.0896912216818651E-5"/>
  </r>
  <r>
    <x v="26"/>
    <s v="Pesos"/>
    <d v="2026-10-16T00:00:00"/>
    <s v="29/09/2026"/>
    <n v="0.98621999999999999"/>
    <m/>
    <n v="5674198"/>
    <n v="5596007.54"/>
    <n v="5674198"/>
    <n v="5596007.54"/>
    <n v="90044976"/>
    <s v="AMOMPY"/>
    <s v="Momentum Capital Investment S.A."/>
    <s v="11/09/2026"/>
    <s v="11/09/2026"/>
    <n v="30"/>
    <s v="No"/>
    <s v=""/>
    <m/>
    <m/>
    <s v="*MAV141001878"/>
    <s v="*MAV141001878"/>
    <n v="7.4396507349734785E-5"/>
  </r>
  <r>
    <x v="28"/>
    <s v="Pesos"/>
    <d v="2026-10-16T00:00:00"/>
    <s v="29/09/2026"/>
    <n v="0.98621996000000001"/>
    <m/>
    <n v="4000000"/>
    <n v="3944879.83"/>
    <n v="4000000"/>
    <n v="3944879.83"/>
    <n v="860"/>
    <s v="AMOMPY"/>
    <s v="Momentum Capital Investment S.A."/>
    <s v="05/08/2026"/>
    <s v="05/08/2026"/>
    <n v="30"/>
    <s v="No"/>
    <s v=""/>
    <m/>
    <m/>
    <s v="*MAV141001515"/>
    <s v="*MAV141001515"/>
    <n v="5.2445476380901283E-5"/>
  </r>
  <r>
    <x v="28"/>
    <s v="Pesos"/>
    <d v="2026-10-16T00:00:00"/>
    <s v="29/09/2026"/>
    <n v="0.98621998"/>
    <m/>
    <n v="2500000"/>
    <n v="2465549.9500000002"/>
    <n v="2500000"/>
    <n v="2465549.9500000002"/>
    <n v="883"/>
    <s v="AMOMPY"/>
    <s v="Momentum Capital Investment S.A."/>
    <s v="06/08/2026"/>
    <s v="06/08/2026"/>
    <n v="30"/>
    <s v="No"/>
    <s v=""/>
    <m/>
    <m/>
    <s v="*MAV141001530"/>
    <s v="*MAV141001530"/>
    <n v="3.2778423485882799E-5"/>
  </r>
  <r>
    <x v="28"/>
    <s v="Pesos"/>
    <d v="2026-10-16T00:00:00"/>
    <s v="29/09/2026"/>
    <n v="0.98621999000000005"/>
    <m/>
    <n v="2500000"/>
    <n v="2465549.98"/>
    <n v="2500000"/>
    <n v="2465549.98"/>
    <n v="913"/>
    <s v="AMOMPY"/>
    <s v="Momentum Capital Investment S.A."/>
    <s v="10/08/2026"/>
    <s v="10/08/2026"/>
    <n v="30"/>
    <s v="No"/>
    <s v=""/>
    <m/>
    <m/>
    <s v="*MAV141001541"/>
    <s v="*MAV141001541"/>
    <n v="3.2778423884719863E-5"/>
  </r>
  <r>
    <x v="89"/>
    <s v="Pesos"/>
    <d v="2026-10-19T00:00:00"/>
    <s v="29/09/2026"/>
    <n v="0.98488940000000003"/>
    <m/>
    <n v="30000000"/>
    <n v="29546681.859999999"/>
    <n v="30000000"/>
    <n v="29546681.859999999"/>
    <n v="29600865"/>
    <s v="AMOMPY"/>
    <s v="Momentum Capital Investment S.A."/>
    <s v="07/07/2026"/>
    <s v="07/07/2026"/>
    <n v="28"/>
    <s v="No"/>
    <s v=""/>
    <m/>
    <m/>
    <s v="*INP151000082"/>
    <s v="*INP151000082"/>
    <n v="3.9281039534799577E-4"/>
  </r>
  <r>
    <x v="28"/>
    <s v="Pesos"/>
    <d v="2026-10-19T00:00:00"/>
    <s v="29/09/2026"/>
    <n v="0.98382753000000001"/>
    <m/>
    <n v="10000000"/>
    <n v="9838275.25"/>
    <n v="10000000"/>
    <n v="9838275.25"/>
    <n v="726"/>
    <s v="AMOMPY"/>
    <s v="Momentum Capital Investment S.A."/>
    <s v="30/06/2026"/>
    <s v="30/06/2026"/>
    <n v="30"/>
    <s v="No"/>
    <s v=""/>
    <m/>
    <m/>
    <s v="*MAV151001396"/>
    <s v="*MAV151001396"/>
    <n v="1.3079562736710299E-4"/>
  </r>
  <r>
    <x v="28"/>
    <s v="Pesos"/>
    <d v="2026-10-19T00:00:00"/>
    <s v="29/09/2026"/>
    <n v="0.98382753999999994"/>
    <m/>
    <n v="6500000"/>
    <n v="6394878.9900000002"/>
    <n v="6500000"/>
    <n v="6394878.9900000002"/>
    <n v="743"/>
    <s v="AMOMPY"/>
    <s v="Momentum Capital Investment S.A."/>
    <s v="08/07/2026"/>
    <s v="08/07/2026"/>
    <n v="30"/>
    <s v="No"/>
    <s v=""/>
    <m/>
    <m/>
    <s v="*MAV151001437"/>
    <s v="*MAV151001437"/>
    <n v="8.5017158818946048E-5"/>
  </r>
  <r>
    <x v="28"/>
    <s v="Pesos"/>
    <d v="2026-10-19T00:00:00"/>
    <s v="29/09/2026"/>
    <n v="0.98382751999999996"/>
    <m/>
    <n v="5000000"/>
    <n v="4919137.5999999996"/>
    <n v="5000000"/>
    <n v="4919137.5999999996"/>
    <n v="792"/>
    <s v="AMOMPY"/>
    <s v="Momentum Capital Investment S.A."/>
    <s v="14/07/2026"/>
    <s v="14/07/2026"/>
    <n v="30"/>
    <s v="No"/>
    <s v=""/>
    <m/>
    <m/>
    <s v="*MAV151001448"/>
    <s v="*MAV151001448"/>
    <n v="6.5397813351187275E-5"/>
  </r>
  <r>
    <x v="28"/>
    <s v="Pesos"/>
    <d v="2026-10-19T00:00:00"/>
    <s v="29/09/2026"/>
    <n v="0.98276799000000004"/>
    <m/>
    <n v="10000000"/>
    <n v="9827679.9399999995"/>
    <n v="10000000"/>
    <n v="9827679.9399999995"/>
    <n v="1102"/>
    <s v="AMOMPY"/>
    <s v="Momentum Capital Investment S.A."/>
    <s v="28/08/2026"/>
    <s v="28/08/2026"/>
    <n v="32"/>
    <s v="No"/>
    <s v=""/>
    <m/>
    <m/>
    <s v="*MAV151001736"/>
    <s v="*MAV151001736"/>
    <n v="1.3065476728915397E-4"/>
  </r>
  <r>
    <x v="186"/>
    <s v="Pesos"/>
    <d v="2026-10-19T00:00:00"/>
    <s v="29/09/2026"/>
    <n v="0.98223903999999995"/>
    <m/>
    <n v="4980525.82"/>
    <n v="4892066.91"/>
    <n v="4980525.82"/>
    <n v="4892066.91"/>
    <n v="6009"/>
    <s v="AMOMPY"/>
    <s v="Momentum Capital Investment S.A."/>
    <s v="21/09/2026"/>
    <s v="21/09/2026"/>
    <n v="33"/>
    <s v="No"/>
    <s v=""/>
    <m/>
    <m/>
    <s v="*MAV151001979"/>
    <s v="*MAV151001979"/>
    <n v="6.5037920200016264E-5"/>
  </r>
  <r>
    <x v="187"/>
    <s v="Pesos"/>
    <d v="2026-10-19T00:00:00"/>
    <s v="29/09/2026"/>
    <n v="0.98223916"/>
    <m/>
    <n v="250000"/>
    <n v="245559.79"/>
    <n v="250000"/>
    <n v="245559.79"/>
    <n v="6"/>
    <s v="AMOMPY"/>
    <s v="Momentum Capital Investment S.A."/>
    <s v="23/09/2026"/>
    <s v="23/09/2026"/>
    <n v="33"/>
    <s v="No"/>
    <s v=""/>
    <m/>
    <m/>
    <s v="*MAV151002022"/>
    <s v="*MAV151002022"/>
    <n v="3.2646115272272005E-6"/>
  </r>
  <r>
    <x v="35"/>
    <s v="Pesos"/>
    <d v="2026-10-19T00:00:00"/>
    <s v="29/09/2026"/>
    <n v="0.98065564999999999"/>
    <m/>
    <n v="2954385"/>
    <n v="2897234.33"/>
    <n v="2954385"/>
    <n v="2897234.33"/>
    <n v="3296"/>
    <s v="AMOMPY"/>
    <s v="Momentum Capital Investment S.A."/>
    <s v="24/08/2026"/>
    <s v="24/08/2026"/>
    <n v="36"/>
    <s v="No"/>
    <s v=""/>
    <m/>
    <m/>
    <s v="*MAV151001703"/>
    <s v="*MAV151001703"/>
    <n v="3.8517481183692064E-5"/>
  </r>
  <r>
    <x v="35"/>
    <s v="Pesos"/>
    <d v="2026-10-19T00:00:00"/>
    <s v="29/09/2026"/>
    <n v="0.98065568000000003"/>
    <m/>
    <n v="1874176.47"/>
    <n v="1837921.81"/>
    <n v="1874176.47"/>
    <n v="1837921.81"/>
    <n v="3459"/>
    <s v="AMOMPY"/>
    <s v="Momentum Capital Investment S.A."/>
    <s v="08/09/2026"/>
    <s v="08/09/2026"/>
    <n v="36"/>
    <s v="No"/>
    <s v=""/>
    <m/>
    <m/>
    <s v="*MAV151001834"/>
    <s v="*MAV151001834"/>
    <n v="2.4434377986185283E-5"/>
  </r>
  <r>
    <x v="188"/>
    <s v="Pesos"/>
    <d v="2026-10-19T00:00:00"/>
    <s v="29/09/2026"/>
    <n v="0.98276803000000001"/>
    <m/>
    <n v="5000000"/>
    <n v="4913840.1399999997"/>
    <n v="5000000"/>
    <n v="4913840.1399999997"/>
    <n v="1267"/>
    <s v="AMOMPY"/>
    <s v="Momentum Capital Investment S.A."/>
    <s v="15/09/2026"/>
    <s v="15/09/2026"/>
    <n v="32"/>
    <s v="No"/>
    <s v=""/>
    <m/>
    <m/>
    <s v="*MAV151001909"/>
    <s v="*MAV151001909"/>
    <n v="6.5327385904653685E-5"/>
  </r>
  <r>
    <x v="6"/>
    <s v="Pesos"/>
    <d v="2026-10-19T00:00:00"/>
    <s v="29/09/2026"/>
    <n v="0.98648650999999998"/>
    <m/>
    <n v="882614.45"/>
    <n v="870687.25"/>
    <n v="882614.45"/>
    <n v="870687.25"/>
    <n v="3905487"/>
    <s v="AMOMPY"/>
    <s v="Momentum Capital Investment S.A."/>
    <s v="24/09/2026"/>
    <s v="24/09/2026"/>
    <n v="25"/>
    <s v="No"/>
    <s v=""/>
    <m/>
    <m/>
    <s v="*PRO151000028"/>
    <s v="*PRO151000028"/>
    <n v="1.1575411564571509E-5"/>
  </r>
  <r>
    <x v="6"/>
    <s v="Pesos"/>
    <d v="2026-10-19T00:00:00"/>
    <s v="29/09/2026"/>
    <n v="0.98648652000000003"/>
    <m/>
    <n v="5000000"/>
    <n v="4932432.58"/>
    <n v="5000000"/>
    <n v="4932432.58"/>
    <n v="11253152"/>
    <s v="AMOMPY"/>
    <s v="Momentum Capital Investment S.A."/>
    <s v="24/09/2026"/>
    <s v="24/09/2026"/>
    <n v="25"/>
    <s v="No"/>
    <s v=""/>
    <m/>
    <m/>
    <s v="*PRO151000029"/>
    <s v="*PRO151000029"/>
    <n v="6.5574564377738722E-5"/>
  </r>
  <r>
    <x v="6"/>
    <s v="Pesos"/>
    <d v="2026-10-19T00:00:00"/>
    <s v="29/09/2026"/>
    <n v="0.98648652000000003"/>
    <m/>
    <n v="1546940.82"/>
    <n v="1526036.26"/>
    <n v="1546940.82"/>
    <n v="1526036.26"/>
    <n v="10997068"/>
    <s v="AMOMPY"/>
    <s v="Momentum Capital Investment S.A."/>
    <s v="24/09/2026"/>
    <s v="24/09/2026"/>
    <n v="25"/>
    <s v="No"/>
    <s v=""/>
    <m/>
    <m/>
    <s v="*PRO151000031"/>
    <s v="*PRO151000031"/>
    <n v="2.02879940781945E-5"/>
  </r>
  <r>
    <x v="6"/>
    <s v="Pesos"/>
    <d v="2026-10-19T00:00:00"/>
    <s v="29/09/2026"/>
    <n v="0.98648654000000002"/>
    <m/>
    <n v="366054.15"/>
    <n v="361107.49"/>
    <n v="366054.15"/>
    <n v="361107.49"/>
    <n v="11392703"/>
    <s v="AMOMPY"/>
    <s v="Momentum Capital Investment S.A."/>
    <s v="24/09/2026"/>
    <s v="24/09/2026"/>
    <n v="25"/>
    <s v="No"/>
    <s v=""/>
    <m/>
    <m/>
    <s v="*PRO151000030"/>
    <s v="*PRO151000030"/>
    <n v="4.8007683767040236E-6"/>
  </r>
  <r>
    <x v="35"/>
    <s v="Pesos"/>
    <d v="2026-10-19T00:00:00"/>
    <s v="29/09/2026"/>
    <n v="0.98223903000000001"/>
    <m/>
    <n v="2502550.36"/>
    <n v="2458102.64"/>
    <n v="2502550.36"/>
    <n v="2458102.64"/>
    <n v="3126"/>
    <s v="AMOMPY"/>
    <s v="Momentum Capital Investment S.A."/>
    <s v="23/07/2026"/>
    <s v="23/07/2026"/>
    <n v="33"/>
    <s v="No"/>
    <s v=""/>
    <m/>
    <m/>
    <s v="*MAV151001494"/>
    <s v="*MAV151001494"/>
    <n v="3.2679414710574614E-5"/>
  </r>
  <r>
    <x v="35"/>
    <s v="Pesos"/>
    <d v="2026-10-19T00:00:00"/>
    <s v="29/09/2026"/>
    <n v="0.98223903000000001"/>
    <m/>
    <n v="2502550.36"/>
    <n v="2458102.64"/>
    <n v="2502550.36"/>
    <n v="2458102.64"/>
    <n v="3136"/>
    <s v="AMOMPY"/>
    <s v="Momentum Capital Investment S.A."/>
    <s v="23/07/2026"/>
    <s v="23/07/2026"/>
    <n v="33"/>
    <s v="No"/>
    <s v=""/>
    <m/>
    <m/>
    <s v="*MAV151001495"/>
    <s v="*MAV151001495"/>
    <n v="3.2679414710574614E-5"/>
  </r>
  <r>
    <x v="189"/>
    <s v="Pesos"/>
    <d v="2026-10-19T00:00:00"/>
    <s v="29/09/2026"/>
    <n v="0.98329747999999995"/>
    <m/>
    <n v="5000000"/>
    <n v="4916487.42"/>
    <n v="5000000"/>
    <n v="4916487.42"/>
    <n v="92898"/>
    <s v="AMOMPY"/>
    <s v="Momentum Capital Investment S.A."/>
    <s v="31/08/2026"/>
    <s v="31/08/2026"/>
    <n v="31"/>
    <s v="No"/>
    <s v=""/>
    <m/>
    <m/>
    <s v="*MAV151001745"/>
    <s v="*MAV151001745"/>
    <n v="6.5362580350795702E-5"/>
  </r>
  <r>
    <x v="39"/>
    <s v="Pesos"/>
    <d v="2026-10-19T00:00:00"/>
    <s v="29/09/2026"/>
    <n v="0.98488938999999998"/>
    <m/>
    <n v="212000000"/>
    <n v="208796550.53"/>
    <n v="212000000"/>
    <n v="208796550.53"/>
    <n v="39"/>
    <s v="AMOMPY"/>
    <s v="Momentum Capital Investment S.A."/>
    <s v="03/07/2026"/>
    <s v="03/07/2026"/>
    <n v="28"/>
    <s v="No"/>
    <s v=""/>
    <m/>
    <m/>
    <s v="*FED151000042"/>
    <s v="*FED151000042"/>
    <n v="2.7758601100999255E-3"/>
  </r>
  <r>
    <x v="67"/>
    <s v="Pesos"/>
    <d v="2026-10-19T00:00:00"/>
    <s v="29/09/2026"/>
    <n v="0.98329741999999998"/>
    <m/>
    <n v="16500000"/>
    <n v="16224407.359999999"/>
    <n v="16500000"/>
    <n v="16224407.359999999"/>
    <n v="28676"/>
    <s v="AMOMPY"/>
    <s v="Momentum Capital Investment S.A."/>
    <s v="27/04/2026"/>
    <s v="27/04/2026"/>
    <n v="31"/>
    <s v="No"/>
    <s v=""/>
    <m/>
    <m/>
    <s v="*MAV151001343"/>
    <s v="*MAV151001343"/>
    <n v="2.1569650018794131E-4"/>
  </r>
  <r>
    <x v="8"/>
    <s v="Pesos"/>
    <d v="2026-10-19T00:00:00"/>
    <s v="29/09/2026"/>
    <n v="0.98542118999999995"/>
    <m/>
    <n v="20000000"/>
    <n v="19708423.84"/>
    <n v="20000000"/>
    <n v="19708423.84"/>
    <n v="68122791"/>
    <s v="AMOMPY"/>
    <s v="Momentum Capital Investment S.A."/>
    <s v="07/07/2026"/>
    <s v="07/07/2026"/>
    <n v="27"/>
    <s v="No"/>
    <s v=""/>
    <m/>
    <m/>
    <s v="*MIL151000039"/>
    <s v="*MIL151000039"/>
    <n v="2.6201499704631349E-4"/>
  </r>
  <r>
    <x v="8"/>
    <s v="Pesos"/>
    <d v="2026-10-19T00:00:00"/>
    <s v="29/09/2026"/>
    <n v="0.98542118999999995"/>
    <m/>
    <n v="1650000"/>
    <n v="1625944.96"/>
    <n v="1650000"/>
    <n v="1625944.96"/>
    <n v="582"/>
    <s v="AMOMPY"/>
    <s v="Momentum Capital Investment S.A."/>
    <s v="07/07/2026"/>
    <s v="07/07/2026"/>
    <n v="27"/>
    <s v="No"/>
    <s v=""/>
    <m/>
    <m/>
    <s v="*MIL151000040"/>
    <s v="*MIL151000040"/>
    <n v="2.1616237165917796E-5"/>
  </r>
  <r>
    <x v="149"/>
    <s v="Pesos"/>
    <d v="2026-10-19T00:00:00"/>
    <s v="29/09/2026"/>
    <n v="0.98223903999999995"/>
    <m/>
    <n v="41359418"/>
    <n v="40624835.079999998"/>
    <n v="41359418"/>
    <n v="40624835.079999998"/>
    <n v="397"/>
    <s v="AMOMPY"/>
    <s v="Momentum Capital Investment S.A."/>
    <s v="10/08/2026"/>
    <s v="10/08/2026"/>
    <n v="33"/>
    <s v="No"/>
    <s v=""/>
    <m/>
    <m/>
    <s v="*MAV151001572"/>
    <s v="*MAV151001572"/>
    <n v="5.400896657138856E-4"/>
  </r>
  <r>
    <x v="37"/>
    <s v="Pesos"/>
    <d v="2026-10-19T00:00:00"/>
    <s v="29/09/2026"/>
    <n v="0.98595365000000001"/>
    <m/>
    <n v="40000000"/>
    <n v="39438146.060000002"/>
    <n v="40000000"/>
    <n v="39438146.060000002"/>
    <n v="42632"/>
    <s v="AMOMPY"/>
    <s v="Momentum Capital Investment S.A."/>
    <s v="22/09/2026"/>
    <s v="22/09/2026"/>
    <n v="26"/>
    <s v="No"/>
    <s v=""/>
    <m/>
    <m/>
    <s v="*AFB151000025"/>
    <s v="*AFB151000025"/>
    <n v="5.2431314687126102E-4"/>
  </r>
  <r>
    <x v="130"/>
    <s v="Pesos"/>
    <d v="2026-10-19T00:00:00"/>
    <s v="29/09/2026"/>
    <n v="0.97907727"/>
    <m/>
    <n v="3750000"/>
    <n v="3671539.78"/>
    <n v="3750000"/>
    <n v="3671539.78"/>
    <n v="66917997"/>
    <s v="AMOMPY"/>
    <s v="Momentum Capital Investment S.A."/>
    <s v="13/05/2026"/>
    <s v="13/05/2026"/>
    <n v="39"/>
    <s v="No"/>
    <s v=""/>
    <m/>
    <m/>
    <s v="*MAV151001351"/>
    <s v="*MAV151001351"/>
    <n v="4.8811538275306473E-5"/>
  </r>
  <r>
    <x v="152"/>
    <s v="Pesos"/>
    <d v="2026-10-19T00:00:00"/>
    <s v="29/09/2026"/>
    <n v="0.98329741999999998"/>
    <m/>
    <n v="50000000"/>
    <n v="49164871.009999998"/>
    <n v="50000000"/>
    <n v="49164871.009999998"/>
    <n v="16836860"/>
    <s v="AMOMPY"/>
    <s v="Momentum Capital Investment S.A."/>
    <s v="09/09/2026"/>
    <s v="09/09/2026"/>
    <n v="31"/>
    <s v="No"/>
    <s v=""/>
    <m/>
    <m/>
    <s v="*MAV151001847"/>
    <s v="*MAV151001847"/>
    <n v="6.536257610982824E-4"/>
  </r>
  <r>
    <x v="48"/>
    <s v="Pesos"/>
    <d v="2026-10-19T00:00:00"/>
    <s v="29/09/2026"/>
    <n v="0.98118284"/>
    <m/>
    <n v="2112995"/>
    <n v="2073234.43"/>
    <n v="2112995"/>
    <n v="2073234.43"/>
    <n v="40773793"/>
    <s v="AMOMPY"/>
    <s v="Momentum Capital Investment S.A."/>
    <s v="12/08/2026"/>
    <s v="12/08/2026"/>
    <n v="35"/>
    <s v="No"/>
    <s v=""/>
    <m/>
    <m/>
    <s v="*MAV151001593"/>
    <s v="*MAV151001593"/>
    <n v="2.7562757806651955E-5"/>
  </r>
  <r>
    <x v="21"/>
    <s v="Pesos"/>
    <d v="2026-10-19T00:00:00"/>
    <s v="29/09/2026"/>
    <n v="0.98171067000000001"/>
    <m/>
    <n v="10000000"/>
    <n v="9817106.75"/>
    <n v="10000000"/>
    <n v="9817106.75"/>
    <n v="14284509"/>
    <s v="AMOMPY"/>
    <s v="Momentum Capital Investment S.A."/>
    <s v="24/08/2026"/>
    <s v="24/08/2026"/>
    <n v="34"/>
    <s v="No"/>
    <s v=""/>
    <m/>
    <m/>
    <s v="*MAV151001691"/>
    <s v="*MAV151001691"/>
    <n v="1.3051420128706723E-4"/>
  </r>
  <r>
    <x v="173"/>
    <s v="Pesos"/>
    <d v="2026-10-19T00:00:00"/>
    <s v="29/09/2026"/>
    <n v="0.98118285999999999"/>
    <m/>
    <n v="20000000"/>
    <n v="19623657.210000001"/>
    <n v="20000000"/>
    <n v="19623657.210000001"/>
    <n v="10549353"/>
    <s v="AMOMPY"/>
    <s v="Momentum Capital Investment S.A."/>
    <s v="13/08/2026"/>
    <s v="13/08/2026"/>
    <n v="35"/>
    <s v="No"/>
    <s v=""/>
    <m/>
    <m/>
    <s v="*MAV151001603"/>
    <s v="*MAV151001603"/>
    <n v="2.6088806125026075E-4"/>
  </r>
  <r>
    <x v="190"/>
    <s v="Pesos"/>
    <d v="2026-10-19T00:00:00"/>
    <s v="29/09/2026"/>
    <n v="0.98488942999999995"/>
    <m/>
    <n v="20600000"/>
    <n v="20288722.309999999"/>
    <n v="20600000"/>
    <n v="20288722.309999999"/>
    <n v="99803230"/>
    <s v="AMOMPY"/>
    <s v="Momentum Capital Investment S.A."/>
    <s v="10/08/2026"/>
    <s v="10/08/2026"/>
    <n v="28"/>
    <s v="No"/>
    <s v=""/>
    <m/>
    <m/>
    <s v="*MAV151001574"/>
    <s v="*MAV151001574"/>
    <n v="2.6972981499103605E-4"/>
  </r>
  <r>
    <x v="25"/>
    <s v="Pesos"/>
    <d v="2026-10-19T00:00:00"/>
    <s v="29/09/2026"/>
    <n v="0.98542132000000004"/>
    <m/>
    <n v="576780"/>
    <n v="568371.31000000006"/>
    <n v="576780"/>
    <n v="568371.31000000006"/>
    <n v="3"/>
    <s v="AMOMPY"/>
    <s v="Momentum Capital Investment S.A."/>
    <s v="16/09/2026"/>
    <s v="16/09/2026"/>
    <n v="27"/>
    <s v="No"/>
    <s v=""/>
    <m/>
    <m/>
    <s v="*CVA151000022"/>
    <s v="*CVA151000022"/>
    <n v="7.5562514952925507E-6"/>
  </r>
  <r>
    <x v="27"/>
    <s v="Pesos"/>
    <d v="2026-10-19T00:00:00"/>
    <s v="29/09/2026"/>
    <n v="0.98488940000000003"/>
    <m/>
    <n v="2500000"/>
    <n v="2462223.4900000002"/>
    <n v="2500000"/>
    <n v="2462223.4900000002"/>
    <n v="90031816"/>
    <s v="AMOMPY"/>
    <s v="Momentum Capital Investment S.A."/>
    <s v="22/04/2026"/>
    <s v="22/04/2026"/>
    <n v="28"/>
    <s v="No"/>
    <s v=""/>
    <m/>
    <m/>
    <s v="*MOV151000067"/>
    <s v="*MOV151000067"/>
    <n v="3.2734199634490602E-5"/>
  </r>
  <r>
    <x v="28"/>
    <s v="Pesos"/>
    <d v="2026-10-19T00:00:00"/>
    <s v="29/09/2026"/>
    <n v="0.98382749999999997"/>
    <m/>
    <n v="2500000"/>
    <n v="2459568.7400000002"/>
    <n v="2500000"/>
    <n v="2459568.7400000002"/>
    <n v="906"/>
    <s v="AMOMPY"/>
    <s v="Momentum Capital Investment S.A."/>
    <s v="07/08/2026"/>
    <s v="07/08/2026"/>
    <n v="30"/>
    <s v="No"/>
    <s v=""/>
    <m/>
    <m/>
    <s v="*MAV151001564"/>
    <s v="*MAV151001564"/>
    <n v="3.2698905877919516E-5"/>
  </r>
  <r>
    <x v="28"/>
    <s v="Pesos"/>
    <d v="2026-10-19T00:00:00"/>
    <s v="29/09/2026"/>
    <n v="0.98382755"/>
    <m/>
    <n v="2500000"/>
    <n v="2459568.88"/>
    <n v="2500000"/>
    <n v="2459568.88"/>
    <n v="603"/>
    <s v="AMOMPY"/>
    <s v="Momentum Capital Investment S.A."/>
    <s v="06/08/2026"/>
    <s v="06/08/2026"/>
    <n v="30"/>
    <s v="No"/>
    <s v=""/>
    <m/>
    <m/>
    <s v="*MAV151001558"/>
    <s v="*MAV151001558"/>
    <n v="3.2698907739159146E-5"/>
  </r>
  <r>
    <x v="28"/>
    <s v="Pesos"/>
    <d v="2026-10-19T00:00:00"/>
    <s v="29/09/2026"/>
    <n v="0.98382755"/>
    <m/>
    <n v="2000000"/>
    <n v="1967655.11"/>
    <n v="2000000"/>
    <n v="1967655.11"/>
    <n v="914"/>
    <s v="AMOMPY"/>
    <s v="Momentum Capital Investment S.A."/>
    <s v="10/08/2026"/>
    <s v="10/08/2026"/>
    <n v="30"/>
    <s v="No"/>
    <s v=""/>
    <m/>
    <m/>
    <s v="*MAV151001569"/>
    <s v="*MAV151001569"/>
    <n v="2.6159126271094731E-5"/>
  </r>
  <r>
    <x v="76"/>
    <s v="Pesos"/>
    <d v="2026-10-19T00:00:00"/>
    <s v="29/09/2026"/>
    <n v="0.97960289"/>
    <m/>
    <n v="42000000"/>
    <n v="41143321.490000002"/>
    <n v="42000000"/>
    <n v="41143321.490000002"/>
    <n v="160224"/>
    <s v="AMOMPY"/>
    <s v="Momentum Capital Investment S.A."/>
    <s v="14/08/2026"/>
    <s v="14/08/2026"/>
    <n v="38"/>
    <s v="No"/>
    <s v=""/>
    <m/>
    <m/>
    <s v="#MAV161060023"/>
    <s v="#MAV161060023"/>
    <n v="5.4698271897312095E-4"/>
  </r>
  <r>
    <x v="75"/>
    <s v="Pesos"/>
    <d v="2026-10-19T00:00:00"/>
    <s v="29/09/2026"/>
    <n v="0.98118282999999995"/>
    <m/>
    <n v="1500000"/>
    <n v="1471774.24"/>
    <n v="1500000"/>
    <n v="1471774.24"/>
    <n v="4"/>
    <s v="AMOMPY"/>
    <s v="Momentum Capital Investment S.A."/>
    <s v="23/04/2026"/>
    <s v="23/04/2026"/>
    <n v="35"/>
    <s v="No"/>
    <s v=""/>
    <m/>
    <m/>
    <s v="*MAV151001338"/>
    <s v="*MAV151001338"/>
    <n v="1.9566603919070187E-5"/>
  </r>
  <r>
    <x v="89"/>
    <s v="Pesos"/>
    <d v="2026-10-20T00:00:00"/>
    <s v="29/09/2026"/>
    <n v="0.98303260999999997"/>
    <m/>
    <n v="2000000"/>
    <n v="1966065.22"/>
    <n v="2000000"/>
    <n v="1966065.22"/>
    <n v="13442187"/>
    <s v="AMOMPY"/>
    <s v="Momentum Capital Investment S.A."/>
    <s v="29/05/2026"/>
    <s v="29/05/2026"/>
    <n v="30"/>
    <s v="No"/>
    <s v=""/>
    <m/>
    <m/>
    <s v="*INP161000050"/>
    <s v="*INP161000050"/>
    <n v="2.6137989369075782E-5"/>
  </r>
  <r>
    <x v="28"/>
    <s v="Pesos"/>
    <d v="2026-10-20T00:00:00"/>
    <s v="29/09/2026"/>
    <n v="0.98192193000000005"/>
    <m/>
    <n v="4000000"/>
    <n v="3927687.74"/>
    <n v="4000000"/>
    <n v="3927687.74"/>
    <n v="1147"/>
    <s v="AMOMPY"/>
    <s v="Momentum Capital Investment S.A."/>
    <s v="04/09/2026"/>
    <s v="04/09/2026"/>
    <n v="32"/>
    <s v="No"/>
    <s v=""/>
    <m/>
    <m/>
    <s v="*MAV161001418"/>
    <s v="*MAV161001418"/>
    <n v="5.2216914957261332E-5"/>
  </r>
  <r>
    <x v="28"/>
    <s v="Pesos"/>
    <d v="2026-10-20T00:00:00"/>
    <s v="29/09/2026"/>
    <n v="0.98303269999999998"/>
    <m/>
    <n v="5000000"/>
    <n v="4915163.51"/>
    <n v="5000000"/>
    <n v="4915163.51"/>
    <n v="1204"/>
    <s v="AMOMPY"/>
    <s v="Momentum Capital Investment S.A."/>
    <s v="09/09/2026"/>
    <s v="09/09/2026"/>
    <n v="30"/>
    <s v="No"/>
    <s v=""/>
    <m/>
    <m/>
    <s v="*MAV161001505"/>
    <s v="*MAV161001505"/>
    <n v="6.5344979538191109E-5"/>
  </r>
  <r>
    <x v="28"/>
    <s v="Pesos"/>
    <d v="2026-10-20T00:00:00"/>
    <s v="29/09/2026"/>
    <n v="0.98303271000000003"/>
    <m/>
    <n v="5000000"/>
    <n v="4915163.5599999996"/>
    <n v="5000000"/>
    <n v="4915163.5599999996"/>
    <n v="1226"/>
    <s v="AMOMPY"/>
    <s v="Momentum Capital Investment S.A."/>
    <s v="16/09/2026"/>
    <s v="16/09/2026"/>
    <n v="30"/>
    <s v="No"/>
    <s v=""/>
    <m/>
    <m/>
    <s v="*MAV161001597"/>
    <s v="*MAV161001597"/>
    <n v="6.5344980202919554E-5"/>
  </r>
  <r>
    <x v="28"/>
    <s v="Pesos"/>
    <d v="2026-10-20T00:00:00"/>
    <s v="29/09/2026"/>
    <n v="0.98192195000000004"/>
    <m/>
    <n v="3000000"/>
    <n v="2945765.86"/>
    <n v="3000000"/>
    <n v="2945765.86"/>
    <n v="1040"/>
    <s v="AMOMPY"/>
    <s v="Momentum Capital Investment S.A."/>
    <s v="25/08/2026"/>
    <s v="25/08/2026"/>
    <n v="32"/>
    <s v="No"/>
    <s v=""/>
    <m/>
    <m/>
    <s v="*MAV161001354"/>
    <s v="*MAV161001354"/>
    <n v="3.9162686949147281E-5"/>
  </r>
  <r>
    <x v="35"/>
    <s v="Pesos"/>
    <d v="2026-10-20T00:00:00"/>
    <s v="29/09/2026"/>
    <n v="0.97970805000000005"/>
    <m/>
    <n v="1874176.47"/>
    <n v="1836145.78"/>
    <n v="1874176.47"/>
    <n v="1836145.78"/>
    <n v="3460"/>
    <s v="AMOMPY"/>
    <s v="Momentum Capital Investment S.A."/>
    <s v="08/09/2026"/>
    <s v="08/09/2026"/>
    <n v="36"/>
    <s v="No"/>
    <s v=""/>
    <m/>
    <m/>
    <s v="*MAV161001499"/>
    <s v="*MAV161001499"/>
    <n v="2.4410766433126446E-5"/>
  </r>
  <r>
    <x v="79"/>
    <s v="Pesos"/>
    <d v="2026-10-20T00:00:00"/>
    <s v="29/09/2026"/>
    <n v="0.98303264000000001"/>
    <m/>
    <n v="2518062.84"/>
    <n v="2475337.9500000002"/>
    <n v="2518062.84"/>
    <n v="2475337.9500000002"/>
    <n v="2257"/>
    <s v="AMOMPY"/>
    <s v="Momentum Capital Investment S.A."/>
    <s v="11/09/2026"/>
    <s v="11/09/2026"/>
    <n v="30"/>
    <s v="No"/>
    <s v=""/>
    <m/>
    <m/>
    <s v="*MAV161001554"/>
    <s v="*MAV161001554"/>
    <n v="3.290855072547891E-5"/>
  </r>
  <r>
    <x v="191"/>
    <s v="Pesos"/>
    <d v="2026-10-20T00:00:00"/>
    <s v="29/09/2026"/>
    <n v="0.98136754000000004"/>
    <m/>
    <n v="5561000"/>
    <n v="5457384.8899999997"/>
    <n v="5561000"/>
    <n v="5457384.8899999997"/>
    <n v="14101157"/>
    <s v="AMOMPY"/>
    <s v="Momentum Capital Investment S.A."/>
    <s v="15/09/2026"/>
    <s v="15/09/2026"/>
    <n v="33"/>
    <s v="No"/>
    <s v=""/>
    <m/>
    <m/>
    <s v="*MAV161001582"/>
    <s v="*MAV161001582"/>
    <n v="7.2553578989498023E-5"/>
  </r>
  <r>
    <x v="6"/>
    <s v="Pesos"/>
    <d v="2026-10-20T00:00:00"/>
    <s v="29/09/2026"/>
    <n v="0.98582057000000001"/>
    <m/>
    <n v="600000"/>
    <n v="591492.34"/>
    <n v="600000"/>
    <n v="591492.34"/>
    <n v="20603306"/>
    <s v="AMOMPY"/>
    <s v="Momentum Capital Investment S.A."/>
    <s v="24/09/2026"/>
    <s v="24/09/2026"/>
    <n v="25"/>
    <s v="No"/>
    <s v=""/>
    <m/>
    <m/>
    <s v="*PRO161000021"/>
    <s v="*PRO161000021"/>
    <n v="7.8636356197836394E-6"/>
  </r>
  <r>
    <x v="163"/>
    <s v="Pesos"/>
    <d v="2026-10-20T00:00:00"/>
    <s v="29/09/2026"/>
    <n v="0.98081373999999999"/>
    <m/>
    <n v="20000000"/>
    <n v="19616274.850000001"/>
    <n v="20000000"/>
    <n v="19616274.850000001"/>
    <n v="4404"/>
    <s v="AMOMPY"/>
    <s v="Momentum Capital Investment S.A."/>
    <s v="17/07/2026"/>
    <s v="17/07/2026"/>
    <n v="34"/>
    <s v="No"/>
    <s v=""/>
    <m/>
    <m/>
    <s v="*MAV161001135"/>
    <s v="*MAV161001135"/>
    <n v="2.6078991595719734E-4"/>
  </r>
  <r>
    <x v="7"/>
    <s v="Pesos"/>
    <d v="2026-10-20T00:00:00"/>
    <s v="29/09/2026"/>
    <n v="0.98414581999999995"/>
    <m/>
    <n v="150000000"/>
    <n v="147621873.47999999"/>
    <n v="150000000"/>
    <n v="147621873.47999999"/>
    <n v="82"/>
    <s v="AMOMPY"/>
    <s v="Momentum Capital Investment S.A."/>
    <s v="12/08/2026"/>
    <s v="12/08/2026"/>
    <n v="28"/>
    <s v="No"/>
    <s v=""/>
    <m/>
    <m/>
    <s v="*MAV161001283"/>
    <s v="*MAV161001283"/>
    <n v="1.9625691561052537E-3"/>
  </r>
  <r>
    <x v="8"/>
    <s v="Pesos"/>
    <d v="2026-10-20T00:00:00"/>
    <s v="29/09/2026"/>
    <n v="0.98526161999999995"/>
    <m/>
    <n v="15000000"/>
    <n v="14778924.310000001"/>
    <n v="15000000"/>
    <n v="14778924.310000001"/>
    <n v="9621092"/>
    <s v="AMOMPY"/>
    <s v="Momentum Capital Investment S.A."/>
    <s v="17/07/2026"/>
    <s v="17/07/2026"/>
    <n v="26"/>
    <s v="No"/>
    <s v=""/>
    <m/>
    <m/>
    <s v="*MIL161000034"/>
    <s v="*MIL161000034"/>
    <n v="1.9647942630364809E-4"/>
  </r>
  <r>
    <x v="8"/>
    <s v="Pesos"/>
    <d v="2026-10-20T00:00:00"/>
    <s v="29/09/2026"/>
    <n v="0.98582044000000002"/>
    <m/>
    <n v="10000000"/>
    <n v="9858204.3699999992"/>
    <n v="10000000"/>
    <n v="9858204.3699999992"/>
    <n v="68341633"/>
    <s v="AMOMPY"/>
    <s v="Momentum Capital Investment S.A."/>
    <s v="20/07/2026"/>
    <s v="20/07/2026"/>
    <n v="25"/>
    <s v="No"/>
    <s v=""/>
    <m/>
    <m/>
    <s v="*MIL161000031"/>
    <s v="*MIL161000031"/>
    <n v="1.3106057642443643E-4"/>
  </r>
  <r>
    <x v="8"/>
    <s v="Pesos"/>
    <d v="2026-10-20T00:00:00"/>
    <s v="29/09/2026"/>
    <n v="0.98582044000000002"/>
    <m/>
    <n v="10000000"/>
    <n v="9858204.3699999992"/>
    <n v="10000000"/>
    <n v="9858204.3699999992"/>
    <n v="5295"/>
    <s v="AMOMPY"/>
    <s v="Momentum Capital Investment S.A."/>
    <s v="20/07/2026"/>
    <s v="20/07/2026"/>
    <n v="25"/>
    <s v="No"/>
    <s v=""/>
    <m/>
    <m/>
    <s v="*MIL161000033"/>
    <s v="*MIL161000033"/>
    <n v="1.3106057642443643E-4"/>
  </r>
  <r>
    <x v="8"/>
    <s v="Pesos"/>
    <d v="2026-10-20T00:00:00"/>
    <s v="29/09/2026"/>
    <n v="0.98582042999999997"/>
    <m/>
    <n v="8650000"/>
    <n v="8527346.7599999998"/>
    <n v="8650000"/>
    <n v="8527346.7599999998"/>
    <n v="34388"/>
    <s v="AMOMPY"/>
    <s v="Momentum Capital Investment S.A."/>
    <s v="20/07/2026"/>
    <s v="20/07/2026"/>
    <n v="25"/>
    <s v="No"/>
    <s v=""/>
    <m/>
    <m/>
    <s v="*MIL161000032"/>
    <s v="*MIL161000032"/>
    <n v="1.1336739834058141E-4"/>
  </r>
  <r>
    <x v="8"/>
    <s v="Pesos"/>
    <d v="2026-10-20T00:00:00"/>
    <s v="29/09/2026"/>
    <n v="0.98470342"/>
    <m/>
    <n v="15000000"/>
    <n v="14770551.23"/>
    <n v="15000000"/>
    <n v="14770551.23"/>
    <n v="11349966"/>
    <s v="AMOMPY"/>
    <s v="Momentum Capital Investment S.A."/>
    <s v="16/07/2026"/>
    <s v="16/07/2026"/>
    <n v="27"/>
    <s v="No"/>
    <s v=""/>
    <m/>
    <m/>
    <s v="*MIL161000030"/>
    <s v="*MIL161000030"/>
    <n v="1.9636810981536474E-4"/>
  </r>
  <r>
    <x v="8"/>
    <s v="Pesos"/>
    <d v="2026-10-20T00:00:00"/>
    <s v="29/09/2026"/>
    <n v="0.98303264999999995"/>
    <m/>
    <n v="5000000"/>
    <n v="4915163.24"/>
    <n v="5000000"/>
    <n v="4915163.24"/>
    <n v="8778"/>
    <s v="AMOMPY"/>
    <s v="Momentum Capital Investment S.A."/>
    <s v="14/08/2026"/>
    <s v="14/08/2026"/>
    <n v="30"/>
    <s v="No"/>
    <s v=""/>
    <m/>
    <m/>
    <s v="*MIL161000037"/>
    <s v="*MIL161000037"/>
    <n v="6.5344975948657531E-5"/>
  </r>
  <r>
    <x v="192"/>
    <s v="Pesos"/>
    <d v="2026-10-20T00:00:00"/>
    <s v="29/09/2026"/>
    <n v="0.98192188000000002"/>
    <m/>
    <n v="50000000"/>
    <n v="49096094.090000004"/>
    <n v="50000000"/>
    <n v="49096094.090000004"/>
    <n v="5026"/>
    <s v="AMOMPY"/>
    <s v="Momentum Capital Investment S.A."/>
    <s v="21/07/2026"/>
    <s v="21/07/2026"/>
    <n v="32"/>
    <s v="No"/>
    <s v=""/>
    <m/>
    <m/>
    <s v="*MAV161001141"/>
    <s v="*MAV161001141"/>
    <n v="6.5271140160221366E-4"/>
  </r>
  <r>
    <x v="193"/>
    <s v="Pesos"/>
    <d v="2026-10-20T00:00:00"/>
    <s v="29/09/2026"/>
    <n v="0.97860475000000002"/>
    <m/>
    <n v="215500000"/>
    <n v="210889324.19"/>
    <n v="215500000"/>
    <n v="210889324.19"/>
    <n v="70389094"/>
    <s v="AMOMPY"/>
    <s v="Momentum Capital Investment S.A."/>
    <s v="19/08/2026"/>
    <s v="19/08/2026"/>
    <n v="38"/>
    <s v="No"/>
    <s v=""/>
    <m/>
    <m/>
    <s v="*MAV161001316"/>
    <s v="*MAV161001316"/>
    <n v="2.8036826335444743E-3"/>
  </r>
  <r>
    <x v="145"/>
    <s v="Pesos"/>
    <d v="2026-10-20T00:00:00"/>
    <s v="29/09/2026"/>
    <n v="0.98192190999999995"/>
    <m/>
    <n v="18239769.260000002"/>
    <n v="17910029.02"/>
    <n v="18239769.260000002"/>
    <n v="17910029.02"/>
    <n v="3494370"/>
    <s v="AMOMPY"/>
    <s v="Momentum Capital Investment S.A."/>
    <s v="20/08/2026"/>
    <s v="20/08/2026"/>
    <n v="32"/>
    <s v="No"/>
    <s v=""/>
    <m/>
    <m/>
    <s v="*MAV161001331"/>
    <s v="*MAV161001331"/>
    <n v="2.3810611334887393E-4"/>
  </r>
  <r>
    <x v="82"/>
    <s v="Pesos"/>
    <d v="2026-10-20T00:00:00"/>
    <s v="29/09/2026"/>
    <n v="0.98303264000000001"/>
    <m/>
    <n v="2700000"/>
    <n v="2654188.12"/>
    <n v="2700000"/>
    <n v="2654188.12"/>
    <n v="6907"/>
    <s v="AMOMPY"/>
    <s v="Momentum Capital Investment S.A."/>
    <s v="11/09/2026"/>
    <s v="11/09/2026"/>
    <n v="30"/>
    <s v="No"/>
    <s v=""/>
    <m/>
    <m/>
    <s v="*MAV161001553"/>
    <s v="*MAV161001553"/>
    <n v="3.5286286618755829E-5"/>
  </r>
  <r>
    <x v="8"/>
    <s v="Pesos"/>
    <d v="2026-10-20T00:00:00"/>
    <s v="29/09/2026"/>
    <n v="0.98470338999999996"/>
    <m/>
    <n v="15000000"/>
    <n v="14770550.810000001"/>
    <n v="15000000"/>
    <n v="14770550.810000001"/>
    <n v="68122840"/>
    <s v="AMOMPY"/>
    <s v="Momentum Capital Investment S.A."/>
    <s v="07/07/2026"/>
    <s v="07/07/2026"/>
    <n v="27"/>
    <s v="No"/>
    <s v=""/>
    <m/>
    <m/>
    <s v="*MIL161000028"/>
    <s v="*MIL161000028"/>
    <n v="1.9636810423164584E-4"/>
  </r>
  <r>
    <x v="8"/>
    <s v="Pesos"/>
    <d v="2026-10-20T00:00:00"/>
    <s v="29/09/2026"/>
    <n v="0.98470338999999996"/>
    <m/>
    <n v="10000000"/>
    <n v="9847033.8699999992"/>
    <n v="10000000"/>
    <n v="9847033.8699999992"/>
    <n v="2011"/>
    <s v="AMOMPY"/>
    <s v="Momentum Capital Investment S.A."/>
    <s v="07/07/2026"/>
    <s v="07/07/2026"/>
    <n v="27"/>
    <s v="No"/>
    <s v=""/>
    <m/>
    <m/>
    <s v="*MIL161000029"/>
    <s v="*MIL161000029"/>
    <n v="1.3091206944344864E-4"/>
  </r>
  <r>
    <x v="8"/>
    <s v="Pesos"/>
    <d v="2026-10-20T00:00:00"/>
    <s v="29/09/2026"/>
    <n v="0.98526161999999995"/>
    <m/>
    <n v="4000000"/>
    <n v="3941046.5"/>
    <n v="4000000"/>
    <n v="3941046.5"/>
    <n v="90002226"/>
    <s v="AMOMPY"/>
    <s v="Momentum Capital Investment S.A."/>
    <s v="22/09/2026"/>
    <s v="22/09/2026"/>
    <n v="26"/>
    <s v="No"/>
    <s v=""/>
    <m/>
    <m/>
    <s v="*MIL161000040"/>
    <s v="*MIL161000040"/>
    <n v="5.2394513911412015E-5"/>
  </r>
  <r>
    <x v="45"/>
    <s v="Pesos"/>
    <d v="2026-10-20T00:00:00"/>
    <s v="29/09/2026"/>
    <n v="0.98470340999999995"/>
    <m/>
    <n v="3620482.75"/>
    <n v="3565101.7"/>
    <n v="3620482.75"/>
    <n v="3565101.7"/>
    <n v="4324"/>
    <s v="AMOMPY"/>
    <s v="Momentum Capital Investment S.A."/>
    <s v="25/09/2026"/>
    <s v="25/09/2026"/>
    <n v="27"/>
    <s v="No"/>
    <s v=""/>
    <m/>
    <m/>
    <s v="*NEU161000032"/>
    <s v="*NEU161000032"/>
    <n v="4.739648989583062E-5"/>
  </r>
  <r>
    <x v="60"/>
    <s v="Pesos"/>
    <d v="2026-10-20T00:00:00"/>
    <s v="29/09/2026"/>
    <n v="0.97860477000000001"/>
    <m/>
    <n v="265500000"/>
    <n v="259819566.65000001"/>
    <n v="265500000"/>
    <n v="259819566.65000001"/>
    <n v="70406527"/>
    <s v="AMOMPY"/>
    <s v="Momentum Capital Investment S.A."/>
    <s v="03/09/2026"/>
    <s v="03/09/2026"/>
    <n v="38"/>
    <s v="No"/>
    <s v=""/>
    <m/>
    <m/>
    <s v="*MAV161001440"/>
    <s v="*MAV161001440"/>
    <n v="3.4541891092379818E-3"/>
  </r>
  <r>
    <x v="37"/>
    <s v="Pesos"/>
    <d v="2026-10-20T00:00:00"/>
    <s v="29/09/2026"/>
    <n v="0.98582044000000002"/>
    <m/>
    <n v="100000000"/>
    <n v="98582044.359999999"/>
    <n v="100000000"/>
    <n v="98582044.359999999"/>
    <n v="52811168"/>
    <s v="AMOMPY"/>
    <s v="Momentum Capital Investment S.A."/>
    <s v="17/07/2026"/>
    <s v="17/07/2026"/>
    <n v="25"/>
    <s v="No"/>
    <s v=""/>
    <m/>
    <m/>
    <s v="*AFB161000015"/>
    <s v="*AFB161000015"/>
    <n v="1.3106057730187797E-3"/>
  </r>
  <r>
    <x v="122"/>
    <s v="Pesos"/>
    <d v="2026-10-20T00:00:00"/>
    <s v="29/09/2026"/>
    <n v="0.98136760000000001"/>
    <m/>
    <n v="80000000"/>
    <n v="78509407.700000003"/>
    <n v="80000000"/>
    <n v="78509407.700000003"/>
    <n v="938"/>
    <s v="AMOMPY"/>
    <s v="Momentum Capital Investment S.A."/>
    <s v="16/09/2026"/>
    <s v="16/09/2026"/>
    <n v="33"/>
    <s v="No"/>
    <s v=""/>
    <m/>
    <m/>
    <s v="*MAV161001600"/>
    <s v="*MAV161001600"/>
    <n v="1.043748723572373E-3"/>
  </r>
  <r>
    <x v="48"/>
    <s v="Pesos"/>
    <d v="2026-10-20T00:00:00"/>
    <s v="29/09/2026"/>
    <n v="0.98026051999999997"/>
    <m/>
    <n v="4359563.53"/>
    <n v="4273508"/>
    <n v="4359563.53"/>
    <n v="4273508"/>
    <n v="40773794"/>
    <s v="AMOMPY"/>
    <s v="Momentum Capital Investment S.A."/>
    <s v="12/08/2026"/>
    <s v="12/08/2026"/>
    <n v="35"/>
    <s v="No"/>
    <s v=""/>
    <m/>
    <m/>
    <s v="*MAV161001275"/>
    <s v="*MAV161001275"/>
    <n v="5.6814446202685133E-5"/>
  </r>
  <r>
    <x v="21"/>
    <s v="Pesos"/>
    <d v="2026-10-20T00:00:00"/>
    <s v="29/09/2026"/>
    <n v="0.98192195000000004"/>
    <m/>
    <n v="10000000"/>
    <n v="9819219.5399999991"/>
    <n v="10000000"/>
    <n v="9819219.5399999991"/>
    <n v="14422566"/>
    <s v="AMOMPY"/>
    <s v="Momentum Capital Investment S.A."/>
    <s v="01/09/2026"/>
    <s v="01/09/2026"/>
    <n v="32"/>
    <s v="No"/>
    <s v=""/>
    <m/>
    <m/>
    <s v="*MAV161001412"/>
    <s v="*MAV161001412"/>
    <n v="1.3054228991912138E-4"/>
  </r>
  <r>
    <x v="21"/>
    <s v="Pesos"/>
    <d v="2026-10-20T00:00:00"/>
    <s v="29/09/2026"/>
    <n v="0.98136747999999996"/>
    <m/>
    <n v="25000000"/>
    <n v="24534186.989999998"/>
    <n v="25000000"/>
    <n v="24534186.989999998"/>
    <n v="14422653"/>
    <s v="AMOMPY"/>
    <s v="Momentum Capital Investment S.A."/>
    <s v="03/09/2026"/>
    <s v="03/09/2026"/>
    <n v="33"/>
    <s v="No"/>
    <s v=""/>
    <m/>
    <m/>
    <s v="*MAV161001438"/>
    <s v="*MAV161001438"/>
    <n v="3.2617143734608019E-4"/>
  </r>
  <r>
    <x v="123"/>
    <s v="Pesos"/>
    <d v="2026-10-20T00:00:00"/>
    <s v="29/09/2026"/>
    <n v="0.98136745999999997"/>
    <m/>
    <n v="45000000"/>
    <n v="44161535.850000001"/>
    <n v="45000000"/>
    <n v="44161535.850000001"/>
    <n v="67764210"/>
    <s v="AMOMPY"/>
    <s v="Momentum Capital Investment S.A."/>
    <s v="18/06/2026"/>
    <s v="18/06/2026"/>
    <n v="33"/>
    <s v="No"/>
    <s v=""/>
    <m/>
    <m/>
    <s v="*MAV161001066"/>
    <s v="*MAV161001066"/>
    <n v="5.8710857749131999E-4"/>
  </r>
  <r>
    <x v="194"/>
    <s v="Pesos"/>
    <d v="2026-10-20T00:00:00"/>
    <s v="29/09/2026"/>
    <n v="0.98136760999999995"/>
    <m/>
    <n v="430202"/>
    <n v="422186.31"/>
    <n v="430202"/>
    <n v="422186.31"/>
    <n v="80314130"/>
    <s v="AMOMPY"/>
    <s v="Momentum Capital Investment S.A."/>
    <s v="23/09/2026"/>
    <s v="23/09/2026"/>
    <n v="33"/>
    <s v="No"/>
    <s v=""/>
    <m/>
    <m/>
    <s v="*MAV161001737"/>
    <s v="*MAV161001737"/>
    <n v="5.6127849525507259E-6"/>
  </r>
  <r>
    <x v="185"/>
    <s v="Pesos"/>
    <d v="2026-10-20T00:00:00"/>
    <s v="29/09/2026"/>
    <n v="0.98526175000000005"/>
    <m/>
    <n v="5000000"/>
    <n v="4926308.74"/>
    <n v="5000000"/>
    <n v="4926308.74"/>
    <n v="92147553"/>
    <s v="AMOMPY"/>
    <s v="Momentum Capital Investment S.A."/>
    <s v="24/09/2026"/>
    <s v="24/09/2026"/>
    <n v="26"/>
    <s v="No"/>
    <s v=""/>
    <m/>
    <m/>
    <s v="NOVA161000005"/>
    <s v="NOVA161000005"/>
    <n v="6.5493150565424852E-5"/>
  </r>
  <r>
    <x v="172"/>
    <s v="Pesos"/>
    <d v="2026-10-20T00:00:00"/>
    <s v="29/09/2026"/>
    <n v="0.98526159999999996"/>
    <m/>
    <n v="88697647.719999999"/>
    <n v="87390386.180000007"/>
    <n v="88697647.719999999"/>
    <n v="87390386.180000007"/>
    <n v="30008455"/>
    <s v="AMOMPY"/>
    <s v="Momentum Capital Investment S.A."/>
    <s v="25/09/2026"/>
    <s v="25/09/2026"/>
    <n v="26"/>
    <s v="No"/>
    <s v=""/>
    <m/>
    <m/>
    <s v="*TRD161000049"/>
    <s v="*TRD161000049"/>
    <n v="1.1618175031509216E-3"/>
  </r>
  <r>
    <x v="172"/>
    <s v="Pesos"/>
    <d v="2026-10-20T00:00:00"/>
    <s v="29/09/2026"/>
    <n v="0.98526159999999996"/>
    <m/>
    <n v="710090.5"/>
    <n v="699624.9"/>
    <n v="710090.5"/>
    <n v="699624.9"/>
    <n v="11063103"/>
    <s v="AMOMPY"/>
    <s v="Momentum Capital Investment S.A."/>
    <s v="25/09/2026"/>
    <s v="25/09/2026"/>
    <n v="26"/>
    <s v="No"/>
    <s v=""/>
    <m/>
    <m/>
    <s v="*TRD161000048"/>
    <s v="*TRD161000048"/>
    <n v="9.3012113802311741E-6"/>
  </r>
  <r>
    <x v="100"/>
    <s v="Pesos"/>
    <d v="2026-10-20T00:00:00"/>
    <s v="29/09/2026"/>
    <n v="0.98247698999999999"/>
    <m/>
    <n v="11371524"/>
    <n v="11172260.699999999"/>
    <n v="11371524"/>
    <n v="11172260.699999999"/>
    <n v="1234"/>
    <s v="AMOMPY"/>
    <s v="Momentum Capital Investment S.A."/>
    <s v="04/08/2026"/>
    <s v="04/08/2026"/>
    <n v="31"/>
    <s v="No"/>
    <s v=""/>
    <m/>
    <m/>
    <s v="*MAV161001212"/>
    <s v="*MAV161001212"/>
    <n v="1.4853038873509147E-4"/>
  </r>
  <r>
    <x v="24"/>
    <s v="Pesos"/>
    <d v="2026-10-20T00:00:00"/>
    <s v="29/09/2026"/>
    <n v="0.97860477000000001"/>
    <m/>
    <n v="6899161.7699999996"/>
    <n v="6751552.5999999996"/>
    <n v="6899161.7699999996"/>
    <n v="6751552.5999999996"/>
    <n v="65964607"/>
    <s v="AMOMPY"/>
    <s v="Momentum Capital Investment S.A."/>
    <s v="22/04/2026"/>
    <s v="22/04/2026"/>
    <n v="38"/>
    <s v="No"/>
    <s v=""/>
    <m/>
    <m/>
    <s v="*MAV161001047"/>
    <s v="*MAV161001047"/>
    <n v="8.9758980672856808E-5"/>
  </r>
  <r>
    <x v="25"/>
    <s v="Pesos"/>
    <d v="2026-10-20T00:00:00"/>
    <s v="29/09/2026"/>
    <n v="0.98303262999999996"/>
    <m/>
    <n v="5580000"/>
    <n v="5485322.0999999996"/>
    <n v="5580000"/>
    <n v="5485322.0999999996"/>
    <n v="11415152"/>
    <s v="AMOMPY"/>
    <s v="Momentum Capital Investment S.A."/>
    <s v="18/09/2026"/>
    <s v="18/09/2026"/>
    <n v="30"/>
    <s v="No"/>
    <s v=""/>
    <m/>
    <m/>
    <s v="*CVA161000021"/>
    <s v="*CVA161000021"/>
    <n v="7.29249921504417E-5"/>
  </r>
  <r>
    <x v="27"/>
    <s v="Pesos"/>
    <d v="2026-10-20T00:00:00"/>
    <s v="29/09/2026"/>
    <n v="0.98414583"/>
    <m/>
    <n v="2500000"/>
    <n v="2460364.58"/>
    <n v="2500000"/>
    <n v="2460364.58"/>
    <n v="90031817"/>
    <s v="AMOMPY"/>
    <s v="Momentum Capital Investment S.A."/>
    <s v="22/04/2026"/>
    <s v="22/04/2026"/>
    <n v="28"/>
    <s v="No"/>
    <s v=""/>
    <m/>
    <m/>
    <s v="*MOV161000058"/>
    <s v="*MOV161000058"/>
    <n v="3.2709486227568077E-5"/>
  </r>
  <r>
    <x v="27"/>
    <s v="Pesos"/>
    <d v="2026-10-20T00:00:00"/>
    <s v="29/09/2026"/>
    <n v="0.98414581999999995"/>
    <m/>
    <n v="25000000"/>
    <n v="24603645.5"/>
    <n v="25000000"/>
    <n v="24603645.5"/>
    <n v="360572"/>
    <s v="AMOMPY"/>
    <s v="Momentum Capital Investment S.A."/>
    <s v="21/04/2026"/>
    <s v="21/04/2026"/>
    <n v="28"/>
    <s v="No"/>
    <s v=""/>
    <m/>
    <m/>
    <s v="*MOV161000057"/>
    <s v="*MOV161000057"/>
    <n v="3.2709485828731014E-4"/>
  </r>
  <r>
    <x v="28"/>
    <s v="Pesos"/>
    <d v="2026-10-20T00:00:00"/>
    <s v="29/09/2026"/>
    <n v="0.98192199000000002"/>
    <m/>
    <n v="2000000"/>
    <n v="1963843.98"/>
    <n v="2000000"/>
    <n v="1963843.98"/>
    <n v="1071"/>
    <s v="AMOMPY"/>
    <s v="Momentum Capital Investment S.A."/>
    <s v="26/08/2026"/>
    <s v="26/08/2026"/>
    <n v="32"/>
    <s v="No"/>
    <s v=""/>
    <m/>
    <m/>
    <s v="*MAV161001367"/>
    <s v="*MAV161001367"/>
    <n v="2.6108458941033236E-5"/>
  </r>
  <r>
    <x v="28"/>
    <s v="Pesos"/>
    <d v="2026-10-20T00:00:00"/>
    <s v="29/09/2026"/>
    <n v="0.98303266"/>
    <m/>
    <n v="3300000"/>
    <n v="3244007.78"/>
    <n v="3300000"/>
    <n v="3244007.78"/>
    <n v="925"/>
    <s v="AMOMPY"/>
    <s v="Momentum Capital Investment S.A."/>
    <s v="11/08/2026"/>
    <s v="11/08/2026"/>
    <n v="30"/>
    <s v="No"/>
    <s v=""/>
    <m/>
    <m/>
    <s v="*MAV161001270"/>
    <s v="*MAV161001270"/>
    <n v="4.3127684679168032E-5"/>
  </r>
  <r>
    <x v="28"/>
    <s v="Pesos"/>
    <d v="2026-10-20T00:00:00"/>
    <s v="29/09/2026"/>
    <n v="0.98303264999999995"/>
    <m/>
    <n v="2500000"/>
    <n v="2457581.63"/>
    <n v="2500000"/>
    <n v="2457581.63"/>
    <n v="907"/>
    <s v="AMOMPY"/>
    <s v="Momentum Capital Investment S.A."/>
    <s v="07/08/2026"/>
    <s v="07/08/2026"/>
    <n v="30"/>
    <s v="No"/>
    <s v=""/>
    <m/>
    <m/>
    <s v="*MAV161001246"/>
    <s v="*MAV161001246"/>
    <n v="3.2672488107274456E-5"/>
  </r>
  <r>
    <x v="28"/>
    <s v="Pesos"/>
    <d v="2026-10-20T00:00:00"/>
    <s v="29/09/2026"/>
    <n v="0.98303262000000002"/>
    <m/>
    <n v="2500000"/>
    <n v="2457581.56"/>
    <n v="2500000"/>
    <n v="2457581.56"/>
    <n v="456"/>
    <s v="AMOMPY"/>
    <s v="Momentum Capital Investment S.A."/>
    <s v="06/08/2026"/>
    <s v="06/08/2026"/>
    <n v="30"/>
    <s v="No"/>
    <s v=""/>
    <m/>
    <m/>
    <s v="*MAV161001234"/>
    <s v="*MAV161001234"/>
    <n v="3.2672487176654637E-5"/>
  </r>
  <r>
    <x v="195"/>
    <s v="Pesos"/>
    <d v="2026-10-20T00:00:00"/>
    <s v="29/09/2026"/>
    <n v="0.98414586000000004"/>
    <m/>
    <n v="7098063.4299999997"/>
    <n v="6985529.7400000002"/>
    <n v="7098063.4299999997"/>
    <n v="6985529.7400000002"/>
    <n v="90027049"/>
    <s v="AMOMPY"/>
    <s v="Momentum Capital Investment S.A."/>
    <s v="10/08/2026"/>
    <s v="10/08/2026"/>
    <n v="28"/>
    <s v="No"/>
    <s v=""/>
    <m/>
    <m/>
    <s v="*MAV161001267"/>
    <s v="*MAV161001267"/>
    <n v="9.2869605862557668E-5"/>
  </r>
  <r>
    <x v="89"/>
    <s v="Pesos"/>
    <d v="2026-10-21T00:00:00"/>
    <s v="29/09/2026"/>
    <n v="0.98340342000000003"/>
    <m/>
    <n v="20000000"/>
    <n v="19668068.440000001"/>
    <n v="20000000"/>
    <n v="19668068.440000001"/>
    <n v="10262986"/>
    <s v="AMOMPY"/>
    <s v="Momentum Capital Investment S.A."/>
    <s v="06/07/2026"/>
    <s v="06/07/2026"/>
    <n v="28"/>
    <s v="No"/>
    <s v=""/>
    <m/>
    <m/>
    <s v="*INP171000072"/>
    <s v="*INP171000072"/>
    <n v="2.6147848940381282E-4"/>
  </r>
  <r>
    <x v="28"/>
    <s v="Pesos"/>
    <d v="2026-10-21T00:00:00"/>
    <s v="29/09/2026"/>
    <n v="0.98223897000000004"/>
    <m/>
    <n v="5000000"/>
    <n v="4911194.87"/>
    <n v="5000000"/>
    <n v="4911194.87"/>
    <n v="1218"/>
    <s v="AMOMPY"/>
    <s v="Momentum Capital Investment S.A."/>
    <s v="11/09/2026"/>
    <s v="11/09/2026"/>
    <n v="30"/>
    <s v="No"/>
    <s v=""/>
    <m/>
    <m/>
    <s v="*MAV191001161"/>
    <s v="*MAV191001161"/>
    <n v="6.5292218180595008E-5"/>
  </r>
  <r>
    <x v="28"/>
    <s v="Pesos"/>
    <d v="2026-10-21T00:00:00"/>
    <s v="29/09/2026"/>
    <n v="0.98223914999999995"/>
    <m/>
    <n v="5000000"/>
    <n v="4911195.76"/>
    <n v="5000000"/>
    <n v="4911195.76"/>
    <n v="1248"/>
    <s v="AMOMPY"/>
    <s v="Momentum Capital Investment S.A."/>
    <s v="18/09/2026"/>
    <s v="18/09/2026"/>
    <n v="30"/>
    <s v="No"/>
    <s v=""/>
    <m/>
    <m/>
    <s v="*MAV191001240"/>
    <s v="*MAV191001240"/>
    <n v="6.5292230012761249E-5"/>
  </r>
  <r>
    <x v="28"/>
    <s v="Pesos"/>
    <d v="2026-10-21T00:00:00"/>
    <s v="29/09/2026"/>
    <n v="0.98223897999999998"/>
    <m/>
    <n v="4500000"/>
    <n v="4420075.3899999997"/>
    <n v="4500000"/>
    <n v="4420075.3899999997"/>
    <n v="1300"/>
    <s v="AMOMPY"/>
    <s v="Momentum Capital Investment S.A."/>
    <s v="22/09/2026"/>
    <s v="22/09/2026"/>
    <n v="30"/>
    <s v="No"/>
    <s v=""/>
    <m/>
    <m/>
    <s v="*MAV191001278"/>
    <s v="*MAV191001278"/>
    <n v="5.8762996455597483E-5"/>
  </r>
  <r>
    <x v="28"/>
    <s v="Pesos"/>
    <d v="2026-10-21T00:00:00"/>
    <s v="29/09/2026"/>
    <n v="0.98107741999999998"/>
    <m/>
    <n v="10000000"/>
    <n v="9810774.1999999993"/>
    <n v="10000000"/>
    <n v="9810774.1999999993"/>
    <n v="1086"/>
    <s v="AMOMPY"/>
    <s v="Momentum Capital Investment S.A."/>
    <s v="27/08/2026"/>
    <s v="27/08/2026"/>
    <n v="32"/>
    <s v="No"/>
    <s v=""/>
    <m/>
    <m/>
    <s v="*MAV191001047"/>
    <s v="*MAV191001047"/>
    <n v="1.3043001276529523E-4"/>
  </r>
  <r>
    <x v="196"/>
    <s v="Pesos"/>
    <d v="2026-10-21T00:00:00"/>
    <s v="29/09/2026"/>
    <n v="0.98165787000000004"/>
    <m/>
    <n v="43800553.829999998"/>
    <n v="42997158.32"/>
    <n v="43800553.829999998"/>
    <n v="42997158.32"/>
    <n v="13300908"/>
    <s v="AMOMPY"/>
    <s v="Momentum Capital Investment S.A."/>
    <s v="23/09/2026"/>
    <s v="23/09/2026"/>
    <n v="31"/>
    <s v="No"/>
    <s v=""/>
    <m/>
    <m/>
    <s v="*MAV191001299"/>
    <s v="*MAV191001299"/>
    <n v="5.7162868028794503E-4"/>
  </r>
  <r>
    <x v="197"/>
    <s v="Pesos"/>
    <d v="2026-10-21T00:00:00"/>
    <s v="29/09/2026"/>
    <n v="0.98223910999999997"/>
    <m/>
    <n v="11523612.33"/>
    <n v="11318942.699999999"/>
    <n v="11523612.33"/>
    <n v="11318942.699999999"/>
    <n v="69808189"/>
    <s v="AMOMPY"/>
    <s v="Momentum Capital Investment S.A."/>
    <s v="24/09/2026"/>
    <s v="24/09/2026"/>
    <n v="30"/>
    <s v="No"/>
    <s v=""/>
    <m/>
    <m/>
    <s v="*MAV171001609"/>
    <s v="*MAV171001609"/>
    <n v="1.5048046267853612E-4"/>
  </r>
  <r>
    <x v="198"/>
    <s v="Pesos"/>
    <d v="2026-10-21T00:00:00"/>
    <s v="29/09/2026"/>
    <n v="0.98223917999999999"/>
    <m/>
    <n v="1060000"/>
    <n v="1041173.53"/>
    <n v="1060000"/>
    <n v="1041173.53"/>
    <n v="11204208"/>
    <s v="AMOMPY"/>
    <s v="Momentum Capital Investment S.A."/>
    <s v="25/09/2026"/>
    <s v="25/09/2026"/>
    <n v="30"/>
    <s v="No"/>
    <s v=""/>
    <m/>
    <m/>
    <s v="*MAV181001258"/>
    <s v="*MAV181001258"/>
    <n v="1.3841953146652534E-5"/>
  </r>
  <r>
    <x v="32"/>
    <s v="Pesos"/>
    <d v="2026-10-21T00:00:00"/>
    <s v="29/09/2026"/>
    <n v="0.98107734999999996"/>
    <m/>
    <n v="27150000"/>
    <n v="26636249.989999998"/>
    <n v="27150000"/>
    <n v="26636249.989999998"/>
    <n v="29768697"/>
    <s v="AMOMPY"/>
    <s v="Momentum Capital Investment S.A."/>
    <s v="31/07/2026"/>
    <s v="31/07/2026"/>
    <n v="32"/>
    <s v="No"/>
    <s v=""/>
    <m/>
    <m/>
    <s v="*MAV191000908"/>
    <s v="*MAV191000908"/>
    <n v="3.5411745856053794E-4"/>
  </r>
  <r>
    <x v="144"/>
    <s v="Dolar Link"/>
    <d v="2026-10-21T00:00:00"/>
    <s v="29/09/2026"/>
    <n v="0.99104011999999997"/>
    <s v="1 BNA = 1544,9999783700 $"/>
    <n v="20534.87"/>
    <n v="20350.88"/>
    <n v="31726373.710000001"/>
    <n v="31442109.16"/>
    <n v="70"/>
    <s v="AMOMPY"/>
    <s v="Momentum Capital Investment S.A."/>
    <s v="16/09/2026"/>
    <s v="16/09/2026"/>
    <n v="15"/>
    <s v="No"/>
    <s v=""/>
    <m/>
    <m/>
    <s v="%UON201000003"/>
    <s v="%UON201000003"/>
    <n v="4.1800928402843131E-4"/>
  </r>
  <r>
    <x v="144"/>
    <s v="Dolar Link"/>
    <d v="2026-10-21T00:00:00"/>
    <s v="29/09/2026"/>
    <n v="0.99103984000000001"/>
    <s v="1 BNA = 1544,9999783700 $"/>
    <n v="24316.54"/>
    <n v="24098.66"/>
    <n v="37569053.770000003"/>
    <n v="37232429.18"/>
    <n v="71"/>
    <s v="AMOMPY"/>
    <s v="Momentum Capital Investment S.A."/>
    <s v="16/09/2026"/>
    <s v="16/09/2026"/>
    <n v="15"/>
    <s v="No"/>
    <s v=""/>
    <m/>
    <m/>
    <s v="%UON201000002"/>
    <s v="%UON201000002"/>
    <n v="4.9498909201583195E-4"/>
  </r>
  <r>
    <x v="144"/>
    <s v="Dolar Link"/>
    <d v="2026-10-21T00:00:00"/>
    <s v="29/09/2026"/>
    <n v="0.99104004999999995"/>
    <s v="1 BNA = 1544,9999783700 $"/>
    <n v="16608.349999999999"/>
    <n v="16459.54"/>
    <n v="25659900.390000001"/>
    <n v="25429988.940000001"/>
    <n v="74"/>
    <s v="AMOMPY"/>
    <s v="Momentum Capital Investment S.A."/>
    <s v="16/09/2026"/>
    <s v="16/09/2026"/>
    <n v="15"/>
    <s v="No"/>
    <s v=""/>
    <m/>
    <m/>
    <s v="%UON201000001"/>
    <s v="%UON201000001"/>
    <n v="3.3808073801815932E-4"/>
  </r>
  <r>
    <x v="106"/>
    <s v="Pesos"/>
    <d v="2026-10-21T00:00:00"/>
    <s v="29/09/2026"/>
    <n v="0.98049752999999995"/>
    <m/>
    <n v="284785"/>
    <n v="279230.99"/>
    <n v="284785"/>
    <n v="279230.99"/>
    <n v="13757767"/>
    <s v="AMOMPY"/>
    <s v="Momentum Capital Investment S.A."/>
    <s v="15/09/2026"/>
    <s v="15/09/2026"/>
    <n v="33"/>
    <s v="No"/>
    <s v=""/>
    <m/>
    <m/>
    <s v="*MAV171001550"/>
    <s v="*MAV171001550"/>
    <n v="3.7122556128308431E-6"/>
  </r>
  <r>
    <x v="199"/>
    <s v="Pesos"/>
    <d v="2026-10-21T00:00:00"/>
    <s v="29/09/2026"/>
    <n v="0.98165782000000001"/>
    <m/>
    <n v="30000000"/>
    <n v="29449734.489999998"/>
    <n v="30000000"/>
    <n v="29449734.489999998"/>
    <n v="8713"/>
    <s v="AMOMPY"/>
    <s v="Momentum Capital Investment S.A."/>
    <s v="15/09/2026"/>
    <s v="15/09/2026"/>
    <n v="31"/>
    <s v="No"/>
    <s v=""/>
    <m/>
    <m/>
    <s v="*MAV191001190"/>
    <s v="*MAV191001190"/>
    <n v="3.9152152186575193E-4"/>
  </r>
  <r>
    <x v="199"/>
    <s v="Pesos"/>
    <d v="2026-10-21T00:00:00"/>
    <s v="29/09/2026"/>
    <n v="0.98165782000000001"/>
    <m/>
    <n v="30000000"/>
    <n v="29449734.489999998"/>
    <n v="30000000"/>
    <n v="29449734.489999998"/>
    <n v="8712"/>
    <s v="AMOMPY"/>
    <s v="Momentum Capital Investment S.A."/>
    <s v="15/09/2026"/>
    <s v="15/09/2026"/>
    <n v="31"/>
    <s v="No"/>
    <s v=""/>
    <m/>
    <m/>
    <s v="*MAV191001191"/>
    <s v="*MAV191001191"/>
    <n v="3.9152152186575193E-4"/>
  </r>
  <r>
    <x v="199"/>
    <s v="Pesos"/>
    <d v="2026-10-21T00:00:00"/>
    <s v="29/09/2026"/>
    <n v="0.98165782000000001"/>
    <m/>
    <n v="30000000"/>
    <n v="29449734.489999998"/>
    <n v="30000000"/>
    <n v="29449734.489999998"/>
    <n v="8714"/>
    <s v="AMOMPY"/>
    <s v="Momentum Capital Investment S.A."/>
    <s v="15/09/2026"/>
    <s v="15/09/2026"/>
    <n v="31"/>
    <s v="No"/>
    <s v=""/>
    <m/>
    <m/>
    <s v="*MAV191001193"/>
    <s v="*MAV191001193"/>
    <n v="3.9152152186575193E-4"/>
  </r>
  <r>
    <x v="199"/>
    <s v="Pesos"/>
    <d v="2026-10-21T00:00:00"/>
    <s v="29/09/2026"/>
    <n v="0.98165782000000001"/>
    <m/>
    <n v="30000000"/>
    <n v="29449734.489999998"/>
    <n v="30000000"/>
    <n v="29449734.489999998"/>
    <n v="8715"/>
    <s v="AMOMPY"/>
    <s v="Momentum Capital Investment S.A."/>
    <s v="15/09/2026"/>
    <s v="15/09/2026"/>
    <n v="31"/>
    <s v="No"/>
    <s v=""/>
    <m/>
    <m/>
    <s v="*MAV191001194"/>
    <s v="*MAV191001194"/>
    <n v="3.9152152186575193E-4"/>
  </r>
  <r>
    <x v="6"/>
    <s v="Pesos"/>
    <d v="2026-10-21T00:00:00"/>
    <s v="29/09/2026"/>
    <n v="0.98515531000000001"/>
    <m/>
    <n v="599708.56000000006"/>
    <n v="590806.06999999995"/>
    <n v="599708.56000000006"/>
    <n v="590806.06999999995"/>
    <n v="40791017"/>
    <s v="AMOMPY"/>
    <s v="Momentum Capital Investment S.A."/>
    <s v="24/09/2026"/>
    <s v="24/09/2026"/>
    <n v="25"/>
    <s v="No"/>
    <s v=""/>
    <m/>
    <m/>
    <s v="*PRO171000012"/>
    <s v="*PRO171000012"/>
    <n v="7.8545119560405234E-6"/>
  </r>
  <r>
    <x v="6"/>
    <s v="Pesos"/>
    <d v="2026-10-21T00:00:00"/>
    <s v="29/09/2026"/>
    <n v="0.98515531999999995"/>
    <m/>
    <n v="899857.14"/>
    <n v="886499.05"/>
    <n v="899857.14"/>
    <n v="886499.05"/>
    <n v="1150215"/>
    <s v="AMOMPY"/>
    <s v="Momentum Capital Investment S.A."/>
    <s v="24/09/2026"/>
    <s v="24/09/2026"/>
    <n v="25"/>
    <s v="No"/>
    <s v=""/>
    <m/>
    <m/>
    <s v="*PRO171000013"/>
    <s v="*PRO171000013"/>
    <n v="1.1785622627816885E-5"/>
  </r>
  <r>
    <x v="109"/>
    <s v="Pesos"/>
    <d v="2026-10-21T00:00:00"/>
    <s v="29/09/2026"/>
    <n v="0.98107736000000001"/>
    <m/>
    <n v="10655603.25"/>
    <n v="10453971.15"/>
    <n v="10655603.25"/>
    <n v="10453971.15"/>
    <n v="30826"/>
    <s v="AMOMPY"/>
    <s v="Momentum Capital Investment S.A."/>
    <s v="14/07/2026"/>
    <s v="14/07/2026"/>
    <n v="32"/>
    <s v="No"/>
    <s v=""/>
    <m/>
    <m/>
    <s v="*MAV191000845"/>
    <s v="*MAV191000845"/>
    <n v="1.3898103888096091E-4"/>
  </r>
  <r>
    <x v="35"/>
    <s v="Pesos"/>
    <d v="2026-10-21T00:00:00"/>
    <s v="29/09/2026"/>
    <n v="0.98049752999999995"/>
    <m/>
    <n v="2502550.36"/>
    <n v="2453744.44"/>
    <n v="2502550.36"/>
    <n v="2453744.44"/>
    <n v="3127"/>
    <s v="AMOMPY"/>
    <s v="Momentum Capital Investment S.A."/>
    <s v="23/07/2026"/>
    <s v="23/07/2026"/>
    <n v="33"/>
    <s v="No"/>
    <s v=""/>
    <m/>
    <m/>
    <s v="*MAV171001372"/>
    <s v="*MAV171001372"/>
    <n v="3.2621474320749546E-5"/>
  </r>
  <r>
    <x v="35"/>
    <s v="Pesos"/>
    <d v="2026-10-21T00:00:00"/>
    <s v="29/09/2026"/>
    <n v="0.98049752999999995"/>
    <m/>
    <n v="2502550.36"/>
    <n v="2453744.44"/>
    <n v="2502550.36"/>
    <n v="2453744.44"/>
    <n v="3137"/>
    <s v="AMOMPY"/>
    <s v="Momentum Capital Investment S.A."/>
    <s v="23/07/2026"/>
    <s v="23/07/2026"/>
    <n v="33"/>
    <s v="No"/>
    <s v=""/>
    <m/>
    <m/>
    <s v="*MAV171001373"/>
    <s v="*MAV171001373"/>
    <n v="3.2621474320749546E-5"/>
  </r>
  <r>
    <x v="8"/>
    <s v="Pesos"/>
    <d v="2026-10-21T00:00:00"/>
    <s v="29/09/2026"/>
    <n v="0.98515523000000005"/>
    <m/>
    <n v="28000000"/>
    <n v="27584346.559999999"/>
    <n v="28000000"/>
    <n v="27584346.559999999"/>
    <n v="68393695"/>
    <s v="AMOMPY"/>
    <s v="Momentum Capital Investment S.A."/>
    <s v="17/07/2026"/>
    <s v="17/07/2026"/>
    <n v="25"/>
    <s v="No"/>
    <s v=""/>
    <m/>
    <m/>
    <s v="*MIL171000047"/>
    <s v="*MIL171000047"/>
    <n v="3.6672199365704773E-4"/>
  </r>
  <r>
    <x v="8"/>
    <s v="Pesos"/>
    <d v="2026-10-21T00:00:00"/>
    <s v="29/09/2026"/>
    <n v="0.98398664999999996"/>
    <m/>
    <n v="15000000"/>
    <n v="14759799.810000001"/>
    <n v="15000000"/>
    <n v="14759799.810000001"/>
    <n v="11349967"/>
    <s v="AMOMPY"/>
    <s v="Momentum Capital Investment S.A."/>
    <s v="16/07/2026"/>
    <s v="16/07/2026"/>
    <n v="27"/>
    <s v="No"/>
    <s v=""/>
    <m/>
    <m/>
    <s v="*MIL181000035"/>
    <s v="*MIL181000035"/>
    <n v="1.9622517432227746E-4"/>
  </r>
  <r>
    <x v="8"/>
    <s v="Pesos"/>
    <d v="2026-10-21T00:00:00"/>
    <s v="29/09/2026"/>
    <n v="0.98398664999999996"/>
    <m/>
    <n v="20000000"/>
    <n v="19679733.07"/>
    <n v="20000000"/>
    <n v="19679733.07"/>
    <n v="13869224"/>
    <s v="AMOMPY"/>
    <s v="Momentum Capital Investment S.A."/>
    <s v="16/07/2026"/>
    <s v="16/07/2026"/>
    <n v="27"/>
    <s v="No"/>
    <s v=""/>
    <m/>
    <m/>
    <s v="*MIL191000033"/>
    <s v="*MIL191000033"/>
    <n v="2.6163356563009094E-4"/>
  </r>
  <r>
    <x v="192"/>
    <s v="Pesos"/>
    <d v="2026-10-21T00:00:00"/>
    <s v="29/09/2026"/>
    <n v="0.98107736000000001"/>
    <m/>
    <n v="50000000"/>
    <n v="49053868.109999999"/>
    <n v="50000000"/>
    <n v="49053868.109999999"/>
    <n v="5027"/>
    <s v="AMOMPY"/>
    <s v="Momentum Capital Investment S.A."/>
    <s v="21/07/2026"/>
    <s v="21/07/2026"/>
    <n v="32"/>
    <s v="No"/>
    <s v=""/>
    <m/>
    <m/>
    <s v="*MAV191000859"/>
    <s v="*MAV191000859"/>
    <n v="6.5215002540517221E-4"/>
  </r>
  <r>
    <x v="164"/>
    <s v="Pesos"/>
    <d v="2026-10-21T00:00:00"/>
    <s v="29/09/2026"/>
    <n v="0.98457068999999997"/>
    <m/>
    <n v="17995040.260000002"/>
    <n v="17717389.190000001"/>
    <n v="17995040.260000002"/>
    <n v="17717389.190000001"/>
    <n v="19284"/>
    <s v="AMOMPY"/>
    <s v="Momentum Capital Investment S.A."/>
    <s v="24/09/2026"/>
    <s v="24/09/2026"/>
    <n v="26"/>
    <s v="No"/>
    <s v=""/>
    <m/>
    <m/>
    <s v="*NIO191000027"/>
    <s v="*NIO191000027"/>
    <n v="2.3554504987174243E-4"/>
  </r>
  <r>
    <x v="164"/>
    <s v="Pesos"/>
    <d v="2026-10-21T00:00:00"/>
    <s v="29/09/2026"/>
    <n v="0.98457068999999997"/>
    <m/>
    <n v="17995040.260000002"/>
    <n v="17717389.190000001"/>
    <n v="17995040.260000002"/>
    <n v="17717389.190000001"/>
    <n v="19283"/>
    <s v="AMOMPY"/>
    <s v="Momentum Capital Investment S.A."/>
    <s v="24/09/2026"/>
    <s v="24/09/2026"/>
    <n v="26"/>
    <s v="No"/>
    <s v=""/>
    <m/>
    <m/>
    <s v="*NIO191000028"/>
    <s v="*NIO191000028"/>
    <n v="2.3554504987174243E-4"/>
  </r>
  <r>
    <x v="200"/>
    <s v="Pesos"/>
    <d v="2026-10-21T00:00:00"/>
    <s v="29/09/2026"/>
    <n v="0.98107734999999996"/>
    <m/>
    <n v="6331582.3099999996"/>
    <n v="6211771.9900000002"/>
    <n v="6331582.3099999996"/>
    <n v="6211771.9900000002"/>
    <n v="11231838"/>
    <s v="AMOMPY"/>
    <s v="Momentum Capital Investment S.A."/>
    <s v="25/08/2026"/>
    <s v="25/08/2026"/>
    <n v="32"/>
    <s v="No"/>
    <s v=""/>
    <m/>
    <m/>
    <s v="*MAV171001445"/>
    <s v="*MAV171001445"/>
    <n v="8.2582830206285191E-5"/>
  </r>
  <r>
    <x v="114"/>
    <s v="Pesos"/>
    <d v="2026-10-21T00:00:00"/>
    <s v="29/09/2026"/>
    <n v="0.98107734999999996"/>
    <m/>
    <n v="12000000"/>
    <n v="11772928.18"/>
    <n v="12000000"/>
    <n v="11772928.18"/>
    <n v="68962672"/>
    <s v="AMOMPY"/>
    <s v="Momentum Capital Investment S.A."/>
    <s v="25/08/2026"/>
    <s v="25/08/2026"/>
    <n v="32"/>
    <s v="No"/>
    <s v=""/>
    <m/>
    <m/>
    <s v="*MAV171001446"/>
    <s v="*MAV171001446"/>
    <n v="1.5651600388502508E-4"/>
  </r>
  <r>
    <x v="201"/>
    <s v="Pesos"/>
    <d v="2026-10-21T00:00:00"/>
    <s v="29/09/2026"/>
    <n v="0.98107734999999996"/>
    <m/>
    <n v="8475000"/>
    <n v="8314630.54"/>
    <n v="8475000"/>
    <n v="8314630.54"/>
    <n v="29838177"/>
    <s v="AMOMPY"/>
    <s v="Momentum Capital Investment S.A."/>
    <s v="25/08/2026"/>
    <s v="25/08/2026"/>
    <n v="32"/>
    <s v="No"/>
    <s v=""/>
    <m/>
    <m/>
    <s v="*MAV191001021"/>
    <s v="*MAV191001021"/>
    <n v="1.1053942791496654E-4"/>
  </r>
  <r>
    <x v="202"/>
    <s v="Pesos"/>
    <d v="2026-10-21T00:00:00"/>
    <s v="29/09/2026"/>
    <n v="0.98165785999999999"/>
    <m/>
    <n v="482400"/>
    <n v="473551.75"/>
    <n v="482400"/>
    <n v="473551.75"/>
    <n v="3977"/>
    <s v="AMOMPY"/>
    <s v="Momentum Capital Investment S.A."/>
    <s v="02/09/2026"/>
    <s v="02/09/2026"/>
    <n v="31"/>
    <s v="No"/>
    <s v=""/>
    <m/>
    <m/>
    <s v="*MAV171001487"/>
    <s v="*MAV171001487"/>
    <n v="6.2956663295265621E-6"/>
  </r>
  <r>
    <x v="37"/>
    <s v="Pesos"/>
    <d v="2026-10-21T00:00:00"/>
    <s v="29/09/2026"/>
    <n v="0.98457063"/>
    <m/>
    <n v="30000000"/>
    <n v="29537118.91"/>
    <n v="30000000"/>
    <n v="29537118.91"/>
    <n v="14554440"/>
    <s v="AMOMPY"/>
    <s v="Momentum Capital Investment S.A."/>
    <s v="23/09/2026"/>
    <s v="23/09/2026"/>
    <n v="26"/>
    <s v="No"/>
    <s v=""/>
    <m/>
    <m/>
    <s v="*AFB191000013"/>
    <s v="*AFB191000013"/>
    <n v="3.9268326005111227E-4"/>
  </r>
  <r>
    <x v="203"/>
    <s v="Pesos"/>
    <d v="2026-10-21T00:00:00"/>
    <s v="29/09/2026"/>
    <n v="0.98107736000000001"/>
    <m/>
    <n v="100000000"/>
    <n v="98107736.209999993"/>
    <n v="100000000"/>
    <n v="98107736.209999993"/>
    <n v="160"/>
    <s v="AMOMPY"/>
    <s v="Momentum Capital Investment S.A."/>
    <s v="21/07/2026"/>
    <s v="21/07/2026"/>
    <n v="32"/>
    <s v="No"/>
    <s v=""/>
    <m/>
    <m/>
    <s v="*MAV191000869"/>
    <s v="*MAV191000869"/>
    <n v="1.3043000506773987E-3"/>
  </r>
  <r>
    <x v="96"/>
    <s v="Pesos"/>
    <d v="2026-10-21T00:00:00"/>
    <s v="29/09/2026"/>
    <n v="0.98049754"/>
    <m/>
    <n v="125000000"/>
    <n v="122562192.58"/>
    <n v="125000000"/>
    <n v="122562192.58"/>
    <n v="9451"/>
    <s v="AMOMPY"/>
    <s v="Momentum Capital Investment S.A."/>
    <s v="20/07/2026"/>
    <s v="20/07/2026"/>
    <n v="33"/>
    <s v="No"/>
    <s v=""/>
    <m/>
    <m/>
    <s v="*MAV191000861"/>
    <s v="*MAV191000861"/>
    <n v="1.6294115038089421E-3"/>
  </r>
  <r>
    <x v="45"/>
    <s v="Pesos"/>
    <d v="2026-10-21T00:00:00"/>
    <s v="29/09/2026"/>
    <n v="0.98223897999999998"/>
    <m/>
    <n v="11923076.92"/>
    <n v="11711310.91"/>
    <n v="11923076.92"/>
    <n v="11711310.91"/>
    <n v="90021989"/>
    <s v="AMOMPY"/>
    <s v="Momentum Capital Investment S.A."/>
    <s v="11/05/2026"/>
    <s v="11/05/2026"/>
    <n v="30"/>
    <s v="No"/>
    <s v=""/>
    <m/>
    <m/>
    <s v="*NEU191000011"/>
    <s v="*NEU191000011"/>
    <n v="1.5569682884859803E-4"/>
  </r>
  <r>
    <x v="169"/>
    <s v="Pesos"/>
    <d v="2026-10-21T00:00:00"/>
    <s v="29/09/2026"/>
    <n v="0.98107734999999996"/>
    <m/>
    <n v="2558197.12"/>
    <n v="2509789.25"/>
    <n v="2558197.12"/>
    <n v="2509789.25"/>
    <n v="355"/>
    <s v="AMOMPY"/>
    <s v="Momentum Capital Investment S.A."/>
    <s v="31/07/2026"/>
    <s v="31/07/2026"/>
    <n v="32"/>
    <s v="No"/>
    <s v=""/>
    <m/>
    <m/>
    <s v="*MAV191000907"/>
    <s v="*MAV191000907"/>
    <n v="3.3366565904217908E-5"/>
  </r>
  <r>
    <x v="204"/>
    <s v="Pesos"/>
    <d v="2026-10-21T00:00:00"/>
    <s v="29/09/2026"/>
    <n v="0.98049766999999999"/>
    <m/>
    <n v="10000000"/>
    <n v="9804976.6600000001"/>
    <n v="10000000"/>
    <n v="9804976.6600000001"/>
    <n v="409"/>
    <s v="AMOMPY"/>
    <s v="Momentum Capital Investment S.A."/>
    <s v="14/09/2026"/>
    <s v="14/09/2026"/>
    <n v="33"/>
    <s v="No"/>
    <s v=""/>
    <m/>
    <m/>
    <s v="*MAV191001175"/>
    <s v="*MAV191001175"/>
    <n v="1.3035293697078685E-4"/>
  </r>
  <r>
    <x v="122"/>
    <s v="Pesos"/>
    <d v="2026-10-21T00:00:00"/>
    <s v="29/09/2026"/>
    <n v="0.98049757999999998"/>
    <m/>
    <n v="70000000"/>
    <n v="68634830.849999994"/>
    <n v="70000000"/>
    <n v="68634830.849999994"/>
    <n v="906"/>
    <s v="AMOMPY"/>
    <s v="Momentum Capital Investment S.A."/>
    <s v="02/09/2026"/>
    <s v="02/09/2026"/>
    <n v="33"/>
    <s v="No"/>
    <s v=""/>
    <m/>
    <m/>
    <s v="*MAV191001093"/>
    <s v="*MAV191001093"/>
    <n v="9.1247048208584582E-4"/>
  </r>
  <r>
    <x v="135"/>
    <s v="Pesos"/>
    <d v="2026-10-21T00:00:00"/>
    <s v="29/09/2026"/>
    <n v="0.98049766000000005"/>
    <m/>
    <n v="20000000"/>
    <n v="19609953.289999999"/>
    <n v="20000000"/>
    <n v="19609953.289999999"/>
    <n v="678"/>
    <s v="AMOMPY"/>
    <s v="Momentum Capital Investment S.A."/>
    <s v="14/09/2026"/>
    <s v="14/09/2026"/>
    <n v="33"/>
    <s v="No"/>
    <s v=""/>
    <m/>
    <m/>
    <s v="*MAV191001174"/>
    <s v="*MAV191001174"/>
    <n v="2.6070587354273665E-4"/>
  </r>
  <r>
    <x v="21"/>
    <s v="Pesos"/>
    <d v="2026-10-21T00:00:00"/>
    <s v="29/09/2026"/>
    <n v="0.98107734999999996"/>
    <m/>
    <n v="10000000"/>
    <n v="9810773.4600000009"/>
    <n v="10000000"/>
    <n v="9810773.4600000009"/>
    <n v="14422567"/>
    <s v="AMOMPY"/>
    <s v="Momentum Capital Investment S.A."/>
    <s v="01/09/2026"/>
    <s v="01/09/2026"/>
    <n v="32"/>
    <s v="No"/>
    <s v=""/>
    <m/>
    <m/>
    <s v="*MAV191001080"/>
    <s v="*MAV191001080"/>
    <n v="1.3043000292731433E-4"/>
  </r>
  <r>
    <x v="172"/>
    <s v="Pesos"/>
    <d v="2026-10-21T00:00:00"/>
    <s v="29/09/2026"/>
    <n v="0.98457075000000005"/>
    <m/>
    <n v="5072274"/>
    <n v="4994012.63"/>
    <n v="5072274"/>
    <n v="4994012.63"/>
    <n v="69911322"/>
    <s v="AMOMPY"/>
    <s v="Momentum Capital Investment S.A."/>
    <s v="25/09/2026"/>
    <s v="25/09/2026"/>
    <n v="26"/>
    <s v="No"/>
    <s v=""/>
    <m/>
    <m/>
    <s v="*TRD191000033"/>
    <s v="*TRD191000033"/>
    <n v="6.6393244590314351E-5"/>
  </r>
  <r>
    <x v="172"/>
    <s v="Pesos"/>
    <d v="2026-10-21T00:00:00"/>
    <s v="29/09/2026"/>
    <n v="0.98457075000000005"/>
    <m/>
    <n v="891425.08"/>
    <n v="877671.06"/>
    <n v="891425.08"/>
    <n v="877671.06"/>
    <n v="1050"/>
    <s v="AMOMPY"/>
    <s v="Momentum Capital Investment S.A."/>
    <s v="25/09/2026"/>
    <s v="25/09/2026"/>
    <n v="26"/>
    <s v="No"/>
    <s v=""/>
    <m/>
    <m/>
    <s v="*TRD171000044"/>
    <s v="*TRD171000044"/>
    <n v="1.1668258307232287E-5"/>
  </r>
  <r>
    <x v="172"/>
    <s v="Pesos"/>
    <d v="2026-10-21T00:00:00"/>
    <s v="29/09/2026"/>
    <n v="0.98457057000000003"/>
    <m/>
    <n v="6250000"/>
    <n v="6153566.0899999999"/>
    <n v="6250000"/>
    <n v="6153566.0899999999"/>
    <n v="21469"/>
    <s v="AMOMPY"/>
    <s v="Momentum Capital Investment S.A."/>
    <s v="22/09/2026"/>
    <s v="22/09/2026"/>
    <n v="26"/>
    <s v="No"/>
    <s v=""/>
    <m/>
    <m/>
    <s v="*TRD181000028"/>
    <s v="*TRD181000028"/>
    <n v="8.1809007863088709E-5"/>
  </r>
  <r>
    <x v="172"/>
    <s v="Pesos"/>
    <d v="2026-10-21T00:00:00"/>
    <s v="29/09/2026"/>
    <n v="0.98457057000000003"/>
    <m/>
    <n v="6250000"/>
    <n v="6153566.0899999999"/>
    <n v="6250000"/>
    <n v="6153566.0899999999"/>
    <n v="21466"/>
    <s v="AMOMPY"/>
    <s v="Momentum Capital Investment S.A."/>
    <s v="22/09/2026"/>
    <s v="22/09/2026"/>
    <n v="26"/>
    <s v="No"/>
    <s v=""/>
    <m/>
    <m/>
    <s v="*TRD181000029"/>
    <s v="*TRD181000029"/>
    <n v="8.1809007863088709E-5"/>
  </r>
  <r>
    <x v="172"/>
    <s v="Pesos"/>
    <d v="2026-10-21T00:00:00"/>
    <s v="29/09/2026"/>
    <n v="0.98457057000000003"/>
    <m/>
    <n v="6250000"/>
    <n v="6153566.0899999999"/>
    <n v="6250000"/>
    <n v="6153566.0899999999"/>
    <n v="21468"/>
    <s v="AMOMPY"/>
    <s v="Momentum Capital Investment S.A."/>
    <s v="22/09/2026"/>
    <s v="22/09/2026"/>
    <n v="26"/>
    <s v="No"/>
    <s v=""/>
    <m/>
    <m/>
    <s v="*TRD181000030"/>
    <s v="*TRD181000030"/>
    <n v="8.1809007863088709E-5"/>
  </r>
  <r>
    <x v="172"/>
    <s v="Pesos"/>
    <d v="2026-10-21T00:00:00"/>
    <s v="29/09/2026"/>
    <n v="0.98457057000000003"/>
    <m/>
    <n v="6250000"/>
    <n v="6153566.0899999999"/>
    <n v="6250000"/>
    <n v="6153566.0899999999"/>
    <n v="21467"/>
    <s v="AMOMPY"/>
    <s v="Momentum Capital Investment S.A."/>
    <s v="22/09/2026"/>
    <s v="22/09/2026"/>
    <n v="26"/>
    <s v="No"/>
    <s v=""/>
    <m/>
    <m/>
    <s v="*TRD181000031"/>
    <s v="*TRD181000031"/>
    <n v="8.1809007863088709E-5"/>
  </r>
  <r>
    <x v="49"/>
    <s v="Pesos"/>
    <d v="2026-10-21T00:00:00"/>
    <s v="29/09/2026"/>
    <n v="0.97760873999999998"/>
    <m/>
    <n v="7133529.1399999997"/>
    <n v="6973800.46"/>
    <n v="7133529.1399999997"/>
    <n v="6973800.46"/>
    <n v="90000170"/>
    <s v="AMOMPY"/>
    <s v="Momentum Capital Investment S.A."/>
    <s v="22/04/2026"/>
    <s v="22/04/2026"/>
    <n v="38"/>
    <s v="No"/>
    <s v=""/>
    <m/>
    <m/>
    <s v="*MAV171001314"/>
    <s v="*MAV171001314"/>
    <n v="9.2713670142405454E-5"/>
  </r>
  <r>
    <x v="27"/>
    <s v="Pesos"/>
    <d v="2026-10-21T00:00:00"/>
    <s v="29/09/2026"/>
    <n v="0.98340340999999998"/>
    <m/>
    <n v="25000000"/>
    <n v="24585085.300000001"/>
    <n v="25000000"/>
    <n v="24585085.300000001"/>
    <n v="360573"/>
    <s v="AMOMPY"/>
    <s v="Momentum Capital Investment S.A."/>
    <s v="21/04/2026"/>
    <s v="21/04/2026"/>
    <n v="28"/>
    <s v="No"/>
    <s v=""/>
    <m/>
    <m/>
    <s v="*MOV181000045"/>
    <s v="*MOV181000045"/>
    <n v="3.2684810843112386E-4"/>
  </r>
  <r>
    <x v="27"/>
    <s v="Pesos"/>
    <d v="2026-10-21T00:00:00"/>
    <s v="29/09/2026"/>
    <n v="0.98340358000000005"/>
    <m/>
    <n v="534556.75"/>
    <n v="525685.02"/>
    <n v="534556.75"/>
    <n v="525685.02"/>
    <n v="80015518"/>
    <s v="AMOMPY"/>
    <s v="Momentum Capital Investment S.A."/>
    <s v="18/09/2026"/>
    <s v="18/09/2026"/>
    <n v="28"/>
    <s v="No"/>
    <s v=""/>
    <m/>
    <m/>
    <s v="*MOV171000089"/>
    <s v="*MOV171000089"/>
    <n v="6.9887556752783564E-6"/>
  </r>
  <r>
    <x v="27"/>
    <s v="Pesos"/>
    <d v="2026-10-21T00:00:00"/>
    <s v="29/09/2026"/>
    <n v="0.98340355999999995"/>
    <m/>
    <n v="18000000"/>
    <n v="17701264.030000001"/>
    <n v="18000000"/>
    <n v="17701264.030000001"/>
    <n v="90036203"/>
    <s v="AMOMPY"/>
    <s v="Momentum Capital Investment S.A."/>
    <s v="18/09/2026"/>
    <s v="18/09/2026"/>
    <n v="28"/>
    <s v="No"/>
    <s v=""/>
    <m/>
    <m/>
    <s v="*MOV171000088"/>
    <s v="*MOV171000088"/>
    <n v="2.3533067282241205E-4"/>
  </r>
  <r>
    <x v="28"/>
    <s v="Pesos"/>
    <d v="2026-10-21T00:00:00"/>
    <s v="29/09/2026"/>
    <n v="0.98107738"/>
    <m/>
    <n v="2000000"/>
    <n v="1962154.76"/>
    <n v="2000000"/>
    <n v="1962154.76"/>
    <n v="1074"/>
    <s v="AMOMPY"/>
    <s v="Momentum Capital Investment S.A."/>
    <s v="26/08/2026"/>
    <s v="26/08/2026"/>
    <n v="32"/>
    <s v="No"/>
    <s v=""/>
    <m/>
    <m/>
    <s v="*MAV191001031"/>
    <s v="*MAV191001031"/>
    <n v="2.608600148949354E-5"/>
  </r>
  <r>
    <x v="28"/>
    <s v="Pesos"/>
    <d v="2026-10-21T00:00:00"/>
    <s v="29/09/2026"/>
    <n v="0.98223901999999996"/>
    <m/>
    <n v="3300000"/>
    <n v="3241388.76"/>
    <n v="3300000"/>
    <n v="3241388.76"/>
    <n v="926"/>
    <s v="AMOMPY"/>
    <s v="Momentum Capital Investment S.A."/>
    <s v="11/08/2026"/>
    <s v="11/08/2026"/>
    <n v="30"/>
    <s v="No"/>
    <s v=""/>
    <m/>
    <m/>
    <s v="*MAV191000946"/>
    <s v="*MAV191000946"/>
    <n v="4.3092865937540836E-5"/>
  </r>
  <r>
    <x v="76"/>
    <s v="Pesos"/>
    <d v="2026-10-21T00:00:00"/>
    <s v="29/09/2026"/>
    <n v="0.97760879000000001"/>
    <m/>
    <n v="40400000"/>
    <n v="39495394.93"/>
    <n v="40400000"/>
    <n v="39495394.93"/>
    <n v="160226"/>
    <s v="AMOMPY"/>
    <s v="Momentum Capital Investment S.A."/>
    <s v="14/08/2026"/>
    <s v="14/08/2026"/>
    <n v="38"/>
    <s v="No"/>
    <s v=""/>
    <m/>
    <m/>
    <s v="#MAV201060049"/>
    <s v="#MAV201060049"/>
    <n v="5.2507424591326105E-4"/>
  </r>
  <r>
    <x v="76"/>
    <s v="Pesos"/>
    <d v="2026-10-21T00:00:00"/>
    <s v="29/09/2026"/>
    <n v="0.97760879000000001"/>
    <m/>
    <n v="40400000"/>
    <n v="39495394.93"/>
    <n v="40400000"/>
    <n v="39495394.93"/>
    <n v="160227"/>
    <s v="AMOMPY"/>
    <s v="Momentum Capital Investment S.A."/>
    <s v="14/08/2026"/>
    <s v="14/08/2026"/>
    <n v="38"/>
    <s v="No"/>
    <s v=""/>
    <m/>
    <m/>
    <s v="#MAV201060050"/>
    <s v="#MAV201060050"/>
    <n v="5.2507424591326105E-4"/>
  </r>
  <r>
    <x v="205"/>
    <s v="Pesos"/>
    <d v="2026-10-21T00:00:00"/>
    <s v="29/09/2026"/>
    <n v="0.98049770999999997"/>
    <m/>
    <n v="40000000"/>
    <n v="39219908.549999997"/>
    <n v="40000000"/>
    <n v="39219908.549999997"/>
    <n v="20862"/>
    <s v="AMOMPY"/>
    <s v="Momentum Capital Investment S.A."/>
    <s v="28/09/2026"/>
    <s v="28/09/2026"/>
    <n v="33"/>
    <s v="No"/>
    <s v=""/>
    <m/>
    <m/>
    <s v="*MAV181001274"/>
    <s v="*MAV181001274"/>
    <n v="5.2141177327577376E-4"/>
  </r>
  <r>
    <x v="28"/>
    <s v="Pesos"/>
    <d v="2026-10-22T00:00:00"/>
    <s v="29/09/2026"/>
    <n v="0.98144666999999997"/>
    <m/>
    <n v="10000000"/>
    <n v="9814466.6899999995"/>
    <n v="10000000"/>
    <n v="9814466.6899999995"/>
    <n v="727"/>
    <s v="AMOMPY"/>
    <s v="Momentum Capital Investment S.A."/>
    <s v="30/06/2026"/>
    <s v="30/06/2026"/>
    <n v="30"/>
    <s v="No"/>
    <s v=""/>
    <m/>
    <m/>
    <s v="*MAV201001491"/>
    <s v="*MAV201001491"/>
    <n v="1.3047910282771208E-4"/>
  </r>
  <r>
    <x v="28"/>
    <s v="Pesos"/>
    <d v="2026-10-22T00:00:00"/>
    <s v="29/09/2026"/>
    <n v="0.98144668999999995"/>
    <m/>
    <n v="6500000"/>
    <n v="6379403.4699999997"/>
    <n v="6500000"/>
    <n v="6379403.4699999997"/>
    <n v="744"/>
    <s v="AMOMPY"/>
    <s v="Momentum Capital Investment S.A."/>
    <s v="08/07/2026"/>
    <s v="08/07/2026"/>
    <n v="30"/>
    <s v="No"/>
    <s v=""/>
    <m/>
    <m/>
    <s v="*MAV201001520"/>
    <s v="*MAV201001520"/>
    <n v="8.4811418453302972E-5"/>
  </r>
  <r>
    <x v="28"/>
    <s v="Pesos"/>
    <d v="2026-10-22T00:00:00"/>
    <s v="29/09/2026"/>
    <n v="0.98144666000000003"/>
    <m/>
    <n v="5000000"/>
    <n v="4907233.32"/>
    <n v="5000000"/>
    <n v="4907233.32"/>
    <n v="793"/>
    <s v="AMOMPY"/>
    <s v="Momentum Capital Investment S.A."/>
    <s v="14/07/2026"/>
    <s v="14/07/2026"/>
    <n v="30"/>
    <s v="No"/>
    <s v=""/>
    <m/>
    <m/>
    <s v="*MAV201001549"/>
    <s v="*MAV201001549"/>
    <n v="6.5239551081491831E-5"/>
  </r>
  <r>
    <x v="28"/>
    <s v="Pesos"/>
    <d v="2026-10-22T00:00:00"/>
    <s v="29/09/2026"/>
    <n v="0.98023419000000001"/>
    <m/>
    <n v="3000000"/>
    <n v="2940702.58"/>
    <n v="3000000"/>
    <n v="2940702.58"/>
    <n v="1041"/>
    <s v="AMOMPY"/>
    <s v="Momentum Capital Investment S.A."/>
    <s v="25/08/2026"/>
    <s v="25/08/2026"/>
    <n v="32"/>
    <s v="No"/>
    <s v=""/>
    <m/>
    <m/>
    <s v="*MAV201001759"/>
    <s v="*MAV201001759"/>
    <n v="3.9095372824739625E-5"/>
  </r>
  <r>
    <x v="206"/>
    <s v="Pesos"/>
    <d v="2026-10-22T00:00:00"/>
    <s v="29/09/2026"/>
    <n v="0.98449091"/>
    <m/>
    <n v="40000000"/>
    <n v="39379636.289999999"/>
    <n v="40000000"/>
    <n v="39379636.289999999"/>
    <n v="1637"/>
    <s v="AMOMPY"/>
    <s v="Momentum Capital Investment S.A."/>
    <s v="23/09/2026"/>
    <s v="23/09/2026"/>
    <n v="25"/>
    <s v="No"/>
    <s v=""/>
    <m/>
    <m/>
    <s v="*SOL201000016"/>
    <s v="*SOL201000016"/>
    <n v="5.2353528470743752E-4"/>
  </r>
  <r>
    <x v="125"/>
    <s v="Pesos"/>
    <d v="2026-10-22T00:00:00"/>
    <s v="29/09/2026"/>
    <n v="0.98023419000000001"/>
    <m/>
    <n v="7485785.1900000004"/>
    <n v="7337822.6100000003"/>
    <n v="7485785.1900000004"/>
    <n v="7337822.6100000003"/>
    <n v="72607219"/>
    <s v="AMOMPY"/>
    <s v="Momentum Capital Investment S.A."/>
    <s v="25/08/2026"/>
    <s v="25/08/2026"/>
    <n v="32"/>
    <s v="No"/>
    <s v=""/>
    <m/>
    <m/>
    <s v="*MAV201001760"/>
    <s v="*MAV201001760"/>
    <n v="9.7553187667062194E-5"/>
  </r>
  <r>
    <x v="35"/>
    <s v="Pesos"/>
    <d v="2026-10-22T00:00:00"/>
    <s v="29/09/2026"/>
    <n v="0.97781843000000002"/>
    <m/>
    <n v="1874176.47"/>
    <n v="1832604.29"/>
    <n v="1874176.47"/>
    <n v="1832604.29"/>
    <n v="3461"/>
    <s v="AMOMPY"/>
    <s v="Momentum Capital Investment S.A."/>
    <s v="08/09/2026"/>
    <s v="08/09/2026"/>
    <n v="36"/>
    <s v="No"/>
    <s v=""/>
    <m/>
    <m/>
    <s v="*MAV201001893"/>
    <s v="*MAV201001893"/>
    <n v="2.4363683850601191E-5"/>
  </r>
  <r>
    <x v="6"/>
    <s v="Pesos"/>
    <d v="2026-10-22T00:00:00"/>
    <s v="29/09/2026"/>
    <n v="0.98449096000000003"/>
    <m/>
    <n v="3056279.77"/>
    <n v="3008879.81"/>
    <n v="3056279.77"/>
    <n v="3008879.81"/>
    <n v="10607141"/>
    <s v="AMOMPY"/>
    <s v="Momentum Capital Investment S.A."/>
    <s v="24/09/2026"/>
    <s v="24/09/2026"/>
    <n v="25"/>
    <s v="No"/>
    <s v=""/>
    <m/>
    <m/>
    <s v="*PRO201000030"/>
    <s v="*PRO201000030"/>
    <n v="4.0001759700833714E-5"/>
  </r>
  <r>
    <x v="6"/>
    <s v="Pesos"/>
    <d v="2026-10-22T00:00:00"/>
    <s v="29/09/2026"/>
    <n v="0.98449094999999998"/>
    <m/>
    <n v="180149.61"/>
    <n v="177355.66"/>
    <n v="180149.61"/>
    <n v="177355.66"/>
    <n v="60527402"/>
    <s v="AMOMPY"/>
    <s v="Momentum Capital Investment S.A."/>
    <s v="24/09/2026"/>
    <s v="24/09/2026"/>
    <n v="25"/>
    <s v="No"/>
    <s v=""/>
    <m/>
    <m/>
    <s v="*PRO201000031"/>
    <s v="*PRO201000031"/>
    <n v="2.3578670272318937E-6"/>
  </r>
  <r>
    <x v="6"/>
    <s v="Pesos"/>
    <d v="2026-10-22T00:00:00"/>
    <s v="29/09/2026"/>
    <n v="0.98388056000000002"/>
    <m/>
    <n v="20000000"/>
    <n v="19677611.170000002"/>
    <n v="20000000"/>
    <n v="19677611.170000002"/>
    <n v="9508921"/>
    <s v="AMOMPY"/>
    <s v="Momentum Capital Investment S.A."/>
    <s v="17/07/2026"/>
    <s v="17/07/2026"/>
    <n v="26"/>
    <s v="No"/>
    <s v=""/>
    <m/>
    <m/>
    <s v="*PRO201000022"/>
    <s v="*PRO201000022"/>
    <n v="2.6160535588451482E-4"/>
  </r>
  <r>
    <x v="109"/>
    <s v="Pesos"/>
    <d v="2026-10-22T00:00:00"/>
    <s v="29/09/2026"/>
    <n v="0.98023422999999998"/>
    <m/>
    <n v="10655603.279999999"/>
    <n v="10444987.02"/>
    <n v="10655603.279999999"/>
    <n v="10444987.02"/>
    <n v="30827"/>
    <s v="AMOMPY"/>
    <s v="Momentum Capital Investment S.A."/>
    <s v="14/07/2026"/>
    <s v="14/07/2026"/>
    <n v="32"/>
    <s v="No"/>
    <s v=""/>
    <m/>
    <m/>
    <s v="*MAV201001548"/>
    <s v="*MAV201001548"/>
    <n v="1.3886159874640095E-4"/>
  </r>
  <r>
    <x v="35"/>
    <s v="Pesos"/>
    <d v="2026-10-22T00:00:00"/>
    <s v="29/09/2026"/>
    <n v="0.97902480999999997"/>
    <m/>
    <n v="990902.64"/>
    <n v="970118.27"/>
    <n v="990902.64"/>
    <n v="970118.27"/>
    <n v="2951"/>
    <s v="AMOMPY"/>
    <s v="Momentum Capital Investment S.A."/>
    <s v="15/07/2026"/>
    <s v="15/07/2026"/>
    <n v="34"/>
    <s v="No"/>
    <s v=""/>
    <m/>
    <m/>
    <s v="*MAV201001555"/>
    <s v="*MAV201001555"/>
    <n v="1.2897304102661554E-5"/>
  </r>
  <r>
    <x v="35"/>
    <s v="Pesos"/>
    <d v="2026-10-22T00:00:00"/>
    <s v="29/09/2026"/>
    <n v="0.97902478000000004"/>
    <m/>
    <n v="1020845.65"/>
    <n v="999433.19"/>
    <n v="1020845.65"/>
    <n v="999433.19"/>
    <n v="2901"/>
    <s v="AMOMPY"/>
    <s v="Momentum Capital Investment S.A."/>
    <s v="15/07/2026"/>
    <s v="15/07/2026"/>
    <n v="34"/>
    <s v="No"/>
    <s v=""/>
    <m/>
    <m/>
    <s v="*MAV201001556"/>
    <s v="*MAV201001556"/>
    <n v="1.3287033324012261E-5"/>
  </r>
  <r>
    <x v="8"/>
    <s v="Pesos"/>
    <d v="2026-10-22T00:00:00"/>
    <s v="29/09/2026"/>
    <n v="0.98449091"/>
    <m/>
    <n v="8650000"/>
    <n v="8515846.3699999992"/>
    <n v="8650000"/>
    <n v="8515846.3699999992"/>
    <n v="34389"/>
    <s v="AMOMPY"/>
    <s v="Momentum Capital Investment S.A."/>
    <s v="20/07/2026"/>
    <s v="20/07/2026"/>
    <n v="25"/>
    <s v="No"/>
    <s v=""/>
    <m/>
    <m/>
    <s v="*MIL201000042"/>
    <s v="*MIL201000042"/>
    <n v="1.1321450561428607E-4"/>
  </r>
  <r>
    <x v="8"/>
    <s v="Pesos"/>
    <d v="2026-10-22T00:00:00"/>
    <s v="29/09/2026"/>
    <n v="0.98327092999999999"/>
    <m/>
    <n v="15000000"/>
    <n v="14749064.02"/>
    <n v="15000000"/>
    <n v="14749064.02"/>
    <n v="11349968"/>
    <s v="AMOMPY"/>
    <s v="Momentum Capital Investment S.A."/>
    <s v="16/07/2026"/>
    <s v="16/07/2026"/>
    <n v="27"/>
    <s v="No"/>
    <s v=""/>
    <m/>
    <m/>
    <s v="*MIL201000040"/>
    <s v="*MIL201000040"/>
    <n v="1.960824466233008E-4"/>
  </r>
  <r>
    <x v="8"/>
    <s v="Pesos"/>
    <d v="2026-10-22T00:00:00"/>
    <s v="29/09/2026"/>
    <n v="0.98449092000000005"/>
    <m/>
    <n v="11000000"/>
    <n v="10829400.140000001"/>
    <n v="11000000"/>
    <n v="10829400.140000001"/>
    <n v="189"/>
    <s v="AMOMPY"/>
    <s v="Momentum Capital Investment S.A."/>
    <s v="17/07/2026"/>
    <s v="17/07/2026"/>
    <n v="25"/>
    <s v="No"/>
    <s v=""/>
    <m/>
    <m/>
    <s v="*MIL201000041"/>
    <s v="*MIL201000041"/>
    <n v="1.4397220542500001E-4"/>
  </r>
  <r>
    <x v="8"/>
    <s v="Pesos"/>
    <d v="2026-10-22T00:00:00"/>
    <s v="29/09/2026"/>
    <n v="0.98144662999999999"/>
    <m/>
    <n v="3000000"/>
    <n v="2944339.89"/>
    <n v="3000000"/>
    <n v="2944339.89"/>
    <n v="12759458"/>
    <s v="AMOMPY"/>
    <s v="Momentum Capital Investment S.A."/>
    <s v="14/08/2026"/>
    <s v="14/08/2026"/>
    <n v="30"/>
    <s v="No"/>
    <s v=""/>
    <m/>
    <m/>
    <s v="*MIL201000051"/>
    <s v="*MIL201000051"/>
    <n v="3.9143729292849074E-5"/>
  </r>
  <r>
    <x v="164"/>
    <s v="Pesos"/>
    <d v="2026-10-22T00:00:00"/>
    <s v="29/09/2026"/>
    <n v="0.98327100000000001"/>
    <m/>
    <n v="3000000"/>
    <n v="2949812.99"/>
    <n v="3000000"/>
    <n v="2949812.99"/>
    <n v="90023129"/>
    <s v="AMOMPY"/>
    <s v="Momentum Capital Investment S.A."/>
    <s v="24/09/2026"/>
    <s v="24/09/2026"/>
    <n v="27"/>
    <s v="No"/>
    <s v=""/>
    <m/>
    <m/>
    <s v="*NIO201000057"/>
    <s v="*NIO201000057"/>
    <n v="3.9216491797449965E-5"/>
  </r>
  <r>
    <x v="207"/>
    <s v="Pesos"/>
    <d v="2026-10-22T00:00:00"/>
    <s v="29/09/2026"/>
    <n v="0.97781837000000005"/>
    <m/>
    <n v="3250000"/>
    <n v="3177909.71"/>
    <n v="3250000"/>
    <n v="3177909.71"/>
    <n v="65"/>
    <s v="AMOMPY"/>
    <s v="Momentum Capital Investment S.A."/>
    <s v="24/08/2026"/>
    <s v="24/08/2026"/>
    <n v="36"/>
    <s v="No"/>
    <s v=""/>
    <m/>
    <m/>
    <s v="*MAV201001753"/>
    <s v="*MAV201001753"/>
    <n v="4.2248939338778757E-5"/>
  </r>
  <r>
    <x v="208"/>
    <s v="Pesos"/>
    <d v="2026-10-22T00:00:00"/>
    <s v="29/09/2026"/>
    <n v="0.98084013000000003"/>
    <m/>
    <n v="5487424.6799999997"/>
    <n v="5382286.3300000001"/>
    <n v="5487424.6799999997"/>
    <n v="5382286.3300000001"/>
    <n v="2393564"/>
    <s v="AMOMPY"/>
    <s v="Momentum Capital Investment S.A."/>
    <s v="07/09/2026"/>
    <s v="07/09/2026"/>
    <n v="31"/>
    <s v="No"/>
    <s v=""/>
    <m/>
    <m/>
    <s v="*MAV201001875"/>
    <s v="*MAV201001875"/>
    <n v="7.1555176015402952E-5"/>
  </r>
  <r>
    <x v="8"/>
    <s v="Pesos"/>
    <d v="2026-10-22T00:00:00"/>
    <s v="29/09/2026"/>
    <n v="0.98388067999999995"/>
    <m/>
    <n v="4000000"/>
    <n v="3935522.72"/>
    <n v="4000000"/>
    <n v="3935522.72"/>
    <n v="90002225"/>
    <s v="AMOMPY"/>
    <s v="Momentum Capital Investment S.A."/>
    <s v="22/09/2026"/>
    <s v="22/09/2026"/>
    <n v="26"/>
    <s v="No"/>
    <s v=""/>
    <m/>
    <m/>
    <s v="*MIL201000055"/>
    <s v="*MIL201000055"/>
    <n v="5.2321077638063407E-5"/>
  </r>
  <r>
    <x v="209"/>
    <s v="Pesos"/>
    <d v="2026-10-22T00:00:00"/>
    <s v="29/09/2026"/>
    <n v="0.98144677000000002"/>
    <m/>
    <n v="351325.81"/>
    <n v="344807.58"/>
    <n v="351325.81"/>
    <n v="344807.58"/>
    <n v="2074"/>
    <s v="AMOMPY"/>
    <s v="Momentum Capital Investment S.A."/>
    <s v="11/09/2026"/>
    <s v="11/09/2026"/>
    <n v="30"/>
    <s v="No"/>
    <s v=""/>
    <m/>
    <m/>
    <s v="*MAV201001928"/>
    <s v="*MAV201001928"/>
    <n v="4.5840681014726199E-6"/>
  </r>
  <r>
    <x v="43"/>
    <s v="Pesos"/>
    <d v="2026-10-22T00:00:00"/>
    <s v="29/09/2026"/>
    <n v="0.97842116999999995"/>
    <m/>
    <n v="1066766.07"/>
    <n v="1043746.51"/>
    <n v="1066766.07"/>
    <n v="1043746.51"/>
    <n v="30095688"/>
    <s v="AMOMPY"/>
    <s v="Momentum Capital Investment S.A."/>
    <s v="19/08/2026"/>
    <s v="19/08/2026"/>
    <n v="35"/>
    <s v="No"/>
    <s v=""/>
    <m/>
    <m/>
    <s v="*MAV201001706"/>
    <s v="*MAV201001706"/>
    <n v="1.3876159806331324E-5"/>
  </r>
  <r>
    <x v="45"/>
    <s v="Pesos"/>
    <d v="2026-10-22T00:00:00"/>
    <s v="29/09/2026"/>
    <n v="0.98266207000000005"/>
    <m/>
    <n v="20000000"/>
    <n v="19653241.440000001"/>
    <n v="20000000"/>
    <n v="19653241.440000001"/>
    <n v="11092146"/>
    <s v="AMOMPY"/>
    <s v="Momentum Capital Investment S.A."/>
    <s v="29/05/2026"/>
    <s v="29/05/2026"/>
    <n v="28"/>
    <s v="No"/>
    <s v=""/>
    <m/>
    <m/>
    <s v="*NEU201000037"/>
    <s v="*NEU201000037"/>
    <n v="2.6128137083194001E-4"/>
  </r>
  <r>
    <x v="130"/>
    <s v="Pesos"/>
    <d v="2026-10-22T00:00:00"/>
    <s v="29/09/2026"/>
    <n v="0.97601415000000002"/>
    <m/>
    <n v="3750000"/>
    <n v="3660053.06"/>
    <n v="3750000"/>
    <n v="3660053.06"/>
    <n v="66918105"/>
    <s v="AMOMPY"/>
    <s v="Momentum Capital Investment S.A."/>
    <s v="13/05/2026"/>
    <s v="13/05/2026"/>
    <n v="39"/>
    <s v="No"/>
    <s v=""/>
    <m/>
    <m/>
    <s v="*MAV201001458"/>
    <s v="*MAV201001458"/>
    <n v="4.8658827285766897E-5"/>
  </r>
  <r>
    <x v="210"/>
    <s v="Pesos"/>
    <d v="2026-10-22T00:00:00"/>
    <s v="29/09/2026"/>
    <n v="0.97962910999999997"/>
    <m/>
    <n v="1000000"/>
    <n v="979629.11"/>
    <n v="1000000"/>
    <n v="979629.11"/>
    <n v="519"/>
    <s v="AMOMPY"/>
    <s v="Momentum Capital Investment S.A."/>
    <s v="11/08/2026"/>
    <s v="11/08/2026"/>
    <n v="33"/>
    <s v="No"/>
    <s v=""/>
    <m/>
    <m/>
    <s v="*MAV201001674"/>
    <s v="*MAV201001674"/>
    <n v="1.3023746619563907E-5"/>
  </r>
  <r>
    <x v="123"/>
    <s v="Pesos"/>
    <d v="2026-10-22T00:00:00"/>
    <s v="29/09/2026"/>
    <n v="0.97962912000000002"/>
    <m/>
    <n v="45000000"/>
    <n v="44083310.280000001"/>
    <n v="45000000"/>
    <n v="44083310.280000001"/>
    <n v="67838018"/>
    <s v="AMOMPY"/>
    <s v="Momentum Capital Investment S.A."/>
    <s v="22/06/2026"/>
    <s v="22/06/2026"/>
    <n v="33"/>
    <s v="No"/>
    <s v=""/>
    <m/>
    <m/>
    <s v="*MAV201001476"/>
    <s v="*MAV201001476"/>
    <n v="5.860686022675836E-4"/>
  </r>
  <r>
    <x v="172"/>
    <s v="Pesos"/>
    <d v="2026-10-22T00:00:00"/>
    <s v="29/09/2026"/>
    <n v="0.98388065999999996"/>
    <m/>
    <n v="843353.38"/>
    <n v="829759.08"/>
    <n v="843353.38"/>
    <n v="829759.08"/>
    <n v="14488011"/>
    <s v="AMOMPY"/>
    <s v="Momentum Capital Investment S.A."/>
    <s v="25/09/2026"/>
    <s v="25/09/2026"/>
    <n v="26"/>
    <s v="No"/>
    <s v=""/>
    <m/>
    <m/>
    <s v="*TRD201000045"/>
    <s v="*TRD201000045"/>
    <n v="1.103128919188861E-5"/>
  </r>
  <r>
    <x v="172"/>
    <s v="Pesos"/>
    <d v="2026-10-22T00:00:00"/>
    <s v="29/09/2026"/>
    <n v="0.98449091"/>
    <m/>
    <n v="15000000"/>
    <n v="14767363.609999999"/>
    <n v="15000000"/>
    <n v="14767363.609999999"/>
    <n v="69911087"/>
    <s v="AMOMPY"/>
    <s v="Momentum Capital Investment S.A."/>
    <s v="23/09/2026"/>
    <s v="23/09/2026"/>
    <n v="25"/>
    <s v="No"/>
    <s v=""/>
    <m/>
    <m/>
    <s v="*TRD201000044"/>
    <s v="*TRD201000044"/>
    <n v="1.963257317819073E-4"/>
  </r>
  <r>
    <x v="131"/>
    <s v="Pesos"/>
    <d v="2026-10-22T00:00:00"/>
    <s v="29/09/2026"/>
    <n v="0.97541431999999995"/>
    <m/>
    <n v="189000000"/>
    <n v="184353306.38999999"/>
    <n v="189000000"/>
    <n v="184353306.38999999"/>
    <n v="70397200"/>
    <s v="AMOMPY"/>
    <s v="Momentum Capital Investment S.A."/>
    <s v="03/09/2026"/>
    <s v="03/09/2026"/>
    <n v="40"/>
    <s v="No"/>
    <s v=""/>
    <m/>
    <m/>
    <s v="*MAV201001856"/>
    <s v="*MAV201001856"/>
    <n v="2.4508977187317265E-3"/>
  </r>
  <r>
    <x v="27"/>
    <s v="Pesos"/>
    <d v="2026-10-22T00:00:00"/>
    <s v="29/09/2026"/>
    <n v="0.98266209999999998"/>
    <m/>
    <n v="2500000"/>
    <n v="2456655.25"/>
    <n v="2500000"/>
    <n v="2456655.25"/>
    <n v="90031818"/>
    <s v="AMOMPY"/>
    <s v="Momentum Capital Investment S.A."/>
    <s v="22/04/2026"/>
    <s v="22/04/2026"/>
    <n v="28"/>
    <s v="No"/>
    <s v=""/>
    <m/>
    <m/>
    <s v="*MOV201000066"/>
    <s v="*MOV201000066"/>
    <n v="3.2660172284612313E-5"/>
  </r>
  <r>
    <x v="28"/>
    <s v="Pesos"/>
    <d v="2026-10-23T00:00:00"/>
    <s v="29/09/2026"/>
    <n v="0.97939259000000001"/>
    <m/>
    <n v="4000000"/>
    <n v="3917570.36"/>
    <n v="4000000"/>
    <n v="3917570.36"/>
    <n v="1148"/>
    <s v="AMOMPY"/>
    <s v="Momentum Capital Investment S.A."/>
    <s v="04/09/2026"/>
    <s v="04/09/2026"/>
    <n v="32"/>
    <s v="No"/>
    <s v=""/>
    <m/>
    <m/>
    <s v="*MAV211001460"/>
    <s v="*MAV211001460"/>
    <n v="5.208240875258776E-5"/>
  </r>
  <r>
    <x v="28"/>
    <s v="Pesos"/>
    <d v="2026-10-23T00:00:00"/>
    <s v="29/09/2026"/>
    <n v="0.98065564000000005"/>
    <m/>
    <n v="5000000"/>
    <n v="4903278.21"/>
    <n v="5000000"/>
    <n v="4903278.21"/>
    <n v="1219"/>
    <s v="AMOMPY"/>
    <s v="Momentum Capital Investment S.A."/>
    <s v="11/09/2026"/>
    <s v="11/09/2026"/>
    <n v="30"/>
    <s v="No"/>
    <s v=""/>
    <m/>
    <m/>
    <s v="*MAV211001530"/>
    <s v="*MAV211001530"/>
    <n v="6.5186969599411837E-5"/>
  </r>
  <r>
    <x v="28"/>
    <s v="Pesos"/>
    <d v="2026-10-23T00:00:00"/>
    <s v="29/09/2026"/>
    <n v="0.98065557000000003"/>
    <m/>
    <n v="4500000"/>
    <n v="4412950.08"/>
    <n v="4500000"/>
    <n v="4412950.08"/>
    <n v="1299"/>
    <s v="AMOMPY"/>
    <s v="Momentum Capital Investment S.A."/>
    <s v="24/09/2026"/>
    <s v="24/09/2026"/>
    <n v="30"/>
    <s v="No"/>
    <s v=""/>
    <m/>
    <m/>
    <s v="*MAV211001689"/>
    <s v="*MAV211001689"/>
    <n v="5.8668268531448882E-5"/>
  </r>
  <r>
    <x v="28"/>
    <s v="Pesos"/>
    <d v="2026-10-23T00:00:00"/>
    <s v="29/09/2026"/>
    <n v="0.98065559000000002"/>
    <m/>
    <n v="5000000"/>
    <n v="4903277.9400000004"/>
    <n v="5000000"/>
    <n v="4903277.9400000004"/>
    <n v="794"/>
    <s v="AMOMPY"/>
    <s v="Momentum Capital Investment S.A."/>
    <s v="14/07/2026"/>
    <s v="14/07/2026"/>
    <n v="30"/>
    <s v="No"/>
    <s v=""/>
    <m/>
    <m/>
    <s v="*MAV211001201"/>
    <s v="*MAV211001201"/>
    <n v="6.5186966009878259E-5"/>
  </r>
  <r>
    <x v="28"/>
    <s v="Pesos"/>
    <d v="2026-10-23T00:00:00"/>
    <s v="29/09/2026"/>
    <n v="0.97939261"/>
    <m/>
    <n v="3000000"/>
    <n v="2938177.84"/>
    <n v="3000000"/>
    <n v="2938177.84"/>
    <n v="1042"/>
    <s v="AMOMPY"/>
    <s v="Momentum Capital Investment S.A."/>
    <s v="25/08/2026"/>
    <s v="25/08/2026"/>
    <n v="32"/>
    <s v="No"/>
    <s v=""/>
    <m/>
    <m/>
    <s v="*MAV211001399"/>
    <s v="*MAV211001399"/>
    <n v="3.9061807495060636E-5"/>
  </r>
  <r>
    <x v="153"/>
    <s v="Pesos"/>
    <d v="2026-10-23T00:00:00"/>
    <s v="29/09/2026"/>
    <n v="0.98065557000000003"/>
    <m/>
    <n v="10000000"/>
    <n v="9806555.7400000002"/>
    <n v="10000000"/>
    <n v="9806555.7400000002"/>
    <n v="69717662"/>
    <s v="AMOMPY"/>
    <s v="Momentum Capital Investment S.A."/>
    <s v="24/09/2026"/>
    <s v="24/09/2026"/>
    <n v="30"/>
    <s v="No"/>
    <s v=""/>
    <m/>
    <m/>
    <s v="*MAV211001691"/>
    <s v="*MAV211001691"/>
    <n v="1.3037393015851687E-4"/>
  </r>
  <r>
    <x v="32"/>
    <s v="Pesos"/>
    <d v="2026-10-23T00:00:00"/>
    <s v="29/09/2026"/>
    <n v="0.97939259000000001"/>
    <m/>
    <n v="27125210.43"/>
    <n v="26566230.219999999"/>
    <n v="27125210.43"/>
    <n v="26566230.219999999"/>
    <n v="29768698"/>
    <s v="AMOMPY"/>
    <s v="Momentum Capital Investment S.A."/>
    <s v="31/07/2026"/>
    <s v="31/07/2026"/>
    <n v="32"/>
    <s v="No"/>
    <s v=""/>
    <m/>
    <m/>
    <s v="*MAV211001277"/>
    <s v="*MAV211001277"/>
    <n v="3.5318657590961288E-4"/>
  </r>
  <r>
    <x v="109"/>
    <s v="Pesos"/>
    <d v="2026-10-23T00:00:00"/>
    <s v="29/09/2026"/>
    <n v="0.97939253000000004"/>
    <m/>
    <n v="10655603.279999999"/>
    <n v="10436018.279999999"/>
    <n v="10655603.279999999"/>
    <n v="10436018.279999999"/>
    <n v="30828"/>
    <s v="AMOMPY"/>
    <s v="Momentum Capital Investment S.A."/>
    <s v="14/07/2026"/>
    <s v="14/07/2026"/>
    <n v="32"/>
    <s v="No"/>
    <s v=""/>
    <m/>
    <m/>
    <s v="*MAV211001198"/>
    <s v="*MAV211001198"/>
    <n v="1.3874236321525515E-4"/>
  </r>
  <r>
    <x v="163"/>
    <s v="Pesos"/>
    <d v="2026-10-23T00:00:00"/>
    <s v="29/09/2026"/>
    <n v="0.97813275"/>
    <m/>
    <n v="10000000"/>
    <n v="9781327.5"/>
    <n v="10000000"/>
    <n v="9781327.5"/>
    <n v="4408"/>
    <s v="AMOMPY"/>
    <s v="Momentum Capital Investment S.A."/>
    <s v="22/07/2026"/>
    <s v="22/07/2026"/>
    <n v="34"/>
    <s v="No"/>
    <s v=""/>
    <m/>
    <m/>
    <s v="*MAV211001235"/>
    <s v="*MAV211001235"/>
    <n v="1.3003853158566561E-4"/>
  </r>
  <r>
    <x v="35"/>
    <s v="Pesos"/>
    <d v="2026-10-23T00:00:00"/>
    <s v="29/09/2026"/>
    <n v="0.97876226"/>
    <m/>
    <n v="2502550.36"/>
    <n v="2449401.85"/>
    <n v="2502550.36"/>
    <n v="2449401.85"/>
    <n v="3138"/>
    <s v="AMOMPY"/>
    <s v="Momentum Capital Investment S.A."/>
    <s v="23/07/2026"/>
    <s v="23/07/2026"/>
    <n v="33"/>
    <s v="No"/>
    <s v=""/>
    <m/>
    <m/>
    <s v="*MAV211001243"/>
    <s v="*MAV211001243"/>
    <n v="3.2563741459143743E-5"/>
  </r>
  <r>
    <x v="35"/>
    <s v="Pesos"/>
    <d v="2026-10-23T00:00:00"/>
    <s v="29/09/2026"/>
    <n v="0.97876226"/>
    <m/>
    <n v="2502550.36"/>
    <n v="2449401.85"/>
    <n v="2502550.36"/>
    <n v="2449401.85"/>
    <n v="3128"/>
    <s v="AMOMPY"/>
    <s v="Momentum Capital Investment S.A."/>
    <s v="23/07/2026"/>
    <s v="23/07/2026"/>
    <n v="33"/>
    <s v="No"/>
    <s v=""/>
    <m/>
    <m/>
    <s v="*MAV211001244"/>
    <s v="*MAV211001244"/>
    <n v="3.2563741459143743E-5"/>
  </r>
  <r>
    <x v="35"/>
    <s v="Pesos"/>
    <d v="2026-10-23T00:00:00"/>
    <s v="29/09/2026"/>
    <n v="0.97813273000000001"/>
    <m/>
    <n v="1020845.65"/>
    <n v="998522.54"/>
    <n v="1020845.65"/>
    <n v="998522.54"/>
    <n v="2902"/>
    <s v="AMOMPY"/>
    <s v="Momentum Capital Investment S.A."/>
    <s v="15/07/2026"/>
    <s v="15/07/2026"/>
    <n v="34"/>
    <s v="No"/>
    <s v=""/>
    <m/>
    <m/>
    <s v="*MAV211001207"/>
    <s v="*MAV211001207"/>
    <n v="1.3274926624917635E-5"/>
  </r>
  <r>
    <x v="35"/>
    <s v="Pesos"/>
    <d v="2026-10-23T00:00:00"/>
    <s v="29/09/2026"/>
    <n v="0.97813278000000003"/>
    <m/>
    <n v="990902.64"/>
    <n v="969234.35"/>
    <n v="990902.64"/>
    <n v="969234.35"/>
    <n v="2952"/>
    <s v="AMOMPY"/>
    <s v="Momentum Capital Investment S.A."/>
    <s v="15/07/2026"/>
    <s v="15/07/2026"/>
    <n v="34"/>
    <s v="No"/>
    <s v=""/>
    <m/>
    <m/>
    <s v="*MAV211001209"/>
    <s v="*MAV211001209"/>
    <n v="1.2885552767391448E-5"/>
  </r>
  <r>
    <x v="8"/>
    <s v="Pesos"/>
    <d v="2026-10-23T00:00:00"/>
    <s v="29/09/2026"/>
    <n v="0.98255632000000004"/>
    <m/>
    <n v="20000000"/>
    <n v="19651126.329999998"/>
    <n v="20000000"/>
    <n v="19651126.329999998"/>
    <n v="885"/>
    <s v="AMOMPY"/>
    <s v="Momentum Capital Investment S.A."/>
    <s v="16/07/2026"/>
    <s v="16/07/2026"/>
    <n v="27"/>
    <s v="No"/>
    <s v=""/>
    <m/>
    <m/>
    <s v="*MIL211000032"/>
    <s v="*MIL211000032"/>
    <n v="2.6125325135648611E-4"/>
  </r>
  <r>
    <x v="207"/>
    <s v="Pesos"/>
    <d v="2026-10-23T00:00:00"/>
    <s v="29/09/2026"/>
    <n v="0.97687621000000002"/>
    <m/>
    <n v="3250000"/>
    <n v="3174847.69"/>
    <n v="3250000"/>
    <n v="3174847.69"/>
    <n v="66"/>
    <s v="AMOMPY"/>
    <s v="Momentum Capital Investment S.A."/>
    <s v="24/08/2026"/>
    <s v="24/08/2026"/>
    <n v="36"/>
    <s v="No"/>
    <s v=""/>
    <m/>
    <m/>
    <s v="*MAV211001396"/>
    <s v="*MAV211001396"/>
    <n v="4.2208231103164932E-5"/>
  </r>
  <r>
    <x v="211"/>
    <s v="Pesos"/>
    <d v="2026-10-23T00:00:00"/>
    <s v="29/09/2026"/>
    <n v="0.97813280000000002"/>
    <m/>
    <n v="40000000"/>
    <n v="39125311.850000001"/>
    <n v="40000000"/>
    <n v="39125311.850000001"/>
    <n v="69085654"/>
    <s v="AMOMPY"/>
    <s v="Momentum Capital Investment S.A."/>
    <s v="28/08/2026"/>
    <s v="28/08/2026"/>
    <n v="34"/>
    <s v="No"/>
    <s v=""/>
    <m/>
    <m/>
    <s v="*MAV211001441"/>
    <s v="*MAV211001441"/>
    <n v="5.2015415093761483E-4"/>
  </r>
  <r>
    <x v="11"/>
    <s v="Pesos"/>
    <d v="2026-10-23T00:00:00"/>
    <s v="29/09/2026"/>
    <n v="0.98128839000000001"/>
    <m/>
    <n v="23503916.969999999"/>
    <n v="23064120.82"/>
    <n v="23503916.969999999"/>
    <n v="23064120.82"/>
    <n v="2497"/>
    <s v="AMOMPY"/>
    <s v="Momentum Capital Investment S.A."/>
    <s v="25/09/2026"/>
    <s v="25/09/2026"/>
    <n v="29"/>
    <s v="No"/>
    <s v=""/>
    <m/>
    <m/>
    <s v="%AUU221000001"/>
    <s v="%AUU221000001"/>
    <n v="3.0662754148117193E-4"/>
  </r>
  <r>
    <x v="11"/>
    <s v="Pesos"/>
    <d v="2026-10-23T00:00:00"/>
    <s v="29/09/2026"/>
    <n v="0.98128839000000001"/>
    <m/>
    <n v="1365265160.71"/>
    <n v="1339718850.25"/>
    <n v="1365265160.71"/>
    <n v="1339718850.25"/>
    <n v="2498"/>
    <s v="AMOMPY"/>
    <s v="Momentum Capital Investment S.A."/>
    <s v="25/09/2026"/>
    <s v="25/09/2026"/>
    <n v="29"/>
    <s v="No"/>
    <s v=""/>
    <m/>
    <m/>
    <s v="%AUU221000002"/>
    <s v="%AUU221000002"/>
    <n v="1.7810984452176479E-2"/>
  </r>
  <r>
    <x v="11"/>
    <s v="Pesos"/>
    <d v="2026-10-23T00:00:00"/>
    <s v="29/09/2026"/>
    <n v="0.98128839000000001"/>
    <m/>
    <n v="80351763.060000002"/>
    <n v="78848252.129999995"/>
    <n v="80351763.060000002"/>
    <n v="78848252.129999995"/>
    <n v="2499"/>
    <s v="AMOMPY"/>
    <s v="Momentum Capital Investment S.A."/>
    <s v="25/09/2026"/>
    <s v="25/09/2026"/>
    <n v="29"/>
    <s v="No"/>
    <s v=""/>
    <m/>
    <m/>
    <s v="%AUU221000003"/>
    <s v="%AUU221000003"/>
    <n v="1.0482535141657951E-3"/>
  </r>
  <r>
    <x v="57"/>
    <s v="Pesos"/>
    <d v="2026-10-23T00:00:00"/>
    <s v="29/09/2026"/>
    <n v="0.98065557000000003"/>
    <m/>
    <n v="1556161.8"/>
    <n v="1526058.74"/>
    <n v="1556161.8"/>
    <n v="1526058.74"/>
    <n v="9802"/>
    <s v="AMOMPY"/>
    <s v="Momentum Capital Investment S.A."/>
    <s v="04/08/2026"/>
    <s v="04/08/2026"/>
    <n v="30"/>
    <s v="No"/>
    <s v=""/>
    <m/>
    <m/>
    <s v="*MAV211001296"/>
    <s v="*MAV211001296"/>
    <n v="2.0288292940101541E-5"/>
  </r>
  <r>
    <x v="82"/>
    <s v="Pesos"/>
    <d v="2026-10-23T00:00:00"/>
    <s v="29/09/2026"/>
    <n v="0.98065564000000005"/>
    <m/>
    <n v="2700000"/>
    <n v="2647770.23"/>
    <n v="2700000"/>
    <n v="2647770.23"/>
    <n v="6908"/>
    <s v="AMOMPY"/>
    <s v="Momentum Capital Investment S.A."/>
    <s v="11/09/2026"/>
    <s v="11/09/2026"/>
    <n v="30"/>
    <s v="No"/>
    <s v=""/>
    <m/>
    <m/>
    <s v="*MAV211001534"/>
    <s v="*MAV211001534"/>
    <n v="3.5200963538480857E-5"/>
  </r>
  <r>
    <x v="8"/>
    <s v="Pesos"/>
    <d v="2026-10-23T00:00:00"/>
    <s v="29/09/2026"/>
    <n v="0.98255629"/>
    <m/>
    <n v="24500000"/>
    <n v="24072629"/>
    <n v="24500000"/>
    <n v="24072629"/>
    <n v="34221"/>
    <s v="AMOMPY"/>
    <s v="Momentum Capital Investment S.A."/>
    <s v="07/07/2026"/>
    <s v="07/07/2026"/>
    <n v="27"/>
    <s v="No"/>
    <s v=""/>
    <m/>
    <m/>
    <s v="*MIL211000031"/>
    <s v="*MIL211000031"/>
    <n v="3.2003522288426696E-4"/>
  </r>
  <r>
    <x v="8"/>
    <s v="Pesos"/>
    <d v="2026-10-23T00:00:00"/>
    <s v="29/09/2026"/>
    <n v="0.98319157000000001"/>
    <m/>
    <n v="4000000"/>
    <n v="3932766.26"/>
    <n v="4000000"/>
    <n v="3932766.26"/>
    <n v="90002229"/>
    <s v="AMOMPY"/>
    <s v="Momentum Capital Investment S.A."/>
    <s v="22/09/2026"/>
    <s v="22/09/2026"/>
    <n v="26"/>
    <s v="No"/>
    <s v=""/>
    <m/>
    <m/>
    <s v="*MIL211000040"/>
    <s v="*MIL211000040"/>
    <n v="5.228443169089778E-5"/>
  </r>
  <r>
    <x v="212"/>
    <s v="Pesos"/>
    <d v="2026-10-23T00:00:00"/>
    <s v="29/09/2026"/>
    <n v="0.97876220999999997"/>
    <m/>
    <n v="24012581.18"/>
    <n v="23502606.940000001"/>
    <n v="24012581.18"/>
    <n v="23502606.940000001"/>
    <n v="10180813"/>
    <s v="AMOMPY"/>
    <s v="Momentum Capital Investment S.A."/>
    <s v="24/07/2026"/>
    <s v="24/07/2026"/>
    <n v="33"/>
    <s v="No"/>
    <s v=""/>
    <m/>
    <m/>
    <s v="*MAV211001255"/>
    <s v="*MAV211001255"/>
    <n v="3.124570253794972E-4"/>
  </r>
  <r>
    <x v="213"/>
    <s v="Pesos"/>
    <d v="2026-10-23T00:00:00"/>
    <s v="29/09/2026"/>
    <n v="0.97813275"/>
    <m/>
    <n v="5000300.25"/>
    <n v="4890957.4400000004"/>
    <n v="5000300.25"/>
    <n v="4890957.4400000004"/>
    <n v="372"/>
    <s v="AMOMPY"/>
    <s v="Momentum Capital Investment S.A."/>
    <s v="15/07/2026"/>
    <s v="15/07/2026"/>
    <n v="34"/>
    <s v="No"/>
    <s v=""/>
    <m/>
    <m/>
    <s v="*MAV211001208"/>
    <s v="*MAV211001208"/>
    <n v="6.5023170274749139E-5"/>
  </r>
  <r>
    <x v="210"/>
    <s v="Pesos"/>
    <d v="2026-10-23T00:00:00"/>
    <s v="29/09/2026"/>
    <n v="0.97876222000000002"/>
    <m/>
    <n v="1000000"/>
    <n v="978762.22"/>
    <n v="1000000"/>
    <n v="978762.22"/>
    <n v="520"/>
    <s v="AMOMPY"/>
    <s v="Momentum Capital Investment S.A."/>
    <s v="11/08/2026"/>
    <s v="11/08/2026"/>
    <n v="33"/>
    <s v="No"/>
    <s v=""/>
    <m/>
    <m/>
    <s v="*MAV211001325"/>
    <s v="*MAV211001325"/>
    <n v="1.3012221690800783E-5"/>
  </r>
  <r>
    <x v="21"/>
    <s v="Pesos"/>
    <d v="2026-10-23T00:00:00"/>
    <s v="29/09/2026"/>
    <n v="0.97813278000000003"/>
    <m/>
    <n v="10000000"/>
    <n v="9781327.7699999996"/>
    <n v="10000000"/>
    <n v="9781327.7699999996"/>
    <n v="14284510"/>
    <s v="AMOMPY"/>
    <s v="Momentum Capital Investment S.A."/>
    <s v="24/08/2026"/>
    <s v="24/08/2026"/>
    <n v="34"/>
    <s v="No"/>
    <s v=""/>
    <m/>
    <m/>
    <s v="*MAV211001384"/>
    <s v="*MAV211001384"/>
    <n v="1.3003853517519918E-4"/>
  </r>
  <r>
    <x v="185"/>
    <s v="Pesos"/>
    <d v="2026-10-23T00:00:00"/>
    <s v="29/09/2026"/>
    <n v="0.98319148000000001"/>
    <m/>
    <n v="6987220.3399999999"/>
    <n v="6869775.4900000002"/>
    <n v="6987220.3399999999"/>
    <n v="6869775.4900000002"/>
    <n v="92147554"/>
    <s v="AMOMPY"/>
    <s v="Momentum Capital Investment S.A."/>
    <s v="24/09/2026"/>
    <s v="24/09/2026"/>
    <n v="26"/>
    <s v="No"/>
    <s v=""/>
    <m/>
    <m/>
    <s v="NOVA211000005"/>
    <s v="NOVA211000005"/>
    <n v="9.1330703019891374E-5"/>
  </r>
  <r>
    <x v="172"/>
    <s v="Pesos"/>
    <d v="2026-10-23T00:00:00"/>
    <s v="29/09/2026"/>
    <n v="0.98319153000000004"/>
    <m/>
    <n v="1024932"/>
    <n v="1007704.46"/>
    <n v="1024932"/>
    <n v="1007704.46"/>
    <n v="29973265"/>
    <s v="AMOMPY"/>
    <s v="Momentum Capital Investment S.A."/>
    <s v="25/09/2026"/>
    <s v="25/09/2026"/>
    <n v="26"/>
    <s v="No"/>
    <s v=""/>
    <m/>
    <m/>
    <s v="*TRD211000038"/>
    <s v="*TRD211000038"/>
    <n v="1.3396996292244186E-5"/>
  </r>
  <r>
    <x v="27"/>
    <s v="Pesos"/>
    <d v="2026-10-23T00:00:00"/>
    <s v="29/09/2026"/>
    <n v="0.98192190000000001"/>
    <m/>
    <n v="2500000"/>
    <n v="2454804.7599999998"/>
    <n v="2500000"/>
    <n v="2454804.7599999998"/>
    <n v="90031819"/>
    <s v="AMOMPY"/>
    <s v="Momentum Capital Investment S.A."/>
    <s v="22/04/2026"/>
    <s v="22/04/2026"/>
    <n v="28"/>
    <s v="No"/>
    <s v=""/>
    <m/>
    <m/>
    <s v="*MOV211000064"/>
    <s v="*MOV211000064"/>
    <n v="3.2635570817959247E-5"/>
  </r>
  <r>
    <x v="28"/>
    <s v="Pesos"/>
    <d v="2026-10-23T00:00:00"/>
    <s v="29/09/2026"/>
    <n v="0.97939253000000004"/>
    <m/>
    <n v="2000000"/>
    <n v="1958785.06"/>
    <n v="2000000"/>
    <n v="1958785.06"/>
    <n v="1078"/>
    <s v="AMOMPY"/>
    <s v="Momentum Capital Investment S.A."/>
    <s v="26/08/2026"/>
    <s v="26/08/2026"/>
    <n v="32"/>
    <s v="No"/>
    <s v=""/>
    <m/>
    <m/>
    <s v="*MAV211001406"/>
    <s v="*MAV211001406"/>
    <n v="2.6041202780945623E-5"/>
  </r>
  <r>
    <x v="28"/>
    <s v="Pesos"/>
    <d v="2026-10-23T00:00:00"/>
    <s v="29/09/2026"/>
    <n v="0.98065559000000002"/>
    <m/>
    <n v="4000000"/>
    <n v="3922622.37"/>
    <n v="4000000"/>
    <n v="3922622.37"/>
    <n v="861"/>
    <s v="AMOMPY"/>
    <s v="Momentum Capital Investment S.A."/>
    <s v="05/08/2026"/>
    <s v="05/08/2026"/>
    <n v="30"/>
    <s v="No"/>
    <s v=""/>
    <m/>
    <m/>
    <s v="*MAV211001302"/>
    <s v="*MAV211001302"/>
    <n v="5.214957304720484E-5"/>
  </r>
  <r>
    <x v="28"/>
    <s v="Pesos"/>
    <d v="2026-10-23T00:00:00"/>
    <s v="29/09/2026"/>
    <n v="0.98065561999999995"/>
    <m/>
    <n v="2500000"/>
    <n v="2451639.0499999998"/>
    <n v="2500000"/>
    <n v="2451639.0499999998"/>
    <n v="895"/>
    <s v="AMOMPY"/>
    <s v="Momentum Capital Investment S.A."/>
    <s v="06/08/2026"/>
    <s v="06/08/2026"/>
    <n v="30"/>
    <s v="No"/>
    <s v=""/>
    <m/>
    <m/>
    <s v="*MAV211001312"/>
    <s v="*MAV211001312"/>
    <n v="3.2593484068504632E-5"/>
  </r>
  <r>
    <x v="76"/>
    <s v="Pesos"/>
    <d v="2026-10-23T00:00:00"/>
    <s v="29/09/2026"/>
    <n v="0.97562291999999995"/>
    <m/>
    <n v="25000000"/>
    <n v="24390573.02"/>
    <n v="25000000"/>
    <n v="24390573.02"/>
    <n v="70219572"/>
    <s v="AMOMPY"/>
    <s v="Momentum Capital Investment S.A."/>
    <s v="01/09/2026"/>
    <s v="01/09/2026"/>
    <n v="38"/>
    <s v="No"/>
    <s v=""/>
    <m/>
    <m/>
    <s v="*MAV211001459"/>
    <s v="*MAV211001459"/>
    <n v="3.2426215153860796E-4"/>
  </r>
  <r>
    <x v="28"/>
    <s v="Pesos"/>
    <d v="2026-10-26T00:00:00"/>
    <s v="29/09/2026"/>
    <n v="0.97829016000000002"/>
    <m/>
    <n v="4500000"/>
    <n v="4402305.71"/>
    <n v="4500000"/>
    <n v="4402305.71"/>
    <n v="1256"/>
    <s v="AMOMPY"/>
    <s v="Momentum Capital Investment S.A."/>
    <s v="22/09/2026"/>
    <s v="22/09/2026"/>
    <n v="30"/>
    <s v="No"/>
    <s v=""/>
    <m/>
    <m/>
    <s v="*MAV221001433"/>
    <s v="*MAV221001433"/>
    <n v="5.8526756221953623E-5"/>
  </r>
  <r>
    <x v="28"/>
    <s v="Pesos"/>
    <d v="2026-10-26T00:00:00"/>
    <s v="29/09/2026"/>
    <n v="0.97829005999999996"/>
    <m/>
    <n v="6500000"/>
    <n v="6358885.4199999999"/>
    <n v="6500000"/>
    <n v="6358885.4199999999"/>
    <n v="745"/>
    <s v="AMOMPY"/>
    <s v="Momentum Capital Investment S.A."/>
    <s v="08/07/2026"/>
    <s v="08/07/2026"/>
    <n v="30"/>
    <s v="No"/>
    <s v=""/>
    <m/>
    <m/>
    <s v="*MAV221001020"/>
    <s v="*MAV221001020"/>
    <n v="8.4538639825555232E-5"/>
  </r>
  <r>
    <x v="28"/>
    <s v="Pesos"/>
    <d v="2026-10-26T00:00:00"/>
    <s v="29/09/2026"/>
    <n v="0.97829003999999997"/>
    <m/>
    <n v="5000000"/>
    <n v="4891450.1900000004"/>
    <n v="5000000"/>
    <n v="4891450.1900000004"/>
    <n v="795"/>
    <s v="AMOMPY"/>
    <s v="Momentum Capital Investment S.A."/>
    <s v="14/07/2026"/>
    <s v="14/07/2026"/>
    <n v="30"/>
    <s v="No"/>
    <s v=""/>
    <m/>
    <m/>
    <s v="*MAV221001036"/>
    <s v="*MAV221001036"/>
    <n v="6.5029721173534482E-5"/>
  </r>
  <r>
    <x v="28"/>
    <s v="Pesos"/>
    <d v="2026-10-26T00:00:00"/>
    <s v="29/09/2026"/>
    <n v="0.97687625"/>
    <m/>
    <n v="10000000"/>
    <n v="9768762.5500000007"/>
    <n v="10000000"/>
    <n v="9768762.5500000007"/>
    <n v="1103"/>
    <s v="AMOMPY"/>
    <s v="Momentum Capital Investment S.A."/>
    <s v="28/08/2026"/>
    <s v="28/08/2026"/>
    <n v="32"/>
    <s v="No"/>
    <s v=""/>
    <m/>
    <m/>
    <s v="*MAV221001283"/>
    <s v="*MAV221001283"/>
    <n v="1.298714859931888E-4"/>
  </r>
  <r>
    <x v="28"/>
    <s v="Pesos"/>
    <d v="2026-10-26T00:00:00"/>
    <s v="29/09/2026"/>
    <n v="0.97687615000000005"/>
    <m/>
    <n v="3000000"/>
    <n v="2930628.45"/>
    <n v="3000000"/>
    <n v="2930628.45"/>
    <n v="1043"/>
    <s v="AMOMPY"/>
    <s v="Momentum Capital Investment S.A."/>
    <s v="25/08/2026"/>
    <s v="25/08/2026"/>
    <n v="32"/>
    <s v="No"/>
    <s v=""/>
    <m/>
    <m/>
    <s v="*MAV221001226"/>
    <s v="*MAV221001226"/>
    <n v="3.8961441610167463E-5"/>
  </r>
  <r>
    <x v="35"/>
    <s v="Pesos"/>
    <d v="2026-10-26T00:00:00"/>
    <s v="29/09/2026"/>
    <n v="0.97406079000000001"/>
    <m/>
    <n v="1874176.47"/>
    <n v="1825561.82"/>
    <n v="1874176.47"/>
    <n v="1825561.82"/>
    <n v="3463"/>
    <s v="AMOMPY"/>
    <s v="Momentum Capital Investment S.A."/>
    <s v="08/09/2026"/>
    <s v="08/09/2026"/>
    <n v="36"/>
    <s v="No"/>
    <s v=""/>
    <m/>
    <m/>
    <s v="*MAV221001343"/>
    <s v="*MAV221001343"/>
    <n v="2.4270057248533516E-5"/>
  </r>
  <r>
    <x v="6"/>
    <s v="Pesos"/>
    <d v="2026-10-26T00:00:00"/>
    <s v="29/09/2026"/>
    <n v="0.98113017999999996"/>
    <m/>
    <n v="30000000"/>
    <n v="29433905.48"/>
    <n v="30000000"/>
    <n v="29433905.48"/>
    <n v="90000873"/>
    <s v="AMOMPY"/>
    <s v="Momentum Capital Investment S.A."/>
    <s v="22/09/2026"/>
    <s v="22/09/2026"/>
    <n v="26"/>
    <s v="No"/>
    <s v=""/>
    <m/>
    <m/>
    <s v="*PRO221000029"/>
    <s v="*PRO221000029"/>
    <n v="3.913110820029772E-4"/>
  </r>
  <r>
    <x v="6"/>
    <s v="Pesos"/>
    <d v="2026-10-26T00:00:00"/>
    <s v="29/09/2026"/>
    <n v="0.98113017999999996"/>
    <m/>
    <n v="43000000"/>
    <n v="42188597.859999999"/>
    <n v="43000000"/>
    <n v="42188597.859999999"/>
    <n v="90000874"/>
    <s v="AMOMPY"/>
    <s v="Momentum Capital Investment S.A."/>
    <s v="22/09/2026"/>
    <s v="22/09/2026"/>
    <n v="26"/>
    <s v="No"/>
    <s v=""/>
    <m/>
    <m/>
    <s v="*PRO221000027"/>
    <s v="*PRO221000027"/>
    <n v="5.6087921760850502E-4"/>
  </r>
  <r>
    <x v="6"/>
    <s v="Pesos"/>
    <d v="2026-10-26T00:00:00"/>
    <s v="29/09/2026"/>
    <n v="0.98113017999999996"/>
    <m/>
    <n v="30000000"/>
    <n v="29433905.48"/>
    <n v="30000000"/>
    <n v="29433905.48"/>
    <n v="90000872"/>
    <s v="AMOMPY"/>
    <s v="Momentum Capital Investment S.A."/>
    <s v="22/09/2026"/>
    <s v="22/09/2026"/>
    <n v="26"/>
    <s v="No"/>
    <s v=""/>
    <m/>
    <m/>
    <s v="*PRO221000028"/>
    <s v="*PRO221000028"/>
    <n v="3.913110820029772E-4"/>
  </r>
  <r>
    <x v="55"/>
    <s v="Pesos"/>
    <d v="2026-10-26T00:00:00"/>
    <s v="29/09/2026"/>
    <n v="0.97829007999999995"/>
    <m/>
    <n v="35466704.420000002"/>
    <n v="34696725"/>
    <n v="35466704.420000002"/>
    <n v="34696725"/>
    <n v="40293687"/>
    <s v="AMOMPY"/>
    <s v="Momentum Capital Investment S.A."/>
    <s v="20/08/2026"/>
    <s v="20/08/2026"/>
    <n v="30"/>
    <s v="No"/>
    <s v=""/>
    <m/>
    <m/>
    <s v="*MAV221001204"/>
    <s v="*MAV221001204"/>
    <n v="4.6127799829130082E-4"/>
  </r>
  <r>
    <x v="109"/>
    <s v="Pesos"/>
    <d v="2026-10-26T00:00:00"/>
    <s v="29/09/2026"/>
    <n v="0.97687617999999998"/>
    <m/>
    <n v="10655603.279999999"/>
    <n v="10409205"/>
    <n v="10655603.279999999"/>
    <n v="10409205"/>
    <n v="30829"/>
    <s v="AMOMPY"/>
    <s v="Momentum Capital Investment S.A."/>
    <s v="14/07/2026"/>
    <s v="14/07/2026"/>
    <n v="32"/>
    <s v="No"/>
    <s v=""/>
    <m/>
    <m/>
    <s v="*MAV221001035"/>
    <s v="*MAV221001035"/>
    <n v="1.3838589221904372E-4"/>
  </r>
  <r>
    <x v="163"/>
    <s v="Pesos"/>
    <d v="2026-10-26T00:00:00"/>
    <s v="29/09/2026"/>
    <n v="0.97476302999999997"/>
    <m/>
    <n v="20000000"/>
    <n v="19495260.5"/>
    <n v="20000000"/>
    <n v="19495260.5"/>
    <n v="4407"/>
    <s v="AMOMPY"/>
    <s v="Momentum Capital Investment S.A."/>
    <s v="21/07/2026"/>
    <s v="21/07/2026"/>
    <n v="35"/>
    <s v="No"/>
    <s v=""/>
    <m/>
    <m/>
    <s v="*MAV221001062"/>
    <s v="*MAV221001062"/>
    <n v="2.5918108235308847E-4"/>
  </r>
  <r>
    <x v="163"/>
    <s v="Pesos"/>
    <d v="2026-10-26T00:00:00"/>
    <s v="29/09/2026"/>
    <n v="0.97546644000000005"/>
    <m/>
    <n v="10000000"/>
    <n v="9754664.4299999997"/>
    <n v="10000000"/>
    <n v="9754664.4299999997"/>
    <n v="4409"/>
    <s v="AMOMPY"/>
    <s v="Momentum Capital Investment S.A."/>
    <s v="23/07/2026"/>
    <s v="23/07/2026"/>
    <n v="34"/>
    <s v="No"/>
    <s v=""/>
    <m/>
    <m/>
    <s v="*MAV221001074"/>
    <s v="*MAV221001074"/>
    <n v="1.2968405756663641E-4"/>
  </r>
  <r>
    <x v="35"/>
    <s v="Pesos"/>
    <d v="2026-10-26T00:00:00"/>
    <s v="29/09/2026"/>
    <n v="0.97617081999999999"/>
    <m/>
    <n v="2502550.36"/>
    <n v="2442916.64"/>
    <n v="2502550.36"/>
    <n v="2442916.64"/>
    <n v="3129"/>
    <s v="AMOMPY"/>
    <s v="Momentum Capital Investment S.A."/>
    <s v="23/07/2026"/>
    <s v="23/07/2026"/>
    <n v="33"/>
    <s v="No"/>
    <s v=""/>
    <m/>
    <m/>
    <s v="*MAV221001070"/>
    <s v="*MAV221001070"/>
    <n v="3.2477523388495901E-5"/>
  </r>
  <r>
    <x v="35"/>
    <s v="Pesos"/>
    <d v="2026-10-26T00:00:00"/>
    <s v="29/09/2026"/>
    <n v="0.97617081999999999"/>
    <m/>
    <n v="2502550.36"/>
    <n v="2442916.64"/>
    <n v="2502550.36"/>
    <n v="2442916.64"/>
    <n v="3139"/>
    <s v="AMOMPY"/>
    <s v="Momentum Capital Investment S.A."/>
    <s v="23/07/2026"/>
    <s v="23/07/2026"/>
    <n v="33"/>
    <s v="No"/>
    <s v=""/>
    <m/>
    <m/>
    <s v="*MAV221001071"/>
    <s v="*MAV221001071"/>
    <n v="3.2477523388495901E-5"/>
  </r>
  <r>
    <x v="35"/>
    <s v="Pesos"/>
    <d v="2026-10-26T00:00:00"/>
    <s v="29/09/2026"/>
    <n v="0.97546641999999995"/>
    <m/>
    <n v="1020845.65"/>
    <n v="995800.65"/>
    <n v="1020845.65"/>
    <n v="995800.65"/>
    <n v="2903"/>
    <s v="AMOMPY"/>
    <s v="Momentum Capital Investment S.A."/>
    <s v="15/07/2026"/>
    <s v="15/07/2026"/>
    <n v="34"/>
    <s v="No"/>
    <s v=""/>
    <m/>
    <m/>
    <s v="*MAV221001043"/>
    <s v="*MAV221001043"/>
    <n v="1.3238740270996074E-5"/>
  </r>
  <r>
    <x v="35"/>
    <s v="Pesos"/>
    <d v="2026-10-26T00:00:00"/>
    <s v="29/09/2026"/>
    <n v="0.97546641000000001"/>
    <m/>
    <n v="990902.64"/>
    <n v="966592.24"/>
    <n v="990902.64"/>
    <n v="966592.24"/>
    <n v="2953"/>
    <s v="AMOMPY"/>
    <s v="Momentum Capital Investment S.A."/>
    <s v="15/07/2026"/>
    <s v="15/07/2026"/>
    <n v="34"/>
    <s v="No"/>
    <s v=""/>
    <m/>
    <m/>
    <s v="*MAV221001044"/>
    <s v="*MAV221001044"/>
    <n v="1.2850427054170231E-5"/>
  </r>
  <r>
    <x v="8"/>
    <s v="Pesos"/>
    <d v="2026-10-26T00:00:00"/>
    <s v="29/09/2026"/>
    <n v="0.98184265000000004"/>
    <m/>
    <n v="12500000"/>
    <n v="12273033.08"/>
    <n v="12500000"/>
    <n v="12273033.08"/>
    <n v="5296"/>
    <s v="AMOMPY"/>
    <s v="Momentum Capital Investment S.A."/>
    <s v="20/07/2026"/>
    <s v="20/07/2026"/>
    <n v="25"/>
    <s v="No"/>
    <s v=""/>
    <m/>
    <m/>
    <s v="*MIL221000036"/>
    <s v="*MIL221000036"/>
    <n v="1.6316468289457632E-4"/>
  </r>
  <r>
    <x v="8"/>
    <s v="Pesos"/>
    <d v="2026-10-26T00:00:00"/>
    <s v="29/09/2026"/>
    <n v="0.98184265000000004"/>
    <m/>
    <n v="8650000"/>
    <n v="8492938.8900000006"/>
    <n v="8650000"/>
    <n v="8492938.8900000006"/>
    <n v="34390"/>
    <s v="AMOMPY"/>
    <s v="Momentum Capital Investment S.A."/>
    <s v="20/07/2026"/>
    <s v="20/07/2026"/>
    <n v="25"/>
    <s v="No"/>
    <s v=""/>
    <m/>
    <m/>
    <s v="*MIL221000035"/>
    <s v="*MIL221000035"/>
    <n v="1.129099605449662E-4"/>
  </r>
  <r>
    <x v="8"/>
    <s v="Pesos"/>
    <d v="2026-10-26T00:00:00"/>
    <s v="29/09/2026"/>
    <n v="0.98041849000000003"/>
    <m/>
    <n v="15000000"/>
    <n v="14706277.42"/>
    <n v="15000000"/>
    <n v="14706277.42"/>
    <n v="11349969"/>
    <s v="AMOMPY"/>
    <s v="Momentum Capital Investment S.A."/>
    <s v="16/07/2026"/>
    <s v="16/07/2026"/>
    <n v="27"/>
    <s v="No"/>
    <s v=""/>
    <m/>
    <m/>
    <s v="*MIL221000034"/>
    <s v="*MIL221000034"/>
    <n v="1.9551361722508842E-4"/>
  </r>
  <r>
    <x v="214"/>
    <s v="Pesos"/>
    <d v="2026-10-26T00:00:00"/>
    <s v="29/09/2026"/>
    <n v="0.97476300999999999"/>
    <m/>
    <n v="50000000"/>
    <n v="48738150.479999997"/>
    <n v="50000000"/>
    <n v="48738150.479999997"/>
    <n v="68527643"/>
    <s v="AMOMPY"/>
    <s v="Momentum Capital Investment S.A."/>
    <s v="24/07/2026"/>
    <s v="24/07/2026"/>
    <n v="35"/>
    <s v="No"/>
    <s v=""/>
    <m/>
    <m/>
    <s v="*MAV221001069"/>
    <s v="*MAV221001069"/>
    <n v="6.4795269564590322E-4"/>
  </r>
  <r>
    <x v="207"/>
    <s v="Pesos"/>
    <d v="2026-10-26T00:00:00"/>
    <s v="29/09/2026"/>
    <n v="0.97406073999999998"/>
    <m/>
    <n v="3250000"/>
    <n v="3165697.42"/>
    <n v="3250000"/>
    <n v="3165697.42"/>
    <n v="67"/>
    <s v="AMOMPY"/>
    <s v="Momentum Capital Investment S.A."/>
    <s v="24/08/2026"/>
    <s v="24/08/2026"/>
    <n v="36"/>
    <s v="No"/>
    <s v=""/>
    <m/>
    <m/>
    <s v="*MAV221001221"/>
    <s v="*MAV221001221"/>
    <n v="4.2086582208941488E-5"/>
  </r>
  <r>
    <x v="203"/>
    <s v="Pesos"/>
    <d v="2026-10-26T00:00:00"/>
    <s v="29/09/2026"/>
    <n v="0.97687615999999999"/>
    <m/>
    <n v="100000000"/>
    <n v="97687615.930000007"/>
    <n v="100000000"/>
    <n v="97687615.930000007"/>
    <n v="161"/>
    <s v="AMOMPY"/>
    <s v="Momentum Capital Investment S.A."/>
    <s v="24/07/2026"/>
    <s v="24/07/2026"/>
    <n v="32"/>
    <s v="No"/>
    <s v=""/>
    <m/>
    <m/>
    <s v="*MAV221001081"/>
    <s v="*MAV221001081"/>
    <n v="1.2987147327028644E-3"/>
  </r>
  <r>
    <x v="166"/>
    <s v="Pesos"/>
    <d v="2026-10-26T00:00:00"/>
    <s v="29/09/2026"/>
    <n v="0.97829012000000004"/>
    <m/>
    <n v="3000000"/>
    <n v="2934870.36"/>
    <n v="3000000"/>
    <n v="2934870.36"/>
    <n v="1299"/>
    <s v="AMOMPY"/>
    <s v="Momentum Capital Investment S.A."/>
    <s v="11/09/2026"/>
    <s v="11/09/2026"/>
    <n v="30"/>
    <s v="No"/>
    <s v=""/>
    <m/>
    <m/>
    <s v="*MAV221001360"/>
    <s v="*MAV221001360"/>
    <n v="3.9017835974584617E-5"/>
  </r>
  <r>
    <x v="39"/>
    <s v="Pesos"/>
    <d v="2026-10-26T00:00:00"/>
    <s v="29/09/2026"/>
    <n v="0.97899849999999999"/>
    <m/>
    <n v="7511409.4699999997"/>
    <n v="7353658.6299999999"/>
    <n v="7511409.4699999997"/>
    <n v="7353658.6299999999"/>
    <n v="90000775"/>
    <s v="AMOMPY"/>
    <s v="Momentum Capital Investment S.A."/>
    <s v="03/07/2026"/>
    <s v="03/07/2026"/>
    <n v="29"/>
    <s v="No"/>
    <s v=""/>
    <m/>
    <m/>
    <s v="*FED221000026"/>
    <s v="*FED221000026"/>
    <n v="9.7763720724764353E-5"/>
  </r>
  <r>
    <x v="60"/>
    <s v="Pesos"/>
    <d v="2026-10-26T00:00:00"/>
    <s v="29/09/2026"/>
    <n v="0.97265906999999996"/>
    <m/>
    <n v="150000000"/>
    <n v="145898860.58000001"/>
    <n v="150000000"/>
    <n v="145898860.58000001"/>
    <n v="70406568"/>
    <s v="AMOMPY"/>
    <s v="Momentum Capital Investment S.A."/>
    <s v="07/09/2026"/>
    <s v="07/09/2026"/>
    <n v="38"/>
    <s v="No"/>
    <s v=""/>
    <m/>
    <m/>
    <s v="*MAV221001329"/>
    <s v="*MAV221001329"/>
    <n v="1.9396624425309301E-3"/>
  </r>
  <r>
    <x v="19"/>
    <s v="Dolar 3500"/>
    <d v="2026-10-26T00:00:00"/>
    <s v="29/09/2026"/>
    <n v="0.99852277"/>
    <s v="1 US3 = 1523,9697583441 $"/>
    <n v="101000"/>
    <n v="100850.8"/>
    <n v="153920945.59"/>
    <n v="153693569.30000001"/>
    <n v="161880"/>
    <s v="AMOMPY"/>
    <s v="Momentum Capital Investment S.A."/>
    <s v="24/08/2026"/>
    <s v="24/08/2026"/>
    <n v="2"/>
    <s v="No"/>
    <s v=""/>
    <m/>
    <m/>
    <s v="#UMV221060020"/>
    <s v="#UMV221060020"/>
    <n v="2.0432897340296333E-3"/>
  </r>
  <r>
    <x v="130"/>
    <s v="Pesos"/>
    <d v="2026-10-26T00:00:00"/>
    <s v="29/09/2026"/>
    <n v="0.97195967000000005"/>
    <m/>
    <n v="3750000"/>
    <n v="3644848.75"/>
    <n v="3750000"/>
    <n v="3644848.75"/>
    <n v="66918134"/>
    <s v="AMOMPY"/>
    <s v="Momentum Capital Investment S.A."/>
    <s v="13/05/2026"/>
    <s v="13/05/2026"/>
    <n v="39"/>
    <s v="No"/>
    <s v=""/>
    <m/>
    <m/>
    <s v="*MAV221000981"/>
    <s v="*MAV221000981"/>
    <n v="4.8456692540133108E-5"/>
  </r>
  <r>
    <x v="213"/>
    <s v="Pesos"/>
    <d v="2026-10-26T00:00:00"/>
    <s v="29/09/2026"/>
    <n v="0.97546641999999995"/>
    <m/>
    <n v="5000300.25"/>
    <n v="4877624.9800000004"/>
    <n v="5000300.25"/>
    <n v="4877624.9800000004"/>
    <n v="373"/>
    <s v="AMOMPY"/>
    <s v="Momentum Capital Investment S.A."/>
    <s v="15/07/2026"/>
    <s v="15/07/2026"/>
    <n v="34"/>
    <s v="No"/>
    <s v=""/>
    <m/>
    <m/>
    <s v="*MAV221001045"/>
    <s v="*MAV221001045"/>
    <n v="6.4845920967758375E-5"/>
  </r>
  <r>
    <x v="210"/>
    <s v="Pesos"/>
    <d v="2026-10-26T00:00:00"/>
    <s v="29/09/2026"/>
    <n v="0.97617074999999998"/>
    <m/>
    <n v="1000000"/>
    <n v="976170.75"/>
    <n v="1000000"/>
    <n v="976170.75"/>
    <n v="521"/>
    <s v="AMOMPY"/>
    <s v="Momentum Capital Investment S.A."/>
    <s v="11/08/2026"/>
    <s v="11/08/2026"/>
    <n v="33"/>
    <s v="No"/>
    <s v=""/>
    <m/>
    <m/>
    <s v="*MAV221001159"/>
    <s v="*MAV221001159"/>
    <n v="1.2977769214544538E-5"/>
  </r>
  <r>
    <x v="215"/>
    <s v="Pesos"/>
    <d v="2026-10-26T00:00:00"/>
    <s v="29/09/2026"/>
    <n v="0.97546653000000005"/>
    <m/>
    <n v="564000000"/>
    <n v="550163122.40999997"/>
    <n v="564000000"/>
    <n v="550163122.40999997"/>
    <n v="165910"/>
    <s v="AMOMPY"/>
    <s v="Momentum Capital Investment S.A."/>
    <s v="22/09/2026"/>
    <s v="22/09/2026"/>
    <n v="34"/>
    <s v="No"/>
    <s v=""/>
    <m/>
    <m/>
    <s v="#MAV231060032"/>
    <s v="#MAV231060032"/>
    <n v="7.3141814923159661E-3"/>
  </r>
  <r>
    <x v="122"/>
    <s v="Pesos"/>
    <d v="2026-10-26T00:00:00"/>
    <s v="29/09/2026"/>
    <n v="0.97617083999999998"/>
    <m/>
    <n v="90000000"/>
    <n v="87855375.209999993"/>
    <n v="90000000"/>
    <n v="87855375.209999993"/>
    <n v="921"/>
    <s v="AMOMPY"/>
    <s v="Momentum Capital Investment S.A."/>
    <s v="07/09/2026"/>
    <s v="07/09/2026"/>
    <n v="33"/>
    <s v="No"/>
    <s v=""/>
    <m/>
    <m/>
    <s v="*MAV221001328"/>
    <s v="*MAV221001328"/>
    <n v="1.1679993318101339E-3"/>
  </r>
  <r>
    <x v="48"/>
    <s v="Pesos"/>
    <d v="2026-10-26T00:00:00"/>
    <s v="29/09/2026"/>
    <n v="0.97476304000000003"/>
    <m/>
    <n v="3072441.47"/>
    <n v="2994902.39"/>
    <n v="3072441.47"/>
    <n v="2994902.39"/>
    <n v="40773797"/>
    <s v="AMOMPY"/>
    <s v="Momentum Capital Investment S.A."/>
    <s v="12/08/2026"/>
    <s v="12/08/2026"/>
    <n v="35"/>
    <s v="No"/>
    <s v=""/>
    <m/>
    <m/>
    <s v="*MAV221001166"/>
    <s v="*MAV221001166"/>
    <n v="3.9815935928737734E-5"/>
  </r>
  <r>
    <x v="135"/>
    <s v="Pesos"/>
    <d v="2026-10-26T00:00:00"/>
    <s v="29/09/2026"/>
    <n v="0.97546641000000001"/>
    <m/>
    <n v="25000000"/>
    <n v="24386660.25"/>
    <n v="25000000"/>
    <n v="24386660.25"/>
    <n v="563"/>
    <s v="AMOMPY"/>
    <s v="Momentum Capital Investment S.A."/>
    <s v="05/08/2026"/>
    <s v="05/08/2026"/>
    <n v="34"/>
    <s v="No"/>
    <s v=""/>
    <m/>
    <m/>
    <s v="*MAV221001135"/>
    <s v="*MAV221001135"/>
    <n v="3.2421013294857176E-4"/>
  </r>
  <r>
    <x v="172"/>
    <s v="Pesos"/>
    <d v="2026-10-26T00:00:00"/>
    <s v="29/09/2026"/>
    <n v="0.98113015999999997"/>
    <m/>
    <n v="8752704.4100000001"/>
    <n v="8587542.25"/>
    <n v="8752704.4100000001"/>
    <n v="8587542.25"/>
    <n v="69934122"/>
    <s v="AMOMPY"/>
    <s v="Momentum Capital Investment S.A."/>
    <s v="25/09/2026"/>
    <s v="25/09/2026"/>
    <n v="26"/>
    <s v="No"/>
    <s v=""/>
    <m/>
    <m/>
    <s v="*TRD221000037"/>
    <s v="*TRD221000037"/>
    <n v="1.1416767142495361E-4"/>
  </r>
  <r>
    <x v="85"/>
    <s v="Pesos"/>
    <d v="2026-10-26T00:00:00"/>
    <s v="29/09/2026"/>
    <n v="0.97617074000000004"/>
    <m/>
    <n v="6500236.5700000003"/>
    <n v="6345340.7400000002"/>
    <n v="6500236.5700000003"/>
    <n v="6345340.7400000002"/>
    <n v="90000581"/>
    <s v="AMOMPY"/>
    <s v="Momentum Capital Investment S.A."/>
    <s v="02/06/2026"/>
    <s v="02/06/2026"/>
    <n v="33"/>
    <s v="No"/>
    <s v=""/>
    <m/>
    <m/>
    <s v="*MAV221000987"/>
    <s v="*MAV221000987"/>
    <n v="8.4358569145169803E-5"/>
  </r>
  <r>
    <x v="50"/>
    <s v="Pesos"/>
    <d v="2026-10-26T00:00:00"/>
    <s v="29/09/2026"/>
    <n v="0.97829005000000002"/>
    <m/>
    <n v="100000000"/>
    <n v="97829004.939999998"/>
    <n v="100000000"/>
    <n v="97829004.939999998"/>
    <n v="90004009"/>
    <s v="AMOMPY"/>
    <s v="Momentum Capital Investment S.A."/>
    <s v="12/08/2026"/>
    <s v="12/08/2026"/>
    <n v="30"/>
    <s v="No"/>
    <s v=""/>
    <m/>
    <m/>
    <s v="*MAV221001167"/>
    <s v="*MAV221001167"/>
    <n v="1.3005944386264979E-3"/>
  </r>
  <r>
    <x v="50"/>
    <s v="Pesos"/>
    <d v="2026-10-26T00:00:00"/>
    <s v="29/09/2026"/>
    <n v="0.97829005000000002"/>
    <m/>
    <n v="100000000"/>
    <n v="97829004.939999998"/>
    <n v="100000000"/>
    <n v="97829004.939999998"/>
    <n v="90004010"/>
    <s v="AMOMPY"/>
    <s v="Momentum Capital Investment S.A."/>
    <s v="12/08/2026"/>
    <s v="12/08/2026"/>
    <n v="30"/>
    <s v="No"/>
    <s v=""/>
    <m/>
    <m/>
    <s v="*MAV221001168"/>
    <s v="*MAV221001168"/>
    <n v="1.3005944386264979E-3"/>
  </r>
  <r>
    <x v="25"/>
    <s v="Pesos"/>
    <d v="2026-10-26T00:00:00"/>
    <s v="29/09/2026"/>
    <n v="0.97864432999999995"/>
    <m/>
    <n v="5633315"/>
    <n v="5513011.79"/>
    <n v="5633315"/>
    <n v="5513011.79"/>
    <n v="69874516"/>
    <s v="AMOMPY"/>
    <s v="Momentum Capital Investment S.A."/>
    <s v="23/09/2026"/>
    <s v="23/09/2026"/>
    <n v="29.5"/>
    <s v="No"/>
    <s v=""/>
    <m/>
    <m/>
    <s v="*CVA221000022"/>
    <s v="*CVA221000022"/>
    <n v="7.3293114639711425E-5"/>
  </r>
  <r>
    <x v="27"/>
    <s v="Pesos"/>
    <d v="2026-10-26T00:00:00"/>
    <s v="29/09/2026"/>
    <n v="0.97970800000000002"/>
    <m/>
    <n v="2500000"/>
    <n v="2449270"/>
    <n v="2500000"/>
    <n v="2449270"/>
    <n v="90031820"/>
    <s v="AMOMPY"/>
    <s v="Momentum Capital Investment S.A."/>
    <s v="22/04/2026"/>
    <s v="22/04/2026"/>
    <n v="28"/>
    <s v="No"/>
    <s v=""/>
    <m/>
    <m/>
    <s v="*MOV221000057"/>
    <s v="*MOV221000057"/>
    <n v="3.2561988570245014E-5"/>
  </r>
  <r>
    <x v="28"/>
    <s v="Pesos"/>
    <d v="2026-10-26T00:00:00"/>
    <s v="29/09/2026"/>
    <n v="0.97687617000000004"/>
    <m/>
    <n v="2000000"/>
    <n v="1953752.35"/>
    <n v="2000000"/>
    <n v="1953752.35"/>
    <n v="1072"/>
    <s v="AMOMPY"/>
    <s v="Momentum Capital Investment S.A."/>
    <s v="26/08/2026"/>
    <s v="26/08/2026"/>
    <n v="32"/>
    <s v="No"/>
    <s v=""/>
    <m/>
    <m/>
    <s v="*MAV221001233"/>
    <s v="*MAV221001233"/>
    <n v="2.5974295071506748E-5"/>
  </r>
  <r>
    <x v="28"/>
    <s v="Pesos"/>
    <d v="2026-10-26T00:00:00"/>
    <s v="29/09/2026"/>
    <n v="0.97829001999999998"/>
    <m/>
    <n v="3300000"/>
    <n v="3228357.05"/>
    <n v="3300000"/>
    <n v="3228357.05"/>
    <n v="927"/>
    <s v="AMOMPY"/>
    <s v="Momentum Capital Investment S.A."/>
    <s v="11/08/2026"/>
    <s v="11/08/2026"/>
    <n v="30"/>
    <s v="No"/>
    <s v=""/>
    <m/>
    <m/>
    <s v="*MAV221001161"/>
    <s v="*MAV221001161"/>
    <n v="4.2919614972122264E-5"/>
  </r>
  <r>
    <x v="28"/>
    <s v="Pesos"/>
    <d v="2026-10-26T00:00:00"/>
    <s v="29/09/2026"/>
    <n v="0.97829001000000004"/>
    <m/>
    <n v="2500000"/>
    <n v="2445725.02"/>
    <n v="2500000"/>
    <n v="2445725.02"/>
    <n v="908"/>
    <s v="AMOMPY"/>
    <s v="Momentum Capital Investment S.A."/>
    <s v="07/08/2026"/>
    <s v="07/08/2026"/>
    <n v="30"/>
    <s v="No"/>
    <s v=""/>
    <m/>
    <m/>
    <s v="*MAV221001146"/>
    <s v="*MAV221001146"/>
    <n v="3.251485958967458E-5"/>
  </r>
  <r>
    <x v="28"/>
    <s v="Pesos"/>
    <d v="2026-10-26T00:00:00"/>
    <s v="29/09/2026"/>
    <n v="0.97829009"/>
    <m/>
    <n v="2500000"/>
    <n v="2445725.2200000002"/>
    <n v="2500000"/>
    <n v="2445725.2200000002"/>
    <n v="884"/>
    <s v="AMOMPY"/>
    <s v="Momentum Capital Investment S.A."/>
    <s v="06/08/2026"/>
    <s v="06/08/2026"/>
    <n v="30"/>
    <s v="No"/>
    <s v=""/>
    <m/>
    <m/>
    <s v="*MAV221001138"/>
    <s v="*MAV221001138"/>
    <n v="3.2514862248588346E-5"/>
  </r>
  <r>
    <x v="216"/>
    <s v="Pesos"/>
    <d v="2026-10-26T00:00:00"/>
    <s v="29/09/2026"/>
    <n v="0.97829016999999996"/>
    <m/>
    <n v="2082031.9"/>
    <n v="2036831.35"/>
    <n v="2082031.9"/>
    <n v="2036831.35"/>
    <n v="34"/>
    <s v="AMOMPY"/>
    <s v="Momentum Capital Investment S.A."/>
    <s v="29/09/2026"/>
    <s v="29/09/2026"/>
    <n v="30"/>
    <s v="No"/>
    <s v=""/>
    <m/>
    <m/>
    <s v="*MAV221001553"/>
    <s v="*MAV221001553"/>
    <n v="2.7078794554384252E-5"/>
  </r>
  <r>
    <x v="217"/>
    <s v="Pesos"/>
    <d v="2026-10-26T00:00:00"/>
    <s v="29/09/2026"/>
    <n v="0.97829016999999996"/>
    <m/>
    <n v="1785672"/>
    <n v="1746905.37"/>
    <n v="1785672"/>
    <n v="1746905.37"/>
    <n v="834"/>
    <s v="AMOMPY"/>
    <s v="Momentum Capital Investment S.A."/>
    <s v="29/09/2026"/>
    <s v="29/09/2026"/>
    <n v="30"/>
    <s v="No"/>
    <s v=""/>
    <m/>
    <m/>
    <s v="*MAV221001552"/>
    <s v="*MAV221001552"/>
    <n v="2.3224353660984555E-5"/>
  </r>
  <r>
    <x v="28"/>
    <s v="Pesos"/>
    <d v="2026-10-27T00:00:00"/>
    <s v="29/09/2026"/>
    <n v="0.97604029000000003"/>
    <m/>
    <n v="4000000"/>
    <n v="3904161.18"/>
    <n v="4000000"/>
    <n v="3904161.18"/>
    <n v="1153"/>
    <s v="AMOMPY"/>
    <s v="Momentum Capital Investment S.A."/>
    <s v="04/09/2026"/>
    <s v="04/09/2026"/>
    <n v="32"/>
    <s v="No"/>
    <s v=""/>
    <m/>
    <m/>
    <s v="*MAV231001488"/>
    <s v="*MAV231001488"/>
    <n v="5.1904139486277248E-5"/>
  </r>
  <r>
    <x v="28"/>
    <s v="Pesos"/>
    <d v="2026-10-27T00:00:00"/>
    <s v="29/09/2026"/>
    <n v="0.97750409000000005"/>
    <m/>
    <n v="5000000"/>
    <n v="4887520.43"/>
    <n v="5000000"/>
    <n v="4887520.43"/>
    <n v="1220"/>
    <s v="AMOMPY"/>
    <s v="Momentum Capital Investment S.A."/>
    <s v="11/09/2026"/>
    <s v="11/09/2026"/>
    <n v="30"/>
    <s v="No"/>
    <s v=""/>
    <m/>
    <m/>
    <s v="*MAV231001589"/>
    <s v="*MAV231001589"/>
    <n v="6.497747670877403E-5"/>
  </r>
  <r>
    <x v="28"/>
    <s v="Pesos"/>
    <d v="2026-10-27T00:00:00"/>
    <s v="29/09/2026"/>
    <n v="0.97750408"/>
    <m/>
    <n v="5000000"/>
    <n v="4887520.42"/>
    <n v="5000000"/>
    <n v="4887520.42"/>
    <n v="1249"/>
    <s v="AMOMPY"/>
    <s v="Momentum Capital Investment S.A."/>
    <s v="18/09/2026"/>
    <s v="18/09/2026"/>
    <n v="30"/>
    <s v="No"/>
    <s v=""/>
    <m/>
    <m/>
    <s v="*MAV231001655"/>
    <s v="*MAV231001655"/>
    <n v="6.4977476575828346E-5"/>
  </r>
  <r>
    <x v="28"/>
    <s v="Pesos"/>
    <d v="2026-10-27T00:00:00"/>
    <s v="29/09/2026"/>
    <n v="0.97750402000000003"/>
    <m/>
    <n v="5000000"/>
    <n v="4887520.12"/>
    <n v="5000000"/>
    <n v="4887520.12"/>
    <n v="1242"/>
    <s v="AMOMPY"/>
    <s v="Momentum Capital Investment S.A."/>
    <s v="17/09/2026"/>
    <s v="17/09/2026"/>
    <n v="30"/>
    <s v="No"/>
    <s v=""/>
    <m/>
    <m/>
    <s v="*MAV231001641"/>
    <s v="*MAV231001641"/>
    <n v="6.4977472587457704E-5"/>
  </r>
  <r>
    <x v="28"/>
    <s v="Pesos"/>
    <d v="2026-10-27T00:00:00"/>
    <s v="29/09/2026"/>
    <n v="0.97750417999999994"/>
    <m/>
    <n v="4000000"/>
    <n v="3910016.71"/>
    <n v="4000000"/>
    <n v="3910016.71"/>
    <n v="1287"/>
    <s v="AMOMPY"/>
    <s v="Momentum Capital Investment S.A."/>
    <s v="23/09/2026"/>
    <s v="23/09/2026"/>
    <n v="30"/>
    <s v="No"/>
    <s v=""/>
    <m/>
    <m/>
    <s v="*MAV231001712"/>
    <s v="*MAV231001712"/>
    <n v="5.1981986232831413E-5"/>
  </r>
  <r>
    <x v="28"/>
    <s v="Pesos"/>
    <d v="2026-10-27T00:00:00"/>
    <s v="29/09/2026"/>
    <n v="0.97604031999999996"/>
    <m/>
    <n v="3000000"/>
    <n v="2928120.95"/>
    <n v="3000000"/>
    <n v="2928120.95"/>
    <n v="1044"/>
    <s v="AMOMPY"/>
    <s v="Momentum Capital Investment S.A."/>
    <s v="25/08/2026"/>
    <s v="25/08/2026"/>
    <n v="32"/>
    <s v="No"/>
    <s v=""/>
    <m/>
    <m/>
    <s v="*MAV231001412"/>
    <s v="*MAV231001412"/>
    <n v="3.8928105478854909E-5"/>
  </r>
  <r>
    <x v="109"/>
    <s v="Pesos"/>
    <d v="2026-10-27T00:00:00"/>
    <s v="29/09/2026"/>
    <n v="0.97604024"/>
    <m/>
    <n v="10655603.279999999"/>
    <n v="10400297.550000001"/>
    <n v="10655603.279999999"/>
    <n v="10400297.550000001"/>
    <n v="30830"/>
    <s v="AMOMPY"/>
    <s v="Momentum Capital Investment S.A."/>
    <s v="14/07/2026"/>
    <s v="14/07/2026"/>
    <n v="32"/>
    <s v="No"/>
    <s v=""/>
    <m/>
    <m/>
    <s v="*MAV231001165"/>
    <s v="*MAV231001165"/>
    <n v="1.382674715120208E-4"/>
  </r>
  <r>
    <x v="35"/>
    <s v="Pesos"/>
    <d v="2026-10-27T00:00:00"/>
    <s v="29/09/2026"/>
    <n v="0.97312582000000003"/>
    <m/>
    <n v="3625698.78"/>
    <n v="3528261.1"/>
    <n v="3625698.78"/>
    <n v="3528261.1"/>
    <n v="3345"/>
    <s v="AMOMPY"/>
    <s v="Momentum Capital Investment S.A."/>
    <s v="28/08/2026"/>
    <s v="28/08/2026"/>
    <n v="36"/>
    <s v="No"/>
    <s v=""/>
    <m/>
    <m/>
    <s v="*MAV231001462"/>
    <s v="*MAV231001462"/>
    <n v="4.690671000381342E-5"/>
  </r>
  <r>
    <x v="35"/>
    <s v="Pesos"/>
    <d v="2026-10-27T00:00:00"/>
    <s v="29/09/2026"/>
    <n v="0.97312584000000002"/>
    <m/>
    <n v="1874176.47"/>
    <n v="1823809.56"/>
    <n v="1874176.47"/>
    <n v="1823809.56"/>
    <n v="3464"/>
    <s v="AMOMPY"/>
    <s v="Momentum Capital Investment S.A."/>
    <s v="08/09/2026"/>
    <s v="08/09/2026"/>
    <n v="36"/>
    <s v="No"/>
    <s v=""/>
    <m/>
    <m/>
    <s v="*MAV231001562"/>
    <s v="*MAV231001562"/>
    <n v="2.4246761707375496E-5"/>
  </r>
  <r>
    <x v="5"/>
    <s v="Pesos"/>
    <d v="2026-10-27T00:00:00"/>
    <s v="29/09/2026"/>
    <n v="0.97604031999999996"/>
    <m/>
    <n v="1509475"/>
    <n v="1473308.46"/>
    <n v="1509475"/>
    <n v="1473308.46"/>
    <n v="3848024"/>
    <s v="AMOMPY"/>
    <s v="Momentum Capital Investment S.A."/>
    <s v="15/09/2026"/>
    <s v="15/09/2026"/>
    <n v="32"/>
    <s v="No"/>
    <s v=""/>
    <m/>
    <m/>
    <s v="*MAV231001615"/>
    <s v="*MAV231001615"/>
    <n v="1.9587000712443004E-5"/>
  </r>
  <r>
    <x v="7"/>
    <s v="Pesos"/>
    <d v="2026-10-27T00:00:00"/>
    <s v="29/09/2026"/>
    <n v="0.97897223"/>
    <m/>
    <n v="150000000"/>
    <n v="146845834.63999999"/>
    <n v="150000000"/>
    <n v="146845834.63999999"/>
    <n v="81"/>
    <s v="AMOMPY"/>
    <s v="Momentum Capital Investment S.A."/>
    <s v="12/08/2026"/>
    <s v="12/08/2026"/>
    <n v="28"/>
    <s v="No"/>
    <s v=""/>
    <m/>
    <m/>
    <s v="*MAV231001316"/>
    <s v="*MAV231001316"/>
    <n v="1.9522520543409948E-3"/>
  </r>
  <r>
    <x v="35"/>
    <s v="Pesos"/>
    <d v="2026-10-27T00:00:00"/>
    <s v="29/09/2026"/>
    <n v="0.97458085999999999"/>
    <m/>
    <n v="1020845.65"/>
    <n v="994896.63"/>
    <n v="1020845.65"/>
    <n v="994896.63"/>
    <n v="2904"/>
    <s v="AMOMPY"/>
    <s v="Momentum Capital Investment S.A."/>
    <s v="15/07/2026"/>
    <s v="15/07/2026"/>
    <n v="34"/>
    <s v="No"/>
    <s v=""/>
    <m/>
    <m/>
    <s v="*MAV231001169"/>
    <s v="*MAV231001169"/>
    <n v="1.3226721714892715E-5"/>
  </r>
  <r>
    <x v="35"/>
    <s v="Pesos"/>
    <d v="2026-10-27T00:00:00"/>
    <s v="29/09/2026"/>
    <n v="0.97458084"/>
    <m/>
    <n v="990902.64"/>
    <n v="965714.73"/>
    <n v="990902.64"/>
    <n v="965714.73"/>
    <n v="2954"/>
    <s v="AMOMPY"/>
    <s v="Momentum Capital Investment S.A."/>
    <s v="15/07/2026"/>
    <s v="15/07/2026"/>
    <n v="34"/>
    <s v="No"/>
    <s v=""/>
    <m/>
    <m/>
    <s v="*MAV231001171"/>
    <s v="*MAV231001171"/>
    <n v="1.2838760937086253E-5"/>
  </r>
  <r>
    <x v="8"/>
    <s v="Pesos"/>
    <d v="2026-10-27T00:00:00"/>
    <s v="29/09/2026"/>
    <n v="0.97750409999999999"/>
    <m/>
    <n v="5000000"/>
    <n v="4887520.49"/>
    <n v="5000000"/>
    <n v="4887520.49"/>
    <n v="8779"/>
    <s v="AMOMPY"/>
    <s v="Momentum Capital Investment S.A."/>
    <s v="14/08/2026"/>
    <s v="14/08/2026"/>
    <n v="30"/>
    <s v="No"/>
    <s v=""/>
    <m/>
    <m/>
    <s v="*MIL231000038"/>
    <s v="*MIL231000038"/>
    <n v="6.4977477506448171E-5"/>
  </r>
  <r>
    <x v="218"/>
    <s v="Pesos"/>
    <d v="2026-10-27T00:00:00"/>
    <s v="29/09/2026"/>
    <n v="0.97750408"/>
    <m/>
    <n v="3049306.82"/>
    <n v="2980709.85"/>
    <n v="3049306.82"/>
    <n v="2980709.85"/>
    <n v="8956"/>
    <s v="AMOMPY"/>
    <s v="Momentum Capital Investment S.A."/>
    <s v="25/09/2026"/>
    <s v="25/09/2026"/>
    <n v="30"/>
    <s v="No"/>
    <s v=""/>
    <m/>
    <m/>
    <s v="*MAV231001785"/>
    <s v="*MAV231001785"/>
    <n v="3.9627252228997507E-5"/>
  </r>
  <r>
    <x v="219"/>
    <s v="Pesos"/>
    <d v="2026-10-27T00:00:00"/>
    <s v="29/09/2026"/>
    <n v="0.97531005000000004"/>
    <m/>
    <n v="25000000"/>
    <n v="24382751.190000001"/>
    <n v="25000000"/>
    <n v="24382751.190000001"/>
    <n v="90016068"/>
    <s v="AMOMPY"/>
    <s v="Momentum Capital Investment S.A."/>
    <s v="14/08/2026"/>
    <s v="14/08/2026"/>
    <n v="33"/>
    <s v="No"/>
    <s v=""/>
    <m/>
    <m/>
    <s v="*MAV231001339"/>
    <s v="*MAV231001339"/>
    <n v="3.2415816368138589E-4"/>
  </r>
  <r>
    <x v="207"/>
    <s v="Pesos"/>
    <d v="2026-10-27T00:00:00"/>
    <s v="29/09/2026"/>
    <n v="0.97312580999999998"/>
    <m/>
    <n v="3250000"/>
    <n v="3162658.87"/>
    <n v="3250000"/>
    <n v="3162658.87"/>
    <n v="68"/>
    <s v="AMOMPY"/>
    <s v="Momentum Capital Investment S.A."/>
    <s v="24/08/2026"/>
    <s v="24/08/2026"/>
    <n v="36"/>
    <s v="No"/>
    <s v=""/>
    <m/>
    <m/>
    <s v="*MAV231001407"/>
    <s v="*MAV231001407"/>
    <n v="4.2046185996857839E-5"/>
  </r>
  <r>
    <x v="220"/>
    <s v="Pesos"/>
    <d v="2026-10-27T00:00:00"/>
    <s v="29/09/2026"/>
    <n v="0.97385275999999998"/>
    <m/>
    <n v="40000000"/>
    <n v="38954110.280000001"/>
    <n v="40000000"/>
    <n v="38954110.280000001"/>
    <n v="322"/>
    <s v="AMOMPY"/>
    <s v="Momentum Capital Investment S.A."/>
    <s v="03/09/2026"/>
    <s v="03/09/2026"/>
    <n v="35"/>
    <s v="No"/>
    <s v=""/>
    <m/>
    <m/>
    <s v="*MAV231001534"/>
    <s v="*MAV231001534"/>
    <n v="5.1787809988340357E-4"/>
  </r>
  <r>
    <x v="39"/>
    <s v="Pesos"/>
    <d v="2026-10-27T00:00:00"/>
    <s v="29/09/2026"/>
    <n v="0.97970809000000003"/>
    <m/>
    <n v="3197658.29"/>
    <n v="3132771.69"/>
    <n v="3197658.29"/>
    <n v="3132771.69"/>
    <n v="10288843"/>
    <s v="AMOMPY"/>
    <s v="Momentum Capital Investment S.A."/>
    <s v="02/09/2026"/>
    <s v="02/09/2026"/>
    <n v="27"/>
    <s v="No"/>
    <s v=""/>
    <m/>
    <m/>
    <s v="*FED231000037"/>
    <s v="*FED231000037"/>
    <n v="4.1648848825555022E-5"/>
  </r>
  <r>
    <x v="8"/>
    <s v="Pesos"/>
    <d v="2026-10-27T00:00:00"/>
    <s v="29/09/2026"/>
    <n v="0.97970796999999998"/>
    <m/>
    <n v="50000000"/>
    <n v="48985398.399999999"/>
    <n v="50000000"/>
    <n v="48985398.399999999"/>
    <n v="1415416"/>
    <s v="AMOMPY"/>
    <s v="Momentum Capital Investment S.A."/>
    <s v="25/06/2026"/>
    <s v="25/06/2026"/>
    <n v="27"/>
    <s v="No"/>
    <s v=""/>
    <m/>
    <m/>
    <s v="*MIL231000034"/>
    <s v="*MIL231000034"/>
    <n v="6.5123975013359008E-4"/>
  </r>
  <r>
    <x v="8"/>
    <s v="Pesos"/>
    <d v="2026-10-27T00:00:00"/>
    <s v="29/09/2026"/>
    <n v="0.97970798999999997"/>
    <m/>
    <n v="10000000"/>
    <n v="9797079.8800000008"/>
    <n v="10000000"/>
    <n v="9797079.8800000008"/>
    <n v="2012"/>
    <s v="AMOMPY"/>
    <s v="Momentum Capital Investment S.A."/>
    <s v="07/07/2026"/>
    <s v="07/07/2026"/>
    <n v="27"/>
    <s v="No"/>
    <s v=""/>
    <m/>
    <m/>
    <s v="*MIL231000035"/>
    <s v="*MIL231000035"/>
    <n v="1.302479526856318E-4"/>
  </r>
  <r>
    <x v="8"/>
    <s v="Pesos"/>
    <d v="2026-10-27T00:00:00"/>
    <s v="29/09/2026"/>
    <n v="0.98044491"/>
    <m/>
    <n v="4000000"/>
    <n v="3921779.63"/>
    <n v="4000000"/>
    <n v="3921779.63"/>
    <n v="90002224"/>
    <s v="AMOMPY"/>
    <s v="Momentum Capital Investment S.A."/>
    <s v="22/09/2026"/>
    <s v="22/09/2026"/>
    <n v="26"/>
    <s v="No"/>
    <s v=""/>
    <m/>
    <m/>
    <s v="*MIL231000044"/>
    <s v="*MIL231000044"/>
    <n v="5.2138369182278682E-5"/>
  </r>
  <r>
    <x v="15"/>
    <s v="Pesos"/>
    <d v="2026-10-27T00:00:00"/>
    <s v="29/09/2026"/>
    <n v="0.97897226999999998"/>
    <m/>
    <n v="5225717"/>
    <n v="5115832.04"/>
    <n v="5225717"/>
    <n v="5115832.04"/>
    <n v="3174"/>
    <s v="AMOMPY"/>
    <s v="Momentum Capital Investment S.A."/>
    <s v="10/08/2026"/>
    <s v="10/08/2026"/>
    <n v="28"/>
    <s v="No"/>
    <s v=""/>
    <m/>
    <m/>
    <s v="*MAV231001288"/>
    <s v="*MAV231001288"/>
    <n v="6.8012781119996252E-5"/>
  </r>
  <r>
    <x v="60"/>
    <s v="Pesos"/>
    <d v="2026-10-27T00:00:00"/>
    <s v="29/09/2026"/>
    <n v="0.97385279999999996"/>
    <m/>
    <n v="250000000"/>
    <n v="243463199.09999999"/>
    <n v="250000000"/>
    <n v="243463199.09999999"/>
    <n v="70400476"/>
    <s v="AMOMPY"/>
    <s v="Momentum Capital Investment S.A."/>
    <s v="10/08/2026"/>
    <s v="10/08/2026"/>
    <n v="35"/>
    <s v="No"/>
    <s v=""/>
    <m/>
    <m/>
    <s v="*MAV231001287"/>
    <s v="*MAV231001287"/>
    <n v="3.2367382552227746E-3"/>
  </r>
  <r>
    <x v="213"/>
    <s v="Pesos"/>
    <d v="2026-10-27T00:00:00"/>
    <s v="29/09/2026"/>
    <n v="0.97458084"/>
    <m/>
    <n v="5000300.25"/>
    <n v="4873196.83"/>
    <n v="5000300.25"/>
    <n v="4873196.83"/>
    <n v="374"/>
    <s v="AMOMPY"/>
    <s v="Momentum Capital Investment S.A."/>
    <s v="15/07/2026"/>
    <s v="15/07/2026"/>
    <n v="34"/>
    <s v="No"/>
    <s v=""/>
    <m/>
    <m/>
    <s v="*MAV231001170"/>
    <s v="*MAV231001170"/>
    <n v="6.4787050622844446E-5"/>
  </r>
  <r>
    <x v="210"/>
    <s v="Pesos"/>
    <d v="2026-10-27T00:00:00"/>
    <s v="29/09/2026"/>
    <n v="0.97531007000000003"/>
    <m/>
    <n v="1400000"/>
    <n v="1365434.1"/>
    <n v="1400000"/>
    <n v="1365434.1"/>
    <n v="522"/>
    <s v="AMOMPY"/>
    <s v="Momentum Capital Investment S.A."/>
    <s v="11/08/2026"/>
    <s v="11/08/2026"/>
    <n v="33"/>
    <s v="No"/>
    <s v=""/>
    <m/>
    <m/>
    <s v="*MAV231001295"/>
    <s v="*MAV231001295"/>
    <n v="1.8152857609664425E-5"/>
  </r>
  <r>
    <x v="221"/>
    <s v="Pesos"/>
    <d v="2026-10-27T00:00:00"/>
    <s v="29/09/2026"/>
    <n v="0.97531003000000005"/>
    <m/>
    <n v="20000194"/>
    <n v="19506389.719999999"/>
    <n v="20000194"/>
    <n v="19506389.719999999"/>
    <n v="731"/>
    <s v="AMOMPY"/>
    <s v="Momentum Capital Investment S.A."/>
    <s v="24/08/2026"/>
    <s v="24/08/2026"/>
    <n v="33"/>
    <s v="No"/>
    <s v=""/>
    <m/>
    <m/>
    <s v="*MAV231001402"/>
    <s v="*MAV231001402"/>
    <n v="2.5932904053427541E-4"/>
  </r>
  <r>
    <x v="222"/>
    <s v="Pesos"/>
    <d v="2026-10-27T00:00:00"/>
    <s v="29/09/2026"/>
    <n v="0.98118280999999996"/>
    <m/>
    <n v="19922304"/>
    <n v="19547422.260000002"/>
    <n v="19922304"/>
    <n v="19547422.260000002"/>
    <n v="67863887"/>
    <s v="AMOMPY"/>
    <s v="Momentum Capital Investment S.A."/>
    <s v="26/06/2026"/>
    <s v="26/06/2026"/>
    <n v="25"/>
    <s v="No"/>
    <s v=""/>
    <m/>
    <m/>
    <s v="*MAV231001129"/>
    <s v="*MAV231001129"/>
    <n v="2.5987455046110595E-4"/>
  </r>
  <r>
    <x v="48"/>
    <s v="Pesos"/>
    <d v="2026-10-27T00:00:00"/>
    <s v="29/09/2026"/>
    <n v="0.97385283"/>
    <m/>
    <n v="6500000"/>
    <n v="6330043.4100000001"/>
    <n v="6500000"/>
    <n v="6330043.4100000001"/>
    <n v="40773808"/>
    <s v="AMOMPY"/>
    <s v="Momentum Capital Investment S.A."/>
    <s v="18/08/2026"/>
    <s v="18/08/2026"/>
    <n v="35"/>
    <s v="No"/>
    <s v=""/>
    <m/>
    <m/>
    <s v="*MAV231001342"/>
    <s v="*MAV231001342"/>
    <n v="8.415519773874451E-5"/>
  </r>
  <r>
    <x v="223"/>
    <s v="Pesos"/>
    <d v="2026-10-27T00:00:00"/>
    <s v="29/09/2026"/>
    <n v="0.97458084"/>
    <m/>
    <n v="4549416.66"/>
    <n v="4433774.3099999996"/>
    <n v="4549416.66"/>
    <n v="4433774.3099999996"/>
    <n v="50456545"/>
    <s v="AMOMPY"/>
    <s v="Momentum Capital Investment S.A."/>
    <s v="15/07/2026"/>
    <s v="15/07/2026"/>
    <n v="34"/>
    <s v="No"/>
    <s v=""/>
    <m/>
    <m/>
    <s v="*MAV231001172"/>
    <s v="*MAV231001172"/>
    <n v="5.8945117690277492E-5"/>
  </r>
  <r>
    <x v="21"/>
    <s v="Pesos"/>
    <d v="2026-10-27T00:00:00"/>
    <s v="29/09/2026"/>
    <n v="0.97604031999999996"/>
    <m/>
    <n v="10000000"/>
    <n v="9760403.1899999995"/>
    <n v="10000000"/>
    <n v="9760403.1899999995"/>
    <n v="14422568"/>
    <s v="AMOMPY"/>
    <s v="Momentum Capital Investment S.A."/>
    <s v="01/09/2026"/>
    <s v="01/09/2026"/>
    <n v="32"/>
    <s v="No"/>
    <s v=""/>
    <m/>
    <m/>
    <s v="*MAV231001482"/>
    <s v="*MAV231001482"/>
    <n v="1.2976035190638964E-4"/>
  </r>
  <r>
    <x v="172"/>
    <s v="Pesos"/>
    <d v="2026-10-27T00:00:00"/>
    <s v="29/09/2026"/>
    <n v="0.98044487999999996"/>
    <m/>
    <n v="4082183.08"/>
    <n v="4002355.49"/>
    <n v="4082183.08"/>
    <n v="4002355.49"/>
    <n v="552"/>
    <s v="AMOMPY"/>
    <s v="Momentum Capital Investment S.A."/>
    <s v="25/09/2026"/>
    <s v="25/09/2026"/>
    <n v="26"/>
    <s v="No"/>
    <s v=""/>
    <m/>
    <m/>
    <s v="*TRD231000047"/>
    <s v="*TRD231000047"/>
    <n v="5.320959049816369E-5"/>
  </r>
  <r>
    <x v="172"/>
    <s v="Pesos"/>
    <d v="2026-10-27T00:00:00"/>
    <s v="29/09/2026"/>
    <n v="0.98044487999999996"/>
    <m/>
    <n v="2054489.25"/>
    <n v="2014313.46"/>
    <n v="2054489.25"/>
    <n v="2014313.46"/>
    <n v="291"/>
    <s v="AMOMPY"/>
    <s v="Momentum Capital Investment S.A."/>
    <s v="25/09/2026"/>
    <s v="25/09/2026"/>
    <n v="26"/>
    <s v="No"/>
    <s v=""/>
    <m/>
    <m/>
    <s v="*TRD231000046"/>
    <s v="*TRD231000046"/>
    <n v="2.6779428916130391E-5"/>
  </r>
  <r>
    <x v="172"/>
    <s v="Pesos"/>
    <d v="2026-10-27T00:00:00"/>
    <s v="29/09/2026"/>
    <n v="0.98044487999999996"/>
    <m/>
    <n v="760000"/>
    <n v="745138.11"/>
    <n v="760000"/>
    <n v="745138.11"/>
    <n v="724"/>
    <s v="AMOMPY"/>
    <s v="Momentum Capital Investment S.A."/>
    <s v="25/09/2026"/>
    <s v="25/09/2026"/>
    <n v="26"/>
    <s v="No"/>
    <s v=""/>
    <m/>
    <m/>
    <s v="*TRD231000045"/>
    <s v="*TRD231000045"/>
    <n v="9.9062898827299432E-6"/>
  </r>
  <r>
    <x v="131"/>
    <s v="Pesos"/>
    <d v="2026-10-27T00:00:00"/>
    <s v="29/09/2026"/>
    <n v="0.9702288"/>
    <m/>
    <n v="358000000"/>
    <n v="347341910.00999999"/>
    <n v="358000000"/>
    <n v="347341910.00999999"/>
    <n v="70408119"/>
    <s v="AMOMPY"/>
    <s v="Momentum Capital Investment S.A."/>
    <s v="16/09/2026"/>
    <s v="16/09/2026"/>
    <n v="40"/>
    <s v="No"/>
    <s v=""/>
    <m/>
    <m/>
    <s v="*MAV231001636"/>
    <s v="*MAV231001636"/>
    <n v="4.6177609261995167E-3"/>
  </r>
  <r>
    <x v="50"/>
    <s v="Pesos"/>
    <d v="2026-10-27T00:00:00"/>
    <s v="29/09/2026"/>
    <n v="0.97750404000000002"/>
    <m/>
    <n v="100000000"/>
    <n v="97750403.620000005"/>
    <n v="100000000"/>
    <n v="97750403.620000005"/>
    <n v="90004012"/>
    <s v="AMOMPY"/>
    <s v="Momentum Capital Investment S.A."/>
    <s v="12/08/2026"/>
    <s v="12/08/2026"/>
    <n v="30"/>
    <s v="No"/>
    <s v=""/>
    <m/>
    <m/>
    <s v="*MAV231001310"/>
    <s v="*MAV231001310"/>
    <n v="1.299549467968528E-3"/>
  </r>
  <r>
    <x v="50"/>
    <s v="Pesos"/>
    <d v="2026-10-27T00:00:00"/>
    <s v="29/09/2026"/>
    <n v="0.97750404000000002"/>
    <m/>
    <n v="100000000"/>
    <n v="97750403.620000005"/>
    <n v="100000000"/>
    <n v="97750403.620000005"/>
    <n v="90004011"/>
    <s v="AMOMPY"/>
    <s v="Momentum Capital Investment S.A."/>
    <s v="12/08/2026"/>
    <s v="12/08/2026"/>
    <n v="30"/>
    <s v="No"/>
    <s v=""/>
    <m/>
    <m/>
    <s v="*MAV231001311"/>
    <s v="*MAV231001311"/>
    <n v="1.299549467968528E-3"/>
  </r>
  <r>
    <x v="27"/>
    <s v="Pesos"/>
    <d v="2026-10-27T00:00:00"/>
    <s v="29/09/2026"/>
    <n v="0.97897223"/>
    <m/>
    <n v="2500000"/>
    <n v="2447430.58"/>
    <n v="2500000"/>
    <n v="2447430.58"/>
    <n v="90031821"/>
    <s v="AMOMPY"/>
    <s v="Momentum Capital Investment S.A."/>
    <s v="22/04/2026"/>
    <s v="22/04/2026"/>
    <n v="28"/>
    <s v="No"/>
    <s v=""/>
    <m/>
    <m/>
    <s v="*MOV231000049"/>
    <s v="*MOV231000049"/>
    <n v="3.2537534274468766E-5"/>
  </r>
  <r>
    <x v="28"/>
    <s v="Pesos"/>
    <d v="2026-10-27T00:00:00"/>
    <s v="29/09/2026"/>
    <n v="0.97604022000000001"/>
    <m/>
    <n v="2000000"/>
    <n v="1952080.44"/>
    <n v="2000000"/>
    <n v="1952080.44"/>
    <n v="1073"/>
    <s v="AMOMPY"/>
    <s v="Momentum Capital Investment S.A."/>
    <s v="26/08/2026"/>
    <s v="26/08/2026"/>
    <n v="32"/>
    <s v="No"/>
    <s v=""/>
    <m/>
    <m/>
    <s v="*MAV231001422"/>
    <s v="*MAV231001422"/>
    <n v="2.59520677489533E-5"/>
  </r>
  <r>
    <x v="205"/>
    <s v="Pesos"/>
    <d v="2026-10-27T00:00:00"/>
    <s v="29/09/2026"/>
    <n v="0.97530998000000002"/>
    <m/>
    <n v="60000000"/>
    <n v="58518598.700000003"/>
    <n v="60000000"/>
    <n v="58518598.700000003"/>
    <n v="20861"/>
    <s v="AMOMPY"/>
    <s v="Momentum Capital Investment S.A."/>
    <s v="28/09/2026"/>
    <s v="28/09/2026"/>
    <n v="33"/>
    <s v="No"/>
    <s v=""/>
    <m/>
    <m/>
    <s v="*MAV231001810"/>
    <s v="*MAV231001810"/>
    <n v="7.7797953758309809E-4"/>
  </r>
  <r>
    <x v="89"/>
    <s v="Pesos"/>
    <d v="2026-10-28T00:00:00"/>
    <s v="29/09/2026"/>
    <n v="0.97671945999999998"/>
    <m/>
    <n v="5000000"/>
    <n v="4883597.3099999996"/>
    <n v="5000000"/>
    <n v="4883597.3099999996"/>
    <n v="60078056"/>
    <s v="AMOMPY"/>
    <s v="Momentum Capital Investment S.A."/>
    <s v="24/09/2026"/>
    <s v="24/09/2026"/>
    <n v="30"/>
    <s v="No"/>
    <s v=""/>
    <m/>
    <m/>
    <s v="*INP261000048"/>
    <s v="*INP261000048"/>
    <n v="6.4925320519950539E-5"/>
  </r>
  <r>
    <x v="89"/>
    <s v="Pesos"/>
    <d v="2026-10-28T00:00:00"/>
    <s v="29/09/2026"/>
    <n v="0.97747784999999998"/>
    <m/>
    <n v="5000000"/>
    <n v="4887389.24"/>
    <n v="5000000"/>
    <n v="4887389.24"/>
    <n v="11477"/>
    <s v="AMOMPY"/>
    <s v="Momentum Capital Investment S.A."/>
    <s v="18/09/2026"/>
    <s v="18/09/2026"/>
    <n v="29"/>
    <s v="No"/>
    <s v=""/>
    <m/>
    <m/>
    <s v="*INP251000075"/>
    <s v="*INP251000075"/>
    <n v="6.4975732594290726E-5"/>
  </r>
  <r>
    <x v="89"/>
    <s v="Pesos"/>
    <d v="2026-10-28T00:00:00"/>
    <s v="29/09/2026"/>
    <n v="0.97747784999999998"/>
    <m/>
    <n v="5000000"/>
    <n v="4887389.24"/>
    <n v="5000000"/>
    <n v="4887389.24"/>
    <n v="11476"/>
    <s v="AMOMPY"/>
    <s v="Momentum Capital Investment S.A."/>
    <s v="18/09/2026"/>
    <s v="18/09/2026"/>
    <n v="29"/>
    <s v="No"/>
    <s v=""/>
    <m/>
    <m/>
    <s v="*INP251000077"/>
    <s v="*INP251000077"/>
    <n v="6.4975732594290726E-5"/>
  </r>
  <r>
    <x v="89"/>
    <s v="Pesos"/>
    <d v="2026-10-28T00:00:00"/>
    <s v="29/09/2026"/>
    <n v="0.97747784999999998"/>
    <m/>
    <n v="5000000"/>
    <n v="4887389.24"/>
    <n v="5000000"/>
    <n v="4887389.24"/>
    <n v="11475"/>
    <s v="AMOMPY"/>
    <s v="Momentum Capital Investment S.A."/>
    <s v="18/09/2026"/>
    <s v="18/09/2026"/>
    <n v="29"/>
    <s v="No"/>
    <s v=""/>
    <m/>
    <m/>
    <s v="*INP241000062"/>
    <s v="*INP241000062"/>
    <n v="6.4975732594290726E-5"/>
  </r>
  <r>
    <x v="89"/>
    <s v="Pesos"/>
    <d v="2026-10-28T00:00:00"/>
    <s v="29/09/2026"/>
    <n v="0.97747784999999998"/>
    <m/>
    <n v="5000000"/>
    <n v="4887389.24"/>
    <n v="5000000"/>
    <n v="4887389.24"/>
    <n v="11478"/>
    <s v="AMOMPY"/>
    <s v="Momentum Capital Investment S.A."/>
    <s v="18/09/2026"/>
    <s v="18/09/2026"/>
    <n v="29"/>
    <s v="No"/>
    <s v=""/>
    <m/>
    <m/>
    <s v="*INP251000074"/>
    <s v="*INP251000074"/>
    <n v="6.4975732594290726E-5"/>
  </r>
  <r>
    <x v="89"/>
    <s v="Pesos"/>
    <d v="2026-10-28T00:00:00"/>
    <s v="29/09/2026"/>
    <n v="0.97747784999999998"/>
    <m/>
    <n v="5000000"/>
    <n v="4887389.24"/>
    <n v="5000000"/>
    <n v="4887389.24"/>
    <n v="11479"/>
    <s v="AMOMPY"/>
    <s v="Momentum Capital Investment S.A."/>
    <s v="18/09/2026"/>
    <s v="18/09/2026"/>
    <n v="29"/>
    <s v="No"/>
    <s v=""/>
    <m/>
    <m/>
    <s v="*INP251000076"/>
    <s v="*INP251000076"/>
    <n v="6.4975732594290726E-5"/>
  </r>
  <r>
    <x v="28"/>
    <s v="Pesos"/>
    <d v="2026-10-28T00:00:00"/>
    <s v="29/09/2026"/>
    <n v="0.97520576999999997"/>
    <m/>
    <n v="10000000"/>
    <n v="9752057.7100000009"/>
    <n v="10000000"/>
    <n v="9752057.7100000009"/>
    <n v="1104"/>
    <s v="AMOMPY"/>
    <s v="Momentum Capital Investment S.A."/>
    <s v="28/08/2026"/>
    <s v="28/08/2026"/>
    <n v="32"/>
    <s v="No"/>
    <s v=""/>
    <m/>
    <m/>
    <s v="*MAV261001100"/>
    <s v="*MAV261001100"/>
    <n v="1.2964940234820569E-4"/>
  </r>
  <r>
    <x v="28"/>
    <s v="Pesos"/>
    <d v="2026-10-28T00:00:00"/>
    <s v="29/09/2026"/>
    <n v="0.97520572999999999"/>
    <m/>
    <n v="10000000"/>
    <n v="9752057.3000000007"/>
    <n v="10000000"/>
    <n v="9752057.3000000007"/>
    <n v="1087"/>
    <s v="AMOMPY"/>
    <s v="Momentum Capital Investment S.A."/>
    <s v="27/08/2026"/>
    <s v="27/08/2026"/>
    <n v="32"/>
    <s v="No"/>
    <s v=""/>
    <m/>
    <m/>
    <s v="*MAV261001088"/>
    <s v="*MAV261001088"/>
    <n v="1.2964939689743247E-4"/>
  </r>
  <r>
    <x v="224"/>
    <s v="Pesos"/>
    <d v="2026-10-28T00:00:00"/>
    <s v="29/09/2026"/>
    <n v="0.97520593"/>
    <m/>
    <n v="25000000"/>
    <n v="24380148.370000001"/>
    <n v="25000000"/>
    <n v="24380148.370000001"/>
    <n v="51176"/>
    <s v="AMOMPY"/>
    <s v="Momentum Capital Investment S.A."/>
    <s v="21/09/2026"/>
    <s v="21/09/2026"/>
    <n v="32"/>
    <s v="No"/>
    <s v=""/>
    <m/>
    <m/>
    <s v="*MAV241001459"/>
    <s v="*MAV241001459"/>
    <n v="3.2412356031177354E-4"/>
  </r>
  <r>
    <x v="225"/>
    <s v="Pesos"/>
    <d v="2026-10-28T00:00:00"/>
    <s v="29/09/2026"/>
    <n v="0.97671953"/>
    <m/>
    <n v="10576000"/>
    <n v="10329785.800000001"/>
    <n v="10576000"/>
    <n v="10329785.800000001"/>
    <n v="3655"/>
    <s v="AMOMPY"/>
    <s v="Momentum Capital Investment S.A."/>
    <s v="25/09/2026"/>
    <s v="25/09/2026"/>
    <n v="30"/>
    <s v="No"/>
    <s v=""/>
    <m/>
    <m/>
    <s v="*MAV261001367"/>
    <s v="*MAV261001367"/>
    <n v="1.3733004819912841E-4"/>
  </r>
  <r>
    <x v="109"/>
    <s v="Pesos"/>
    <d v="2026-10-28T00:00:00"/>
    <s v="29/09/2026"/>
    <n v="0.97520580999999995"/>
    <m/>
    <n v="10655603.279999999"/>
    <n v="10391406.210000001"/>
    <n v="10655603.279999999"/>
    <n v="10391406.210000001"/>
    <n v="30831"/>
    <s v="AMOMPY"/>
    <s v="Momentum Capital Investment S.A."/>
    <s v="14/07/2026"/>
    <s v="14/07/2026"/>
    <n v="32"/>
    <s v="No"/>
    <s v=""/>
    <m/>
    <m/>
    <s v="*MAV261000869"/>
    <s v="*MAV261000869"/>
    <n v="1.3814926498050155E-4"/>
  </r>
  <r>
    <x v="3"/>
    <s v="Pesos"/>
    <d v="2026-10-28T00:00:00"/>
    <s v="29/09/2026"/>
    <n v="0.97596198000000001"/>
    <m/>
    <n v="13549014.74"/>
    <n v="13223323.26"/>
    <n v="13549014.74"/>
    <n v="13223323.26"/>
    <n v="10881214"/>
    <s v="AMOMPY"/>
    <s v="Momentum Capital Investment S.A."/>
    <s v="01/09/2026"/>
    <s v="01/09/2026"/>
    <n v="31"/>
    <s v="No"/>
    <s v=""/>
    <m/>
    <m/>
    <s v="*MAV261001130"/>
    <s v="*MAV261001130"/>
    <n v="1.7579838109019219E-4"/>
  </r>
  <r>
    <x v="226"/>
    <s v="Pesos"/>
    <d v="2026-10-28T00:00:00"/>
    <s v="29/09/2026"/>
    <n v="0.98052391999999999"/>
    <m/>
    <n v="18000000"/>
    <n v="17649430.620000001"/>
    <n v="18000000"/>
    <n v="17649430.620000001"/>
    <n v="90025469"/>
    <s v="AMOMPY"/>
    <s v="Momentum Capital Investment S.A."/>
    <s v="23/09/2026"/>
    <s v="23/09/2026"/>
    <n v="25"/>
    <s v="No"/>
    <s v=""/>
    <m/>
    <m/>
    <s v="*FTR241000014"/>
    <s v="*FTR241000014"/>
    <n v="2.3464156998606619E-4"/>
  </r>
  <r>
    <x v="227"/>
    <s v="Pesos"/>
    <d v="2026-10-28T00:00:00"/>
    <s v="29/09/2026"/>
    <n v="0.97445075000000003"/>
    <m/>
    <n v="1500114.43"/>
    <n v="1461787.63"/>
    <n v="1500114.43"/>
    <n v="1461787.63"/>
    <n v="6892444"/>
    <s v="AMOMPY"/>
    <s v="Momentum Capital Investment S.A."/>
    <s v="15/09/2026"/>
    <s v="15/09/2026"/>
    <n v="33"/>
    <s v="No"/>
    <s v=""/>
    <m/>
    <m/>
    <s v="*MAV261001228"/>
    <s v="*MAV261001228"/>
    <n v="1.9433836245161024E-5"/>
  </r>
  <r>
    <x v="6"/>
    <s v="Pesos"/>
    <d v="2026-10-28T00:00:00"/>
    <s v="29/09/2026"/>
    <n v="0.97899851000000004"/>
    <m/>
    <n v="15000000"/>
    <n v="14684977.710000001"/>
    <n v="15000000"/>
    <n v="14684977.710000001"/>
    <n v="234"/>
    <s v="AMOMPY"/>
    <s v="Momentum Capital Investment S.A."/>
    <s v="02/07/2026"/>
    <s v="02/07/2026"/>
    <n v="27"/>
    <s v="No"/>
    <s v=""/>
    <m/>
    <m/>
    <s v="*PRO261000007"/>
    <s v="*PRO261000007"/>
    <n v="1.9523044676467797E-4"/>
  </r>
  <r>
    <x v="55"/>
    <s v="Pesos"/>
    <d v="2026-10-28T00:00:00"/>
    <s v="29/09/2026"/>
    <n v="0.97671934999999999"/>
    <m/>
    <n v="54154566.950000003"/>
    <n v="52893813.659999996"/>
    <n v="54154566.950000003"/>
    <n v="52893813.659999996"/>
    <n v="40294033"/>
    <s v="AMOMPY"/>
    <s v="Momentum Capital Investment S.A."/>
    <s v="25/08/2026"/>
    <s v="25/08/2026"/>
    <n v="30"/>
    <s v="No"/>
    <s v=""/>
    <m/>
    <m/>
    <s v="*MAV261001053"/>
    <s v="*MAV261001053"/>
    <n v="7.0320044577918696E-4"/>
  </r>
  <r>
    <x v="55"/>
    <s v="Pesos"/>
    <d v="2026-10-28T00:00:00"/>
    <s v="29/09/2026"/>
    <n v="0.97671934999999999"/>
    <m/>
    <n v="54154566.950000003"/>
    <n v="52893813.659999996"/>
    <n v="54154566.950000003"/>
    <n v="52893813.659999996"/>
    <n v="40294032"/>
    <s v="AMOMPY"/>
    <s v="Momentum Capital Investment S.A."/>
    <s v="25/08/2026"/>
    <s v="25/08/2026"/>
    <n v="30"/>
    <s v="No"/>
    <s v=""/>
    <m/>
    <m/>
    <s v="*MAV261001054"/>
    <s v="*MAV261001054"/>
    <n v="7.0320044577918696E-4"/>
  </r>
  <r>
    <x v="35"/>
    <s v="Pesos"/>
    <d v="2026-10-28T00:00:00"/>
    <s v="29/09/2026"/>
    <n v="0.97369687000000005"/>
    <m/>
    <n v="1020845.65"/>
    <n v="993994.21"/>
    <n v="1020845.65"/>
    <n v="993994.21"/>
    <n v="2905"/>
    <s v="AMOMPY"/>
    <s v="Momentum Capital Investment S.A."/>
    <s v="15/07/2026"/>
    <s v="15/07/2026"/>
    <n v="34"/>
    <s v="No"/>
    <s v=""/>
    <m/>
    <m/>
    <s v="*MAV241001243"/>
    <s v="*MAV241001243"/>
    <n v="1.3214724430099466E-5"/>
  </r>
  <r>
    <x v="35"/>
    <s v="Pesos"/>
    <d v="2026-10-28T00:00:00"/>
    <s v="29/09/2026"/>
    <n v="0.97369687999999999"/>
    <m/>
    <n v="990902.64"/>
    <n v="964838.81"/>
    <n v="990902.64"/>
    <n v="964838.81"/>
    <n v="2955"/>
    <s v="AMOMPY"/>
    <s v="Momentum Capital Investment S.A."/>
    <s v="15/07/2026"/>
    <s v="15/07/2026"/>
    <n v="34"/>
    <s v="No"/>
    <s v=""/>
    <m/>
    <m/>
    <s v="*MAV241001244"/>
    <s v="*MAV241001244"/>
    <n v="1.2827115958366698E-5"/>
  </r>
  <r>
    <x v="8"/>
    <s v="Pesos"/>
    <d v="2026-10-28T00:00:00"/>
    <s v="29/09/2026"/>
    <n v="0.97899851000000004"/>
    <m/>
    <n v="15000000"/>
    <n v="14684977.619999999"/>
    <n v="15000000"/>
    <n v="14684977.619999999"/>
    <n v="11349971"/>
    <s v="AMOMPY"/>
    <s v="Momentum Capital Investment S.A."/>
    <s v="16/07/2026"/>
    <s v="16/07/2026"/>
    <n v="27"/>
    <s v="No"/>
    <s v=""/>
    <m/>
    <m/>
    <s v="*MIL261000028"/>
    <s v="*MIL261000028"/>
    <n v="1.9523044556816674E-4"/>
  </r>
  <r>
    <x v="8"/>
    <s v="Pesos"/>
    <d v="2026-10-28T00:00:00"/>
    <s v="29/09/2026"/>
    <n v="0.97899851000000004"/>
    <m/>
    <n v="15000000"/>
    <n v="14684977.619999999"/>
    <n v="15000000"/>
    <n v="14684977.619999999"/>
    <n v="11349970"/>
    <s v="AMOMPY"/>
    <s v="Momentum Capital Investment S.A."/>
    <s v="16/07/2026"/>
    <s v="16/07/2026"/>
    <n v="27"/>
    <s v="No"/>
    <s v=""/>
    <m/>
    <m/>
    <s v="*MIL241000049"/>
    <s v="*MIL241000049"/>
    <n v="1.9523044556816674E-4"/>
  </r>
  <r>
    <x v="8"/>
    <s v="Pesos"/>
    <d v="2026-10-28T00:00:00"/>
    <s v="29/09/2026"/>
    <n v="0.97671934000000005"/>
    <m/>
    <n v="11000000"/>
    <n v="10743912.779999999"/>
    <n v="11000000"/>
    <n v="10743912.779999999"/>
    <n v="10679148"/>
    <s v="AMOMPY"/>
    <s v="Momentum Capital Investment S.A."/>
    <s v="14/08/2026"/>
    <s v="14/08/2026"/>
    <n v="30"/>
    <s v="No"/>
    <s v=""/>
    <m/>
    <m/>
    <s v="*MIL261000031"/>
    <s v="*MIL261000031"/>
    <n v="1.4283568783436261E-4"/>
  </r>
  <r>
    <x v="8"/>
    <s v="Pesos"/>
    <d v="2026-10-28T00:00:00"/>
    <s v="29/09/2026"/>
    <n v="0.97671934999999999"/>
    <m/>
    <n v="3000000"/>
    <n v="2930158.04"/>
    <n v="3000000"/>
    <n v="2930158.04"/>
    <n v="12759459"/>
    <s v="AMOMPY"/>
    <s v="Momentum Capital Investment S.A."/>
    <s v="14/08/2026"/>
    <s v="14/08/2026"/>
    <n v="30"/>
    <s v="No"/>
    <s v=""/>
    <m/>
    <m/>
    <s v="*MIL261000032"/>
    <s v="*MIL261000032"/>
    <n v="3.895518771204952E-5"/>
  </r>
  <r>
    <x v="180"/>
    <s v="Pesos"/>
    <d v="2026-10-28T00:00:00"/>
    <s v="29/09/2026"/>
    <n v="0.97445075999999997"/>
    <m/>
    <n v="100000000"/>
    <n v="97445076.310000002"/>
    <n v="100000000"/>
    <n v="97445076.310000002"/>
    <n v="2163"/>
    <s v="AMOMPY"/>
    <s v="Momentum Capital Investment S.A."/>
    <s v="07/08/2026"/>
    <s v="07/08/2026"/>
    <n v="33"/>
    <s v="No"/>
    <s v=""/>
    <m/>
    <m/>
    <s v="*MAV261000974"/>
    <s v="*MAV261000974"/>
    <n v="1.2954902730335459E-3"/>
  </r>
  <r>
    <x v="228"/>
    <s v="Pesos"/>
    <d v="2026-10-28T00:00:00"/>
    <s v="29/09/2026"/>
    <n v="0.97369687000000005"/>
    <m/>
    <n v="7000000"/>
    <n v="6815878.0899999999"/>
    <n v="7000000"/>
    <n v="6815878.0899999999"/>
    <n v="69017379"/>
    <s v="AMOMPY"/>
    <s v="Momentum Capital Investment S.A."/>
    <s v="13/08/2026"/>
    <s v="13/08/2026"/>
    <n v="34"/>
    <s v="No"/>
    <s v=""/>
    <m/>
    <m/>
    <s v="*MAV261000993"/>
    <s v="*MAV261000993"/>
    <n v="9.0614160326449677E-5"/>
  </r>
  <r>
    <x v="114"/>
    <s v="Pesos"/>
    <d v="2026-10-28T00:00:00"/>
    <s v="29/09/2026"/>
    <n v="0.97520578999999996"/>
    <m/>
    <n v="12000000"/>
    <n v="11702469.51"/>
    <n v="12000000"/>
    <n v="11702469.51"/>
    <n v="68962745"/>
    <s v="AMOMPY"/>
    <s v="Momentum Capital Investment S.A."/>
    <s v="25/08/2026"/>
    <s v="25/08/2026"/>
    <n v="32"/>
    <s v="No"/>
    <s v=""/>
    <m/>
    <m/>
    <s v="*MAV241001330"/>
    <s v="*MAV241001330"/>
    <n v="1.5557928624784559E-4"/>
  </r>
  <r>
    <x v="229"/>
    <s v="Pesos"/>
    <d v="2026-10-28T00:00:00"/>
    <s v="29/09/2026"/>
    <n v="0.97520578999999996"/>
    <m/>
    <n v="13264589.890000001"/>
    <n v="12935704.9"/>
    <n v="13264589.890000001"/>
    <n v="12935704.9"/>
    <n v="10769580"/>
    <s v="AMOMPY"/>
    <s v="Momentum Capital Investment S.A."/>
    <s v="25/08/2026"/>
    <s v="25/08/2026"/>
    <n v="32"/>
    <s v="No"/>
    <s v=""/>
    <m/>
    <m/>
    <s v="*MAV241001331"/>
    <s v="*MAV241001331"/>
    <n v="1.7197461900968959E-4"/>
  </r>
  <r>
    <x v="230"/>
    <s v="Pesos"/>
    <d v="2026-10-28T00:00:00"/>
    <s v="29/09/2026"/>
    <n v="0.97520578999999996"/>
    <m/>
    <n v="9250329"/>
    <n v="9020974.3800000008"/>
    <n v="9250329"/>
    <n v="9020974.3800000008"/>
    <n v="98216905"/>
    <s v="AMOMPY"/>
    <s v="Momentum Capital Investment S.A."/>
    <s v="01/09/2026"/>
    <s v="01/09/2026"/>
    <n v="32"/>
    <s v="No"/>
    <s v=""/>
    <m/>
    <m/>
    <s v="*MAV261001121"/>
    <s v="*MAV261001121"/>
    <n v="1.1992996470541554E-4"/>
  </r>
  <r>
    <x v="12"/>
    <s v="Pesos"/>
    <d v="2026-10-28T00:00:00"/>
    <s v="29/09/2026"/>
    <n v="0.97596192999999998"/>
    <m/>
    <n v="2500000"/>
    <n v="2439904.83"/>
    <n v="2500000"/>
    <n v="2439904.83"/>
    <n v="363"/>
    <s v="AMOMPY"/>
    <s v="Momentum Capital Investment S.A."/>
    <s v="07/09/2026"/>
    <s v="07/09/2026"/>
    <n v="31"/>
    <s v="No"/>
    <s v=""/>
    <m/>
    <m/>
    <s v="*MAV251001302"/>
    <s v="*MAV251001302"/>
    <n v="3.2437482673182457E-5"/>
  </r>
  <r>
    <x v="38"/>
    <s v="Pesos"/>
    <d v="2026-10-28T00:00:00"/>
    <s v="29/09/2026"/>
    <n v="0.97823758000000005"/>
    <m/>
    <n v="30000000"/>
    <n v="29347127.449999999"/>
    <n v="30000000"/>
    <n v="29347127.449999999"/>
    <n v="3329634"/>
    <s v="AMOMPY"/>
    <s v="Momentum Capital Investment S.A."/>
    <s v="30/04/2026"/>
    <s v="30/04/2026"/>
    <n v="28"/>
    <s v="No"/>
    <s v=""/>
    <m/>
    <m/>
    <s v="*FID261000025"/>
    <s v="*FID261000025"/>
    <n v="3.9015740551120277E-4"/>
  </r>
  <r>
    <x v="82"/>
    <s v="Pesos"/>
    <d v="2026-10-28T00:00:00"/>
    <s v="29/09/2026"/>
    <n v="0.97671931999999995"/>
    <m/>
    <n v="2700000"/>
    <n v="2637142.16"/>
    <n v="2700000"/>
    <n v="2637142.16"/>
    <n v="6909"/>
    <s v="AMOMPY"/>
    <s v="Momentum Capital Investment S.A."/>
    <s v="11/09/2026"/>
    <s v="11/09/2026"/>
    <n v="30"/>
    <s v="No"/>
    <s v=""/>
    <m/>
    <m/>
    <s v="*MAV261001214"/>
    <s v="*MAV261001214"/>
    <n v="3.505966793045734E-5"/>
  </r>
  <r>
    <x v="39"/>
    <s v="Pesos"/>
    <d v="2026-10-28T00:00:00"/>
    <s v="29/09/2026"/>
    <n v="0.9805239"/>
    <m/>
    <n v="2750004"/>
    <n v="2696444.65"/>
    <n v="2750004"/>
    <n v="2696444.65"/>
    <n v="68693810"/>
    <s v="AMOMPY"/>
    <s v="Momentum Capital Investment S.A."/>
    <s v="04/08/2026"/>
    <s v="04/08/2026"/>
    <n v="25"/>
    <s v="No"/>
    <s v=""/>
    <m/>
    <m/>
    <s v="*FED261000040"/>
    <s v="*FED261000040"/>
    <n v="3.5848068964874555E-5"/>
  </r>
  <r>
    <x v="148"/>
    <s v="Pesos"/>
    <d v="2026-10-28T00:00:00"/>
    <s v="29/09/2026"/>
    <n v="0.97369689000000004"/>
    <m/>
    <n v="5400000"/>
    <n v="5257963.21"/>
    <n v="5400000"/>
    <n v="5257963.21"/>
    <n v="162798"/>
    <s v="AMOMPY"/>
    <s v="Momentum Capital Investment S.A."/>
    <s v="28/08/2026"/>
    <s v="28/08/2026"/>
    <n v="34"/>
    <s v="No"/>
    <s v=""/>
    <m/>
    <m/>
    <s v="#MAV271060061"/>
    <s v="#MAV271060061"/>
    <n v="6.9902353740824321E-5"/>
  </r>
  <r>
    <x v="43"/>
    <s v="Pesos"/>
    <d v="2026-10-28T00:00:00"/>
    <s v="29/09/2026"/>
    <n v="0.97294422000000003"/>
    <m/>
    <n v="763324.59"/>
    <n v="742672.25"/>
    <n v="763324.59"/>
    <n v="742672.25"/>
    <n v="118472"/>
    <s v="AMOMPY"/>
    <s v="Momentum Capital Investment S.A."/>
    <s v="25/08/2026"/>
    <s v="25/08/2026"/>
    <n v="35"/>
    <s v="No"/>
    <s v=""/>
    <m/>
    <m/>
    <s v="*MAV261001046"/>
    <s v="*MAV261001046"/>
    <n v="9.8735073372629989E-6"/>
  </r>
  <r>
    <x v="15"/>
    <s v="Pesos"/>
    <d v="2026-10-28T00:00:00"/>
    <s v="29/09/2026"/>
    <n v="0.97823760000000004"/>
    <m/>
    <n v="5225717"/>
    <n v="5111992.84"/>
    <n v="5225717"/>
    <n v="5111992.84"/>
    <n v="3175"/>
    <s v="AMOMPY"/>
    <s v="Momentum Capital Investment S.A."/>
    <s v="10/08/2026"/>
    <s v="10/08/2026"/>
    <n v="28"/>
    <s v="No"/>
    <s v=""/>
    <m/>
    <m/>
    <s v="*MAV261000980"/>
    <s v="*MAV261000980"/>
    <n v="6.7961740611388022E-5"/>
  </r>
  <r>
    <x v="15"/>
    <s v="Pesos"/>
    <d v="2026-10-28T00:00:00"/>
    <s v="29/09/2026"/>
    <n v="0.97520578999999996"/>
    <m/>
    <n v="5444206"/>
    <n v="5309221.21"/>
    <n v="5444206"/>
    <n v="5309221.21"/>
    <n v="3441"/>
    <s v="AMOMPY"/>
    <s v="Momentum Capital Investment S.A."/>
    <s v="25/08/2026"/>
    <s v="25/08/2026"/>
    <n v="32"/>
    <s v="No"/>
    <s v=""/>
    <m/>
    <m/>
    <s v="*MAV261001050"/>
    <s v="*MAV261001050"/>
    <n v="7.058380674932629E-5"/>
  </r>
  <r>
    <x v="231"/>
    <s v="Pesos"/>
    <d v="2026-10-28T00:00:00"/>
    <s v="29/09/2026"/>
    <n v="0.97369686"/>
    <m/>
    <n v="3000000"/>
    <n v="2921090.59"/>
    <n v="3000000"/>
    <n v="2921090.59"/>
    <n v="4564"/>
    <s v="AMOMPY"/>
    <s v="Momentum Capital Investment S.A."/>
    <s v="15/07/2026"/>
    <s v="15/07/2026"/>
    <n v="34"/>
    <s v="No"/>
    <s v=""/>
    <m/>
    <m/>
    <s v="*MAV261000873"/>
    <s v="*MAV261000873"/>
    <n v="3.8834639874015625E-5"/>
  </r>
  <r>
    <x v="168"/>
    <s v="Pesos"/>
    <d v="2026-10-28T00:00:00"/>
    <s v="29/09/2026"/>
    <n v="0.97445097000000003"/>
    <m/>
    <n v="70000000"/>
    <n v="68211567.730000004"/>
    <n v="70000000"/>
    <n v="68211567.730000004"/>
    <n v="9795701"/>
    <s v="AMOMPY"/>
    <s v="Momentum Capital Investment S.A."/>
    <s v="25/09/2026"/>
    <s v="25/09/2026"/>
    <n v="33"/>
    <s v="No"/>
    <s v=""/>
    <m/>
    <m/>
    <s v="*MAV251001378"/>
    <s v="*MAV251001378"/>
    <n v="9.0684338140864572E-4"/>
  </r>
  <r>
    <x v="60"/>
    <s v="Pesos"/>
    <d v="2026-10-28T00:00:00"/>
    <s v="29/09/2026"/>
    <n v="0.97069329000000004"/>
    <m/>
    <n v="300000000"/>
    <n v="291207987.24000001"/>
    <n v="300000000"/>
    <n v="291207987.24000001"/>
    <n v="70411282"/>
    <s v="AMOMPY"/>
    <s v="Momentum Capital Investment S.A."/>
    <s v="21/09/2026"/>
    <s v="21/09/2026"/>
    <n v="38"/>
    <s v="No"/>
    <s v=""/>
    <m/>
    <m/>
    <s v="*MAV261001296"/>
    <s v="*MAV261001296"/>
    <n v="3.8714846268777781E-3"/>
  </r>
  <r>
    <x v="19"/>
    <s v="Pesos"/>
    <d v="2026-10-28T00:00:00"/>
    <s v="29/09/2026"/>
    <n v="0.97144238000000005"/>
    <m/>
    <n v="615971020"/>
    <n v="598380352.63"/>
    <n v="615971020"/>
    <n v="598380352.63"/>
    <n v="164348"/>
    <s v="AMOMPY"/>
    <s v="Momentum Capital Investment S.A."/>
    <s v="09/09/2026"/>
    <s v="09/09/2026"/>
    <n v="37"/>
    <s v="No"/>
    <s v=""/>
    <m/>
    <m/>
    <s v="#MAV271060067"/>
    <s v="#MAV271060067"/>
    <n v="7.955208777716315E-3"/>
  </r>
  <r>
    <x v="37"/>
    <s v="Pesos"/>
    <d v="2026-10-28T00:00:00"/>
    <s v="29/09/2026"/>
    <n v="0.97671934000000005"/>
    <m/>
    <n v="25000000"/>
    <n v="24417983.59"/>
    <n v="25000000"/>
    <n v="24417983.59"/>
    <n v="509760"/>
    <s v="AMOMPY"/>
    <s v="Momentum Capital Investment S.A."/>
    <s v="14/08/2026"/>
    <s v="14/08/2026"/>
    <n v="30"/>
    <s v="No"/>
    <s v=""/>
    <m/>
    <m/>
    <s v="*AFB251000012"/>
    <s v="*AFB251000012"/>
    <n v="3.2462656324782903E-4"/>
  </r>
  <r>
    <x v="37"/>
    <s v="Pesos"/>
    <d v="2026-10-28T00:00:00"/>
    <s v="29/09/2026"/>
    <n v="0.97899849999999999"/>
    <m/>
    <n v="40000000"/>
    <n v="39159939.969999999"/>
    <n v="40000000"/>
    <n v="39159939.969999999"/>
    <n v="42633"/>
    <s v="AMOMPY"/>
    <s v="Momentum Capital Investment S.A."/>
    <s v="22/09/2026"/>
    <s v="22/09/2026"/>
    <n v="27"/>
    <s v="No"/>
    <s v=""/>
    <m/>
    <m/>
    <s v="*AFB251000014"/>
    <s v="*AFB251000014"/>
    <n v="5.2061451686201226E-4"/>
  </r>
  <r>
    <x v="47"/>
    <s v="Pesos"/>
    <d v="2026-10-28T00:00:00"/>
    <s v="29/09/2026"/>
    <n v="0.97596198000000001"/>
    <m/>
    <n v="15964185.08"/>
    <n v="15580437.710000001"/>
    <n v="15964185.08"/>
    <n v="15580437.710000001"/>
    <n v="31835332"/>
    <s v="AMOMPY"/>
    <s v="Momentum Capital Investment S.A."/>
    <s v="01/09/2026"/>
    <s v="01/09/2026"/>
    <n v="31"/>
    <s v="No"/>
    <s v=""/>
    <m/>
    <m/>
    <s v="*MAV251001285"/>
    <s v="*MAV251001285"/>
    <n v="2.0713520135894956E-4"/>
  </r>
  <r>
    <x v="204"/>
    <s v="Pesos"/>
    <d v="2026-10-28T00:00:00"/>
    <s v="29/09/2026"/>
    <n v="0.97445075000000003"/>
    <m/>
    <n v="10000000"/>
    <n v="9744507.5"/>
    <n v="10000000"/>
    <n v="9744507.5"/>
    <n v="403"/>
    <s v="AMOMPY"/>
    <s v="Momentum Capital Investment S.A."/>
    <s v="15/09/2026"/>
    <s v="15/09/2026"/>
    <n v="33"/>
    <s v="No"/>
    <s v=""/>
    <m/>
    <m/>
    <s v="*MAV261001236"/>
    <s v="*MAV261001236"/>
    <n v="1.2954902556176607E-4"/>
  </r>
  <r>
    <x v="204"/>
    <s v="Pesos"/>
    <d v="2026-10-28T00:00:00"/>
    <s v="29/09/2026"/>
    <n v="0.97445075000000003"/>
    <m/>
    <n v="40000000"/>
    <n v="38978029.979999997"/>
    <n v="40000000"/>
    <n v="38978029.979999997"/>
    <n v="405"/>
    <s v="AMOMPY"/>
    <s v="Momentum Capital Investment S.A."/>
    <s v="15/09/2026"/>
    <s v="15/09/2026"/>
    <n v="33"/>
    <s v="No"/>
    <s v=""/>
    <m/>
    <m/>
    <s v="*MAV261001237"/>
    <s v="*MAV261001237"/>
    <n v="5.1819610198117292E-4"/>
  </r>
  <r>
    <x v="204"/>
    <s v="Pesos"/>
    <d v="2026-10-28T00:00:00"/>
    <s v="29/09/2026"/>
    <n v="0.97445075000000003"/>
    <m/>
    <n v="20000000"/>
    <n v="19489014.989999998"/>
    <n v="20000000"/>
    <n v="19489014.989999998"/>
    <n v="404"/>
    <s v="AMOMPY"/>
    <s v="Momentum Capital Investment S.A."/>
    <s v="15/09/2026"/>
    <s v="15/09/2026"/>
    <n v="33"/>
    <s v="No"/>
    <s v=""/>
    <m/>
    <m/>
    <s v="*MAV261001235"/>
    <s v="*MAV261001235"/>
    <n v="2.5909805099058646E-4"/>
  </r>
  <r>
    <x v="204"/>
    <s v="Pesos"/>
    <d v="2026-10-28T00:00:00"/>
    <s v="29/09/2026"/>
    <n v="0.97369691999999997"/>
    <m/>
    <n v="50000000"/>
    <n v="48684845.960000001"/>
    <n v="50000000"/>
    <n v="48684845.960000001"/>
    <n v="377"/>
    <s v="AMOMPY"/>
    <s v="Momentum Capital Investment S.A."/>
    <s v="18/08/2026"/>
    <s v="18/08/2026"/>
    <n v="34"/>
    <s v="No"/>
    <s v=""/>
    <m/>
    <m/>
    <s v="*MAV261001009"/>
    <s v="*MAV261001009"/>
    <n v="6.4724403503642271E-4"/>
  </r>
  <r>
    <x v="135"/>
    <s v="Pesos"/>
    <d v="2026-10-28T00:00:00"/>
    <s v="29/09/2026"/>
    <n v="0.97520593"/>
    <m/>
    <n v="20000000"/>
    <n v="19504118.68"/>
    <n v="20000000"/>
    <n v="19504118.68"/>
    <n v="679"/>
    <s v="AMOMPY"/>
    <s v="Momentum Capital Investment S.A."/>
    <s v="21/09/2026"/>
    <s v="21/09/2026"/>
    <n v="32"/>
    <s v="No"/>
    <s v=""/>
    <m/>
    <m/>
    <s v="*MAV261001294"/>
    <s v="*MAV261001294"/>
    <n v="2.5929884803670573E-4"/>
  </r>
  <r>
    <x v="135"/>
    <s v="Pesos"/>
    <d v="2026-10-28T00:00:00"/>
    <s v="29/09/2026"/>
    <n v="0.97520593"/>
    <m/>
    <n v="10000000"/>
    <n v="9752059.3399999999"/>
    <n v="10000000"/>
    <n v="9752059.3399999999"/>
    <n v="687"/>
    <s v="AMOMPY"/>
    <s v="Momentum Capital Investment S.A."/>
    <s v="21/09/2026"/>
    <s v="21/09/2026"/>
    <n v="32"/>
    <s v="No"/>
    <s v=""/>
    <m/>
    <m/>
    <s v="*MAV261001295"/>
    <s v="*MAV261001295"/>
    <n v="1.2964942401835286E-4"/>
  </r>
  <r>
    <x v="135"/>
    <s v="Pesos"/>
    <d v="2026-10-28T00:00:00"/>
    <s v="29/09/2026"/>
    <n v="0.97520593"/>
    <m/>
    <n v="40000000"/>
    <n v="39008237.380000003"/>
    <n v="40000000"/>
    <n v="39008237.380000003"/>
    <n v="675"/>
    <s v="AMOMPY"/>
    <s v="Momentum Capital Investment S.A."/>
    <s v="21/09/2026"/>
    <s v="21/09/2026"/>
    <n v="32"/>
    <s v="No"/>
    <s v=""/>
    <m/>
    <m/>
    <s v="*MAV261001292"/>
    <s v="*MAV261001292"/>
    <n v="5.1859769633930282E-4"/>
  </r>
  <r>
    <x v="135"/>
    <s v="Pesos"/>
    <d v="2026-10-28T00:00:00"/>
    <s v="29/09/2026"/>
    <n v="0.97520593"/>
    <m/>
    <n v="10000000"/>
    <n v="9752059.3399999999"/>
    <n v="10000000"/>
    <n v="9752059.3399999999"/>
    <n v="683"/>
    <s v="AMOMPY"/>
    <s v="Momentum Capital Investment S.A."/>
    <s v="21/09/2026"/>
    <s v="21/09/2026"/>
    <n v="32"/>
    <s v="No"/>
    <s v=""/>
    <m/>
    <m/>
    <s v="*MAV261001293"/>
    <s v="*MAV261001293"/>
    <n v="1.2964942401835286E-4"/>
  </r>
  <r>
    <x v="223"/>
    <s v="Pesos"/>
    <d v="2026-10-28T00:00:00"/>
    <s v="29/09/2026"/>
    <n v="0.97369686"/>
    <m/>
    <n v="4549416.66"/>
    <n v="4429752.74"/>
    <n v="4549416.66"/>
    <n v="4429752.74"/>
    <n v="50456546"/>
    <s v="AMOMPY"/>
    <s v="Momentum Capital Investment S.A."/>
    <s v="15/07/2026"/>
    <s v="15/07/2026"/>
    <n v="34"/>
    <s v="No"/>
    <s v=""/>
    <m/>
    <m/>
    <s v="*MAV241001245"/>
    <s v="*MAV241001245"/>
    <n v="5.8891652651153826E-5"/>
  </r>
  <r>
    <x v="21"/>
    <s v="Pesos"/>
    <d v="2026-10-28T00:00:00"/>
    <s v="29/09/2026"/>
    <n v="0.97369687999999999"/>
    <m/>
    <n v="10000000"/>
    <n v="9736968.7599999998"/>
    <n v="10000000"/>
    <n v="9736968.7599999998"/>
    <n v="14284511"/>
    <s v="AMOMPY"/>
    <s v="Momentum Capital Investment S.A."/>
    <s v="24/08/2026"/>
    <s v="24/08/2026"/>
    <n v="34"/>
    <s v="No"/>
    <s v=""/>
    <m/>
    <m/>
    <s v="*MAV261001031"/>
    <s v="*MAV261001031"/>
    <n v="1.2944880126403082E-4"/>
  </r>
  <r>
    <x v="21"/>
    <s v="Pesos"/>
    <d v="2026-10-28T00:00:00"/>
    <s v="29/09/2026"/>
    <n v="0.97520578999999996"/>
    <m/>
    <n v="10000000"/>
    <n v="9752057.8699999992"/>
    <n v="10000000"/>
    <n v="9752057.8699999992"/>
    <n v="14422569"/>
    <s v="AMOMPY"/>
    <s v="Momentum Capital Investment S.A."/>
    <s v="01/09/2026"/>
    <s v="01/09/2026"/>
    <n v="32"/>
    <s v="No"/>
    <s v=""/>
    <m/>
    <m/>
    <s v="*MAV261001116"/>
    <s v="*MAV261001116"/>
    <n v="1.2964940447533668E-4"/>
  </r>
  <r>
    <x v="232"/>
    <s v="Pesos"/>
    <d v="2026-10-28T00:00:00"/>
    <s v="29/09/2026"/>
    <n v="0.97520578999999996"/>
    <m/>
    <n v="6714705.0300000003"/>
    <n v="6548219.2400000002"/>
    <n v="6714705.0300000003"/>
    <n v="6548219.2400000002"/>
    <n v="198201"/>
    <s v="AMOMPY"/>
    <s v="Momentum Capital Investment S.A."/>
    <s v="25/08/2026"/>
    <s v="25/08/2026"/>
    <n v="32"/>
    <s v="No"/>
    <s v=""/>
    <m/>
    <m/>
    <s v="*MAV261001052"/>
    <s v="*MAV261001052"/>
    <n v="8.7055751325226899E-5"/>
  </r>
  <r>
    <x v="23"/>
    <s v="Pesos"/>
    <d v="2026-10-28T00:00:00"/>
    <s v="29/09/2026"/>
    <n v="0.97823760000000004"/>
    <m/>
    <n v="12995399.76"/>
    <n v="12712588.66"/>
    <n v="12995399.76"/>
    <n v="12712588.66"/>
    <n v="7564"/>
    <s v="AMOMPY"/>
    <s v="Momentum Capital Investment S.A."/>
    <s v="10/08/2026"/>
    <s v="10/08/2026"/>
    <n v="28"/>
    <s v="No"/>
    <s v=""/>
    <m/>
    <m/>
    <s v="*MAV251001233"/>
    <s v="*MAV251001233"/>
    <n v="1.6900838480247028E-4"/>
  </r>
  <r>
    <x v="100"/>
    <s v="Pesos"/>
    <d v="2026-10-28T00:00:00"/>
    <s v="29/09/2026"/>
    <n v="0.97369695999999994"/>
    <m/>
    <n v="9889609"/>
    <n v="9629482.1799999997"/>
    <n v="9889609"/>
    <n v="9629482.1799999997"/>
    <n v="1325"/>
    <s v="AMOMPY"/>
    <s v="Momentum Capital Investment S.A."/>
    <s v="26/08/2026"/>
    <s v="26/08/2026"/>
    <n v="34"/>
    <s v="No"/>
    <s v=""/>
    <m/>
    <m/>
    <s v="*MAV261001059"/>
    <s v="*MAV261001059"/>
    <n v="1.2801981352914869E-4"/>
  </r>
  <r>
    <x v="233"/>
    <s v="Pesos"/>
    <d v="2026-10-28T00:00:00"/>
    <s v="29/09/2026"/>
    <n v="0.97520580000000001"/>
    <m/>
    <n v="20000000"/>
    <n v="19504116.050000001"/>
    <n v="20000000"/>
    <n v="19504116.050000001"/>
    <n v="6645"/>
    <s v="AMOMPY"/>
    <s v="Momentum Capital Investment S.A."/>
    <s v="04/08/2026"/>
    <s v="04/08/2026"/>
    <n v="32"/>
    <s v="No"/>
    <s v=""/>
    <m/>
    <m/>
    <s v="*MAV241001273"/>
    <s v="*MAV241001273"/>
    <n v="2.5929881307198976E-4"/>
  </r>
  <r>
    <x v="233"/>
    <s v="Pesos"/>
    <d v="2026-10-28T00:00:00"/>
    <s v="29/09/2026"/>
    <n v="0.97520580000000001"/>
    <m/>
    <n v="20000000"/>
    <n v="19504116.050000001"/>
    <n v="20000000"/>
    <n v="19504116.050000001"/>
    <n v="6646"/>
    <s v="AMOMPY"/>
    <s v="Momentum Capital Investment S.A."/>
    <s v="04/08/2026"/>
    <s v="04/08/2026"/>
    <n v="32"/>
    <s v="No"/>
    <s v=""/>
    <m/>
    <m/>
    <s v="*MAV241001272"/>
    <s v="*MAV241001272"/>
    <n v="2.5929881307198976E-4"/>
  </r>
  <r>
    <x v="234"/>
    <s v="Pesos"/>
    <d v="2026-10-28T00:00:00"/>
    <s v="29/09/2026"/>
    <n v="0.97445073000000004"/>
    <m/>
    <n v="7954930.75"/>
    <n v="7751688.0999999996"/>
    <n v="7954930.75"/>
    <n v="7751688.0999999996"/>
    <n v="894"/>
    <s v="AMOMPY"/>
    <s v="Momentum Capital Investment S.A."/>
    <s v="06/08/2026"/>
    <s v="06/08/2026"/>
    <n v="33"/>
    <s v="No"/>
    <s v=""/>
    <m/>
    <m/>
    <s v="*MAV261000958"/>
    <s v="*MAV261000958"/>
    <n v="1.0305535090549603E-4"/>
  </r>
  <r>
    <x v="235"/>
    <s v="Pesos"/>
    <d v="2026-10-28T00:00:00"/>
    <s v="29/09/2026"/>
    <n v="0.97069309000000004"/>
    <m/>
    <n v="3511491.25"/>
    <n v="3408580.3"/>
    <n v="3511491.25"/>
    <n v="3408580.3"/>
    <n v="13270638"/>
    <s v="AMOMPY"/>
    <s v="Momentum Capital Investment S.A."/>
    <s v="24/04/2026"/>
    <s v="24/04/2026"/>
    <n v="38"/>
    <s v="No"/>
    <s v=""/>
    <m/>
    <m/>
    <s v="*MAV261000813"/>
    <s v="*MAV261000813"/>
    <n v="4.5315605371952581E-5"/>
  </r>
  <r>
    <x v="236"/>
    <s v="Pesos"/>
    <d v="2026-10-28T00:00:00"/>
    <s v="29/09/2026"/>
    <n v="0.97823758999999999"/>
    <m/>
    <n v="100000000"/>
    <n v="97823758.640000001"/>
    <n v="100000000"/>
    <n v="97823758.640000001"/>
    <n v="40627526"/>
    <s v="AMOMPY"/>
    <s v="Momentum Capital Investment S.A."/>
    <s v="04/05/2026"/>
    <s v="04/05/2026"/>
    <n v="28"/>
    <s v="No"/>
    <s v=""/>
    <m/>
    <m/>
    <s v="*AAR241000023"/>
    <s v="*AAR241000023"/>
    <n v="1.3005246913301051E-3"/>
  </r>
  <r>
    <x v="26"/>
    <s v="Pesos"/>
    <d v="2026-10-28T00:00:00"/>
    <s v="29/09/2026"/>
    <n v="0.97671938999999997"/>
    <m/>
    <n v="6596077"/>
    <n v="6442516.3099999996"/>
    <n v="6596077"/>
    <n v="6442516.3099999996"/>
    <n v="90045052"/>
    <s v="AMOMPY"/>
    <s v="Momentum Capital Investment S.A."/>
    <s v="23/09/2026"/>
    <s v="23/09/2026"/>
    <n v="30"/>
    <s v="No"/>
    <s v=""/>
    <m/>
    <m/>
    <s v="*MAV261001339"/>
    <s v="*MAV261001339"/>
    <n v="8.5650476448017996E-5"/>
  </r>
  <r>
    <x v="27"/>
    <s v="Pesos"/>
    <d v="2026-10-28T00:00:00"/>
    <s v="29/09/2026"/>
    <n v="0.97823758000000005"/>
    <m/>
    <n v="2500000"/>
    <n v="2445593.9500000002"/>
    <n v="2500000"/>
    <n v="2445593.9500000002"/>
    <n v="90031822"/>
    <s v="AMOMPY"/>
    <s v="Momentum Capital Investment S.A."/>
    <s v="22/04/2026"/>
    <s v="22/04/2026"/>
    <n v="28"/>
    <s v="No"/>
    <s v=""/>
    <m/>
    <m/>
    <s v="*MOV261000050"/>
    <s v="*MOV261000050"/>
    <n v="3.2513117070539534E-5"/>
  </r>
  <r>
    <x v="27"/>
    <s v="Pesos"/>
    <d v="2026-10-28T00:00:00"/>
    <s v="29/09/2026"/>
    <n v="0.97976074999999996"/>
    <m/>
    <n v="10000000"/>
    <n v="9797607.5099999998"/>
    <n v="10000000"/>
    <n v="9797607.5099999998"/>
    <n v="22802"/>
    <s v="AMOMPY"/>
    <s v="Momentum Capital Investment S.A."/>
    <s v="28/09/2026"/>
    <s v="28/09/2026"/>
    <n v="26"/>
    <s v="No"/>
    <s v=""/>
    <m/>
    <m/>
    <s v="*MOV261000070"/>
    <s v="*MOV261000070"/>
    <n v="1.3025496729897752E-4"/>
  </r>
  <r>
    <x v="28"/>
    <s v="Pesos"/>
    <d v="2026-10-28T00:00:00"/>
    <s v="29/09/2026"/>
    <n v="0.97520583000000005"/>
    <m/>
    <n v="2000000"/>
    <n v="1950411.66"/>
    <n v="2000000"/>
    <n v="1950411.66"/>
    <n v="1075"/>
    <s v="AMOMPY"/>
    <s v="Momentum Capital Investment S.A."/>
    <s v="26/08/2026"/>
    <s v="26/08/2026"/>
    <n v="32"/>
    <s v="No"/>
    <s v=""/>
    <m/>
    <m/>
    <s v="*MAV261001065"/>
    <s v="*MAV261001065"/>
    <n v="2.5929882038400257E-5"/>
  </r>
  <r>
    <x v="28"/>
    <s v="Pesos"/>
    <d v="2026-10-28T00:00:00"/>
    <s v="29/09/2026"/>
    <n v="0.97671936000000004"/>
    <m/>
    <n v="3300000"/>
    <n v="3223173.89"/>
    <n v="3300000"/>
    <n v="3223173.89"/>
    <n v="928"/>
    <s v="AMOMPY"/>
    <s v="Momentum Capital Investment S.A."/>
    <s v="11/08/2026"/>
    <s v="11/08/2026"/>
    <n v="30"/>
    <s v="No"/>
    <s v=""/>
    <m/>
    <m/>
    <s v="*MAV261000986"/>
    <s v="*MAV261000986"/>
    <n v="4.2850707094804636E-5"/>
  </r>
  <r>
    <x v="28"/>
    <s v="Pesos"/>
    <d v="2026-10-28T00:00:00"/>
    <s v="29/09/2026"/>
    <n v="0.97671931999999995"/>
    <m/>
    <n v="2500000"/>
    <n v="2441798.2999999998"/>
    <n v="2500000"/>
    <n v="2441798.2999999998"/>
    <n v="896"/>
    <s v="AMOMPY"/>
    <s v="Momentum Capital Investment S.A."/>
    <s v="06/08/2026"/>
    <s v="06/08/2026"/>
    <n v="30"/>
    <s v="No"/>
    <s v=""/>
    <m/>
    <m/>
    <s v="*MAV261000960"/>
    <s v="*MAV261000960"/>
    <n v="3.2462655540403341E-5"/>
  </r>
  <r>
    <x v="237"/>
    <s v="Pesos"/>
    <d v="2026-10-28T00:00:00"/>
    <s v="29/09/2026"/>
    <n v="0.97445097000000003"/>
    <m/>
    <n v="16000000"/>
    <n v="15591215.48"/>
    <n v="16000000"/>
    <n v="15591215.48"/>
    <n v="70007241"/>
    <s v="AMOMPY"/>
    <s v="Momentum Capital Investment S.A."/>
    <s v="25/09/2026"/>
    <s v="25/09/2026"/>
    <n v="33"/>
    <s v="No"/>
    <s v=""/>
    <m/>
    <m/>
    <s v="*MAV251001391"/>
    <s v="*MAV251001391"/>
    <n v="2.0727848716392522E-4"/>
  </r>
  <r>
    <x v="238"/>
    <s v="Pesos"/>
    <d v="2026-10-28T00:00:00"/>
    <s v="29/09/2026"/>
    <n v="0.97671931000000001"/>
    <m/>
    <n v="3535037.55"/>
    <n v="3452739.43"/>
    <n v="3535037.55"/>
    <n v="3452739.43"/>
    <n v="3658345"/>
    <s v="AMOMPY"/>
    <s v="Momentum Capital Investment S.A."/>
    <s v="29/09/2026"/>
    <s v="29/09/2026"/>
    <n v="30"/>
    <s v="No"/>
    <s v=""/>
    <m/>
    <m/>
    <s v="*MAV241001520"/>
    <s v="*MAV241001520"/>
    <n v="4.5902681964705514E-5"/>
  </r>
  <r>
    <x v="52"/>
    <s v="Pesos"/>
    <d v="2026-10-29T00:00:00"/>
    <s v="29/09/2026"/>
    <n v="0.98542118999999995"/>
    <m/>
    <n v="851000000"/>
    <n v="838593429.53999996"/>
    <n v="851000000"/>
    <n v="838593429.53999996"/>
    <n v="159265"/>
    <s v="AMOMPY"/>
    <s v="Momentum Capital Investment S.A."/>
    <s v="31/07/2026"/>
    <s v="31/07/2026"/>
    <n v="18"/>
    <s v="No"/>
    <s v=""/>
    <m/>
    <m/>
    <s v="#MAV281060018"/>
    <s v="#MAV281060018"/>
    <n v="1.1148738059815392E-2"/>
  </r>
  <r>
    <x v="28"/>
    <s v="Pesos"/>
    <d v="2026-10-29T00:00:00"/>
    <s v="29/09/2026"/>
    <n v="0.97593589000000003"/>
    <m/>
    <n v="10000000"/>
    <n v="9759358.8900000006"/>
    <n v="10000000"/>
    <n v="9759358.8900000006"/>
    <n v="728"/>
    <s v="AMOMPY"/>
    <s v="Momentum Capital Investment S.A."/>
    <s v="30/06/2026"/>
    <s v="30/06/2026"/>
    <n v="30"/>
    <s v="No"/>
    <s v=""/>
    <m/>
    <m/>
    <s v="*MAV271001297"/>
    <s v="*MAV271001297"/>
    <n v="1.2974646838817243E-4"/>
  </r>
  <r>
    <x v="28"/>
    <s v="Pesos"/>
    <d v="2026-10-29T00:00:00"/>
    <s v="29/09/2026"/>
    <n v="0.97437280999999998"/>
    <m/>
    <n v="4000000"/>
    <n v="3897491.26"/>
    <n v="4000000"/>
    <n v="3897491.26"/>
    <n v="1149"/>
    <s v="AMOMPY"/>
    <s v="Momentum Capital Investment S.A."/>
    <s v="04/09/2026"/>
    <s v="04/09/2026"/>
    <n v="32"/>
    <s v="No"/>
    <s v=""/>
    <m/>
    <m/>
    <s v="*MAV271001516"/>
    <s v="*MAV271001516"/>
    <n v="5.1815465775822924E-5"/>
  </r>
  <r>
    <x v="28"/>
    <s v="Pesos"/>
    <d v="2026-10-29T00:00:00"/>
    <s v="29/09/2026"/>
    <n v="0.97593582999999995"/>
    <m/>
    <n v="5000000"/>
    <n v="4879679.17"/>
    <n v="5000000"/>
    <n v="4879679.17"/>
    <n v="1198"/>
    <s v="AMOMPY"/>
    <s v="Momentum Capital Investment S.A."/>
    <s v="08/09/2026"/>
    <s v="08/09/2026"/>
    <n v="30"/>
    <s v="No"/>
    <s v=""/>
    <m/>
    <m/>
    <s v="*MAV271001568"/>
    <s v="*MAV271001568"/>
    <n v="6.4873230538079783E-5"/>
  </r>
  <r>
    <x v="28"/>
    <s v="Pesos"/>
    <d v="2026-10-29T00:00:00"/>
    <s v="29/09/2026"/>
    <n v="0.97593596000000005"/>
    <m/>
    <n v="5000000"/>
    <n v="4879679.79"/>
    <n v="5000000"/>
    <n v="4879679.79"/>
    <n v="1224"/>
    <s v="AMOMPY"/>
    <s v="Momentum Capital Investment S.A."/>
    <s v="14/09/2026"/>
    <s v="14/09/2026"/>
    <n v="30"/>
    <s v="No"/>
    <s v=""/>
    <m/>
    <m/>
    <s v="*MAV271001599"/>
    <s v="*MAV271001599"/>
    <n v="6.4873238780712448E-5"/>
  </r>
  <r>
    <x v="28"/>
    <s v="Pesos"/>
    <d v="2026-10-29T00:00:00"/>
    <s v="29/09/2026"/>
    <n v="0.97593582999999995"/>
    <m/>
    <n v="6500000"/>
    <n v="6343582.9100000001"/>
    <n v="6500000"/>
    <n v="6343582.9100000001"/>
    <n v="746"/>
    <s v="AMOMPY"/>
    <s v="Momentum Capital Investment S.A."/>
    <s v="08/07/2026"/>
    <s v="08/07/2026"/>
    <n v="30"/>
    <s v="No"/>
    <s v=""/>
    <m/>
    <m/>
    <s v="*MAV271001316"/>
    <s v="*MAV271001316"/>
    <n v="8.4335199553263465E-5"/>
  </r>
  <r>
    <x v="28"/>
    <s v="Pesos"/>
    <d v="2026-10-29T00:00:00"/>
    <s v="29/09/2026"/>
    <n v="0.97593589000000003"/>
    <m/>
    <n v="5000000"/>
    <n v="4879679.43"/>
    <n v="5000000"/>
    <n v="4879679.43"/>
    <n v="796"/>
    <s v="AMOMPY"/>
    <s v="Momentum Capital Investment S.A."/>
    <s v="14/07/2026"/>
    <s v="14/07/2026"/>
    <n v="30"/>
    <s v="No"/>
    <s v=""/>
    <m/>
    <m/>
    <s v="*MAV271001338"/>
    <s v="*MAV271001338"/>
    <n v="6.4873233994667664E-5"/>
  </r>
  <r>
    <x v="28"/>
    <s v="Pesos"/>
    <d v="2026-10-29T00:00:00"/>
    <s v="29/09/2026"/>
    <n v="0.97437269000000004"/>
    <m/>
    <n v="3000000"/>
    <n v="2923118.06"/>
    <n v="3000000"/>
    <n v="2923118.06"/>
    <n v="1045"/>
    <s v="AMOMPY"/>
    <s v="Momentum Capital Investment S.A."/>
    <s v="25/08/2026"/>
    <s v="25/08/2026"/>
    <n v="32"/>
    <s v="No"/>
    <s v=""/>
    <m/>
    <m/>
    <s v="*MAV271001463"/>
    <s v="*MAV271001463"/>
    <n v="3.8861594213458202E-5"/>
  </r>
  <r>
    <x v="155"/>
    <s v="Pesos"/>
    <d v="2026-10-29T00:00:00"/>
    <s v="29/09/2026"/>
    <n v="0.97750404000000002"/>
    <m/>
    <n v="50000000"/>
    <n v="48875201.799999997"/>
    <n v="50000000"/>
    <n v="48875201.799999997"/>
    <n v="68035"/>
    <s v="AMOMPY"/>
    <s v="Momentum Capital Investment S.A."/>
    <s v="14/08/2026"/>
    <s v="14/08/2026"/>
    <n v="28"/>
    <s v="No"/>
    <s v=""/>
    <m/>
    <m/>
    <s v="*MAV271001426"/>
    <s v="*MAV271001426"/>
    <n v="6.4977473385131824E-4"/>
  </r>
  <r>
    <x v="3"/>
    <s v="Pesos"/>
    <d v="2026-10-29T00:00:00"/>
    <s v="29/09/2026"/>
    <n v="0.97515364000000004"/>
    <m/>
    <n v="13560000"/>
    <n v="13223083.310000001"/>
    <n v="13560000"/>
    <n v="13223083.310000001"/>
    <n v="10881213"/>
    <s v="AMOMPY"/>
    <s v="Momentum Capital Investment S.A."/>
    <s v="01/09/2026"/>
    <s v="01/09/2026"/>
    <n v="31"/>
    <s v="No"/>
    <s v=""/>
    <m/>
    <m/>
    <s v="*MAV271001520"/>
    <s v="*MAV271001520"/>
    <n v="1.7579519105840417E-4"/>
  </r>
  <r>
    <x v="35"/>
    <s v="Pesos"/>
    <d v="2026-10-29T00:00:00"/>
    <s v="29/09/2026"/>
    <n v="0.97126131000000004"/>
    <m/>
    <n v="3625698.78"/>
    <n v="3521500.95"/>
    <n v="3625698.78"/>
    <n v="3521500.95"/>
    <n v="3346"/>
    <s v="AMOMPY"/>
    <s v="Momentum Capital Investment S.A."/>
    <s v="28/08/2026"/>
    <s v="28/08/2026"/>
    <n v="36"/>
    <s v="No"/>
    <s v=""/>
    <m/>
    <m/>
    <s v="*MAV271001495"/>
    <s v="*MAV271001495"/>
    <n v="4.6816836724414602E-5"/>
  </r>
  <r>
    <x v="35"/>
    <s v="Pesos"/>
    <d v="2026-10-29T00:00:00"/>
    <s v="29/09/2026"/>
    <n v="0.97203748000000001"/>
    <m/>
    <n v="2510000.36"/>
    <n v="2439814.4300000002"/>
    <n v="2510000.36"/>
    <n v="2439814.4300000002"/>
    <n v="3153"/>
    <s v="AMOMPY"/>
    <s v="Momentum Capital Investment S.A."/>
    <s v="25/09/2026"/>
    <s v="25/09/2026"/>
    <n v="35"/>
    <s v="No"/>
    <s v=""/>
    <m/>
    <m/>
    <s v="*MAV271001721"/>
    <s v="*MAV271001721"/>
    <n v="3.243628084416126E-5"/>
  </r>
  <r>
    <x v="239"/>
    <s v="Pesos"/>
    <d v="2026-10-29T00:00:00"/>
    <s v="29/09/2026"/>
    <n v="0.97593598000000004"/>
    <m/>
    <n v="1330000"/>
    <n v="1297994.8500000001"/>
    <n v="1330000"/>
    <n v="1297994.8500000001"/>
    <n v="69652334"/>
    <s v="AMOMPY"/>
    <s v="Momentum Capital Investment S.A."/>
    <s v="11/09/2026"/>
    <s v="11/09/2026"/>
    <n v="30"/>
    <s v="No"/>
    <s v=""/>
    <m/>
    <m/>
    <s v="*MAV271001597"/>
    <s v="*MAV271001597"/>
    <n v="1.7256281859467063E-5"/>
  </r>
  <r>
    <x v="109"/>
    <s v="Pesos"/>
    <d v="2026-10-29T00:00:00"/>
    <s v="29/09/2026"/>
    <n v="0.97437271999999997"/>
    <m/>
    <n v="10655603.279999999"/>
    <n v="10382529.18"/>
    <n v="10655603.279999999"/>
    <n v="10382529.18"/>
    <n v="30832"/>
    <s v="AMOMPY"/>
    <s v="Momentum Capital Investment S.A."/>
    <s v="14/07/2026"/>
    <s v="14/07/2026"/>
    <n v="32"/>
    <s v="No"/>
    <s v=""/>
    <m/>
    <m/>
    <s v="*MAV271001336"/>
    <s v="*MAV271001336"/>
    <n v="1.3803124869426209E-4"/>
  </r>
  <r>
    <x v="163"/>
    <s v="Pesos"/>
    <d v="2026-10-29T00:00:00"/>
    <s v="29/09/2026"/>
    <n v="0.97281454999999994"/>
    <m/>
    <n v="20000000"/>
    <n v="19456291.050000001"/>
    <n v="20000000"/>
    <n v="19456291.050000001"/>
    <n v="44"/>
    <s v="AMOMPY"/>
    <s v="Momentum Capital Investment S.A."/>
    <s v="28/07/2026"/>
    <s v="28/07/2026"/>
    <n v="34"/>
    <s v="No"/>
    <s v=""/>
    <m/>
    <m/>
    <s v="*MAV271001378"/>
    <s v="*MAV271001378"/>
    <n v="2.5866300031824192E-4"/>
  </r>
  <r>
    <x v="35"/>
    <s v="Pesos"/>
    <d v="2026-10-29T00:00:00"/>
    <s v="29/09/2026"/>
    <n v="0.97359295999999995"/>
    <m/>
    <n v="2502550.36"/>
    <n v="2436465.42"/>
    <n v="2502550.36"/>
    <n v="2436465.42"/>
    <n v="3140"/>
    <s v="AMOMPY"/>
    <s v="Momentum Capital Investment S.A."/>
    <s v="23/07/2026"/>
    <s v="23/07/2026"/>
    <n v="33"/>
    <s v="No"/>
    <s v=""/>
    <m/>
    <m/>
    <s v="*MAV271001362"/>
    <s v="*MAV271001362"/>
    <n v="3.23917572002422E-5"/>
  </r>
  <r>
    <x v="35"/>
    <s v="Pesos"/>
    <d v="2026-10-29T00:00:00"/>
    <s v="29/09/2026"/>
    <n v="0.97359295999999995"/>
    <m/>
    <n v="2502550.36"/>
    <n v="2436465.42"/>
    <n v="2502550.36"/>
    <n v="2436465.42"/>
    <n v="3130"/>
    <s v="AMOMPY"/>
    <s v="Momentum Capital Investment S.A."/>
    <s v="23/07/2026"/>
    <s v="23/07/2026"/>
    <n v="33"/>
    <s v="No"/>
    <s v=""/>
    <m/>
    <m/>
    <s v="*MAV271001363"/>
    <s v="*MAV271001363"/>
    <n v="3.23917572002422E-5"/>
  </r>
  <r>
    <x v="35"/>
    <s v="Pesos"/>
    <d v="2026-10-29T00:00:00"/>
    <s v="29/09/2026"/>
    <n v="0.97281459000000003"/>
    <m/>
    <n v="1020845.65"/>
    <n v="993093.54"/>
    <n v="1020845.65"/>
    <n v="993093.54"/>
    <n v="2906"/>
    <s v="AMOMPY"/>
    <s v="Momentum Capital Investment S.A."/>
    <s v="15/07/2026"/>
    <s v="15/07/2026"/>
    <n v="34"/>
    <s v="No"/>
    <s v=""/>
    <m/>
    <m/>
    <s v="*MAV271001341"/>
    <s v="*MAV271001341"/>
    <n v="1.320275041080165E-5"/>
  </r>
  <r>
    <x v="35"/>
    <s v="Pesos"/>
    <d v="2026-10-29T00:00:00"/>
    <s v="29/09/2026"/>
    <n v="0.97281457999999998"/>
    <m/>
    <n v="990902.64"/>
    <n v="963964.54"/>
    <n v="990902.64"/>
    <n v="963964.54"/>
    <n v="2956"/>
    <s v="AMOMPY"/>
    <s v="Momentum Capital Investment S.A."/>
    <s v="15/07/2026"/>
    <s v="15/07/2026"/>
    <n v="34"/>
    <s v="No"/>
    <s v=""/>
    <m/>
    <m/>
    <s v="*MAV271001342"/>
    <s v="*MAV271001342"/>
    <n v="1.281549291568569E-5"/>
  </r>
  <r>
    <x v="110"/>
    <s v="Pesos"/>
    <d v="2026-10-29T00:00:00"/>
    <s v="29/09/2026"/>
    <n v="0.97048663999999996"/>
    <m/>
    <n v="10000000"/>
    <n v="9704866.4399999995"/>
    <n v="10000000"/>
    <n v="9704866.4399999995"/>
    <n v="16854861"/>
    <s v="AMOMPY"/>
    <s v="Momentum Capital Investment S.A."/>
    <s v="02/09/2026"/>
    <s v="02/09/2026"/>
    <n v="37"/>
    <s v="No"/>
    <s v=""/>
    <m/>
    <m/>
    <s v="*MAV271001525"/>
    <s v="*MAV271001525"/>
    <n v="1.2902201476155522E-4"/>
  </r>
  <r>
    <x v="164"/>
    <s v="Pesos"/>
    <d v="2026-10-29T00:00:00"/>
    <s v="29/09/2026"/>
    <n v="0.97829009"/>
    <m/>
    <n v="3000000"/>
    <n v="2934870.27"/>
    <n v="3000000"/>
    <n v="2934870.27"/>
    <n v="90023130"/>
    <s v="AMOMPY"/>
    <s v="Momentum Capital Investment S.A."/>
    <s v="24/09/2026"/>
    <s v="24/09/2026"/>
    <n v="27"/>
    <s v="No"/>
    <s v=""/>
    <m/>
    <m/>
    <s v="*NIO271000035"/>
    <s v="*NIO271000035"/>
    <n v="3.9017834778073424E-5"/>
  </r>
  <r>
    <x v="228"/>
    <s v="Pesos"/>
    <d v="2026-10-29T00:00:00"/>
    <s v="29/09/2026"/>
    <n v="0.97281461000000002"/>
    <m/>
    <n v="7000000"/>
    <n v="6809702.29"/>
    <n v="7000000"/>
    <n v="6809702.29"/>
    <n v="69017468"/>
    <s v="AMOMPY"/>
    <s v="Momentum Capital Investment S.A."/>
    <s v="13/08/2026"/>
    <s v="13/08/2026"/>
    <n v="34"/>
    <s v="No"/>
    <s v=""/>
    <m/>
    <m/>
    <s v="*MAV271001423"/>
    <s v="*MAV271001423"/>
    <n v="9.0532055728339986E-5"/>
  </r>
  <r>
    <x v="240"/>
    <s v="Pesos"/>
    <d v="2026-10-29T00:00:00"/>
    <s v="29/09/2026"/>
    <n v="0.97515366999999997"/>
    <m/>
    <n v="1234401.02"/>
    <n v="1203730.69"/>
    <n v="1234401.02"/>
    <n v="1203730.69"/>
    <n v="788"/>
    <s v="AMOMPY"/>
    <s v="Momentum Capital Investment S.A."/>
    <s v="02/09/2026"/>
    <s v="02/09/2026"/>
    <n v="31"/>
    <s v="No"/>
    <s v=""/>
    <m/>
    <m/>
    <s v="*MAV271001526"/>
    <s v="*MAV271001526"/>
    <n v="1.6003080497222904E-5"/>
  </r>
  <r>
    <x v="241"/>
    <s v="Pesos"/>
    <d v="2026-10-29T00:00:00"/>
    <s v="29/09/2026"/>
    <n v="0.97437282000000003"/>
    <m/>
    <n v="6535955.1900000004"/>
    <n v="6368457.0700000003"/>
    <n v="6535955.1900000004"/>
    <n v="6368457.0700000003"/>
    <n v="30000338"/>
    <s v="AMOMPY"/>
    <s v="Momentum Capital Investment S.A."/>
    <s v="04/09/2026"/>
    <s v="04/09/2026"/>
    <n v="32"/>
    <s v="No"/>
    <s v=""/>
    <m/>
    <m/>
    <s v="*MAV271001542"/>
    <s v="*MAV271001542"/>
    <n v="8.4665890785187438E-5"/>
  </r>
  <r>
    <x v="37"/>
    <s v="Pesos"/>
    <d v="2026-10-29T00:00:00"/>
    <s v="29/09/2026"/>
    <n v="0.97593600999999996"/>
    <m/>
    <n v="31628755.989999998"/>
    <n v="30867642.010000002"/>
    <n v="31628755.989999998"/>
    <n v="30867642.010000002"/>
    <n v="22295"/>
    <s v="AMOMPY"/>
    <s v="Momentum Capital Investment S.A."/>
    <s v="15/09/2026"/>
    <s v="15/09/2026"/>
    <n v="30"/>
    <s v="No"/>
    <s v=""/>
    <m/>
    <m/>
    <s v="*AFB271000013"/>
    <s v="*AFB271000013"/>
    <n v="4.1037199096875186E-4"/>
  </r>
  <r>
    <x v="203"/>
    <s v="Pesos"/>
    <d v="2026-10-29T00:00:00"/>
    <s v="29/09/2026"/>
    <n v="0.97437273999999996"/>
    <m/>
    <n v="100000000"/>
    <n v="97437274.299999997"/>
    <n v="100000000"/>
    <n v="97437274.299999997"/>
    <n v="163"/>
    <s v="AMOMPY"/>
    <s v="Momentum Capital Investment S.A."/>
    <s v="29/07/2026"/>
    <s v="29/07/2026"/>
    <n v="32"/>
    <s v="No"/>
    <s v=""/>
    <m/>
    <m/>
    <s v="*MAV271001384"/>
    <s v="*MAV271001384"/>
    <n v="1.2953865486746777E-3"/>
  </r>
  <r>
    <x v="8"/>
    <s v="Pesos"/>
    <d v="2026-10-29T00:00:00"/>
    <s v="29/09/2026"/>
    <n v="0.97907743000000003"/>
    <m/>
    <n v="4000000"/>
    <n v="3916309.72"/>
    <n v="4000000"/>
    <n v="3916309.72"/>
    <n v="90002223"/>
    <s v="AMOMPY"/>
    <s v="Momentum Capital Investment S.A."/>
    <s v="22/09/2026"/>
    <s v="22/09/2026"/>
    <n v="26"/>
    <s v="No"/>
    <s v=""/>
    <m/>
    <m/>
    <s v="*MIL271000044"/>
    <s v="*MIL271000044"/>
    <n v="5.2065649087352332E-5"/>
  </r>
  <r>
    <x v="15"/>
    <s v="Pesos"/>
    <d v="2026-10-29T00:00:00"/>
    <s v="29/09/2026"/>
    <n v="0.97750402999999997"/>
    <m/>
    <n v="5225722"/>
    <n v="5108164.3"/>
    <n v="5225722"/>
    <n v="5108164.3"/>
    <n v="3176"/>
    <s v="AMOMPY"/>
    <s v="Momentum Capital Investment S.A."/>
    <s v="10/08/2026"/>
    <s v="10/08/2026"/>
    <n v="28"/>
    <s v="No"/>
    <s v=""/>
    <m/>
    <m/>
    <s v="*MAV271001409"/>
    <s v="*MAV271001409"/>
    <n v="6.7910841822883393E-5"/>
  </r>
  <r>
    <x v="15"/>
    <s v="Pesos"/>
    <d v="2026-10-29T00:00:00"/>
    <s v="29/09/2026"/>
    <n v="0.97437269000000004"/>
    <m/>
    <n v="5444206"/>
    <n v="5304685.6399999997"/>
    <n v="5444206"/>
    <n v="5304685.6399999997"/>
    <n v="3442"/>
    <s v="AMOMPY"/>
    <s v="Momentum Capital Investment S.A."/>
    <s v="25/08/2026"/>
    <s v="25/08/2026"/>
    <n v="32"/>
    <s v="No"/>
    <s v=""/>
    <m/>
    <m/>
    <s v="*MAV271001467"/>
    <s v="*MAV271001467"/>
    <n v="7.0523508301829869E-5"/>
  </r>
  <r>
    <x v="45"/>
    <s v="Pesos"/>
    <d v="2026-10-29T00:00:00"/>
    <s v="29/09/2026"/>
    <n v="0.97986594000000005"/>
    <m/>
    <n v="24000000"/>
    <n v="23516782.559999999"/>
    <n v="24000000"/>
    <n v="23516782.559999999"/>
    <n v="129"/>
    <s v="AMOMPY"/>
    <s v="Momentum Capital Investment S.A."/>
    <s v="22/09/2026"/>
    <s v="22/09/2026"/>
    <n v="25"/>
    <s v="No"/>
    <s v=""/>
    <m/>
    <m/>
    <s v="*NEU271000022"/>
    <s v="*NEU271000022"/>
    <n v="3.1264548413513298E-4"/>
  </r>
  <r>
    <x v="60"/>
    <s v="Pesos"/>
    <d v="2026-10-29T00:00:00"/>
    <s v="29/09/2026"/>
    <n v="0.96971335000000003"/>
    <m/>
    <n v="260000000"/>
    <n v="252125471.05000001"/>
    <n v="260000000"/>
    <n v="252125471.05000001"/>
    <n v="70418836"/>
    <s v="AMOMPY"/>
    <s v="Momentum Capital Investment S.A."/>
    <s v="29/09/2026"/>
    <s v="29/09/2026"/>
    <n v="38"/>
    <s v="No"/>
    <s v=""/>
    <m/>
    <m/>
    <s v="*MAV271001775"/>
    <s v="*MAV271001775"/>
    <n v="3.3518994257871692E-3"/>
  </r>
  <r>
    <x v="19"/>
    <s v="Pesos"/>
    <d v="2026-10-29T00:00:00"/>
    <s v="29/09/2026"/>
    <n v="0.96971328999999995"/>
    <m/>
    <n v="580000000"/>
    <n v="562433706.34000003"/>
    <n v="580000000"/>
    <n v="562433706.34000003"/>
    <n v="166485"/>
    <s v="AMOMPY"/>
    <s v="Momentum Capital Investment S.A."/>
    <s v="25/09/2026"/>
    <s v="25/09/2026"/>
    <n v="38"/>
    <s v="No"/>
    <s v=""/>
    <m/>
    <m/>
    <s v="#MAV281060037"/>
    <s v="#MAV281060037"/>
    <n v="7.4773136148173214E-3"/>
  </r>
  <r>
    <x v="37"/>
    <s v="Pesos"/>
    <d v="2026-10-29T00:00:00"/>
    <s v="29/09/2026"/>
    <n v="0.97593585999999999"/>
    <m/>
    <n v="3000000"/>
    <n v="2927807.57"/>
    <n v="3000000"/>
    <n v="2927807.57"/>
    <n v="3792078"/>
    <s v="AMOMPY"/>
    <s v="Momentum Capital Investment S.A."/>
    <s v="18/08/2026"/>
    <s v="18/08/2026"/>
    <n v="30"/>
    <s v="No"/>
    <s v=""/>
    <m/>
    <m/>
    <s v="*AFB271000007"/>
    <s v="*AFB271000007"/>
    <n v="3.8923939226878542E-5"/>
  </r>
  <r>
    <x v="130"/>
    <s v="Pesos"/>
    <d v="2026-10-29T00:00:00"/>
    <s v="29/09/2026"/>
    <n v="0.96894084999999996"/>
    <m/>
    <n v="3750000"/>
    <n v="3633528.19"/>
    <n v="3750000"/>
    <n v="3633528.19"/>
    <n v="66918205"/>
    <s v="AMOMPY"/>
    <s v="Momentum Capital Investment S.A."/>
    <s v="13/05/2026"/>
    <s v="13/05/2026"/>
    <n v="39"/>
    <s v="No"/>
    <s v=""/>
    <m/>
    <m/>
    <s v="*MAV271001267"/>
    <s v="*MAV271001267"/>
    <n v="4.8306190576148424E-5"/>
  </r>
  <r>
    <x v="150"/>
    <s v="Pesos"/>
    <d v="2026-10-29T00:00:00"/>
    <s v="29/09/2026"/>
    <n v="0.98542118000000001"/>
    <m/>
    <n v="362000000"/>
    <n v="356722465.68000001"/>
    <n v="362000000"/>
    <n v="356722465.68000001"/>
    <n v="159275"/>
    <s v="AMOMPY"/>
    <s v="Momentum Capital Investment S.A."/>
    <s v="03/08/2026"/>
    <s v="03/08/2026"/>
    <n v="18"/>
    <s v="No"/>
    <s v=""/>
    <m/>
    <m/>
    <s v="#MAV281060019"/>
    <s v="#MAV281060019"/>
    <n v="4.7424713691107062E-3"/>
  </r>
  <r>
    <x v="242"/>
    <s v="Pesos"/>
    <d v="2026-10-29T00:00:00"/>
    <s v="29/09/2026"/>
    <n v="0.97437266"/>
    <m/>
    <n v="15000000"/>
    <n v="14615589.960000001"/>
    <n v="15000000"/>
    <n v="14615589.960000001"/>
    <n v="67448999"/>
    <s v="AMOMPY"/>
    <s v="Momentum Capital Investment S.A."/>
    <s v="05/06/2026"/>
    <s v="05/06/2026"/>
    <n v="32"/>
    <s v="No"/>
    <s v=""/>
    <m/>
    <m/>
    <s v="*MAV271001273"/>
    <s v="*MAV271001273"/>
    <n v="1.9430796654713764E-4"/>
  </r>
  <r>
    <x v="122"/>
    <s v="Pesos"/>
    <d v="2026-10-29T00:00:00"/>
    <s v="29/09/2026"/>
    <n v="0.97359309000000005"/>
    <m/>
    <n v="90000000"/>
    <n v="87623378.510000005"/>
    <n v="90000000"/>
    <n v="87623378.510000005"/>
    <n v="922"/>
    <s v="AMOMPY"/>
    <s v="Momentum Capital Investment S.A."/>
    <s v="07/09/2026"/>
    <s v="07/09/2026"/>
    <n v="33"/>
    <s v="No"/>
    <s v=""/>
    <m/>
    <m/>
    <s v="*MAV271001558"/>
    <s v="*MAV271001558"/>
    <n v="1.1649150357163044E-3"/>
  </r>
  <r>
    <x v="223"/>
    <s v="Pesos"/>
    <d v="2026-10-29T00:00:00"/>
    <s v="29/09/2026"/>
    <n v="0.97281459000000003"/>
    <m/>
    <n v="4549416.66"/>
    <n v="4425738.8899999997"/>
    <n v="4549416.66"/>
    <n v="4425738.8899999997"/>
    <n v="50456547"/>
    <s v="AMOMPY"/>
    <s v="Momentum Capital Investment S.A."/>
    <s v="15/07/2026"/>
    <s v="15/07/2026"/>
    <n v="34"/>
    <s v="No"/>
    <s v=""/>
    <m/>
    <m/>
    <s v="*MAV271001343"/>
    <s v="*MAV271001343"/>
    <n v="5.8838290246101426E-5"/>
  </r>
  <r>
    <x v="172"/>
    <s v="Pesos"/>
    <d v="2026-10-29T00:00:00"/>
    <s v="29/09/2026"/>
    <n v="0.97907739999999999"/>
    <m/>
    <n v="1572269.73"/>
    <n v="1539373.76"/>
    <n v="1572269.73"/>
    <n v="1539373.76"/>
    <n v="22513"/>
    <s v="AMOMPY"/>
    <s v="Momentum Capital Investment S.A."/>
    <s v="25/09/2026"/>
    <s v="25/09/2026"/>
    <n v="26"/>
    <s v="No"/>
    <s v=""/>
    <m/>
    <m/>
    <s v="*TRD271000036"/>
    <s v="*TRD271000036"/>
    <n v="2.0465310389812104E-5"/>
  </r>
  <r>
    <x v="172"/>
    <s v="Pesos"/>
    <d v="2026-10-29T00:00:00"/>
    <s v="29/09/2026"/>
    <n v="0.97986580000000001"/>
    <m/>
    <n v="15000000"/>
    <n v="14697986.98"/>
    <n v="15000000"/>
    <n v="14697986.98"/>
    <n v="69911131"/>
    <s v="AMOMPY"/>
    <s v="Momentum Capital Investment S.A."/>
    <s v="23/09/2026"/>
    <s v="23/09/2026"/>
    <n v="25"/>
    <s v="No"/>
    <s v=""/>
    <m/>
    <m/>
    <s v="*TRD271000035"/>
    <s v="*TRD271000035"/>
    <n v="1.9540339939997224E-4"/>
  </r>
  <r>
    <x v="243"/>
    <s v="Pesos"/>
    <d v="2026-10-29T00:00:00"/>
    <s v="29/09/2026"/>
    <n v="0.97359315999999996"/>
    <m/>
    <n v="6813654.1900000004"/>
    <n v="6633727.1200000001"/>
    <n v="6813654.1900000004"/>
    <n v="6633727.1200000001"/>
    <n v="74091873"/>
    <s v="AMOMPY"/>
    <s v="Momentum Capital Investment S.A."/>
    <s v="15/09/2026"/>
    <s v="15/09/2026"/>
    <n v="33"/>
    <s v="No"/>
    <s v=""/>
    <m/>
    <m/>
    <s v="*MAV271001608"/>
    <s v="*MAV271001608"/>
    <n v="8.8192541720416435E-5"/>
  </r>
  <r>
    <x v="131"/>
    <s v="Pesos"/>
    <d v="2026-10-29T00:00:00"/>
    <s v="29/09/2026"/>
    <n v="0.96816994999999995"/>
    <m/>
    <n v="147500000"/>
    <n v="142805067.86000001"/>
    <n v="147500000"/>
    <n v="142805067.86000001"/>
    <n v="70408102"/>
    <s v="AMOMPY"/>
    <s v="Momentum Capital Investment S.A."/>
    <s v="04/09/2026"/>
    <s v="04/09/2026"/>
    <n v="40"/>
    <s v="No"/>
    <s v=""/>
    <m/>
    <m/>
    <s v="*MAV271001545"/>
    <s v="*MAV271001545"/>
    <n v="1.8985318023045168E-3"/>
  </r>
  <r>
    <x v="27"/>
    <s v="Pesos"/>
    <d v="2026-10-29T00:00:00"/>
    <s v="29/09/2026"/>
    <n v="0.97750406000000001"/>
    <m/>
    <n v="2500000"/>
    <n v="2443760.14"/>
    <n v="2500000"/>
    <n v="2443760.14"/>
    <n v="90031823"/>
    <s v="AMOMPY"/>
    <s v="Momentum Capital Investment S.A."/>
    <s v="22/04/2026"/>
    <s v="22/04/2026"/>
    <n v="28"/>
    <s v="No"/>
    <s v=""/>
    <m/>
    <m/>
    <s v="*MOV271000069"/>
    <s v="*MOV271000069"/>
    <n v="3.2488737357294361E-5"/>
  </r>
  <r>
    <x v="27"/>
    <s v="Pesos"/>
    <d v="2026-10-29T00:00:00"/>
    <s v="29/09/2026"/>
    <n v="0.97907738"/>
    <m/>
    <n v="20000000"/>
    <n v="19581547.510000002"/>
    <n v="20000000"/>
    <n v="19581547.510000002"/>
    <n v="22803"/>
    <s v="AMOMPY"/>
    <s v="Momentum Capital Investment S.A."/>
    <s v="28/09/2026"/>
    <s v="28/09/2026"/>
    <n v="26"/>
    <s v="No"/>
    <s v=""/>
    <m/>
    <m/>
    <s v="*MOV271000087"/>
    <s v="*MOV271000087"/>
    <n v="2.6032823094568168E-4"/>
  </r>
  <r>
    <x v="102"/>
    <s v="Pesos"/>
    <d v="2026-10-29T00:00:00"/>
    <s v="29/09/2026"/>
    <n v="0.98223901000000002"/>
    <m/>
    <n v="13000000"/>
    <n v="12769107.140000001"/>
    <n v="13000000"/>
    <n v="12769107.140000001"/>
    <n v="34114"/>
    <s v="AMOMPY"/>
    <s v="Momentum Capital Investment S.A."/>
    <s v="30/06/2026"/>
    <s v="30/06/2026"/>
    <n v="22"/>
    <s v="No"/>
    <s v=""/>
    <m/>
    <m/>
    <s v="*MAV271001292"/>
    <s v="*MAV271001292"/>
    <n v="1.6975977362435093E-4"/>
  </r>
  <r>
    <x v="28"/>
    <s v="Pesos"/>
    <d v="2026-10-29T00:00:00"/>
    <s v="29/09/2026"/>
    <n v="0.97437273999999996"/>
    <m/>
    <n v="2000000"/>
    <n v="1948745.48"/>
    <n v="2000000"/>
    <n v="1948745.48"/>
    <n v="1076"/>
    <s v="AMOMPY"/>
    <s v="Momentum Capital Investment S.A."/>
    <s v="26/08/2026"/>
    <s v="26/08/2026"/>
    <n v="32"/>
    <s v="No"/>
    <s v=""/>
    <m/>
    <m/>
    <s v="*MAV271001470"/>
    <s v="*MAV271001470"/>
    <n v="2.5907730893726141E-5"/>
  </r>
  <r>
    <x v="28"/>
    <s v="Pesos"/>
    <d v="2026-10-29T00:00:00"/>
    <s v="29/09/2026"/>
    <n v="0.97593593999999995"/>
    <m/>
    <n v="2500000"/>
    <n v="2439839.84"/>
    <n v="2500000"/>
    <n v="2439839.84"/>
    <n v="885"/>
    <s v="AMOMPY"/>
    <s v="Momentum Capital Investment S.A."/>
    <s v="06/08/2026"/>
    <s v="06/08/2026"/>
    <n v="30"/>
    <s v="No"/>
    <s v=""/>
    <m/>
    <m/>
    <s v="*MAV271001403"/>
    <s v="*MAV271001403"/>
    <n v="3.2436618659154937E-5"/>
  </r>
  <r>
    <x v="28"/>
    <s v="Pesos"/>
    <d v="2026-10-29T00:00:00"/>
    <s v="29/09/2026"/>
    <n v="0.97593600000000003"/>
    <m/>
    <n v="5000000"/>
    <n v="4879680.01"/>
    <n v="5000000"/>
    <n v="4879680.01"/>
    <n v="1303"/>
    <s v="AMOMPY"/>
    <s v="Momentum Capital Investment S.A."/>
    <s v="25/09/2026"/>
    <s v="25/09/2026"/>
    <n v="30"/>
    <s v="No"/>
    <s v=""/>
    <m/>
    <m/>
    <s v="*MAV271001722"/>
    <s v="*MAV271001722"/>
    <n v="6.487324170551758E-5"/>
  </r>
  <r>
    <x v="28"/>
    <s v="Pesos"/>
    <d v="2026-10-30T00:00:00"/>
    <s v="29/09/2026"/>
    <n v="0.97515375000000004"/>
    <m/>
    <n v="4000000"/>
    <n v="3900614.99"/>
    <n v="4000000"/>
    <n v="3900614.99"/>
    <n v="1150"/>
    <s v="AMOMPY"/>
    <s v="Momentum Capital Investment S.A."/>
    <s v="08/09/2026"/>
    <s v="08/09/2026"/>
    <n v="30"/>
    <s v="No"/>
    <s v=""/>
    <m/>
    <m/>
    <s v="*MAV281001421"/>
    <s v="*MAV281001421"/>
    <n v="5.185699441927855E-5"/>
  </r>
  <r>
    <x v="28"/>
    <s v="Pesos"/>
    <d v="2026-10-30T00:00:00"/>
    <s v="29/09/2026"/>
    <n v="0.97515362000000005"/>
    <m/>
    <n v="5000000"/>
    <n v="4875768.12"/>
    <n v="5000000"/>
    <n v="4875768.12"/>
    <n v="1203"/>
    <s v="AMOMPY"/>
    <s v="Momentum Capital Investment S.A."/>
    <s v="09/09/2026"/>
    <s v="09/09/2026"/>
    <n v="30"/>
    <s v="No"/>
    <s v=""/>
    <m/>
    <m/>
    <s v="*MAV281001487"/>
    <s v="*MAV281001487"/>
    <n v="6.4821234814701939E-5"/>
  </r>
  <r>
    <x v="28"/>
    <s v="Pesos"/>
    <d v="2026-10-30T00:00:00"/>
    <s v="29/09/2026"/>
    <n v="0.97515364999999998"/>
    <m/>
    <n v="5000000"/>
    <n v="4875768.2699999996"/>
    <n v="5000000"/>
    <n v="4875768.2699999996"/>
    <n v="797"/>
    <s v="AMOMPY"/>
    <s v="Momentum Capital Investment S.A."/>
    <s v="14/07/2026"/>
    <s v="14/07/2026"/>
    <n v="30"/>
    <s v="No"/>
    <s v=""/>
    <m/>
    <m/>
    <s v="*MAV281001197"/>
    <s v="*MAV281001197"/>
    <n v="6.4821236808887246E-5"/>
  </r>
  <r>
    <x v="28"/>
    <s v="Pesos"/>
    <d v="2026-10-30T00:00:00"/>
    <s v="29/09/2026"/>
    <n v="0.97354114999999997"/>
    <m/>
    <n v="3000000"/>
    <n v="2920623.46"/>
    <n v="3000000"/>
    <n v="2920623.46"/>
    <n v="1046"/>
    <s v="AMOMPY"/>
    <s v="Momentum Capital Investment S.A."/>
    <s v="25/08/2026"/>
    <s v="25/08/2026"/>
    <n v="32"/>
    <s v="No"/>
    <s v=""/>
    <m/>
    <m/>
    <s v="*MAV281001368"/>
    <s v="*MAV281001368"/>
    <n v="3.8828429582083408E-5"/>
  </r>
  <r>
    <x v="139"/>
    <s v="Pesos"/>
    <d v="2026-10-30T00:00:00"/>
    <s v="29/09/2026"/>
    <n v="0.97515372"/>
    <m/>
    <n v="2270000"/>
    <n v="2213598.9500000002"/>
    <n v="2270000"/>
    <n v="2213598.9500000002"/>
    <n v="10287265"/>
    <s v="AMOMPY"/>
    <s v="Momentum Capital Investment S.A."/>
    <s v="25/09/2026"/>
    <s v="25/09/2026"/>
    <n v="30"/>
    <s v="No"/>
    <s v=""/>
    <m/>
    <m/>
    <s v="*MAV281001650"/>
    <s v="*MAV281001650"/>
    <n v="2.9428843577476702E-5"/>
  </r>
  <r>
    <x v="3"/>
    <s v="Pesos"/>
    <d v="2026-10-30T00:00:00"/>
    <s v="29/09/2026"/>
    <n v="0.97434677999999997"/>
    <m/>
    <n v="13560000"/>
    <n v="13212142.380000001"/>
    <n v="13560000"/>
    <n v="13212142.380000001"/>
    <n v="10881212"/>
    <s v="AMOMPY"/>
    <s v="Momentum Capital Investment S.A."/>
    <s v="01/09/2026"/>
    <s v="01/09/2026"/>
    <n v="31"/>
    <s v="No"/>
    <s v=""/>
    <m/>
    <m/>
    <s v="*MAV281001424"/>
    <s v="*MAV281001424"/>
    <n v="1.7564973611158008E-4"/>
  </r>
  <r>
    <x v="35"/>
    <s v="Pesos"/>
    <d v="2026-10-30T00:00:00"/>
    <s v="29/09/2026"/>
    <n v="0.97033190000000002"/>
    <m/>
    <n v="3625698.78"/>
    <n v="3518131.18"/>
    <n v="3625698.78"/>
    <n v="3518131.18"/>
    <n v="3347"/>
    <s v="AMOMPY"/>
    <s v="Momentum Capital Investment S.A."/>
    <s v="28/08/2026"/>
    <s v="28/08/2026"/>
    <n v="36"/>
    <s v="No"/>
    <s v=""/>
    <m/>
    <m/>
    <s v="*MAV281001402"/>
    <s v="*MAV281001402"/>
    <n v="4.6772037085246873E-5"/>
  </r>
  <r>
    <x v="53"/>
    <s v="Pesos"/>
    <d v="2026-10-30T00:00:00"/>
    <s v="29/09/2026"/>
    <n v="0.96953288999999998"/>
    <m/>
    <n v="15000000"/>
    <n v="14542993.380000001"/>
    <n v="15000000"/>
    <n v="14542993.380000001"/>
    <n v="2591"/>
    <s v="AMOMPY"/>
    <s v="Momentum Capital Investment S.A."/>
    <s v="07/08/2026"/>
    <s v="07/08/2026"/>
    <n v="37"/>
    <s v="No"/>
    <s v=""/>
    <m/>
    <m/>
    <s v="*MAV281001299"/>
    <s v="*MAV281001299"/>
    <n v="1.9334282631833523E-4"/>
  </r>
  <r>
    <x v="54"/>
    <s v="Pesos"/>
    <d v="2026-10-30T00:00:00"/>
    <s v="29/09/2026"/>
    <n v="0.97515372"/>
    <m/>
    <n v="1852533.42"/>
    <n v="1806504.85"/>
    <n v="1852533.42"/>
    <n v="1806504.85"/>
    <n v="20521666"/>
    <s v="AMOMPY"/>
    <s v="Momentum Capital Investment S.A."/>
    <s v="11/09/2026"/>
    <s v="11/09/2026"/>
    <n v="30"/>
    <s v="No"/>
    <s v=""/>
    <m/>
    <m/>
    <s v="*MAV281001510"/>
    <s v="*MAV281001510"/>
    <n v="2.4016703049395199E-5"/>
  </r>
  <r>
    <x v="244"/>
    <s v="Pesos"/>
    <d v="2026-10-30T00:00:00"/>
    <s v="29/09/2026"/>
    <n v="0.97273686000000004"/>
    <m/>
    <n v="5300000"/>
    <n v="5155505.3600000003"/>
    <n v="5300000"/>
    <n v="5155505.3600000003"/>
    <n v="8175670"/>
    <s v="AMOMPY"/>
    <s v="Momentum Capital Investment S.A."/>
    <s v="15/09/2026"/>
    <s v="15/09/2026"/>
    <n v="33"/>
    <s v="No"/>
    <s v=""/>
    <m/>
    <m/>
    <s v="*MAV281001530"/>
    <s v="*MAV281001530"/>
    <n v="6.8540220802997174E-5"/>
  </r>
  <r>
    <x v="245"/>
    <s v="Pesos"/>
    <d v="2026-10-30T00:00:00"/>
    <s v="29/09/2026"/>
    <n v="0.97273688000000003"/>
    <m/>
    <n v="684028.33"/>
    <n v="665379.57999999996"/>
    <n v="684028.33"/>
    <n v="665379.57999999996"/>
    <n v="69287864"/>
    <s v="AMOMPY"/>
    <s v="Momentum Capital Investment S.A."/>
    <s v="15/09/2026"/>
    <s v="15/09/2026"/>
    <n v="33"/>
    <s v="No"/>
    <s v=""/>
    <m/>
    <m/>
    <s v="*MAV281001529"/>
    <s v="*MAV281001529"/>
    <n v="8.8459346167774175E-6"/>
  </r>
  <r>
    <x v="55"/>
    <s v="Pesos"/>
    <d v="2026-10-30T00:00:00"/>
    <s v="29/09/2026"/>
    <n v="0.97677164999999999"/>
    <m/>
    <n v="13004266.5"/>
    <n v="12702198.800000001"/>
    <n v="13004266.5"/>
    <n v="12702198.800000001"/>
    <n v="40294399"/>
    <s v="AMOMPY"/>
    <s v="Momentum Capital Investment S.A."/>
    <s v="31/08/2026"/>
    <s v="31/08/2026"/>
    <n v="28"/>
    <s v="No"/>
    <s v=""/>
    <m/>
    <m/>
    <s v="*MAV281001410"/>
    <s v="*MAV281001410"/>
    <n v="1.6887025609368502E-4"/>
  </r>
  <r>
    <x v="55"/>
    <s v="Pesos"/>
    <d v="2026-10-30T00:00:00"/>
    <s v="29/09/2026"/>
    <n v="0.97677164999999999"/>
    <m/>
    <n v="41120279.869999997"/>
    <n v="40165123.490000002"/>
    <n v="41120279.869999997"/>
    <n v="40165123.490000002"/>
    <n v="40294400"/>
    <s v="AMOMPY"/>
    <s v="Momentum Capital Investment S.A."/>
    <s v="31/08/2026"/>
    <s v="31/08/2026"/>
    <n v="28"/>
    <s v="No"/>
    <s v=""/>
    <m/>
    <m/>
    <s v="*MAV281001411"/>
    <s v="*MAV281001411"/>
    <n v="5.3397799834393903E-4"/>
  </r>
  <r>
    <x v="55"/>
    <s v="Pesos"/>
    <d v="2026-10-30T00:00:00"/>
    <s v="29/09/2026"/>
    <n v="0.97677164999999999"/>
    <m/>
    <n v="41120279.880000003"/>
    <n v="40165123.5"/>
    <n v="41120279.880000003"/>
    <n v="40165123.5"/>
    <n v="40294370"/>
    <s v="AMOMPY"/>
    <s v="Momentum Capital Investment S.A."/>
    <s v="31/08/2026"/>
    <s v="31/08/2026"/>
    <n v="28"/>
    <s v="No"/>
    <s v=""/>
    <m/>
    <m/>
    <s v="*MAV281001412"/>
    <s v="*MAV281001412"/>
    <n v="5.3397799847688466E-4"/>
  </r>
  <r>
    <x v="109"/>
    <s v="Pesos"/>
    <d v="2026-10-30T00:00:00"/>
    <s v="29/09/2026"/>
    <n v="0.97354105999999996"/>
    <m/>
    <n v="10655603.279999999"/>
    <n v="10373667.279999999"/>
    <n v="10655603.279999999"/>
    <n v="10373667.279999999"/>
    <n v="30833"/>
    <s v="AMOMPY"/>
    <s v="Momentum Capital Investment S.A."/>
    <s v="14/07/2026"/>
    <s v="14/07/2026"/>
    <n v="32"/>
    <s v="No"/>
    <s v=""/>
    <m/>
    <m/>
    <s v="*MAV281001194"/>
    <s v="*MAV281001194"/>
    <n v="1.3791343355484885E-4"/>
  </r>
  <r>
    <x v="246"/>
    <s v="Pesos"/>
    <d v="2026-10-30T00:00:00"/>
    <s v="29/09/2026"/>
    <n v="0.97273679000000002"/>
    <m/>
    <n v="80000000"/>
    <n v="77818943.379999995"/>
    <n v="80000000"/>
    <n v="77818943.379999995"/>
    <n v="3038"/>
    <s v="AMOMPY"/>
    <s v="Momentum Capital Investment S.A."/>
    <s v="28/09/2026"/>
    <s v="28/09/2026"/>
    <n v="33"/>
    <s v="No"/>
    <s v=""/>
    <m/>
    <m/>
    <s v="*MAV281001689"/>
    <s v="*MAV281001689"/>
    <n v="1.0345692981533696E-3"/>
  </r>
  <r>
    <x v="35"/>
    <s v="Pesos"/>
    <d v="2026-10-30T00:00:00"/>
    <s v="29/09/2026"/>
    <n v="0.97273683"/>
    <m/>
    <n v="2502550.36"/>
    <n v="2434322.9"/>
    <n v="2502550.36"/>
    <n v="2434322.9"/>
    <n v="3141"/>
    <s v="AMOMPY"/>
    <s v="Momentum Capital Investment S.A."/>
    <s v="27/07/2026"/>
    <s v="27/07/2026"/>
    <n v="33"/>
    <s v="No"/>
    <s v=""/>
    <m/>
    <m/>
    <s v="*MAV281001238"/>
    <s v="*MAV281001238"/>
    <n v="3.236327332065705E-5"/>
  </r>
  <r>
    <x v="35"/>
    <s v="Pesos"/>
    <d v="2026-10-30T00:00:00"/>
    <s v="29/09/2026"/>
    <n v="0.97273679999999996"/>
    <m/>
    <n v="2502550.36"/>
    <n v="2434322.83"/>
    <n v="2502550.36"/>
    <n v="2434322.83"/>
    <n v="3131"/>
    <s v="AMOMPY"/>
    <s v="Momentum Capital Investment S.A."/>
    <s v="23/07/2026"/>
    <s v="23/07/2026"/>
    <n v="33"/>
    <s v="No"/>
    <s v=""/>
    <m/>
    <m/>
    <s v="*MAV281001231"/>
    <s v="*MAV281001231"/>
    <n v="3.2363272390037231E-5"/>
  </r>
  <r>
    <x v="35"/>
    <s v="Pesos"/>
    <d v="2026-10-30T00:00:00"/>
    <s v="29/09/2026"/>
    <n v="0.97193381999999995"/>
    <m/>
    <n v="990902.64"/>
    <n v="963091.79"/>
    <n v="990902.64"/>
    <n v="963091.79"/>
    <n v="2957"/>
    <s v="AMOMPY"/>
    <s v="Momentum Capital Investment S.A."/>
    <s v="15/07/2026"/>
    <s v="15/07/2026"/>
    <n v="34"/>
    <s v="No"/>
    <s v=""/>
    <m/>
    <m/>
    <s v="*MAV281001203"/>
    <s v="*MAV281001203"/>
    <n v="1.2803890080749288E-5"/>
  </r>
  <r>
    <x v="35"/>
    <s v="Pesos"/>
    <d v="2026-10-30T00:00:00"/>
    <s v="29/09/2026"/>
    <n v="0.97193379000000002"/>
    <m/>
    <n v="1020845.65"/>
    <n v="992194.38"/>
    <n v="1020845.65"/>
    <n v="992194.38"/>
    <n v="2907"/>
    <s v="AMOMPY"/>
    <s v="Momentum Capital Investment S.A."/>
    <s v="15/07/2026"/>
    <s v="15/07/2026"/>
    <n v="34"/>
    <s v="No"/>
    <s v=""/>
    <m/>
    <m/>
    <s v="*MAV281001204"/>
    <s v="*MAV281001204"/>
    <n v="1.319079646630275E-5"/>
  </r>
  <r>
    <x v="110"/>
    <s v="Pesos"/>
    <d v="2026-10-30T00:00:00"/>
    <s v="29/09/2026"/>
    <n v="0.96953277999999998"/>
    <m/>
    <n v="10000000"/>
    <n v="9695327.8499999996"/>
    <n v="10000000"/>
    <n v="9695327.8499999996"/>
    <n v="16854860"/>
    <s v="AMOMPY"/>
    <s v="Momentum Capital Investment S.A."/>
    <s v="02/09/2026"/>
    <s v="02/09/2026"/>
    <n v="37"/>
    <s v="No"/>
    <s v=""/>
    <m/>
    <m/>
    <s v="*MAV281001435"/>
    <s v="*MAV281001435"/>
    <n v="1.2889520332036816E-4"/>
  </r>
  <r>
    <x v="247"/>
    <s v="Pesos"/>
    <d v="2026-10-30T00:00:00"/>
    <s v="29/09/2026"/>
    <n v="0.97193388999999997"/>
    <m/>
    <n v="12000000"/>
    <n v="11663206.65"/>
    <n v="12000000"/>
    <n v="11663206.65"/>
    <n v="14330927"/>
    <s v="AMOMPY"/>
    <s v="Momentum Capital Investment S.A."/>
    <s v="25/08/2026"/>
    <s v="25/08/2026"/>
    <n v="34"/>
    <s v="No"/>
    <s v=""/>
    <m/>
    <m/>
    <s v="*MAV281001371"/>
    <s v="*MAV281001371"/>
    <n v="1.5505730345356192E-4"/>
  </r>
  <r>
    <x v="65"/>
    <s v="Pesos"/>
    <d v="2026-10-30T00:00:00"/>
    <s v="29/09/2026"/>
    <n v="0.97273679000000002"/>
    <m/>
    <n v="20000000"/>
    <n v="19454735.829999998"/>
    <n v="20000000"/>
    <n v="19454735.829999998"/>
    <n v="174"/>
    <s v="AMOMPY"/>
    <s v="Momentum Capital Investment S.A."/>
    <s v="28/09/2026"/>
    <s v="28/09/2026"/>
    <n v="33"/>
    <s v="No"/>
    <s v=""/>
    <m/>
    <m/>
    <s v="*MAV281001675"/>
    <s v="*MAV281001675"/>
    <n v="2.5864232433892384E-4"/>
  </r>
  <r>
    <x v="248"/>
    <s v="Pesos"/>
    <d v="2026-10-30T00:00:00"/>
    <s v="29/09/2026"/>
    <n v="0.97193381999999995"/>
    <m/>
    <n v="12000000"/>
    <n v="11663205.789999999"/>
    <n v="12000000"/>
    <n v="11663205.789999999"/>
    <n v="151"/>
    <s v="AMOMPY"/>
    <s v="Momentum Capital Investment S.A."/>
    <s v="03/09/2026"/>
    <s v="03/09/2026"/>
    <n v="34"/>
    <s v="No"/>
    <s v=""/>
    <m/>
    <m/>
    <s v="*MAV281001443"/>
    <s v="*MAV281001443"/>
    <n v="1.5505729202023273E-4"/>
  </r>
  <r>
    <x v="203"/>
    <s v="Pesos"/>
    <d v="2026-10-30T00:00:00"/>
    <s v="29/09/2026"/>
    <n v="0.97354110000000005"/>
    <m/>
    <n v="100000000"/>
    <n v="97354110.340000004"/>
    <n v="100000000"/>
    <n v="97354110.340000004"/>
    <n v="164"/>
    <s v="AMOMPY"/>
    <s v="Momentum Capital Investment S.A."/>
    <s v="30/07/2026"/>
    <s v="30/07/2026"/>
    <n v="32"/>
    <s v="No"/>
    <s v=""/>
    <m/>
    <m/>
    <s v="*MAV281001256"/>
    <s v="*MAV281001256"/>
    <n v="1.2942809196852334E-3"/>
  </r>
  <r>
    <x v="8"/>
    <s v="Pesos"/>
    <d v="2026-10-30T00:00:00"/>
    <s v="29/09/2026"/>
    <n v="0.97839502"/>
    <m/>
    <n v="4000000"/>
    <n v="3913580.06"/>
    <n v="4000000"/>
    <n v="3913580.06"/>
    <n v="90002228"/>
    <s v="AMOMPY"/>
    <s v="Momentum Capital Investment S.A."/>
    <s v="22/09/2026"/>
    <s v="22/09/2026"/>
    <n v="26"/>
    <s v="No"/>
    <s v=""/>
    <m/>
    <m/>
    <s v="*MIL281000038"/>
    <s v="*MIL281000038"/>
    <n v="5.2029359434631052E-5"/>
  </r>
  <r>
    <x v="15"/>
    <s v="Pesos"/>
    <d v="2026-10-30T00:00:00"/>
    <s v="29/09/2026"/>
    <n v="0.97354116000000002"/>
    <m/>
    <n v="5444206"/>
    <n v="5300158.5999999996"/>
    <n v="5444206"/>
    <n v="5300158.5999999996"/>
    <n v="3443"/>
    <s v="AMOMPY"/>
    <s v="Momentum Capital Investment S.A."/>
    <s v="25/08/2026"/>
    <s v="25/08/2026"/>
    <n v="32"/>
    <s v="No"/>
    <s v=""/>
    <m/>
    <m/>
    <s v="*MAV281001373"/>
    <s v="*MAV281001373"/>
    <n v="7.0463323257005466E-5"/>
  </r>
  <r>
    <x v="249"/>
    <s v="Pesos"/>
    <d v="2026-10-30T00:00:00"/>
    <s v="29/09/2026"/>
    <n v="0.97354109"/>
    <m/>
    <n v="50000000"/>
    <n v="48677054.530000001"/>
    <n v="50000000"/>
    <n v="48677054.530000001"/>
    <n v="6691"/>
    <s v="AMOMPY"/>
    <s v="Momentum Capital Investment S.A."/>
    <s v="27/08/2026"/>
    <s v="27/08/2026"/>
    <n v="32"/>
    <s v="No"/>
    <s v=""/>
    <m/>
    <m/>
    <s v="*MAV281001384"/>
    <s v="*MAV281001384"/>
    <n v="6.4714045133409265E-4"/>
  </r>
  <r>
    <x v="249"/>
    <s v="Pesos"/>
    <d v="2026-10-30T00:00:00"/>
    <s v="29/09/2026"/>
    <n v="0.97354109"/>
    <m/>
    <n v="50000000"/>
    <n v="48677054.530000001"/>
    <n v="50000000"/>
    <n v="48677054.530000001"/>
    <n v="6690"/>
    <s v="AMOMPY"/>
    <s v="Momentum Capital Investment S.A."/>
    <s v="27/08/2026"/>
    <s v="27/08/2026"/>
    <n v="32"/>
    <s v="No"/>
    <s v=""/>
    <m/>
    <m/>
    <s v="*MAV281001385"/>
    <s v="*MAV281001385"/>
    <n v="6.4714045133409265E-4"/>
  </r>
  <r>
    <x v="48"/>
    <s v="Pesos"/>
    <d v="2026-10-30T00:00:00"/>
    <s v="29/09/2026"/>
    <n v="0.97113210000000005"/>
    <m/>
    <n v="6500000"/>
    <n v="6312358.6399999997"/>
    <n v="6500000"/>
    <n v="6312358.6399999997"/>
    <n v="40773810"/>
    <s v="AMOMPY"/>
    <s v="Momentum Capital Investment S.A."/>
    <s v="18/08/2026"/>
    <s v="18/08/2026"/>
    <n v="35"/>
    <s v="No"/>
    <s v=""/>
    <m/>
    <m/>
    <s v="*MAV281001331"/>
    <s v="*MAV281001331"/>
    <n v="8.3920086346939022E-5"/>
  </r>
  <r>
    <x v="21"/>
    <s v="Pesos"/>
    <d v="2026-10-30T00:00:00"/>
    <s v="29/09/2026"/>
    <n v="0.97273673999999999"/>
    <m/>
    <n v="25000000"/>
    <n v="24318418.5"/>
    <n v="25000000"/>
    <n v="24318418.5"/>
    <n v="14422593"/>
    <s v="AMOMPY"/>
    <s v="Momentum Capital Investment S.A."/>
    <s v="02/09/2026"/>
    <s v="02/09/2026"/>
    <n v="33"/>
    <s v="No"/>
    <s v=""/>
    <m/>
    <m/>
    <s v="*MAV281001429"/>
    <s v="*MAV281001429"/>
    <n v="3.2330288830689752E-4"/>
  </r>
  <r>
    <x v="21"/>
    <s v="Pesos"/>
    <d v="2026-10-30T00:00:00"/>
    <s v="29/09/2026"/>
    <n v="0.97354116000000002"/>
    <m/>
    <n v="10000000"/>
    <n v="9735411.5600000005"/>
    <n v="10000000"/>
    <n v="9735411.5600000005"/>
    <n v="14422570"/>
    <s v="AMOMPY"/>
    <s v="Momentum Capital Investment S.A."/>
    <s v="01/09/2026"/>
    <s v="01/09/2026"/>
    <n v="32"/>
    <s v="No"/>
    <s v=""/>
    <m/>
    <m/>
    <s v="*MAV281001416"/>
    <s v="*MAV281001416"/>
    <n v="1.2942809896146655E-4"/>
  </r>
  <r>
    <x v="172"/>
    <s v="Pesos"/>
    <d v="2026-10-30T00:00:00"/>
    <s v="29/09/2026"/>
    <n v="0.97839502"/>
    <m/>
    <n v="25000000"/>
    <n v="24459875.399999999"/>
    <n v="25000000"/>
    <n v="24459875.399999999"/>
    <n v="88274454"/>
    <s v="AMOMPY"/>
    <s v="Momentum Capital Investment S.A."/>
    <s v="22/09/2026"/>
    <s v="22/09/2026"/>
    <n v="26"/>
    <s v="No"/>
    <s v=""/>
    <m/>
    <m/>
    <s v="*TRD281000044"/>
    <s v="*TRD281000044"/>
    <n v="3.2518349679880825E-4"/>
  </r>
  <r>
    <x v="172"/>
    <s v="Pesos"/>
    <d v="2026-10-30T00:00:00"/>
    <s v="29/09/2026"/>
    <n v="0.97839502"/>
    <m/>
    <n v="25000000"/>
    <n v="24459875.399999999"/>
    <n v="25000000"/>
    <n v="24459875.399999999"/>
    <n v="88274456"/>
    <s v="AMOMPY"/>
    <s v="Momentum Capital Investment S.A."/>
    <s v="22/09/2026"/>
    <s v="22/09/2026"/>
    <n v="26"/>
    <s v="No"/>
    <s v=""/>
    <m/>
    <m/>
    <s v="*TRD281000043"/>
    <s v="*TRD281000043"/>
    <n v="3.2518349679880825E-4"/>
  </r>
  <r>
    <x v="22"/>
    <s v="Pesos"/>
    <d v="2026-10-30T00:00:00"/>
    <s v="29/09/2026"/>
    <n v="0.97273686999999998"/>
    <m/>
    <n v="5556718.4800000004"/>
    <n v="5405224.9199999999"/>
    <n v="5556718.4800000004"/>
    <n v="5405224.9199999999"/>
    <n v="10568414"/>
    <s v="AMOMPY"/>
    <s v="Momentum Capital Investment S.A."/>
    <s v="15/09/2026"/>
    <s v="15/09/2026"/>
    <n v="33"/>
    <s v="No"/>
    <s v=""/>
    <m/>
    <m/>
    <s v="*MAV281001531"/>
    <s v="*MAV281001531"/>
    <n v="7.186013467875878E-5"/>
  </r>
  <r>
    <x v="28"/>
    <s v="Pesos"/>
    <d v="2026-10-30T00:00:00"/>
    <s v="29/09/2026"/>
    <n v="0.97354105999999996"/>
    <m/>
    <n v="2000000"/>
    <n v="1947082.11"/>
    <n v="2000000"/>
    <n v="1947082.11"/>
    <n v="1077"/>
    <s v="AMOMPY"/>
    <s v="Momentum Capital Investment S.A."/>
    <s v="26/08/2026"/>
    <s v="26/08/2026"/>
    <n v="32"/>
    <s v="No"/>
    <s v=""/>
    <m/>
    <m/>
    <s v="*MAV281001376"/>
    <s v="*MAV281001376"/>
    <n v="2.5885617106790409E-5"/>
  </r>
  <r>
    <x v="28"/>
    <s v="Pesos"/>
    <d v="2026-10-30T00:00:00"/>
    <s v="29/09/2026"/>
    <n v="0.97273677000000003"/>
    <m/>
    <n v="2500000"/>
    <n v="2431841.92"/>
    <n v="2500000"/>
    <n v="2431841.92"/>
    <n v="1010"/>
    <s v="AMOMPY"/>
    <s v="Momentum Capital Investment S.A."/>
    <s v="19/08/2026"/>
    <s v="19/08/2026"/>
    <n v="33"/>
    <s v="No"/>
    <s v=""/>
    <m/>
    <m/>
    <s v="*MAV281001335"/>
    <s v="*MAV281001335"/>
    <n v="3.2330289761309568E-5"/>
  </r>
  <r>
    <x v="28"/>
    <s v="Pesos"/>
    <d v="2026-10-30T00:00:00"/>
    <s v="29/09/2026"/>
    <n v="0.97515373999999999"/>
    <m/>
    <n v="2500000"/>
    <n v="2437884.34"/>
    <n v="2500000"/>
    <n v="2437884.34"/>
    <n v="909"/>
    <s v="AMOMPY"/>
    <s v="Momentum Capital Investment S.A."/>
    <s v="07/08/2026"/>
    <s v="07/08/2026"/>
    <n v="30"/>
    <s v="No"/>
    <s v=""/>
    <m/>
    <m/>
    <s v="*MAV281001300"/>
    <s v="*MAV281001300"/>
    <n v="3.2410621129830237E-5"/>
  </r>
  <r>
    <x v="28"/>
    <s v="Pesos"/>
    <d v="2026-10-30T00:00:00"/>
    <s v="29/09/2026"/>
    <n v="0.97515370000000001"/>
    <m/>
    <n v="2500000"/>
    <n v="2437884.2400000002"/>
    <n v="2500000"/>
    <n v="2437884.2400000002"/>
    <n v="886"/>
    <s v="AMOMPY"/>
    <s v="Momentum Capital Investment S.A."/>
    <s v="06/08/2026"/>
    <s v="06/08/2026"/>
    <n v="30"/>
    <s v="No"/>
    <s v=""/>
    <m/>
    <m/>
    <s v="*MAV281001290"/>
    <s v="*MAV281001290"/>
    <n v="3.2410619800373354E-5"/>
  </r>
  <r>
    <x v="205"/>
    <s v="Pesos"/>
    <d v="2026-10-30T00:00:00"/>
    <s v="29/09/2026"/>
    <n v="0.97273679000000002"/>
    <m/>
    <n v="60000000"/>
    <n v="58364207.530000001"/>
    <n v="60000000"/>
    <n v="58364207.530000001"/>
    <n v="20863"/>
    <s v="AMOMPY"/>
    <s v="Momentum Capital Investment S.A."/>
    <s v="28/09/2026"/>
    <s v="28/09/2026"/>
    <n v="33"/>
    <s v="No"/>
    <s v=""/>
    <m/>
    <m/>
    <s v="*MAV281001681"/>
    <s v="*MAV281001681"/>
    <n v="7.7592697354855441E-4"/>
  </r>
  <r>
    <x v="176"/>
    <s v="Pesos"/>
    <d v="2026-10-30T00:00:00"/>
    <s v="29/09/2026"/>
    <n v="0.97515375999999998"/>
    <m/>
    <n v="5930000"/>
    <n v="5782661.8200000003"/>
    <n v="5930000"/>
    <n v="5782661.8200000003"/>
    <n v="1025"/>
    <s v="AMOMPY"/>
    <s v="Momentum Capital Investment S.A."/>
    <s v="29/09/2026"/>
    <s v="29/09/2026"/>
    <n v="30"/>
    <s v="No"/>
    <s v=""/>
    <m/>
    <m/>
    <s v="*MAV281001702"/>
    <s v="*MAV281001702"/>
    <n v="7.6877995520474354E-5"/>
  </r>
  <r>
    <x v="89"/>
    <s v="Pesos"/>
    <d v="2026-11-02T00:00:00"/>
    <s v="29/09/2026"/>
    <n v="0.97458087000000004"/>
    <m/>
    <n v="7000000"/>
    <n v="6822066.1100000003"/>
    <n v="7000000"/>
    <n v="6822066.1100000003"/>
    <n v="6488"/>
    <s v="AMOMPY"/>
    <s v="Momentum Capital Investment S.A."/>
    <s v="17/09/2026"/>
    <s v="17/09/2026"/>
    <n v="28"/>
    <s v="No"/>
    <s v=""/>
    <m/>
    <m/>
    <s v="*INP291000060"/>
    <s v="*INP291000060"/>
    <n v="9.0696427384190335E-5"/>
  </r>
  <r>
    <x v="28"/>
    <s v="Pesos"/>
    <d v="2026-11-02T00:00:00"/>
    <s v="29/09/2026"/>
    <n v="0.97281466000000005"/>
    <m/>
    <n v="4000000"/>
    <n v="3891258.63"/>
    <n v="4000000"/>
    <n v="3891258.63"/>
    <n v="1151"/>
    <s v="AMOMPY"/>
    <s v="Momentum Capital Investment S.A."/>
    <s v="08/09/2026"/>
    <s v="08/09/2026"/>
    <n v="30"/>
    <s v="No"/>
    <s v=""/>
    <m/>
    <m/>
    <s v="*MAV291001283"/>
    <s v="*MAV291001283"/>
    <n v="5.1732605647367278E-5"/>
  </r>
  <r>
    <x v="28"/>
    <s v="Pesos"/>
    <d v="2026-11-02T00:00:00"/>
    <s v="29/09/2026"/>
    <n v="0.97281457999999998"/>
    <m/>
    <n v="5000000"/>
    <n v="4864072.9000000004"/>
    <n v="5000000"/>
    <n v="4864072.9000000004"/>
    <n v="1241"/>
    <s v="AMOMPY"/>
    <s v="Momentum Capital Investment S.A."/>
    <s v="17/09/2026"/>
    <s v="17/09/2026"/>
    <n v="30"/>
    <s v="No"/>
    <s v=""/>
    <m/>
    <m/>
    <s v="*MAV291001393"/>
    <s v="*MAV291001393"/>
    <n v="6.4665751907563696E-5"/>
  </r>
  <r>
    <x v="28"/>
    <s v="Pesos"/>
    <d v="2026-11-02T00:00:00"/>
    <s v="29/09/2026"/>
    <n v="0.97105461000000004"/>
    <m/>
    <n v="3000000"/>
    <n v="2913163.83"/>
    <n v="3000000"/>
    <n v="2913163.83"/>
    <n v="1047"/>
    <s v="AMOMPY"/>
    <s v="Momentum Capital Investment S.A."/>
    <s v="25/08/2026"/>
    <s v="25/08/2026"/>
    <n v="32"/>
    <s v="No"/>
    <s v=""/>
    <m/>
    <m/>
    <s v="*MAV291001238"/>
    <s v="*MAV291001238"/>
    <n v="3.8729257017687387E-5"/>
  </r>
  <r>
    <x v="35"/>
    <s v="Pesos"/>
    <d v="2026-11-02T00:00:00"/>
    <s v="29/09/2026"/>
    <n v="0.96755398000000004"/>
    <m/>
    <n v="3625698.78"/>
    <n v="3508059.27"/>
    <n v="3625698.78"/>
    <n v="3508059.27"/>
    <n v="3348"/>
    <s v="AMOMPY"/>
    <s v="Momentum Capital Investment S.A."/>
    <s v="28/08/2026"/>
    <s v="28/08/2026"/>
    <n v="36"/>
    <s v="No"/>
    <s v=""/>
    <m/>
    <m/>
    <s v="*MAV291001264"/>
    <s v="*MAV291001264"/>
    <n v="4.6638135384617481E-5"/>
  </r>
  <r>
    <x v="35"/>
    <s v="Pesos"/>
    <d v="2026-11-02T00:00:00"/>
    <s v="29/09/2026"/>
    <n v="0.96755400999999996"/>
    <m/>
    <n v="1874176.47"/>
    <n v="1813366.95"/>
    <n v="1874176.47"/>
    <n v="1813366.95"/>
    <n v="3467"/>
    <s v="AMOMPY"/>
    <s v="Momentum Capital Investment S.A."/>
    <s v="08/09/2026"/>
    <s v="08/09/2026"/>
    <n v="36"/>
    <s v="No"/>
    <s v=""/>
    <m/>
    <m/>
    <s v="*MAV291001351"/>
    <s v="*MAV291001351"/>
    <n v="2.4107931710085068E-5"/>
  </r>
  <r>
    <x v="244"/>
    <s v="Pesos"/>
    <d v="2026-11-02T00:00:00"/>
    <s v="29/09/2026"/>
    <n v="0.97017721000000001"/>
    <m/>
    <n v="5300000"/>
    <n v="5141939.21"/>
    <n v="5300000"/>
    <n v="5141939.21"/>
    <n v="8175671"/>
    <s v="AMOMPY"/>
    <s v="Momentum Capital Investment S.A."/>
    <s v="15/09/2026"/>
    <s v="15/09/2026"/>
    <n v="33"/>
    <s v="No"/>
    <s v=""/>
    <m/>
    <m/>
    <s v="*MAV291001376"/>
    <s v="*MAV291001376"/>
    <n v="6.8359864688219207E-5"/>
  </r>
  <r>
    <x v="6"/>
    <s v="Pesos"/>
    <d v="2026-11-02T00:00:00"/>
    <s v="29/09/2026"/>
    <n v="0.97635358999999999"/>
    <m/>
    <n v="15000000"/>
    <n v="14645303.83"/>
    <n v="15000000"/>
    <n v="14645303.83"/>
    <n v="68218060"/>
    <s v="AMOMPY"/>
    <s v="Momentum Capital Investment S.A."/>
    <s v="08/07/2026"/>
    <s v="08/07/2026"/>
    <n v="26"/>
    <s v="No"/>
    <s v=""/>
    <m/>
    <m/>
    <s v="*PRO291000024"/>
    <s v="*PRO291000024"/>
    <n v="1.947029996367185E-4"/>
  </r>
  <r>
    <x v="6"/>
    <s v="Pesos"/>
    <d v="2026-11-02T00:00:00"/>
    <s v="29/09/2026"/>
    <n v="0.97724230999999995"/>
    <m/>
    <n v="32000000"/>
    <n v="31271753.989999998"/>
    <n v="32000000"/>
    <n v="31271753.989999998"/>
    <n v="5313"/>
    <s v="AMOMPY"/>
    <s v="Momentum Capital Investment S.A."/>
    <s v="16/07/2026"/>
    <s v="16/07/2026"/>
    <n v="25"/>
    <s v="No"/>
    <s v=""/>
    <m/>
    <m/>
    <s v="*PRO291000025"/>
    <s v="*PRO291000025"/>
    <n v="4.1574448549726805E-4"/>
  </r>
  <r>
    <x v="6"/>
    <s v="Pesos"/>
    <d v="2026-11-02T00:00:00"/>
    <s v="29/09/2026"/>
    <n v="0.97546637000000003"/>
    <m/>
    <n v="15000000"/>
    <n v="14631995.619999999"/>
    <n v="15000000"/>
    <n v="14631995.619999999"/>
    <n v="235"/>
    <s v="AMOMPY"/>
    <s v="Momentum Capital Investment S.A."/>
    <s v="02/07/2026"/>
    <s v="02/07/2026"/>
    <n v="27"/>
    <s v="No"/>
    <s v=""/>
    <m/>
    <m/>
    <s v="*PRO291000023"/>
    <s v="*PRO291000023"/>
    <n v="1.9452607272302158E-4"/>
  </r>
  <r>
    <x v="109"/>
    <s v="Pesos"/>
    <d v="2026-11-02T00:00:00"/>
    <s v="29/09/2026"/>
    <n v="0.97105467000000001"/>
    <m/>
    <n v="11829797.539999999"/>
    <n v="11487380.15"/>
    <n v="11829797.539999999"/>
    <n v="11487380.15"/>
    <n v="30888"/>
    <s v="AMOMPY"/>
    <s v="Momentum Capital Investment S.A."/>
    <s v="22/07/2026"/>
    <s v="22/07/2026"/>
    <n v="32"/>
    <s v="No"/>
    <s v=""/>
    <m/>
    <m/>
    <s v="*MAV291001129"/>
    <s v="*MAV291001129"/>
    <n v="1.5271976594918464E-4"/>
  </r>
  <r>
    <x v="109"/>
    <s v="Pesos"/>
    <d v="2026-11-02T00:00:00"/>
    <s v="29/09/2026"/>
    <n v="0.97105465000000002"/>
    <m/>
    <n v="10655603.279999999"/>
    <n v="10347173.07"/>
    <n v="10655603.279999999"/>
    <n v="10347173.07"/>
    <n v="30834"/>
    <s v="AMOMPY"/>
    <s v="Momentum Capital Investment S.A."/>
    <s v="14/07/2026"/>
    <s v="14/07/2026"/>
    <n v="32"/>
    <s v="No"/>
    <s v=""/>
    <m/>
    <m/>
    <s v="*MAV291001113"/>
    <s v="*MAV291001113"/>
    <n v="1.3756120445671037E-4"/>
  </r>
  <r>
    <x v="35"/>
    <s v="Pesos"/>
    <d v="2026-11-02T00:00:00"/>
    <s v="29/09/2026"/>
    <n v="0.97017704000000005"/>
    <m/>
    <n v="2502550.36"/>
    <n v="2427916.89"/>
    <n v="2502550.36"/>
    <n v="2427916.89"/>
    <n v="3132"/>
    <s v="AMOMPY"/>
    <s v="Momentum Capital Investment S.A."/>
    <s v="27/07/2026"/>
    <s v="27/07/2026"/>
    <n v="33"/>
    <s v="No"/>
    <s v=""/>
    <m/>
    <m/>
    <s v="*MAV291001138"/>
    <s v="*MAV291001138"/>
    <n v="3.227810817985964E-5"/>
  </r>
  <r>
    <x v="35"/>
    <s v="Pesos"/>
    <d v="2026-11-02T00:00:00"/>
    <s v="29/09/2026"/>
    <n v="0.97017704000000005"/>
    <m/>
    <n v="2502550.36"/>
    <n v="2427916.89"/>
    <n v="2502550.36"/>
    <n v="2427916.89"/>
    <n v="3142"/>
    <s v="AMOMPY"/>
    <s v="Momentum Capital Investment S.A."/>
    <s v="27/07/2026"/>
    <s v="27/07/2026"/>
    <n v="33"/>
    <s v="No"/>
    <s v=""/>
    <m/>
    <m/>
    <s v="*MAV291001139"/>
    <s v="*MAV291001139"/>
    <n v="3.227810817985964E-5"/>
  </r>
  <r>
    <x v="35"/>
    <s v="Pesos"/>
    <d v="2026-11-02T00:00:00"/>
    <s v="29/09/2026"/>
    <n v="0.96930112999999996"/>
    <m/>
    <n v="1020845.65"/>
    <n v="989506.84"/>
    <n v="1020845.65"/>
    <n v="989506.84"/>
    <n v="2908"/>
    <s v="AMOMPY"/>
    <s v="Momentum Capital Investment S.A."/>
    <s v="15/07/2026"/>
    <s v="15/07/2026"/>
    <n v="34"/>
    <s v="No"/>
    <s v=""/>
    <m/>
    <m/>
    <s v="*MAV291001115"/>
    <s v="*MAV291001115"/>
    <n v="1.3155066780820105E-5"/>
  </r>
  <r>
    <x v="35"/>
    <s v="Pesos"/>
    <d v="2026-11-02T00:00:00"/>
    <s v="29/09/2026"/>
    <n v="0.96930112000000002"/>
    <m/>
    <n v="990902.64"/>
    <n v="960483.04"/>
    <n v="990902.64"/>
    <n v="960483.04"/>
    <n v="2958"/>
    <s v="AMOMPY"/>
    <s v="Momentum Capital Investment S.A."/>
    <s v="15/07/2026"/>
    <s v="15/07/2026"/>
    <n v="34"/>
    <s v="No"/>
    <s v=""/>
    <m/>
    <m/>
    <s v="*MAV291001116"/>
    <s v="*MAV291001116"/>
    <n v="1.2769207874343858E-5"/>
  </r>
  <r>
    <x v="179"/>
    <s v="Pesos"/>
    <d v="2026-11-02T00:00:00"/>
    <s v="29/09/2026"/>
    <n v="0.97105463999999997"/>
    <m/>
    <n v="475000000"/>
    <n v="461250954.10000002"/>
    <n v="475000000"/>
    <n v="461250954.10000002"/>
    <n v="1222"/>
    <s v="AMOMPY"/>
    <s v="Momentum Capital Investment S.A."/>
    <s v="02/09/2026"/>
    <s v="02/09/2026"/>
    <n v="32"/>
    <s v="No"/>
    <s v=""/>
    <m/>
    <m/>
    <s v="*MAV291001300"/>
    <s v="*MAV291001300"/>
    <n v="6.1321325519108991E-3"/>
  </r>
  <r>
    <x v="192"/>
    <s v="Pesos"/>
    <d v="2026-11-02T00:00:00"/>
    <s v="29/09/2026"/>
    <n v="0.97105461999999998"/>
    <m/>
    <n v="50000000"/>
    <n v="48552730.960000001"/>
    <n v="50000000"/>
    <n v="48552730.960000001"/>
    <n v="5357"/>
    <s v="AMOMPY"/>
    <s v="Momentum Capital Investment S.A."/>
    <s v="16/09/2026"/>
    <s v="16/09/2026"/>
    <n v="32"/>
    <s v="No"/>
    <s v=""/>
    <m/>
    <m/>
    <s v="*MAV291001384"/>
    <s v="*MAV291001384"/>
    <n v="6.4548762307695812E-4"/>
  </r>
  <r>
    <x v="110"/>
    <s v="Pesos"/>
    <d v="2026-11-02T00:00:00"/>
    <s v="29/09/2026"/>
    <n v="0.96668261"/>
    <m/>
    <n v="10000000"/>
    <n v="9666826.1300000008"/>
    <n v="10000000"/>
    <n v="9666826.1300000008"/>
    <n v="16854859"/>
    <s v="AMOMPY"/>
    <s v="Momentum Capital Investment S.A."/>
    <s v="02/09/2026"/>
    <s v="02/09/2026"/>
    <n v="37"/>
    <s v="No"/>
    <s v=""/>
    <m/>
    <m/>
    <s v="*MAV291001295"/>
    <s v="*MAV291001295"/>
    <n v="1.2851628524238073E-4"/>
  </r>
  <r>
    <x v="203"/>
    <s v="Pesos"/>
    <d v="2026-11-02T00:00:00"/>
    <s v="29/09/2026"/>
    <n v="0.97105470000000005"/>
    <m/>
    <n v="100000000"/>
    <n v="97105469.730000004"/>
    <n v="100000000"/>
    <n v="97105469.730000004"/>
    <n v="165"/>
    <s v="AMOMPY"/>
    <s v="Momentum Capital Investment S.A."/>
    <s v="30/07/2026"/>
    <s v="30/07/2026"/>
    <n v="32"/>
    <s v="No"/>
    <s v=""/>
    <m/>
    <m/>
    <s v="*MAV291001158"/>
    <s v="*MAV291001158"/>
    <n v="1.2909753499844986E-3"/>
  </r>
  <r>
    <x v="250"/>
    <s v="Pesos"/>
    <d v="2026-11-02T00:00:00"/>
    <s v="29/09/2026"/>
    <n v="0.97017706999999997"/>
    <m/>
    <n v="333534247"/>
    <n v="323587279.87"/>
    <n v="333534247"/>
    <n v="323587279.87"/>
    <n v="155636"/>
    <s v="AMOMPY"/>
    <s v="Momentum Capital Investment S.A."/>
    <s v="03/07/2026"/>
    <s v="03/07/2026"/>
    <n v="33"/>
    <s v="No"/>
    <s v=""/>
    <m/>
    <m/>
    <s v="#MAV301060025"/>
    <s v="#MAV301060025"/>
    <n v="4.3019533610437451E-3"/>
  </r>
  <r>
    <x v="15"/>
    <s v="Pesos"/>
    <d v="2026-11-02T00:00:00"/>
    <s v="29/09/2026"/>
    <n v="0.97105459999999999"/>
    <m/>
    <n v="5444206"/>
    <n v="5286621.3"/>
    <n v="5444206"/>
    <n v="5286621.3"/>
    <n v="3444"/>
    <s v="AMOMPY"/>
    <s v="Momentum Capital Investment S.A."/>
    <s v="25/08/2026"/>
    <s v="25/08/2026"/>
    <n v="32"/>
    <s v="No"/>
    <s v=""/>
    <m/>
    <m/>
    <s v="*MAV291001239"/>
    <s v="*MAV291001239"/>
    <n v="7.028335069053792E-5"/>
  </r>
  <r>
    <x v="60"/>
    <s v="Pesos"/>
    <d v="2026-11-02T00:00:00"/>
    <s v="29/09/2026"/>
    <n v="0.96581300999999997"/>
    <m/>
    <n v="247000000"/>
    <n v="238555813.99000001"/>
    <n v="247000000"/>
    <n v="238555813.99000001"/>
    <n v="70403676"/>
    <s v="AMOMPY"/>
    <s v="Momentum Capital Investment S.A."/>
    <s v="24/08/2026"/>
    <s v="24/08/2026"/>
    <n v="38"/>
    <s v="No"/>
    <s v=""/>
    <m/>
    <m/>
    <s v="*MAV291001226"/>
    <s v="*MAV291001226"/>
    <n v="3.1714966861586822E-3"/>
  </r>
  <r>
    <x v="249"/>
    <s v="Pesos"/>
    <d v="2026-11-02T00:00:00"/>
    <s v="29/09/2026"/>
    <n v="0.97105469"/>
    <m/>
    <n v="50000000"/>
    <n v="48552734.520000003"/>
    <n v="50000000"/>
    <n v="48552734.520000003"/>
    <n v="6688"/>
    <s v="AMOMPY"/>
    <s v="Momentum Capital Investment S.A."/>
    <s v="27/08/2026"/>
    <s v="27/08/2026"/>
    <n v="32"/>
    <s v="No"/>
    <s v=""/>
    <m/>
    <m/>
    <s v="*MAV291001253"/>
    <s v="*MAV291001253"/>
    <n v="6.4548767040562309E-4"/>
  </r>
  <r>
    <x v="249"/>
    <s v="Pesos"/>
    <d v="2026-11-02T00:00:00"/>
    <s v="29/09/2026"/>
    <n v="0.97105469"/>
    <m/>
    <n v="50000000"/>
    <n v="48552734.520000003"/>
    <n v="50000000"/>
    <n v="48552734.520000003"/>
    <n v="6692"/>
    <s v="AMOMPY"/>
    <s v="Momentum Capital Investment S.A."/>
    <s v="27/08/2026"/>
    <s v="27/08/2026"/>
    <n v="32"/>
    <s v="No"/>
    <s v=""/>
    <m/>
    <m/>
    <s v="*MAV291001254"/>
    <s v="*MAV291001254"/>
    <n v="6.4548767040562309E-4"/>
  </r>
  <r>
    <x v="130"/>
    <s v="Pesos"/>
    <d v="2026-11-02T00:00:00"/>
    <s v="29/09/2026"/>
    <n v="0.96494479"/>
    <m/>
    <n v="3750000"/>
    <n v="3618542.97"/>
    <n v="3750000"/>
    <n v="3618542.97"/>
    <n v="66918247"/>
    <s v="AMOMPY"/>
    <s v="Momentum Capital Investment S.A."/>
    <s v="13/05/2026"/>
    <s v="13/05/2026"/>
    <n v="39"/>
    <s v="No"/>
    <s v=""/>
    <m/>
    <m/>
    <s v="*MAV291001079"/>
    <s v="*MAV291001079"/>
    <n v="4.8106968537597098E-5"/>
  </r>
  <r>
    <x v="251"/>
    <s v="Pesos"/>
    <d v="2026-11-02T00:00:00"/>
    <s v="29/09/2026"/>
    <n v="0.97281466000000005"/>
    <m/>
    <n v="530000"/>
    <n v="515591.77"/>
    <n v="530000"/>
    <n v="515591.77"/>
    <n v="10711239"/>
    <s v="AMOMPY"/>
    <s v="Momentum Capital Investment S.A."/>
    <s v="25/09/2026"/>
    <s v="25/09/2026"/>
    <n v="30"/>
    <s v="No"/>
    <s v=""/>
    <m/>
    <m/>
    <s v="*MAV291001491"/>
    <s v="*MAV291001491"/>
    <n v="6.8545702685503822E-6"/>
  </r>
  <r>
    <x v="122"/>
    <s v="Pesos"/>
    <d v="2026-11-02T00:00:00"/>
    <s v="29/09/2026"/>
    <n v="0.9710548"/>
    <m/>
    <n v="50000000"/>
    <n v="48552739.920000002"/>
    <n v="50000000"/>
    <n v="48552739.920000002"/>
    <n v="958"/>
    <s v="AMOMPY"/>
    <s v="Momentum Capital Investment S.A."/>
    <s v="29/09/2026"/>
    <s v="29/09/2026"/>
    <n v="32"/>
    <s v="No"/>
    <s v=""/>
    <m/>
    <m/>
    <s v="*MAV291001531"/>
    <s v="*MAV291001531"/>
    <n v="6.4548774219629469E-4"/>
  </r>
  <r>
    <x v="27"/>
    <s v="Pesos"/>
    <d v="2026-11-02T00:00:00"/>
    <s v="29/09/2026"/>
    <n v="0.97458082999999995"/>
    <m/>
    <n v="2500000"/>
    <n v="2436452.08"/>
    <n v="2500000"/>
    <n v="2436452.08"/>
    <n v="90031824"/>
    <s v="AMOMPY"/>
    <s v="Momentum Capital Investment S.A."/>
    <s v="22/04/2026"/>
    <s v="22/04/2026"/>
    <n v="28"/>
    <s v="No"/>
    <s v=""/>
    <m/>
    <m/>
    <s v="*MOV291000063"/>
    <s v="*MOV291000063"/>
    <n v="3.2391579850694162E-5"/>
  </r>
  <r>
    <x v="28"/>
    <s v="Pesos"/>
    <d v="2026-11-02T00:00:00"/>
    <s v="29/09/2026"/>
    <n v="0.97105465999999996"/>
    <m/>
    <n v="2000000"/>
    <n v="1942109.31"/>
    <n v="2000000"/>
    <n v="1942109.31"/>
    <n v="1079"/>
    <s v="AMOMPY"/>
    <s v="Momentum Capital Investment S.A."/>
    <s v="26/08/2026"/>
    <s v="26/08/2026"/>
    <n v="32"/>
    <s v="No"/>
    <s v=""/>
    <m/>
    <m/>
    <s v="*MAV291001243"/>
    <s v="*MAV291001243"/>
    <n v="2.5819505874969452E-5"/>
  </r>
  <r>
    <x v="28"/>
    <s v="Pesos"/>
    <d v="2026-11-02T00:00:00"/>
    <s v="29/09/2026"/>
    <n v="0.97017708999999996"/>
    <m/>
    <n v="2500000"/>
    <n v="2425442.7200000002"/>
    <n v="2500000"/>
    <n v="2425442.7200000002"/>
    <n v="1009"/>
    <s v="AMOMPY"/>
    <s v="Momentum Capital Investment S.A."/>
    <s v="19/08/2026"/>
    <s v="19/08/2026"/>
    <n v="33"/>
    <s v="No"/>
    <s v=""/>
    <m/>
    <m/>
    <s v="*MAV291001215"/>
    <s v="*MAV291001215"/>
    <n v="3.2245215156525816E-5"/>
  </r>
  <r>
    <x v="28"/>
    <s v="Pesos"/>
    <d v="2026-11-02T00:00:00"/>
    <s v="29/09/2026"/>
    <n v="0.97281452999999996"/>
    <m/>
    <n v="3800000"/>
    <n v="3696695.2"/>
    <n v="3800000"/>
    <n v="3696695.2"/>
    <n v="929"/>
    <s v="AMOMPY"/>
    <s v="Momentum Capital Investment S.A."/>
    <s v="11/08/2026"/>
    <s v="11/08/2026"/>
    <n v="30"/>
    <s v="No"/>
    <s v=""/>
    <m/>
    <m/>
    <s v="*MAV291001196"/>
    <s v="*MAV291001196"/>
    <n v="4.9145968737656361E-5"/>
  </r>
  <r>
    <x v="28"/>
    <s v="Pesos"/>
    <d v="2026-11-02T00:00:00"/>
    <s v="29/09/2026"/>
    <n v="0.97281459999999997"/>
    <m/>
    <n v="2500000"/>
    <n v="2432036.5099999998"/>
    <n v="2500000"/>
    <n v="2432036.5099999998"/>
    <n v="887"/>
    <s v="AMOMPY"/>
    <s v="Momentum Capital Investment S.A."/>
    <s v="06/08/2026"/>
    <s v="06/08/2026"/>
    <n v="30"/>
    <s v="No"/>
    <s v=""/>
    <m/>
    <m/>
    <s v="*MAV291001181"/>
    <s v="*MAV291001181"/>
    <n v="3.233287675145597E-5"/>
  </r>
  <r>
    <x v="28"/>
    <s v="Pesos"/>
    <d v="2026-11-02T00:00:00"/>
    <s v="29/09/2026"/>
    <n v="0.97281465"/>
    <m/>
    <n v="5000000"/>
    <n v="4864073.24"/>
    <n v="5000000"/>
    <n v="4864073.24"/>
    <n v="1304"/>
    <s v="AMOMPY"/>
    <s v="Momentum Capital Investment S.A."/>
    <s v="25/09/2026"/>
    <s v="25/09/2026"/>
    <n v="30"/>
    <s v="No"/>
    <s v=""/>
    <m/>
    <m/>
    <s v="*MAV291001488"/>
    <s v="*MAV291001488"/>
    <n v="6.4665756427717086E-5"/>
  </r>
  <r>
    <x v="28"/>
    <s v="Pesos"/>
    <d v="2026-11-03T00:00:00"/>
    <s v="29/09/2026"/>
    <n v="0.97022870000000005"/>
    <m/>
    <n v="4000000"/>
    <n v="3880914.82"/>
    <n v="4000000"/>
    <n v="3880914.82"/>
    <n v="1152"/>
    <s v="AMOMPY"/>
    <s v="Momentum Capital Investment S.A."/>
    <s v="04/09/2026"/>
    <s v="04/09/2026"/>
    <n v="32"/>
    <s v="No"/>
    <s v=""/>
    <m/>
    <m/>
    <s v="*MAV301001649"/>
    <s v="*MAV301001649"/>
    <n v="5.1595089153476129E-5"/>
  </r>
  <r>
    <x v="28"/>
    <s v="Pesos"/>
    <d v="2026-11-03T00:00:00"/>
    <s v="29/09/2026"/>
    <n v="0.97203744999999997"/>
    <m/>
    <n v="5000000"/>
    <n v="4860187.24"/>
    <n v="5000000"/>
    <n v="4860187.24"/>
    <n v="1205"/>
    <s v="AMOMPY"/>
    <s v="Momentum Capital Investment S.A."/>
    <s v="09/09/2026"/>
    <s v="09/09/2026"/>
    <n v="30"/>
    <s v="No"/>
    <s v=""/>
    <m/>
    <m/>
    <s v="*MAV301001731"/>
    <s v="*MAV301001731"/>
    <n v="6.4614093733288141E-5"/>
  </r>
  <r>
    <x v="28"/>
    <s v="Pesos"/>
    <d v="2026-11-03T00:00:00"/>
    <s v="29/09/2026"/>
    <n v="0.97203729999999999"/>
    <m/>
    <n v="4500000"/>
    <n v="4374167.83"/>
    <n v="4500000"/>
    <n v="4374167.83"/>
    <n v="1300"/>
    <s v="AMOMPY"/>
    <s v="Momentum Capital Investment S.A."/>
    <s v="24/09/2026"/>
    <s v="24/09/2026"/>
    <n v="30"/>
    <s v="No"/>
    <s v=""/>
    <m/>
    <m/>
    <s v="*MAV301001923"/>
    <s v="*MAV301001923"/>
    <n v="5.8152675239885119E-5"/>
  </r>
  <r>
    <x v="28"/>
    <s v="Pesos"/>
    <d v="2026-11-03T00:00:00"/>
    <s v="29/09/2026"/>
    <n v="0.97203746999999996"/>
    <m/>
    <n v="4000000"/>
    <n v="3888149.88"/>
    <n v="4000000"/>
    <n v="3888149.88"/>
    <n v="1288"/>
    <s v="AMOMPY"/>
    <s v="Momentum Capital Investment S.A."/>
    <s v="23/09/2026"/>
    <s v="23/09/2026"/>
    <n v="30"/>
    <s v="No"/>
    <s v=""/>
    <m/>
    <m/>
    <s v="*MAV301001906"/>
    <s v="*MAV301001906"/>
    <n v="5.1691276156552572E-5"/>
  </r>
  <r>
    <x v="252"/>
    <s v="Pesos"/>
    <d v="2026-11-03T00:00:00"/>
    <s v="29/09/2026"/>
    <n v="0.97113212999999998"/>
    <m/>
    <n v="102281981.31999999"/>
    <n v="99329318.140000001"/>
    <n v="102281981.31999999"/>
    <n v="99329318.140000001"/>
    <n v="6311"/>
    <s v="AMOMPY"/>
    <s v="Momentum Capital Investment S.A."/>
    <s v="17/09/2026"/>
    <s v="17/09/2026"/>
    <n v="31"/>
    <s v="No"/>
    <s v=""/>
    <m/>
    <m/>
    <s v="*MAV301001838"/>
    <s v="*MAV301001838"/>
    <n v="1.3205404557132985E-3"/>
  </r>
  <r>
    <x v="35"/>
    <s v="Pesos"/>
    <d v="2026-11-03T00:00:00"/>
    <s v="29/09/2026"/>
    <n v="0.96663147000000005"/>
    <m/>
    <n v="3625698.78"/>
    <n v="3504714.54"/>
    <n v="3625698.78"/>
    <n v="3504714.54"/>
    <n v="3349"/>
    <s v="AMOMPY"/>
    <s v="Momentum Capital Investment S.A."/>
    <s v="28/08/2026"/>
    <s v="28/08/2026"/>
    <n v="36"/>
    <s v="No"/>
    <s v=""/>
    <m/>
    <m/>
    <s v="*MAV301001599"/>
    <s v="*MAV301001599"/>
    <n v="4.6593668641452962E-5"/>
  </r>
  <r>
    <x v="35"/>
    <s v="Pesos"/>
    <d v="2026-11-03T00:00:00"/>
    <s v="29/09/2026"/>
    <n v="0.96663149000000004"/>
    <m/>
    <n v="1874176.47"/>
    <n v="1811638"/>
    <n v="1874176.47"/>
    <n v="1811638"/>
    <n v="3468"/>
    <s v="AMOMPY"/>
    <s v="Momentum Capital Investment S.A."/>
    <s v="08/09/2026"/>
    <s v="08/09/2026"/>
    <n v="36"/>
    <s v="No"/>
    <s v=""/>
    <m/>
    <m/>
    <s v="*MAV301001726"/>
    <s v="*MAV301001726"/>
    <n v="2.4084946065326213E-5"/>
  </r>
  <r>
    <x v="35"/>
    <s v="Pesos"/>
    <d v="2026-11-03T00:00:00"/>
    <s v="29/09/2026"/>
    <n v="0.96752826000000003"/>
    <m/>
    <n v="2510000.36"/>
    <n v="2428496.27"/>
    <n v="2510000.36"/>
    <n v="2428496.27"/>
    <n v="3156"/>
    <s v="AMOMPY"/>
    <s v="Momentum Capital Investment S.A."/>
    <s v="25/09/2026"/>
    <s v="25/09/2026"/>
    <n v="35"/>
    <s v="No"/>
    <s v=""/>
    <m/>
    <m/>
    <s v="*MAV301001950"/>
    <s v="*MAV301001950"/>
    <n v="3.2285810787141737E-5"/>
  </r>
  <r>
    <x v="53"/>
    <s v="Pesos"/>
    <d v="2026-11-03T00:00:00"/>
    <s v="29/09/2026"/>
    <n v="0.96573633000000003"/>
    <m/>
    <n v="15000000"/>
    <n v="14486044.970000001"/>
    <n v="15000000"/>
    <n v="14486044.970000001"/>
    <n v="2592"/>
    <s v="AMOMPY"/>
    <s v="Momentum Capital Investment S.A."/>
    <s v="07/08/2026"/>
    <s v="07/08/2026"/>
    <n v="37"/>
    <s v="No"/>
    <s v=""/>
    <m/>
    <m/>
    <s v="*MAV301001427"/>
    <s v="*MAV301001427"/>
    <n v="1.9258572176248241E-4"/>
  </r>
  <r>
    <x v="244"/>
    <s v="Pesos"/>
    <d v="2026-11-03T00:00:00"/>
    <s v="29/09/2026"/>
    <n v="0.96932691000000004"/>
    <m/>
    <n v="5300000"/>
    <n v="5137432.62"/>
    <n v="5300000"/>
    <n v="5137432.62"/>
    <n v="8175672"/>
    <s v="AMOMPY"/>
    <s v="Momentum Capital Investment S.A."/>
    <s v="15/09/2026"/>
    <s v="15/09/2026"/>
    <n v="33"/>
    <s v="No"/>
    <s v=""/>
    <m/>
    <m/>
    <s v="*MAV301001800"/>
    <s v="*MAV301001800"/>
    <n v="6.8299951517327161E-5"/>
  </r>
  <r>
    <x v="253"/>
    <s v="Pesos"/>
    <d v="2026-11-03T00:00:00"/>
    <s v="29/09/2026"/>
    <n v="0.96932684999999996"/>
    <m/>
    <n v="155452.9"/>
    <n v="150684.67000000001"/>
    <n v="155452.9"/>
    <n v="150684.67000000001"/>
    <n v="348"/>
    <s v="AMOMPY"/>
    <s v="Momentum Capital Investment S.A."/>
    <s v="15/09/2026"/>
    <s v="15/09/2026"/>
    <n v="33"/>
    <s v="No"/>
    <s v=""/>
    <m/>
    <m/>
    <s v="*MAV301001801"/>
    <s v="*MAV301001801"/>
    <n v="2.0032877152176535E-6"/>
  </r>
  <r>
    <x v="254"/>
    <s v="Pesos"/>
    <d v="2026-11-03T00:00:00"/>
    <s v="29/09/2026"/>
    <n v="0.97022872999999998"/>
    <m/>
    <n v="43185942.649999999"/>
    <n v="41900242.100000001"/>
    <n v="43185942.649999999"/>
    <n v="41900242.100000001"/>
    <n v="40085351"/>
    <s v="AMOMPY"/>
    <s v="Momentum Capital Investment S.A."/>
    <s v="25/08/2026"/>
    <s v="25/08/2026"/>
    <n v="32"/>
    <s v="No"/>
    <s v=""/>
    <m/>
    <m/>
    <s v="*MAV301001556"/>
    <s v="*MAV301001556"/>
    <n v="5.5704565211295569E-4"/>
  </r>
  <r>
    <x v="255"/>
    <s v="Pesos"/>
    <d v="2026-11-03T00:00:00"/>
    <s v="29/09/2026"/>
    <n v="0.97113214999999997"/>
    <m/>
    <n v="20344755.739999998"/>
    <n v="19757446.350000001"/>
    <n v="20344755.739999998"/>
    <n v="19757446.350000001"/>
    <n v="30418492"/>
    <s v="AMOMPY"/>
    <s v="Momentum Capital Investment S.A."/>
    <s v="03/09/2026"/>
    <s v="03/09/2026"/>
    <n v="31"/>
    <s v="No"/>
    <s v=""/>
    <m/>
    <m/>
    <s v="*MAV301001686"/>
    <s v="*MAV301001686"/>
    <n v="2.6266673017916729E-4"/>
  </r>
  <r>
    <x v="109"/>
    <s v="Pesos"/>
    <d v="2026-11-03T00:00:00"/>
    <s v="29/09/2026"/>
    <n v="0.97022865000000003"/>
    <m/>
    <n v="11829797.539999999"/>
    <n v="11477608.539999999"/>
    <n v="11829797.539999999"/>
    <n v="11477608.539999999"/>
    <n v="30889"/>
    <s v="AMOMPY"/>
    <s v="Momentum Capital Investment S.A."/>
    <s v="22/07/2026"/>
    <s v="22/07/2026"/>
    <n v="32"/>
    <s v="No"/>
    <s v=""/>
    <m/>
    <m/>
    <s v="*MAV301001333"/>
    <s v="*MAV301001333"/>
    <n v="1.5258985660757143E-4"/>
  </r>
  <r>
    <x v="109"/>
    <s v="Pesos"/>
    <d v="2026-11-03T00:00:00"/>
    <s v="29/09/2026"/>
    <n v="0.97022865000000003"/>
    <m/>
    <n v="16498838.289999999"/>
    <n v="16007645.66"/>
    <n v="16498838.289999999"/>
    <n v="16007645.66"/>
    <n v="30845"/>
    <s v="AMOMPY"/>
    <s v="Momentum Capital Investment S.A."/>
    <s v="22/07/2026"/>
    <s v="22/07/2026"/>
    <n v="32"/>
    <s v="No"/>
    <s v=""/>
    <m/>
    <m/>
    <s v="*MAV301001334"/>
    <s v="*MAV301001334"/>
    <n v="2.1281474685006234E-4"/>
  </r>
  <r>
    <x v="109"/>
    <s v="Pesos"/>
    <d v="2026-11-03T00:00:00"/>
    <s v="29/09/2026"/>
    <n v="0.97022863000000004"/>
    <m/>
    <n v="10655603.279999999"/>
    <n v="10338371.390000001"/>
    <n v="10655603.279999999"/>
    <n v="10338371.390000001"/>
    <n v="30835"/>
    <s v="AMOMPY"/>
    <s v="Momentum Capital Investment S.A."/>
    <s v="14/07/2026"/>
    <s v="14/07/2026"/>
    <n v="32"/>
    <s v="No"/>
    <s v=""/>
    <m/>
    <m/>
    <s v="*MAV301001295"/>
    <s v="*MAV301001295"/>
    <n v="1.3744418991623139E-4"/>
  </r>
  <r>
    <x v="163"/>
    <s v="Pesos"/>
    <d v="2026-11-03T00:00:00"/>
    <s v="29/09/2026"/>
    <n v="0.96842671999999996"/>
    <m/>
    <n v="20000000"/>
    <n v="19368534.390000001"/>
    <n v="20000000"/>
    <n v="19368534.390000001"/>
    <n v="58"/>
    <s v="AMOMPY"/>
    <s v="Momentum Capital Investment S.A."/>
    <s v="30/07/2026"/>
    <s v="30/07/2026"/>
    <n v="34"/>
    <s v="No"/>
    <s v=""/>
    <m/>
    <m/>
    <s v="*MAV301001368"/>
    <s v="*MAV301001368"/>
    <n v="2.5749631336258454E-4"/>
  </r>
  <r>
    <x v="35"/>
    <s v="Pesos"/>
    <d v="2026-11-03T00:00:00"/>
    <s v="29/09/2026"/>
    <n v="0.96932689000000005"/>
    <m/>
    <n v="2502550.36"/>
    <n v="2425789.35"/>
    <n v="2502550.36"/>
    <n v="2425789.35"/>
    <n v="3143"/>
    <s v="AMOMPY"/>
    <s v="Momentum Capital Investment S.A."/>
    <s v="27/07/2026"/>
    <s v="27/07/2026"/>
    <n v="33"/>
    <s v="No"/>
    <s v=""/>
    <m/>
    <m/>
    <s v="*MAV301001349"/>
    <s v="*MAV301001349"/>
    <n v="3.2249823452915388E-5"/>
  </r>
  <r>
    <x v="35"/>
    <s v="Pesos"/>
    <d v="2026-11-03T00:00:00"/>
    <s v="29/09/2026"/>
    <n v="0.96932689000000005"/>
    <m/>
    <n v="2502550.36"/>
    <n v="2425789.35"/>
    <n v="2502550.36"/>
    <n v="2425789.35"/>
    <n v="3133"/>
    <s v="AMOMPY"/>
    <s v="Momentum Capital Investment S.A."/>
    <s v="27/07/2026"/>
    <s v="27/07/2026"/>
    <n v="33"/>
    <s v="No"/>
    <s v=""/>
    <m/>
    <m/>
    <s v="*MAV301001350"/>
    <s v="*MAV301001350"/>
    <n v="3.2249823452915388E-5"/>
  </r>
  <r>
    <x v="35"/>
    <s v="Pesos"/>
    <d v="2026-11-03T00:00:00"/>
    <s v="29/09/2026"/>
    <n v="0.96842669999999997"/>
    <m/>
    <n v="990902.64"/>
    <n v="959616.57"/>
    <n v="990902.64"/>
    <n v="959616.57"/>
    <n v="2959"/>
    <s v="AMOMPY"/>
    <s v="Momentum Capital Investment S.A."/>
    <s v="15/07/2026"/>
    <s v="15/07/2026"/>
    <n v="34"/>
    <s v="No"/>
    <s v=""/>
    <m/>
    <m/>
    <s v="*MAV301001301"/>
    <s v="*MAV301001301"/>
    <n v="1.2757688529299637E-5"/>
  </r>
  <r>
    <x v="35"/>
    <s v="Pesos"/>
    <d v="2026-11-03T00:00:00"/>
    <s v="29/09/2026"/>
    <n v="0.96842671999999996"/>
    <m/>
    <n v="1020845.65"/>
    <n v="988614.2"/>
    <n v="1020845.65"/>
    <n v="988614.2"/>
    <n v="2909"/>
    <s v="AMOMPY"/>
    <s v="Momentum Capital Investment S.A."/>
    <s v="15/07/2026"/>
    <s v="15/07/2026"/>
    <n v="34"/>
    <s v="No"/>
    <s v=""/>
    <m/>
    <m/>
    <s v="*MAV301001302"/>
    <s v="*MAV301001302"/>
    <n v="1.3143199516909902E-5"/>
  </r>
  <r>
    <x v="8"/>
    <s v="Pesos"/>
    <d v="2026-11-03T00:00:00"/>
    <s v="29/09/2026"/>
    <n v="0.97567495999999998"/>
    <m/>
    <n v="15000000"/>
    <n v="14635124.460000001"/>
    <n v="15000000"/>
    <n v="14635124.460000001"/>
    <n v="9621093"/>
    <s v="AMOMPY"/>
    <s v="Momentum Capital Investment S.A."/>
    <s v="17/07/2026"/>
    <s v="17/07/2026"/>
    <n v="26"/>
    <s v="No"/>
    <s v=""/>
    <m/>
    <m/>
    <s v="*MIL301000034"/>
    <s v="*MIL301000034"/>
    <n v="1.9456766930172386E-4"/>
  </r>
  <r>
    <x v="8"/>
    <s v="Pesos"/>
    <d v="2026-11-03T00:00:00"/>
    <s v="29/09/2026"/>
    <n v="0.97203737999999995"/>
    <m/>
    <n v="25000000"/>
    <n v="24300934.559999999"/>
    <n v="25000000"/>
    <n v="24300934.559999999"/>
    <n v="12742279"/>
    <s v="AMOMPY"/>
    <s v="Momentum Capital Investment S.A."/>
    <s v="14/08/2026"/>
    <s v="14/08/2026"/>
    <n v="30"/>
    <s v="No"/>
    <s v=""/>
    <m/>
    <m/>
    <s v="*MIL301000040"/>
    <s v="*MIL301000040"/>
    <n v="3.2307044686334782E-4"/>
  </r>
  <r>
    <x v="192"/>
    <s v="Pesos"/>
    <d v="2026-11-03T00:00:00"/>
    <s v="29/09/2026"/>
    <n v="0.97022863999999998"/>
    <m/>
    <n v="50000000"/>
    <n v="48511431.759999998"/>
    <n v="50000000"/>
    <n v="48511431.759999998"/>
    <n v="5166"/>
    <s v="AMOMPY"/>
    <s v="Momentum Capital Investment S.A."/>
    <s v="12/08/2026"/>
    <s v="12/08/2026"/>
    <n v="32"/>
    <s v="No"/>
    <s v=""/>
    <m/>
    <m/>
    <s v="*MAV301001464"/>
    <s v="*MAV301001464"/>
    <n v="6.4493856802040638E-4"/>
  </r>
  <r>
    <x v="110"/>
    <s v="Pesos"/>
    <d v="2026-11-03T00:00:00"/>
    <s v="29/09/2026"/>
    <n v="0.96573620999999998"/>
    <m/>
    <n v="10000000"/>
    <n v="9657362.1199999992"/>
    <n v="10000000"/>
    <n v="9657362.1199999992"/>
    <n v="16854858"/>
    <s v="AMOMPY"/>
    <s v="Momentum Capital Investment S.A."/>
    <s v="02/09/2026"/>
    <s v="02/09/2026"/>
    <n v="37"/>
    <s v="No"/>
    <s v=""/>
    <m/>
    <m/>
    <s v="*MAV301001663"/>
    <s v="*MAV301001663"/>
    <n v="1.2839046531013613E-4"/>
  </r>
  <r>
    <x v="256"/>
    <s v="Pesos"/>
    <d v="2026-11-03T00:00:00"/>
    <s v="29/09/2026"/>
    <n v="0.96932680999999998"/>
    <m/>
    <n v="44921898.869999997"/>
    <n v="43544000.840000004"/>
    <n v="44921898.869999997"/>
    <n v="43544000.840000004"/>
    <n v="72662198"/>
    <s v="AMOMPY"/>
    <s v="Momentum Capital Investment S.A."/>
    <s v="19/08/2026"/>
    <s v="19/08/2026"/>
    <n v="33"/>
    <s v="No"/>
    <s v=""/>
    <m/>
    <m/>
    <s v="*MAV301001501"/>
    <s v="*MAV301001501"/>
    <n v="5.7889871580300227E-4"/>
  </r>
  <r>
    <x v="257"/>
    <s v="Pesos"/>
    <d v="2026-11-03T00:00:00"/>
    <s v="29/09/2026"/>
    <n v="0.97022865999999997"/>
    <m/>
    <n v="100000000"/>
    <n v="97022865.959999993"/>
    <n v="100000000"/>
    <n v="97022865.959999993"/>
    <n v="1240"/>
    <s v="AMOMPY"/>
    <s v="Momentum Capital Investment S.A."/>
    <s v="27/08/2026"/>
    <s v="27/08/2026"/>
    <n v="32"/>
    <s v="No"/>
    <s v=""/>
    <m/>
    <m/>
    <s v="*MAV301001585"/>
    <s v="*MAV301001585"/>
    <n v="1.2898771684795606E-3"/>
  </r>
  <r>
    <x v="257"/>
    <s v="Pesos"/>
    <d v="2026-11-03T00:00:00"/>
    <s v="29/09/2026"/>
    <n v="0.97022865999999997"/>
    <m/>
    <n v="100000000"/>
    <n v="97022865.959999993"/>
    <n v="100000000"/>
    <n v="97022865.959999993"/>
    <n v="1241"/>
    <s v="AMOMPY"/>
    <s v="Momentum Capital Investment S.A."/>
    <s v="27/08/2026"/>
    <s v="27/08/2026"/>
    <n v="32"/>
    <s v="No"/>
    <s v=""/>
    <m/>
    <m/>
    <s v="*MAV301001589"/>
    <s v="*MAV301001589"/>
    <n v="1.2898771684795606E-3"/>
  </r>
  <r>
    <x v="257"/>
    <s v="Pesos"/>
    <d v="2026-11-03T00:00:00"/>
    <s v="29/09/2026"/>
    <n v="0.97022865999999997"/>
    <m/>
    <n v="100000000"/>
    <n v="97022865.959999993"/>
    <n v="100000000"/>
    <n v="97022865.959999993"/>
    <n v="1239"/>
    <s v="AMOMPY"/>
    <s v="Momentum Capital Investment S.A."/>
    <s v="27/08/2026"/>
    <s v="27/08/2026"/>
    <n v="32"/>
    <s v="No"/>
    <s v=""/>
    <m/>
    <m/>
    <s v="*MAV301001590"/>
    <s v="*MAV301001590"/>
    <n v="1.2898771684795606E-3"/>
  </r>
  <r>
    <x v="258"/>
    <s v="Pesos"/>
    <d v="2026-11-03T00:00:00"/>
    <s v="29/09/2026"/>
    <n v="0.97022872000000004"/>
    <m/>
    <n v="1217387.51"/>
    <n v="1181144.33"/>
    <n v="1217387.51"/>
    <n v="1181144.33"/>
    <n v="1808"/>
    <s v="AMOMPY"/>
    <s v="Momentum Capital Investment S.A."/>
    <s v="01/09/2026"/>
    <s v="01/09/2026"/>
    <n v="32"/>
    <s v="No"/>
    <s v=""/>
    <m/>
    <m/>
    <s v="*MAV301001645"/>
    <s v="*MAV301001645"/>
    <n v="1.5702804579842038E-5"/>
  </r>
  <r>
    <x v="37"/>
    <s v="Pesos"/>
    <d v="2026-11-03T00:00:00"/>
    <s v="29/09/2026"/>
    <n v="0.97203740000000005"/>
    <m/>
    <n v="4649844.34"/>
    <n v="4519822.5999999996"/>
    <n v="4649844.34"/>
    <n v="4519822.5999999996"/>
    <n v="22296"/>
    <s v="AMOMPY"/>
    <s v="Momentum Capital Investment S.A."/>
    <s v="15/09/2026"/>
    <s v="15/09/2026"/>
    <n v="30"/>
    <s v="No"/>
    <s v=""/>
    <m/>
    <m/>
    <s v="*AFB301000021"/>
    <s v="*AFB301000021"/>
    <n v="6.0089092603402269E-5"/>
  </r>
  <r>
    <x v="38"/>
    <s v="Pesos"/>
    <d v="2026-11-03T00:00:00"/>
    <s v="29/09/2026"/>
    <n v="0.97476299"/>
    <m/>
    <n v="110000000"/>
    <n v="107223929.43000001"/>
    <n v="110000000"/>
    <n v="107223929.43000001"/>
    <n v="377"/>
    <s v="AMOMPY"/>
    <s v="Momentum Capital Investment S.A."/>
    <s v="06/07/2026"/>
    <s v="06/07/2026"/>
    <n v="27"/>
    <s v="No"/>
    <s v=""/>
    <m/>
    <m/>
    <s v="*FID301000039"/>
    <s v="*FID301000039"/>
    <n v="1.4254959088040183E-3"/>
  </r>
  <r>
    <x v="8"/>
    <s v="Pesos"/>
    <d v="2026-11-03T00:00:00"/>
    <s v="29/09/2026"/>
    <n v="0.97476302000000004"/>
    <m/>
    <n v="10000000"/>
    <n v="9747630.1600000001"/>
    <n v="10000000"/>
    <n v="9747630.1600000001"/>
    <n v="2013"/>
    <s v="AMOMPY"/>
    <s v="Momentum Capital Investment S.A."/>
    <s v="07/07/2026"/>
    <s v="07/07/2026"/>
    <n v="27"/>
    <s v="No"/>
    <s v=""/>
    <m/>
    <m/>
    <s v="*MIL301000033"/>
    <s v="*MIL301000033"/>
    <n v="1.2959053998003306E-4"/>
  </r>
  <r>
    <x v="8"/>
    <s v="Pesos"/>
    <d v="2026-11-03T00:00:00"/>
    <s v="29/09/2026"/>
    <n v="0.97567506000000004"/>
    <m/>
    <n v="4000000"/>
    <n v="3902700.22"/>
    <n v="4000000"/>
    <n v="3902700.22"/>
    <n v="90002222"/>
    <s v="AMOMPY"/>
    <s v="Momentum Capital Investment S.A."/>
    <s v="22/09/2026"/>
    <s v="22/09/2026"/>
    <n v="26"/>
    <s v="No"/>
    <s v=""/>
    <m/>
    <m/>
    <s v="*MIL301000044"/>
    <s v="*MIL301000044"/>
    <n v="5.1884716653016078E-5"/>
  </r>
  <r>
    <x v="259"/>
    <s v="Pesos"/>
    <d v="2026-11-03T00:00:00"/>
    <s v="29/09/2026"/>
    <n v="0.96752819000000001"/>
    <m/>
    <n v="10867742.35"/>
    <n v="10514847.109999999"/>
    <n v="10867742.35"/>
    <n v="10514847.109999999"/>
    <n v="40603614"/>
    <s v="AMOMPY"/>
    <s v="Momentum Capital Investment S.A."/>
    <s v="03/07/2026"/>
    <s v="03/07/2026"/>
    <n v="35"/>
    <s v="No"/>
    <s v=""/>
    <m/>
    <m/>
    <s v="*MAV301001275"/>
    <s v="*MAV301001275"/>
    <n v="1.3979035852057707E-4"/>
  </r>
  <r>
    <x v="70"/>
    <s v="Pesos"/>
    <d v="2026-11-03T00:00:00"/>
    <s v="29/09/2026"/>
    <n v="0.97203729000000005"/>
    <m/>
    <n v="4957748.6399999997"/>
    <n v="4819116.54"/>
    <n v="4957748.6399999997"/>
    <n v="4819116.54"/>
    <n v="68735252"/>
    <s v="AMOMPY"/>
    <s v="Momentum Capital Investment S.A."/>
    <s v="04/08/2026"/>
    <s v="04/08/2026"/>
    <n v="30"/>
    <s v="No"/>
    <s v=""/>
    <m/>
    <m/>
    <s v="*MAV301001397"/>
    <s v="*MAV301001397"/>
    <n v="6.4068076485711533E-5"/>
  </r>
  <r>
    <x v="260"/>
    <s v="Pesos"/>
    <d v="2026-11-03T00:00:00"/>
    <s v="29/09/2026"/>
    <n v="0.97203735000000002"/>
    <m/>
    <n v="12000000"/>
    <n v="11664448.23"/>
    <n v="12000000"/>
    <n v="11664448.23"/>
    <n v="374"/>
    <s v="AMOMPY"/>
    <s v="Momentum Capital Investment S.A."/>
    <s v="06/08/2026"/>
    <s v="06/08/2026"/>
    <n v="30"/>
    <s v="No"/>
    <s v=""/>
    <m/>
    <m/>
    <s v="*MAV301001422"/>
    <s v="*MAV301001422"/>
    <n v="1.5507380972431569E-4"/>
  </r>
  <r>
    <x v="15"/>
    <s v="Pesos"/>
    <d v="2026-11-03T00:00:00"/>
    <s v="29/09/2026"/>
    <n v="0.97022872000000004"/>
    <m/>
    <n v="5444206"/>
    <n v="5282125.04"/>
    <n v="5444206"/>
    <n v="5282125.04"/>
    <n v="3445"/>
    <s v="AMOMPY"/>
    <s v="Momentum Capital Investment S.A."/>
    <s v="25/08/2026"/>
    <s v="25/08/2026"/>
    <n v="32"/>
    <s v="No"/>
    <s v=""/>
    <m/>
    <m/>
    <s v="*MAV301001555"/>
    <s v="*MAV301001555"/>
    <n v="7.022357485254177E-5"/>
  </r>
  <r>
    <x v="72"/>
    <s v="Pesos"/>
    <d v="2026-11-03T00:00:00"/>
    <s v="29/09/2026"/>
    <n v="0.97022870999999999"/>
    <m/>
    <n v="200000000"/>
    <n v="194045741.12"/>
    <n v="200000000"/>
    <n v="194045741.12"/>
    <n v="9779581"/>
    <s v="AMOMPY"/>
    <s v="Momentum Capital Investment S.A."/>
    <s v="21/08/2026"/>
    <s v="21/08/2026"/>
    <n v="32"/>
    <s v="No"/>
    <s v=""/>
    <m/>
    <m/>
    <s v="*MAV301001538"/>
    <s v="*MAV301001538"/>
    <n v="2.5797544592691549E-3"/>
  </r>
  <r>
    <x v="72"/>
    <s v="Pesos"/>
    <d v="2026-11-03T00:00:00"/>
    <s v="29/09/2026"/>
    <n v="0.97203733999999997"/>
    <m/>
    <n v="100000000"/>
    <n v="97203733.620000005"/>
    <n v="100000000"/>
    <n v="97203733.620000005"/>
    <n v="6716"/>
    <s v="AMOMPY"/>
    <s v="Momentum Capital Investment S.A."/>
    <s v="15/07/2026"/>
    <s v="15/07/2026"/>
    <n v="30"/>
    <s v="No"/>
    <s v=""/>
    <m/>
    <m/>
    <s v="*MAV301001299"/>
    <s v="*MAV301001299"/>
    <n v="1.2922817260324834E-3"/>
  </r>
  <r>
    <x v="249"/>
    <s v="Pesos"/>
    <d v="2026-11-03T00:00:00"/>
    <s v="29/09/2026"/>
    <n v="0.97022865999999997"/>
    <m/>
    <n v="50000000"/>
    <n v="48511432.939999998"/>
    <n v="50000000"/>
    <n v="48511432.939999998"/>
    <n v="6693"/>
    <s v="AMOMPY"/>
    <s v="Momentum Capital Investment S.A."/>
    <s v="27/08/2026"/>
    <s v="27/08/2026"/>
    <n v="32"/>
    <s v="No"/>
    <s v=""/>
    <m/>
    <m/>
    <s v="*MAV301001586"/>
    <s v="*MAV301001586"/>
    <n v="6.4493858370799758E-4"/>
  </r>
  <r>
    <x v="249"/>
    <s v="Pesos"/>
    <d v="2026-11-03T00:00:00"/>
    <s v="29/09/2026"/>
    <n v="0.97022865999999997"/>
    <m/>
    <n v="50000000"/>
    <n v="48511432.939999998"/>
    <n v="50000000"/>
    <n v="48511432.939999998"/>
    <n v="6689"/>
    <s v="AMOMPY"/>
    <s v="Momentum Capital Investment S.A."/>
    <s v="27/08/2026"/>
    <s v="27/08/2026"/>
    <n v="32"/>
    <s v="No"/>
    <s v=""/>
    <m/>
    <m/>
    <s v="*MAV301001587"/>
    <s v="*MAV301001587"/>
    <n v="6.4493858370799758E-4"/>
  </r>
  <r>
    <x v="261"/>
    <s v="Pesos"/>
    <d v="2026-11-03T00:00:00"/>
    <s v="29/09/2026"/>
    <n v="0.96484281000000005"/>
    <m/>
    <n v="750000000"/>
    <n v="723632105.70000005"/>
    <n v="750000000"/>
    <n v="723632105.70000005"/>
    <n v="163014"/>
    <s v="AMOMPY"/>
    <s v="Momentum Capital Investment S.A."/>
    <s v="31/08/2026"/>
    <s v="31/08/2026"/>
    <n v="38"/>
    <s v="No"/>
    <s v=""/>
    <m/>
    <m/>
    <s v="#MAV021160038"/>
    <s v="#MAV021160038"/>
    <n v="9.6203768285512553E-3"/>
  </r>
  <r>
    <x v="73"/>
    <s v="Pesos"/>
    <d v="2026-11-03T00:00:00"/>
    <s v="29/09/2026"/>
    <n v="0.96932684999999996"/>
    <m/>
    <n v="1655023.2"/>
    <n v="1604258.42"/>
    <n v="1655023.2"/>
    <n v="1604258.42"/>
    <n v="610"/>
    <s v="AMOMPY"/>
    <s v="Momentum Capital Investment S.A."/>
    <s v="02/06/2026"/>
    <s v="02/06/2026"/>
    <n v="33"/>
    <s v="No"/>
    <s v=""/>
    <m/>
    <m/>
    <s v="*MAV301001239"/>
    <s v="*MAV301001239"/>
    <n v="2.132792396745125E-5"/>
  </r>
  <r>
    <x v="73"/>
    <s v="Pesos"/>
    <d v="2026-11-03T00:00:00"/>
    <s v="29/09/2026"/>
    <n v="0.96932684000000002"/>
    <m/>
    <n v="3772034.12"/>
    <n v="3656333.92"/>
    <n v="3772034.12"/>
    <n v="3656333.92"/>
    <n v="639"/>
    <s v="AMOMPY"/>
    <s v="Momentum Capital Investment S.A."/>
    <s v="02/06/2026"/>
    <s v="02/06/2026"/>
    <n v="33"/>
    <s v="No"/>
    <s v=""/>
    <m/>
    <m/>
    <s v="*MAV301001240"/>
    <s v="*MAV301001240"/>
    <n v="4.8609382923091017E-5"/>
  </r>
  <r>
    <x v="262"/>
    <s v="Pesos"/>
    <d v="2026-11-03T00:00:00"/>
    <s v="29/09/2026"/>
    <n v="0.97203735999999996"/>
    <m/>
    <n v="2500000"/>
    <n v="2430093.41"/>
    <n v="2500000"/>
    <n v="2430093.41"/>
    <n v="360"/>
    <s v="AMOMPY"/>
    <s v="Momentum Capital Investment S.A."/>
    <s v="25/09/2026"/>
    <s v="25/09/2026"/>
    <n v="30"/>
    <s v="No"/>
    <s v=""/>
    <m/>
    <m/>
    <s v="*MAV301001957"/>
    <s v="*MAV301001957"/>
    <n v="3.2307044074784621E-5"/>
  </r>
  <r>
    <x v="122"/>
    <s v="Pesos"/>
    <d v="2026-11-03T00:00:00"/>
    <s v="29/09/2026"/>
    <n v="0.97022872999999998"/>
    <m/>
    <n v="50000000"/>
    <n v="48511436.280000001"/>
    <n v="50000000"/>
    <n v="48511436.280000001"/>
    <n v="959"/>
    <s v="AMOMPY"/>
    <s v="Momentum Capital Investment S.A."/>
    <s v="29/09/2026"/>
    <s v="29/09/2026"/>
    <n v="32"/>
    <s v="No"/>
    <s v=""/>
    <m/>
    <m/>
    <s v="*MAV301002041"/>
    <s v="*MAV301002041"/>
    <n v="6.4493862811185751E-4"/>
  </r>
  <r>
    <x v="74"/>
    <s v="Pesos"/>
    <d v="2026-11-03T00:00:00"/>
    <s v="29/09/2026"/>
    <n v="0.97113214999999997"/>
    <m/>
    <n v="48042680.460000001"/>
    <n v="46655791.490000002"/>
    <n v="48042680.460000001"/>
    <n v="46655791.490000002"/>
    <n v="70667890"/>
    <s v="AMOMPY"/>
    <s v="Momentum Capital Investment S.A."/>
    <s v="03/09/2026"/>
    <s v="03/09/2026"/>
    <n v="31"/>
    <s v="No"/>
    <s v=""/>
    <m/>
    <m/>
    <s v="*MAV301001672"/>
    <s v="*MAV301001672"/>
    <n v="6.202686307483922E-4"/>
  </r>
  <r>
    <x v="135"/>
    <s v="Pesos"/>
    <d v="2026-11-03T00:00:00"/>
    <s v="29/09/2026"/>
    <n v="0.97022865999999997"/>
    <m/>
    <n v="20000000"/>
    <n v="19404573.120000001"/>
    <n v="20000000"/>
    <n v="19404573.120000001"/>
    <n v="721"/>
    <s v="AMOMPY"/>
    <s v="Momentum Capital Investment S.A."/>
    <s v="21/09/2026"/>
    <s v="21/09/2026"/>
    <n v="32"/>
    <s v="No"/>
    <s v=""/>
    <m/>
    <m/>
    <s v="*MAV301001864"/>
    <s v="*MAV301001864"/>
    <n v="2.5797543273870324E-4"/>
  </r>
  <r>
    <x v="21"/>
    <s v="Pesos"/>
    <d v="2026-11-03T00:00:00"/>
    <s v="29/09/2026"/>
    <n v="0.97022872999999998"/>
    <m/>
    <n v="10000000"/>
    <n v="9702287.2599999998"/>
    <n v="10000000"/>
    <n v="9702287.2599999998"/>
    <n v="14422571"/>
    <s v="AMOMPY"/>
    <s v="Momentum Capital Investment S.A."/>
    <s v="01/09/2026"/>
    <s v="01/09/2026"/>
    <n v="32"/>
    <s v="No"/>
    <s v=""/>
    <m/>
    <m/>
    <s v="*MAV301001635"/>
    <s v="*MAV301001635"/>
    <n v="1.2898772567554977E-4"/>
  </r>
  <r>
    <x v="21"/>
    <s v="Pesos"/>
    <d v="2026-11-03T00:00:00"/>
    <s v="29/09/2026"/>
    <n v="0.96932682999999997"/>
    <m/>
    <n v="25000000"/>
    <n v="24233170.850000001"/>
    <n v="25000000"/>
    <n v="24233170.850000001"/>
    <n v="14422654"/>
    <s v="AMOMPY"/>
    <s v="Momentum Capital Investment S.A."/>
    <s v="03/09/2026"/>
    <s v="03/09/2026"/>
    <n v="33"/>
    <s v="No"/>
    <s v=""/>
    <m/>
    <m/>
    <s v="*MAV301001675"/>
    <s v="*MAV301001675"/>
    <n v="3.2216955755735166E-4"/>
  </r>
  <r>
    <x v="232"/>
    <s v="Pesos"/>
    <d v="2026-11-03T00:00:00"/>
    <s v="29/09/2026"/>
    <n v="0.97022872000000004"/>
    <m/>
    <n v="6714705.04"/>
    <n v="6514799.71"/>
    <n v="6714705.04"/>
    <n v="6514799.71"/>
    <n v="198202"/>
    <s v="AMOMPY"/>
    <s v="Momentum Capital Investment S.A."/>
    <s v="25/08/2026"/>
    <s v="25/08/2026"/>
    <n v="32"/>
    <s v="No"/>
    <s v=""/>
    <m/>
    <m/>
    <s v="*MAV301001554"/>
    <s v="*MAV301001554"/>
    <n v="8.6611453083757824E-5"/>
  </r>
  <r>
    <x v="22"/>
    <s v="Pesos"/>
    <d v="2026-11-03T00:00:00"/>
    <s v="29/09/2026"/>
    <n v="0.96932693999999997"/>
    <m/>
    <n v="258898.86"/>
    <n v="250957.64"/>
    <n v="258898.86"/>
    <n v="250957.64"/>
    <n v="10568416"/>
    <s v="AMOMPY"/>
    <s v="Momentum Capital Investment S.A."/>
    <s v="15/09/2026"/>
    <s v="15/09/2026"/>
    <n v="33"/>
    <s v="No"/>
    <s v=""/>
    <m/>
    <m/>
    <s v="*MAV301001802"/>
    <s v="*MAV301001802"/>
    <n v="3.3363736155244879E-6"/>
  </r>
  <r>
    <x v="25"/>
    <s v="Pesos"/>
    <d v="2026-11-03T00:00:00"/>
    <s v="29/09/2026"/>
    <n v="0.97385273000000006"/>
    <m/>
    <n v="12500000"/>
    <n v="12173159.140000001"/>
    <n v="12500000"/>
    <n v="12173159.140000001"/>
    <n v="90027773"/>
    <s v="AMOMPY"/>
    <s v="Momentum Capital Investment S.A."/>
    <s v="24/09/2026"/>
    <s v="24/09/2026"/>
    <n v="28"/>
    <s v="No"/>
    <s v=""/>
    <m/>
    <m/>
    <s v="*CVA301000021"/>
    <s v="*CVA301000021"/>
    <n v="1.6183690192606516E-4"/>
  </r>
  <r>
    <x v="27"/>
    <s v="Pesos"/>
    <d v="2026-11-03T00:00:00"/>
    <s v="29/09/2026"/>
    <n v="0.97567499000000002"/>
    <m/>
    <n v="20000000"/>
    <n v="19513499.719999999"/>
    <n v="20000000"/>
    <n v="19513499.719999999"/>
    <n v="22804"/>
    <s v="AMOMPY"/>
    <s v="Momentum Capital Investment S.A."/>
    <s v="28/09/2026"/>
    <s v="28/09/2026"/>
    <n v="26"/>
    <s v="No"/>
    <s v=""/>
    <m/>
    <m/>
    <s v="*MOV301000100"/>
    <s v="*MOV301000100"/>
    <n v="2.5942356491857541E-4"/>
  </r>
  <r>
    <x v="102"/>
    <s v="Pesos"/>
    <d v="2026-11-03T00:00:00"/>
    <s v="29/09/2026"/>
    <n v="0.97933998"/>
    <m/>
    <n v="13000000"/>
    <n v="12731419.74"/>
    <n v="13000000"/>
    <n v="12731419.74"/>
    <n v="34115"/>
    <s v="AMOMPY"/>
    <s v="Momentum Capital Investment S.A."/>
    <s v="30/06/2026"/>
    <s v="30/06/2026"/>
    <n v="22"/>
    <s v="No"/>
    <s v=""/>
    <m/>
    <m/>
    <s v="*MAV301001261"/>
    <s v="*MAV301001261"/>
    <n v="1.6925873589145816E-4"/>
  </r>
  <r>
    <x v="28"/>
    <s v="Pesos"/>
    <d v="2026-11-03T00:00:00"/>
    <s v="29/09/2026"/>
    <n v="0.97022861999999999"/>
    <m/>
    <n v="2000000"/>
    <n v="1940457.23"/>
    <n v="2000000"/>
    <n v="1940457.23"/>
    <n v="1080"/>
    <s v="AMOMPY"/>
    <s v="Momentum Capital Investment S.A."/>
    <s v="26/08/2026"/>
    <s v="26/08/2026"/>
    <n v="32"/>
    <s v="No"/>
    <s v=""/>
    <m/>
    <m/>
    <s v="*MAV301001570"/>
    <s v="*MAV301001570"/>
    <n v="2.5797542183715676E-5"/>
  </r>
  <r>
    <x v="174"/>
    <s v="Pesos"/>
    <d v="2026-11-03T00:00:00"/>
    <s v="29/09/2026"/>
    <n v="0.97022863999999998"/>
    <m/>
    <n v="3517425"/>
    <n v="3412706.48"/>
    <n v="3517425"/>
    <n v="3412706.48"/>
    <n v="67525725"/>
    <s v="AMOMPY"/>
    <s v="Momentum Capital Investment S.A."/>
    <s v="12/06/2026"/>
    <s v="12/06/2026"/>
    <n v="32"/>
    <s v="No"/>
    <s v=""/>
    <m/>
    <m/>
    <s v="*MAV301001250"/>
    <s v="*MAV301001250"/>
    <n v="4.537046115592037E-5"/>
  </r>
  <r>
    <x v="76"/>
    <s v="Pesos"/>
    <d v="2026-11-03T00:00:00"/>
    <s v="29/09/2026"/>
    <n v="0.96484285999999997"/>
    <m/>
    <n v="15000000"/>
    <n v="14472642.939999999"/>
    <n v="15000000"/>
    <n v="14472642.939999999"/>
    <n v="70219573"/>
    <s v="AMOMPY"/>
    <s v="Momentum Capital Investment S.A."/>
    <s v="01/09/2026"/>
    <s v="01/09/2026"/>
    <n v="38"/>
    <s v="No"/>
    <s v=""/>
    <m/>
    <m/>
    <s v="*MAV301001648"/>
    <s v="*MAV301001648"/>
    <n v="1.9240754755233891E-4"/>
  </r>
  <r>
    <x v="89"/>
    <s v="Pesos"/>
    <d v="2026-11-04T00:00:00"/>
    <s v="29/09/2026"/>
    <n v="0.97219274"/>
    <m/>
    <n v="7000000"/>
    <n v="6805349.21"/>
    <n v="7000000"/>
    <n v="6805349.21"/>
    <n v="90000069"/>
    <s v="AMOMPY"/>
    <s v="Momentum Capital Investment S.A."/>
    <s v="02/09/2026"/>
    <s v="02/09/2026"/>
    <n v="29"/>
    <s v="No"/>
    <s v=""/>
    <m/>
    <m/>
    <s v="*INP011100051"/>
    <s v="*INP011100051"/>
    <n v="9.0474183406707276E-5"/>
  </r>
  <r>
    <x v="90"/>
    <s v="Pesos"/>
    <d v="2026-11-04T00:00:00"/>
    <s v="29/09/2026"/>
    <n v="0.97126135000000002"/>
    <m/>
    <n v="5577023.0199999996"/>
    <n v="5416746.9100000001"/>
    <n v="5577023.0199999996"/>
    <n v="5416746.9100000001"/>
    <n v="90017210"/>
    <s v="AMOMPY"/>
    <s v="Momentum Capital Investment S.A."/>
    <s v="11/09/2026"/>
    <s v="11/09/2026"/>
    <n v="30"/>
    <s v="No"/>
    <s v=""/>
    <m/>
    <m/>
    <s v="*MAV021101081"/>
    <s v="*MAV021101081"/>
    <n v="7.2013314567740593E-5"/>
  </r>
  <r>
    <x v="28"/>
    <s v="Pesos"/>
    <d v="2026-11-04T00:00:00"/>
    <s v="29/09/2026"/>
    <n v="0.97126137999999995"/>
    <m/>
    <n v="5000000"/>
    <n v="4856306.8899999997"/>
    <n v="5000000"/>
    <n v="4856306.8899999997"/>
    <n v="1199"/>
    <s v="AMOMPY"/>
    <s v="Momentum Capital Investment S.A."/>
    <s v="08/09/2026"/>
    <s v="08/09/2026"/>
    <n v="30"/>
    <s v="No"/>
    <s v=""/>
    <m/>
    <m/>
    <s v="*MAV021101040"/>
    <s v="*MAV021101040"/>
    <n v="6.4562506153173027E-5"/>
  </r>
  <r>
    <x v="28"/>
    <s v="Pesos"/>
    <d v="2026-11-04T00:00:00"/>
    <s v="29/09/2026"/>
    <n v="0.97126148999999995"/>
    <m/>
    <n v="5000000"/>
    <n v="4856307.45"/>
    <n v="5000000"/>
    <n v="4856307.45"/>
    <n v="1243"/>
    <s v="AMOMPY"/>
    <s v="Momentum Capital Investment S.A."/>
    <s v="17/09/2026"/>
    <s v="17/09/2026"/>
    <n v="30"/>
    <s v="No"/>
    <s v=""/>
    <m/>
    <m/>
    <s v="*MAV021101117"/>
    <s v="*MAV021101117"/>
    <n v="6.4562513598131563E-5"/>
  </r>
  <r>
    <x v="28"/>
    <s v="Pesos"/>
    <d v="2026-11-04T00:00:00"/>
    <s v="29/09/2026"/>
    <n v="0.97126142999999998"/>
    <m/>
    <n v="4000000"/>
    <n v="3885045.72"/>
    <n v="4000000"/>
    <n v="3885045.72"/>
    <n v="1289"/>
    <s v="AMOMPY"/>
    <s v="Momentum Capital Investment S.A."/>
    <s v="23/09/2026"/>
    <s v="23/09/2026"/>
    <n v="30"/>
    <s v="No"/>
    <s v=""/>
    <m/>
    <m/>
    <s v="*MAV021101170"/>
    <s v="*MAV021101170"/>
    <n v="5.1650007687808738E-5"/>
  </r>
  <r>
    <x v="28"/>
    <s v="Pesos"/>
    <d v="2026-11-04T00:00:00"/>
    <s v="29/09/2026"/>
    <n v="0.96940409000000005"/>
    <m/>
    <n v="3000000"/>
    <n v="2908212.28"/>
    <n v="3000000"/>
    <n v="2908212.28"/>
    <n v="1048"/>
    <s v="AMOMPY"/>
    <s v="Momentum Capital Investment S.A."/>
    <s v="25/08/2026"/>
    <s v="25/08/2026"/>
    <n v="32"/>
    <s v="No"/>
    <s v=""/>
    <m/>
    <m/>
    <s v="*MAV021100906"/>
    <s v="*MAV021100906"/>
    <n v="3.8663428295453823E-5"/>
  </r>
  <r>
    <x v="263"/>
    <s v="Pesos"/>
    <d v="2026-11-04T00:00:00"/>
    <s v="29/09/2026"/>
    <n v="0.96847815999999998"/>
    <m/>
    <n v="3882407.02"/>
    <n v="3760026.4"/>
    <n v="3882407.02"/>
    <n v="3760026.4"/>
    <n v="1682739"/>
    <s v="AMOMPY"/>
    <s v="Momentum Capital Investment S.A."/>
    <s v="23/09/2026"/>
    <s v="23/09/2026"/>
    <n v="33"/>
    <s v="No"/>
    <s v=""/>
    <m/>
    <m/>
    <s v="*MAV021101181"/>
    <s v="*MAV021101181"/>
    <n v="4.9987929734418618E-5"/>
  </r>
  <r>
    <x v="2"/>
    <s v="Pesos"/>
    <d v="2026-11-04T00:00:00"/>
    <s v="29/09/2026"/>
    <n v="0.96940402000000003"/>
    <m/>
    <n v="40000000"/>
    <n v="38776160.780000001"/>
    <n v="40000000"/>
    <n v="38776160.780000001"/>
    <n v="13953435"/>
    <s v="AMOMPY"/>
    <s v="Momentum Capital Investment S.A."/>
    <s v="14/07/2026"/>
    <s v="14/07/2026"/>
    <n v="32"/>
    <s v="No"/>
    <s v=""/>
    <m/>
    <m/>
    <s v="*MAV021100796"/>
    <s v="*MAV021100796"/>
    <n v="5.1551233800942436E-4"/>
  </r>
  <r>
    <x v="226"/>
    <s v="Pesos"/>
    <d v="2026-11-04T00:00:00"/>
    <s v="29/09/2026"/>
    <n v="0.97593593000000001"/>
    <m/>
    <n v="18000000"/>
    <n v="17566846.73"/>
    <n v="18000000"/>
    <n v="17566846.73"/>
    <n v="20569"/>
    <s v="AMOMPY"/>
    <s v="Momentum Capital Investment S.A."/>
    <s v="23/09/2026"/>
    <s v="23/09/2026"/>
    <n v="25"/>
    <s v="No"/>
    <s v=""/>
    <m/>
    <m/>
    <s v="*FTR311000020"/>
    <s v="*FTR311000020"/>
    <n v="2.3354365277715645E-4"/>
  </r>
  <r>
    <x v="264"/>
    <s v="Pesos"/>
    <d v="2026-11-04T00:00:00"/>
    <s v="29/09/2026"/>
    <n v="0.97593587999999998"/>
    <m/>
    <n v="695186.79"/>
    <n v="678457.73"/>
    <n v="695186.79"/>
    <n v="678457.73"/>
    <n v="40014794"/>
    <s v="AMOMPY"/>
    <s v="Momentum Capital Investment S.A."/>
    <s v="31/08/2026"/>
    <s v="31/08/2026"/>
    <n v="25"/>
    <s v="No"/>
    <s v=""/>
    <m/>
    <m/>
    <s v="*MAV021100935"/>
    <s v="*MAV021100935"/>
    <n v="9.0198029819719247E-6"/>
  </r>
  <r>
    <x v="35"/>
    <s v="Pesos"/>
    <d v="2026-11-04T00:00:00"/>
    <s v="29/09/2026"/>
    <n v="0.96571072000000002"/>
    <m/>
    <n v="3256800.5"/>
    <n v="3145127.15"/>
    <n v="3256800.5"/>
    <n v="3145127.15"/>
    <n v="3577"/>
    <s v="AMOMPY"/>
    <s v="Momentum Capital Investment S.A."/>
    <s v="22/09/2026"/>
    <s v="22/09/2026"/>
    <n v="36"/>
    <s v="No"/>
    <s v=""/>
    <m/>
    <m/>
    <s v="*MAV311001932"/>
    <s v="*MAV311001932"/>
    <n v="4.1813109338810041E-5"/>
  </r>
  <r>
    <x v="35"/>
    <s v="Pesos"/>
    <d v="2026-11-04T00:00:00"/>
    <s v="29/09/2026"/>
    <n v="0.96663136999999999"/>
    <m/>
    <n v="3789564.21"/>
    <n v="3663111.64"/>
    <n v="3789564.21"/>
    <n v="3663111.64"/>
    <n v="3269"/>
    <s v="AMOMPY"/>
    <s v="Momentum Capital Investment S.A."/>
    <s v="25/09/2026"/>
    <s v="25/09/2026"/>
    <n v="35"/>
    <s v="No"/>
    <s v=""/>
    <m/>
    <m/>
    <s v="*MAV311001955"/>
    <s v="*MAV311001955"/>
    <n v="4.8699489788063977E-5"/>
  </r>
  <r>
    <x v="35"/>
    <s v="Pesos"/>
    <d v="2026-11-04T00:00:00"/>
    <s v="29/09/2026"/>
    <n v="0.96663136999999999"/>
    <m/>
    <n v="2510000.36"/>
    <n v="2426245.08"/>
    <n v="2510000.36"/>
    <n v="2426245.08"/>
    <n v="3157"/>
    <s v="AMOMPY"/>
    <s v="Momentum Capital Investment S.A."/>
    <s v="25/09/2026"/>
    <s v="25/09/2026"/>
    <n v="35"/>
    <s v="No"/>
    <s v=""/>
    <m/>
    <m/>
    <s v="*MAV311001956"/>
    <s v="*MAV311001956"/>
    <n v="3.2255882186763075E-5"/>
  </r>
  <r>
    <x v="53"/>
    <s v="Pesos"/>
    <d v="2026-11-04T00:00:00"/>
    <s v="29/09/2026"/>
    <n v="0.96479179999999998"/>
    <m/>
    <n v="25000000"/>
    <n v="24119794.93"/>
    <n v="25000000"/>
    <n v="24119794.93"/>
    <n v="2593"/>
    <s v="AMOMPY"/>
    <s v="Momentum Capital Investment S.A."/>
    <s v="07/08/2026"/>
    <s v="07/08/2026"/>
    <n v="37"/>
    <s v="No"/>
    <s v=""/>
    <m/>
    <m/>
    <s v="*MAV021100857"/>
    <s v="*MAV021100857"/>
    <n v="3.2066227358654354E-4"/>
  </r>
  <r>
    <x v="265"/>
    <s v="Pesos"/>
    <d v="2026-11-04T00:00:00"/>
    <s v="29/09/2026"/>
    <n v="0.98065564000000005"/>
    <m/>
    <n v="346488.63"/>
    <n v="339786.03"/>
    <n v="346488.63"/>
    <n v="339786.03"/>
    <n v="69480923"/>
    <s v="AMOMPY"/>
    <s v="Momentum Capital Investment S.A."/>
    <s v="08/09/2026"/>
    <s v="08/09/2026"/>
    <n v="20"/>
    <s v="No"/>
    <s v=""/>
    <m/>
    <m/>
    <s v="*MAV311001831"/>
    <s v="*MAV311001831"/>
    <n v="4.5173087594217581E-6"/>
  </r>
  <r>
    <x v="94"/>
    <s v="Pesos"/>
    <d v="2026-11-04T00:00:00"/>
    <s v="29/09/2026"/>
    <n v="0.97126135000000002"/>
    <m/>
    <n v="6150126.3399999999"/>
    <n v="5973379.9900000002"/>
    <n v="6150126.3399999999"/>
    <n v="5973379.9900000002"/>
    <n v="58"/>
    <s v="AMOMPY"/>
    <s v="Momentum Capital Investment S.A."/>
    <s v="11/09/2026"/>
    <s v="11/09/2026"/>
    <n v="30"/>
    <s v="No"/>
    <s v=""/>
    <m/>
    <m/>
    <s v="*MAV021101082"/>
    <s v="*MAV021101082"/>
    <n v="7.9413511356489996E-5"/>
  </r>
  <r>
    <x v="266"/>
    <s v="Pesos"/>
    <d v="2026-11-04T00:00:00"/>
    <s v="29/09/2026"/>
    <n v="0.97126135000000002"/>
    <m/>
    <n v="5103695.5599999996"/>
    <n v="4957022.2300000004"/>
    <n v="5103695.5599999996"/>
    <n v="4957022.2300000004"/>
    <n v="828"/>
    <s v="AMOMPY"/>
    <s v="Momentum Capital Investment S.A."/>
    <s v="11/09/2026"/>
    <s v="11/09/2026"/>
    <n v="30"/>
    <s v="No"/>
    <s v=""/>
    <m/>
    <m/>
    <s v="*MAV011101293"/>
    <s v="*MAV011101293"/>
    <n v="6.5901473171888137E-5"/>
  </r>
  <r>
    <x v="266"/>
    <s v="Pesos"/>
    <d v="2026-11-04T00:00:00"/>
    <s v="29/09/2026"/>
    <n v="0.97126133999999997"/>
    <m/>
    <n v="2500000"/>
    <n v="2428153.35"/>
    <n v="2500000"/>
    <n v="2428153.35"/>
    <n v="821"/>
    <s v="AMOMPY"/>
    <s v="Momentum Capital Investment S.A."/>
    <s v="11/09/2026"/>
    <s v="11/09/2026"/>
    <n v="30"/>
    <s v="No"/>
    <s v=""/>
    <m/>
    <m/>
    <s v="*MAV011101294"/>
    <s v="*MAV011101294"/>
    <n v="3.2281251813602479E-5"/>
  </r>
  <r>
    <x v="244"/>
    <s v="Pesos"/>
    <d v="2026-11-04T00:00:00"/>
    <s v="29/09/2026"/>
    <n v="0.96847808999999996"/>
    <m/>
    <n v="5300000"/>
    <n v="5132933.9000000004"/>
    <n v="5300000"/>
    <n v="5132933.9000000004"/>
    <n v="8175673"/>
    <s v="AMOMPY"/>
    <s v="Momentum Capital Investment S.A."/>
    <s v="15/09/2026"/>
    <s v="15/09/2026"/>
    <n v="33"/>
    <s v="No"/>
    <s v=""/>
    <m/>
    <m/>
    <s v="*MAV021101093"/>
    <s v="*MAV021101093"/>
    <n v="6.8240142974691708E-5"/>
  </r>
  <r>
    <x v="157"/>
    <s v="Pesos"/>
    <d v="2026-11-04T00:00:00"/>
    <s v="29/09/2026"/>
    <n v="0.96847810999999995"/>
    <m/>
    <n v="1428441.71"/>
    <n v="1383414.52"/>
    <n v="1428441.71"/>
    <n v="1383414.52"/>
    <n v="274"/>
    <s v="AMOMPY"/>
    <s v="Momentum Capital Investment S.A."/>
    <s v="15/09/2026"/>
    <s v="15/09/2026"/>
    <n v="33"/>
    <s v="No"/>
    <s v=""/>
    <m/>
    <m/>
    <s v="*MAV311001877"/>
    <s v="*MAV311001877"/>
    <n v="1.8391899540741114E-5"/>
  </r>
  <r>
    <x v="267"/>
    <s v="Pesos"/>
    <d v="2026-11-04T00:00:00"/>
    <s v="29/09/2026"/>
    <n v="0.96940408"/>
    <m/>
    <n v="891634.28"/>
    <n v="864353.91"/>
    <n v="891634.28"/>
    <n v="864353.91"/>
    <n v="1996"/>
    <s v="AMOMPY"/>
    <s v="Momentum Capital Investment S.A."/>
    <s v="15/09/2026"/>
    <s v="15/09/2026"/>
    <n v="32"/>
    <s v="No"/>
    <s v=""/>
    <m/>
    <m/>
    <s v="*MAV311001879"/>
    <s v="*MAV311001879"/>
    <n v="1.1491212540090144E-5"/>
  </r>
  <r>
    <x v="109"/>
    <s v="Pesos"/>
    <d v="2026-11-04T00:00:00"/>
    <s v="29/09/2026"/>
    <n v="0.96940404000000002"/>
    <m/>
    <n v="11829797.539999999"/>
    <n v="11467853.529999999"/>
    <n v="11829797.539999999"/>
    <n v="11467853.529999999"/>
    <n v="30890"/>
    <s v="AMOMPY"/>
    <s v="Momentum Capital Investment S.A."/>
    <s v="22/07/2026"/>
    <s v="22/07/2026"/>
    <n v="32"/>
    <s v="No"/>
    <s v=""/>
    <m/>
    <m/>
    <s v="*MAV021100817"/>
    <s v="*MAV021100817"/>
    <n v="1.5246016795580065E-4"/>
  </r>
  <r>
    <x v="109"/>
    <s v="Pesos"/>
    <d v="2026-11-04T00:00:00"/>
    <s v="29/09/2026"/>
    <n v="0.96940404000000002"/>
    <m/>
    <n v="16498838.289999999"/>
    <n v="15994040.49"/>
    <n v="16498838.289999999"/>
    <n v="15994040.49"/>
    <n v="30846"/>
    <s v="AMOMPY"/>
    <s v="Momentum Capital Investment S.A."/>
    <s v="22/07/2026"/>
    <s v="22/07/2026"/>
    <n v="32"/>
    <s v="No"/>
    <s v=""/>
    <m/>
    <m/>
    <s v="*MAV021100818"/>
    <s v="*MAV021100818"/>
    <n v="2.1263387198120908E-4"/>
  </r>
  <r>
    <x v="109"/>
    <s v="Pesos"/>
    <d v="2026-11-04T00:00:00"/>
    <s v="29/09/2026"/>
    <n v="0.96940404000000002"/>
    <m/>
    <n v="11490967.4"/>
    <n v="11139390.220000001"/>
    <n v="11490967.4"/>
    <n v="11139390.220000001"/>
    <n v="30900"/>
    <s v="AMOMPY"/>
    <s v="Momentum Capital Investment S.A."/>
    <s v="22/07/2026"/>
    <s v="22/07/2026"/>
    <n v="32"/>
    <s v="No"/>
    <s v=""/>
    <m/>
    <m/>
    <s v="*MAV021100820"/>
    <s v="*MAV021100820"/>
    <n v="1.4809338987663225E-4"/>
  </r>
  <r>
    <x v="109"/>
    <s v="Pesos"/>
    <d v="2026-11-04T00:00:00"/>
    <s v="29/09/2026"/>
    <n v="0.96940404000000002"/>
    <m/>
    <n v="9142894.3200000003"/>
    <n v="8863158.6899999995"/>
    <n v="9142894.3200000003"/>
    <n v="8863158.6899999995"/>
    <n v="9933024"/>
    <s v="AMOMPY"/>
    <s v="Momentum Capital Investment S.A."/>
    <s v="22/07/2026"/>
    <s v="22/07/2026"/>
    <n v="32"/>
    <s v="No"/>
    <s v=""/>
    <m/>
    <m/>
    <s v="*MAV021100819"/>
    <s v="*MAV021100819"/>
    <n v="1.1783187315406131E-4"/>
  </r>
  <r>
    <x v="35"/>
    <s v="Pesos"/>
    <d v="2026-11-04T00:00:00"/>
    <s v="29/09/2026"/>
    <n v="0.96755385999999999"/>
    <m/>
    <n v="990902.64"/>
    <n v="958751.67"/>
    <n v="990902.64"/>
    <n v="958751.67"/>
    <n v="2960"/>
    <s v="AMOMPY"/>
    <s v="Momentum Capital Investment S.A."/>
    <s v="15/07/2026"/>
    <s v="15/07/2026"/>
    <n v="34"/>
    <s v="No"/>
    <s v=""/>
    <m/>
    <m/>
    <s v="*MAV311001612"/>
    <s v="*MAV311001612"/>
    <n v="1.2746190056728461E-5"/>
  </r>
  <r>
    <x v="35"/>
    <s v="Pesos"/>
    <d v="2026-11-04T00:00:00"/>
    <s v="29/09/2026"/>
    <n v="0.96755384"/>
    <m/>
    <n v="1020845.65"/>
    <n v="987723.13"/>
    <n v="1020845.65"/>
    <n v="987723.13"/>
    <n v="2910"/>
    <s v="AMOMPY"/>
    <s v="Momentum Capital Investment S.A."/>
    <s v="15/07/2026"/>
    <s v="15/07/2026"/>
    <n v="34"/>
    <s v="No"/>
    <s v=""/>
    <m/>
    <m/>
    <s v="*MAV311001613"/>
    <s v="*MAV311001613"/>
    <n v="1.3131353125472745E-5"/>
  </r>
  <r>
    <x v="8"/>
    <s v="Pesos"/>
    <d v="2026-11-04T00:00:00"/>
    <s v="29/09/2026"/>
    <n v="0.97126137999999995"/>
    <m/>
    <n v="11000000"/>
    <n v="10683875.140000001"/>
    <n v="11000000"/>
    <n v="10683875.140000001"/>
    <n v="10679147"/>
    <s v="AMOMPY"/>
    <s v="Momentum Capital Investment S.A."/>
    <s v="14/08/2026"/>
    <s v="14/08/2026"/>
    <n v="30"/>
    <s v="No"/>
    <s v=""/>
    <m/>
    <m/>
    <s v="*MIL021100019"/>
    <s v="*MIL021100019"/>
    <n v="1.4203751329767842E-4"/>
  </r>
  <r>
    <x v="268"/>
    <s v="Pesos"/>
    <d v="2026-11-04T00:00:00"/>
    <s v="29/09/2026"/>
    <n v="0.96940406999999995"/>
    <m/>
    <n v="2749536.48"/>
    <n v="2665411.85"/>
    <n v="2749536.48"/>
    <n v="2665411.85"/>
    <n v="74760911"/>
    <s v="AMOMPY"/>
    <s v="Momentum Capital Investment S.A."/>
    <s v="04/09/2026"/>
    <s v="04/09/2026"/>
    <n v="32"/>
    <s v="No"/>
    <s v=""/>
    <m/>
    <m/>
    <s v="*MAV021100999"/>
    <s v="*MAV021100999"/>
    <n v="3.5435501269641818E-5"/>
  </r>
  <r>
    <x v="164"/>
    <s v="Pesos"/>
    <d v="2026-11-04T00:00:00"/>
    <s v="29/09/2026"/>
    <n v="0.97406079000000001"/>
    <m/>
    <n v="33170000"/>
    <n v="32309596.559999999"/>
    <n v="33170000"/>
    <n v="32309596.559999999"/>
    <n v="32240"/>
    <s v="AMOMPY"/>
    <s v="Momentum Capital Investment S.A."/>
    <s v="17/09/2026"/>
    <s v="17/09/2026"/>
    <n v="27"/>
    <s v="No"/>
    <s v=""/>
    <m/>
    <m/>
    <s v="*NIO021100025"/>
    <s v="*NIO021100025"/>
    <n v="4.2954215496696872E-4"/>
  </r>
  <r>
    <x v="114"/>
    <s v="Pesos"/>
    <d v="2026-11-04T00:00:00"/>
    <s v="29/09/2026"/>
    <n v="0.96940409999999999"/>
    <m/>
    <n v="6427534.4199999999"/>
    <n v="6230878.2000000002"/>
    <n v="6427534.4199999999"/>
    <n v="6230878.2000000002"/>
    <n v="68962809"/>
    <s v="AMOMPY"/>
    <s v="Momentum Capital Investment S.A."/>
    <s v="25/08/2026"/>
    <s v="25/08/2026"/>
    <n v="32"/>
    <s v="No"/>
    <s v=""/>
    <m/>
    <m/>
    <s v="*MAV311001757"/>
    <s v="*MAV311001757"/>
    <n v="8.2836839029992122E-5"/>
  </r>
  <r>
    <x v="269"/>
    <s v="Pesos"/>
    <d v="2026-11-04T00:00:00"/>
    <s v="29/09/2026"/>
    <n v="0.96940402999999997"/>
    <m/>
    <n v="18999660.98"/>
    <n v="18418347.93"/>
    <n v="18999660.98"/>
    <n v="18418347.93"/>
    <n v="11972702"/>
    <s v="AMOMPY"/>
    <s v="Momentum Capital Investment S.A."/>
    <s v="27/08/2026"/>
    <s v="27/08/2026"/>
    <n v="32"/>
    <s v="No"/>
    <s v=""/>
    <m/>
    <m/>
    <s v="*MAV021100927"/>
    <s v="*MAV021100927"/>
    <n v="2.4486399407964651E-4"/>
  </r>
  <r>
    <x v="269"/>
    <s v="Pesos"/>
    <d v="2026-11-04T00:00:00"/>
    <s v="29/09/2026"/>
    <n v="0.96940402999999997"/>
    <m/>
    <n v="1650365.38"/>
    <n v="1599870.85"/>
    <n v="1650365.38"/>
    <n v="1599870.85"/>
    <n v="11996325"/>
    <s v="AMOMPY"/>
    <s v="Momentum Capital Investment S.A."/>
    <s v="27/08/2026"/>
    <s v="27/08/2026"/>
    <n v="32"/>
    <s v="No"/>
    <s v=""/>
    <m/>
    <m/>
    <s v="*MAV021100928"/>
    <s v="*MAV021100928"/>
    <n v="2.1269593116139982E-5"/>
  </r>
  <r>
    <x v="95"/>
    <s v="Pesos"/>
    <d v="2026-11-04T00:00:00"/>
    <s v="29/09/2026"/>
    <n v="0.97033190000000002"/>
    <m/>
    <n v="8523310"/>
    <n v="8270439.5599999996"/>
    <n v="8523310"/>
    <n v="8270439.5599999996"/>
    <n v="13680133"/>
    <s v="AMOMPY"/>
    <s v="Momentum Capital Investment S.A."/>
    <s v="02/09/2026"/>
    <s v="02/09/2026"/>
    <n v="31"/>
    <s v="No"/>
    <s v=""/>
    <m/>
    <m/>
    <s v="*MAV021100966"/>
    <s v="*MAV021100966"/>
    <n v="1.0995192789019674E-4"/>
  </r>
  <r>
    <x v="37"/>
    <s v="Pesos"/>
    <d v="2026-11-04T00:00:00"/>
    <s v="29/09/2026"/>
    <n v="0.97126137000000001"/>
    <m/>
    <n v="6377416"/>
    <n v="6194137.8300000001"/>
    <n v="6377416"/>
    <n v="6194137.8300000001"/>
    <n v="22298"/>
    <s v="AMOMPY"/>
    <s v="Momentum Capital Investment S.A."/>
    <s v="15/09/2026"/>
    <s v="15/09/2026"/>
    <n v="30"/>
    <s v="No"/>
    <s v=""/>
    <m/>
    <m/>
    <s v="*AFB021100005"/>
    <s v="*AFB021100005"/>
    <n v="8.2348391652607608E-5"/>
  </r>
  <r>
    <x v="37"/>
    <s v="Pesos"/>
    <d v="2026-11-04T00:00:00"/>
    <s v="29/09/2026"/>
    <n v="0.97126137000000001"/>
    <m/>
    <n v="6704674.6699999999"/>
    <n v="6511991.5199999996"/>
    <n v="6704674.6699999999"/>
    <n v="6511991.5199999996"/>
    <n v="21851"/>
    <s v="AMOMPY"/>
    <s v="Momentum Capital Investment S.A."/>
    <s v="15/09/2026"/>
    <s v="15/09/2026"/>
    <n v="30"/>
    <s v="No"/>
    <s v=""/>
    <m/>
    <m/>
    <s v="*AFB021100004"/>
    <s v="*AFB021100004"/>
    <n v="8.6574119408547206E-5"/>
  </r>
  <r>
    <x v="37"/>
    <s v="Pesos"/>
    <d v="2026-11-04T00:00:00"/>
    <s v="29/09/2026"/>
    <n v="0.97126137000000001"/>
    <m/>
    <n v="9655864.5399999991"/>
    <n v="9378368.2300000004"/>
    <n v="9655864.5399999991"/>
    <n v="9378368.2300000004"/>
    <n v="22534"/>
    <s v="AMOMPY"/>
    <s v="Momentum Capital Investment S.A."/>
    <s v="15/09/2026"/>
    <s v="15/09/2026"/>
    <n v="30"/>
    <s v="No"/>
    <s v=""/>
    <m/>
    <m/>
    <s v="*AFB021100006"/>
    <s v="*AFB021100006"/>
    <n v="1.2468136183957219E-4"/>
  </r>
  <r>
    <x v="82"/>
    <s v="Pesos"/>
    <d v="2026-11-04T00:00:00"/>
    <s v="29/09/2026"/>
    <n v="0.97126135000000002"/>
    <m/>
    <n v="2700000"/>
    <n v="2622405.64"/>
    <n v="2700000"/>
    <n v="2622405.64"/>
    <n v="6910"/>
    <s v="AMOMPY"/>
    <s v="Momentum Capital Investment S.A."/>
    <s v="11/09/2026"/>
    <s v="11/09/2026"/>
    <n v="30"/>
    <s v="No"/>
    <s v=""/>
    <m/>
    <m/>
    <s v="*MAV311001868"/>
    <s v="*MAV311001868"/>
    <n v="3.4863752251171187E-5"/>
  </r>
  <r>
    <x v="270"/>
    <s v="Dolar 3500"/>
    <d v="2026-11-04T00:00:00"/>
    <s v="29/09/2026"/>
    <n v="0.99217160000000004"/>
    <s v="1 US3 = 1523,9697583441 $"/>
    <n v="50000"/>
    <n v="49608.58"/>
    <n v="76198487.920000002"/>
    <n v="75601975.670000002"/>
    <n v="158025"/>
    <s v="AMOMPY"/>
    <s v="Momentum Capital Investment S.A."/>
    <s v="23/07/2026"/>
    <s v="23/07/2026"/>
    <n v="8"/>
    <s v="No"/>
    <s v=""/>
    <m/>
    <m/>
    <s v="#UMV011160007"/>
    <s v="#UMV011160007"/>
    <n v="1.0050956683642397E-3"/>
  </r>
  <r>
    <x v="8"/>
    <s v="Pesos"/>
    <d v="2026-11-04T00:00:00"/>
    <s v="29/09/2026"/>
    <n v="0.97033179000000003"/>
    <m/>
    <n v="6000000"/>
    <n v="5821990.75"/>
    <n v="6000000"/>
    <n v="5821990.75"/>
    <n v="12299306"/>
    <s v="AMOMPY"/>
    <s v="Momentum Capital Investment S.A."/>
    <s v="07/09/2026"/>
    <s v="07/09/2026"/>
    <n v="31"/>
    <s v="No"/>
    <s v=""/>
    <m/>
    <m/>
    <s v="*MIL011100018"/>
    <s v="*MIL011100018"/>
    <n v="7.7400856686919847E-5"/>
  </r>
  <r>
    <x v="271"/>
    <s v="Pesos"/>
    <d v="2026-11-04T00:00:00"/>
    <s v="29/09/2026"/>
    <n v="0.97126137000000001"/>
    <m/>
    <n v="10900000"/>
    <n v="10586748.939999999"/>
    <n v="10900000"/>
    <n v="10586748.939999999"/>
    <n v="237"/>
    <s v="AMOMPY"/>
    <s v="Momentum Capital Investment S.A."/>
    <s v="02/07/2026"/>
    <s v="02/07/2026"/>
    <n v="30"/>
    <s v="No"/>
    <s v=""/>
    <m/>
    <m/>
    <s v="*MAV011101200"/>
    <s v="*MAV011101200"/>
    <n v="1.4074626234769277E-4"/>
  </r>
  <r>
    <x v="43"/>
    <s v="Pesos"/>
    <d v="2026-11-04T00:00:00"/>
    <s v="29/09/2026"/>
    <n v="0.97546635000000004"/>
    <m/>
    <n v="4981378.5599999996"/>
    <n v="4859167.18"/>
    <n v="4981378.5599999996"/>
    <n v="4859167.18"/>
    <n v="30098403"/>
    <s v="AMOMPY"/>
    <s v="Momentum Capital Investment S.A."/>
    <s v="03/09/2026"/>
    <s v="03/09/2026"/>
    <n v="25.5"/>
    <s v="No"/>
    <s v=""/>
    <m/>
    <m/>
    <s v="*MAV021100983"/>
    <s v="*MAV021100983"/>
    <n v="6.4600532475419075E-5"/>
  </r>
  <r>
    <x v="43"/>
    <s v="Pesos"/>
    <d v="2026-11-04T00:00:00"/>
    <s v="29/09/2026"/>
    <n v="0.97406057000000001"/>
    <m/>
    <n v="48904.31"/>
    <n v="47635.76"/>
    <n v="48904.31"/>
    <n v="47635.76"/>
    <n v="30097747"/>
    <s v="AMOMPY"/>
    <s v="Momentum Capital Investment S.A."/>
    <s v="01/09/2026"/>
    <s v="01/09/2026"/>
    <n v="27"/>
    <s v="No"/>
    <s v=""/>
    <m/>
    <m/>
    <s v="*MAV021100958"/>
    <s v="*MAV021100958"/>
    <n v="6.3329688954461315E-7"/>
  </r>
  <r>
    <x v="272"/>
    <s v="Pesos"/>
    <d v="2026-11-04T00:00:00"/>
    <s v="29/09/2026"/>
    <n v="0.96479177000000005"/>
    <m/>
    <n v="68000000"/>
    <n v="65605840.640000001"/>
    <n v="68000000"/>
    <n v="65605840.640000001"/>
    <n v="29850239"/>
    <s v="AMOMPY"/>
    <s v="Momentum Capital Investment S.A."/>
    <s v="10/08/2026"/>
    <s v="10/08/2026"/>
    <n v="37"/>
    <s v="No"/>
    <s v=""/>
    <m/>
    <m/>
    <s v="*MAV311001698"/>
    <s v="*MAV311001698"/>
    <n v="8.7220136328824331E-4"/>
  </r>
  <r>
    <x v="15"/>
    <s v="Pesos"/>
    <d v="2026-11-04T00:00:00"/>
    <s v="29/09/2026"/>
    <n v="0.96940409000000005"/>
    <m/>
    <n v="5444206"/>
    <n v="5277635.58"/>
    <n v="5444206"/>
    <n v="5277635.58"/>
    <n v="3446"/>
    <s v="AMOMPY"/>
    <s v="Momentum Capital Investment S.A."/>
    <s v="25/08/2026"/>
    <s v="25/08/2026"/>
    <n v="32"/>
    <s v="No"/>
    <s v=""/>
    <m/>
    <m/>
    <s v="*MAV311001756"/>
    <s v="*MAV311001756"/>
    <n v="7.0163889417613573E-5"/>
  </r>
  <r>
    <x v="273"/>
    <s v="Pesos"/>
    <d v="2026-11-04T00:00:00"/>
    <s v="29/09/2026"/>
    <n v="0.96847815999999998"/>
    <m/>
    <n v="30000000"/>
    <n v="29054344.82"/>
    <n v="30000000"/>
    <n v="29054344.82"/>
    <n v="11405025"/>
    <s v="AMOMPY"/>
    <s v="Momentum Capital Investment S.A."/>
    <s v="09/09/2026"/>
    <s v="09/09/2026"/>
    <n v="33"/>
    <s v="No"/>
    <s v=""/>
    <m/>
    <m/>
    <s v="*MAV011101285"/>
    <s v="*MAV011101285"/>
    <n v="3.862649866877875E-4"/>
  </r>
  <r>
    <x v="273"/>
    <s v="Pesos"/>
    <d v="2026-11-04T00:00:00"/>
    <s v="29/09/2026"/>
    <n v="0.96847815999999998"/>
    <m/>
    <n v="30000000"/>
    <n v="29054344.82"/>
    <n v="30000000"/>
    <n v="29054344.82"/>
    <n v="11405026"/>
    <s v="AMOMPY"/>
    <s v="Momentum Capital Investment S.A."/>
    <s v="09/09/2026"/>
    <s v="09/09/2026"/>
    <n v="33"/>
    <s v="No"/>
    <s v=""/>
    <m/>
    <m/>
    <s v="*MAV021101052"/>
    <s v="*MAV021101052"/>
    <n v="3.862649866877875E-4"/>
  </r>
  <r>
    <x v="231"/>
    <s v="Pesos"/>
    <d v="2026-11-04T00:00:00"/>
    <s v="29/09/2026"/>
    <n v="0.96755385000000005"/>
    <m/>
    <n v="3000000"/>
    <n v="2902661.54"/>
    <n v="3000000"/>
    <n v="2902661.54"/>
    <n v="4565"/>
    <s v="AMOMPY"/>
    <s v="Momentum Capital Investment S.A."/>
    <s v="15/07/2026"/>
    <s v="15/07/2026"/>
    <n v="34"/>
    <s v="No"/>
    <s v=""/>
    <m/>
    <m/>
    <s v="*MAV021100799"/>
    <s v="*MAV021100799"/>
    <n v="3.8589633600529864E-5"/>
  </r>
  <r>
    <x v="19"/>
    <s v="Pesos"/>
    <d v="2026-11-04T00:00:00"/>
    <s v="29/09/2026"/>
    <n v="0.96387460000000003"/>
    <m/>
    <n v="40000000"/>
    <n v="38554984.159999996"/>
    <n v="40000000"/>
    <n v="38554984.159999996"/>
    <n v="70393048"/>
    <s v="AMOMPY"/>
    <s v="Momentum Capital Investment S.A."/>
    <s v="01/09/2026"/>
    <s v="01/09/2026"/>
    <n v="38"/>
    <s v="No"/>
    <s v=""/>
    <m/>
    <m/>
    <s v="*MAV021100957"/>
    <s v="*MAV021100957"/>
    <n v="5.125718902137769E-4"/>
  </r>
  <r>
    <x v="19"/>
    <s v="Pesos"/>
    <d v="2026-11-04T00:00:00"/>
    <s v="29/09/2026"/>
    <n v="0.96387465999999999"/>
    <m/>
    <n v="40000000"/>
    <n v="38554986.43"/>
    <n v="40000000"/>
    <n v="38554986.43"/>
    <n v="70393053"/>
    <s v="AMOMPY"/>
    <s v="Momentum Capital Investment S.A."/>
    <s v="02/09/2026"/>
    <s v="02/09/2026"/>
    <n v="38"/>
    <s v="No"/>
    <s v=""/>
    <m/>
    <m/>
    <s v="*MAV021100969"/>
    <s v="*MAV021100969"/>
    <n v="5.1257192039244821E-4"/>
  </r>
  <r>
    <x v="249"/>
    <s v="Pesos"/>
    <d v="2026-11-04T00:00:00"/>
    <s v="29/09/2026"/>
    <n v="0.96940402999999997"/>
    <m/>
    <n v="50000000"/>
    <n v="48470201.530000001"/>
    <n v="50000000"/>
    <n v="48470201.530000001"/>
    <n v="6694"/>
    <s v="AMOMPY"/>
    <s v="Momentum Capital Investment S.A."/>
    <s v="27/08/2026"/>
    <s v="27/08/2026"/>
    <n v="32"/>
    <s v="No"/>
    <s v=""/>
    <m/>
    <m/>
    <s v="*MAV311001777"/>
    <s v="*MAV311001777"/>
    <n v="6.4439042989026618E-4"/>
  </r>
  <r>
    <x v="249"/>
    <s v="Pesos"/>
    <d v="2026-11-04T00:00:00"/>
    <s v="29/09/2026"/>
    <n v="0.96940402999999997"/>
    <m/>
    <n v="50000000"/>
    <n v="48470201.530000001"/>
    <n v="50000000"/>
    <n v="48470201.530000001"/>
    <n v="6695"/>
    <s v="AMOMPY"/>
    <s v="Momentum Capital Investment S.A."/>
    <s v="27/08/2026"/>
    <s v="27/08/2026"/>
    <n v="32"/>
    <s v="No"/>
    <s v=""/>
    <m/>
    <m/>
    <s v="*MAV311001779"/>
    <s v="*MAV311001779"/>
    <n v="6.4439042989026618E-4"/>
  </r>
  <r>
    <x v="130"/>
    <s v="Pesos"/>
    <d v="2026-11-04T00:00:00"/>
    <s v="29/09/2026"/>
    <n v="0.96755389999999997"/>
    <m/>
    <n v="6200000"/>
    <n v="5998834.1699999999"/>
    <n v="6200000"/>
    <n v="5998834.1699999999"/>
    <n v="69261880"/>
    <s v="AMOMPY"/>
    <s v="Momentum Capital Investment S.A."/>
    <s v="25/08/2026"/>
    <s v="25/08/2026"/>
    <n v="34"/>
    <s v="No"/>
    <s v=""/>
    <m/>
    <m/>
    <s v="*MAV311001752"/>
    <s v="*MAV311001752"/>
    <n v="7.9751913704220116E-5"/>
  </r>
  <r>
    <x v="210"/>
    <s v="Pesos"/>
    <d v="2026-11-04T00:00:00"/>
    <s v="29/09/2026"/>
    <n v="0.96847812"/>
    <m/>
    <n v="1300000"/>
    <n v="1259021.55"/>
    <n v="1300000"/>
    <n v="1259021.55"/>
    <n v="553"/>
    <s v="AMOMPY"/>
    <s v="Momentum Capital Investment S.A."/>
    <s v="01/09/2026"/>
    <s v="01/09/2026"/>
    <n v="33"/>
    <s v="No"/>
    <s v=""/>
    <m/>
    <m/>
    <s v="*MAV011101256"/>
    <s v="*MAV011101256"/>
    <n v="1.6738148640530509E-5"/>
  </r>
  <r>
    <x v="210"/>
    <s v="Pesos"/>
    <d v="2026-11-04T00:00:00"/>
    <s v="29/09/2026"/>
    <n v="0.96847812"/>
    <m/>
    <n v="1300000"/>
    <n v="1259021.55"/>
    <n v="1300000"/>
    <n v="1259021.55"/>
    <n v="554"/>
    <s v="AMOMPY"/>
    <s v="Momentum Capital Investment S.A."/>
    <s v="01/09/2026"/>
    <s v="01/09/2026"/>
    <n v="33"/>
    <s v="No"/>
    <s v=""/>
    <m/>
    <m/>
    <s v="*MAV021100950"/>
    <s v="*MAV021100950"/>
    <n v="1.6738148640530509E-5"/>
  </r>
  <r>
    <x v="169"/>
    <s v="Pesos"/>
    <d v="2026-11-04T00:00:00"/>
    <s v="29/09/2026"/>
    <n v="0.96940409000000005"/>
    <m/>
    <n v="2558197.12"/>
    <n v="2479926.7599999998"/>
    <n v="2558197.12"/>
    <n v="2479926.7599999998"/>
    <n v="356"/>
    <s v="AMOMPY"/>
    <s v="Momentum Capital Investment S.A."/>
    <s v="31/07/2026"/>
    <s v="31/07/2026"/>
    <n v="32"/>
    <s v="No"/>
    <s v=""/>
    <m/>
    <m/>
    <s v="*MAV311001647"/>
    <s v="*MAV311001647"/>
    <n v="3.2969556975819221E-5"/>
  </r>
  <r>
    <x v="242"/>
    <s v="Pesos"/>
    <d v="2026-11-04T00:00:00"/>
    <s v="29/09/2026"/>
    <n v="0.96571068000000004"/>
    <m/>
    <n v="20408241.140000001"/>
    <n v="19708456.359999999"/>
    <n v="20408241.140000001"/>
    <n v="19708456.359999999"/>
    <n v="67998060"/>
    <s v="AMOMPY"/>
    <s v="Momentum Capital Investment S.A."/>
    <s v="30/06/2026"/>
    <s v="30/06/2026"/>
    <n v="36"/>
    <s v="No"/>
    <s v=""/>
    <m/>
    <m/>
    <s v="*MAV311001562"/>
    <s v="*MAV311001562"/>
    <n v="2.6201542938569149E-4"/>
  </r>
  <r>
    <x v="102"/>
    <s v="Pesos"/>
    <d v="2026-11-04T00:00:00"/>
    <s v="29/09/2026"/>
    <n v="0.97593589000000003"/>
    <m/>
    <n v="12000000"/>
    <n v="11711230.689999999"/>
    <n v="12000000"/>
    <n v="11711230.689999999"/>
    <n v="34562"/>
    <s v="AMOMPY"/>
    <s v="Momentum Capital Investment S.A."/>
    <s v="31/07/2026"/>
    <s v="31/07/2026"/>
    <n v="25"/>
    <s v="No"/>
    <s v=""/>
    <m/>
    <m/>
    <s v="*MAV011101206"/>
    <s v="*MAV011101206"/>
    <n v="1.5569576235828741E-4"/>
  </r>
  <r>
    <x v="274"/>
    <s v="Dolar 3500"/>
    <d v="2026-11-04T00:00:00"/>
    <s v="29/09/2026"/>
    <n v="0.99217135999999995"/>
    <s v="1 US3 = 1523,9697583441 $"/>
    <n v="500000"/>
    <n v="496085.68"/>
    <n v="761984879.16999996"/>
    <n v="756019573.87"/>
    <n v="152502"/>
    <s v="AMOMPY"/>
    <s v="Momentum Capital Investment S.A."/>
    <s v="04/06/2026"/>
    <s v="04/06/2026"/>
    <n v="8"/>
    <s v="No"/>
    <s v=""/>
    <m/>
    <m/>
    <s v="#UMV021160025"/>
    <s v="#UMV021160025"/>
    <n v="1.005095425299638E-2"/>
  </r>
  <r>
    <x v="75"/>
    <s v="Pesos"/>
    <d v="2026-11-04T00:00:00"/>
    <s v="29/09/2026"/>
    <n v="0.96847806999999997"/>
    <m/>
    <n v="2000000"/>
    <n v="1936956.14"/>
    <n v="2000000"/>
    <n v="1936956.14"/>
    <n v="42"/>
    <s v="AMOMPY"/>
    <s v="Momentum Capital Investment S.A."/>
    <s v="13/08/2026"/>
    <s v="13/08/2026"/>
    <n v="33"/>
    <s v="No"/>
    <s v=""/>
    <m/>
    <m/>
    <s v="*MAV311001718"/>
    <s v="*MAV311001718"/>
    <n v="2.5750996701770687E-5"/>
  </r>
  <r>
    <x v="135"/>
    <s v="Pesos"/>
    <d v="2026-11-04T00:00:00"/>
    <s v="29/09/2026"/>
    <n v="0.96940424999999997"/>
    <m/>
    <n v="20000000"/>
    <n v="19388084.969999999"/>
    <n v="20000000"/>
    <n v="19388084.969999999"/>
    <n v="724"/>
    <s v="AMOMPY"/>
    <s v="Momentum Capital Investment S.A."/>
    <s v="21/09/2026"/>
    <s v="21/09/2026"/>
    <n v="32"/>
    <s v="No"/>
    <s v=""/>
    <m/>
    <m/>
    <s v="*MAV021101140"/>
    <s v="*MAV021101140"/>
    <n v="2.5775622989383736E-4"/>
  </r>
  <r>
    <x v="21"/>
    <s v="Pesos"/>
    <d v="2026-11-04T00:00:00"/>
    <s v="29/09/2026"/>
    <n v="0.96755385999999999"/>
    <m/>
    <n v="10000000"/>
    <n v="9675538.5500000007"/>
    <n v="10000000"/>
    <n v="9675538.5500000007"/>
    <n v="14284512"/>
    <s v="AMOMPY"/>
    <s v="Momentum Capital Investment S.A."/>
    <s v="24/08/2026"/>
    <s v="24/08/2026"/>
    <n v="34"/>
    <s v="No"/>
    <s v=""/>
    <m/>
    <m/>
    <s v="*MAV021100898"/>
    <s v="*MAV021100898"/>
    <n v="1.2863211310964697E-4"/>
  </r>
  <r>
    <x v="172"/>
    <s v="Pesos"/>
    <d v="2026-11-04T00:00:00"/>
    <s v="29/09/2026"/>
    <n v="0.97499734000000005"/>
    <m/>
    <n v="819152.75"/>
    <n v="798671.75"/>
    <n v="819152.75"/>
    <n v="798671.75"/>
    <n v="991"/>
    <s v="AMOMPY"/>
    <s v="Momentum Capital Investment S.A."/>
    <s v="25/09/2026"/>
    <s v="25/09/2026"/>
    <n v="26"/>
    <s v="No"/>
    <s v=""/>
    <m/>
    <m/>
    <s v="*TRD021100027"/>
    <s v="*TRD021100027"/>
    <n v="1.0617996543818191E-5"/>
  </r>
  <r>
    <x v="172"/>
    <s v="Pesos"/>
    <d v="2026-11-04T00:00:00"/>
    <s v="29/09/2026"/>
    <n v="0.97499734000000005"/>
    <m/>
    <n v="819152.75"/>
    <n v="798671.75"/>
    <n v="819152.75"/>
    <n v="798671.75"/>
    <n v="989"/>
    <s v="AMOMPY"/>
    <s v="Momentum Capital Investment S.A."/>
    <s v="25/09/2026"/>
    <s v="25/09/2026"/>
    <n v="26"/>
    <s v="No"/>
    <s v=""/>
    <m/>
    <m/>
    <s v="*TRD311000044"/>
    <s v="*TRD311000044"/>
    <n v="1.0617996543818191E-5"/>
  </r>
  <r>
    <x v="172"/>
    <s v="Pesos"/>
    <d v="2026-11-04T00:00:00"/>
    <s v="29/09/2026"/>
    <n v="0.97499734000000005"/>
    <m/>
    <n v="819152.75"/>
    <n v="798671.75"/>
    <n v="819152.75"/>
    <n v="798671.75"/>
    <n v="990"/>
    <s v="AMOMPY"/>
    <s v="Momentum Capital Investment S.A."/>
    <s v="25/09/2026"/>
    <s v="25/09/2026"/>
    <n v="26"/>
    <s v="No"/>
    <s v=""/>
    <m/>
    <m/>
    <s v="*TRD011100021"/>
    <s v="*TRD011100021"/>
    <n v="1.0617996543818191E-5"/>
  </r>
  <r>
    <x v="87"/>
    <s v="Dolar 3500"/>
    <d v="2026-11-04T00:00:00"/>
    <s v="29/09/2026"/>
    <n v="0.99120129999999995"/>
    <s v="1 US3 = 1523,9697583441 $"/>
    <n v="100000"/>
    <n v="99120.13"/>
    <n v="152396975.83000001"/>
    <n v="151056080.56"/>
    <n v="155821"/>
    <s v="AMOMPY"/>
    <s v="Momentum Capital Investment S.A."/>
    <s v="02/07/2026"/>
    <s v="02/07/2026"/>
    <n v="9"/>
    <s v="No"/>
    <s v=""/>
    <m/>
    <m/>
    <s v="#UMV021160028"/>
    <s v="#UMV021160028"/>
    <n v="2.0082254584675146E-3"/>
  </r>
  <r>
    <x v="88"/>
    <s v="Dolar 3500"/>
    <d v="2026-11-04T00:00:00"/>
    <s v="29/09/2026"/>
    <n v="0.99023329999999998"/>
    <s v="1 US3 = 1523,9697583441 $"/>
    <n v="100000"/>
    <n v="99023.33"/>
    <n v="152396975.83000001"/>
    <n v="150908560.28999999"/>
    <n v="165199"/>
    <s v="AMOMPY"/>
    <s v="Momentum Capital Investment S.A."/>
    <s v="15/09/2026"/>
    <s v="15/09/2026"/>
    <n v="10"/>
    <s v="No"/>
    <s v=""/>
    <m/>
    <m/>
    <s v="#UMV021160051"/>
    <s v="#UMV021160051"/>
    <n v="2.0062642400858663E-3"/>
  </r>
  <r>
    <x v="88"/>
    <s v="Dolar 3500"/>
    <d v="2026-11-04T00:00:00"/>
    <s v="29/09/2026"/>
    <n v="0.99217140000000004"/>
    <s v="1 US3 = 1523,9697583441 $"/>
    <n v="188100"/>
    <n v="186627.44"/>
    <n v="286658711.54000002"/>
    <n v="284414574.63999999"/>
    <n v="160722"/>
    <s v="AMOMPY"/>
    <s v="Momentum Capital Investment S.A."/>
    <s v="12/08/2026"/>
    <s v="12/08/2026"/>
    <n v="8"/>
    <s v="No"/>
    <s v=""/>
    <m/>
    <m/>
    <s v="#UMV021160035"/>
    <s v="#UMV021160035"/>
    <n v="3.781169135554176E-3"/>
  </r>
  <r>
    <x v="25"/>
    <s v="Pesos"/>
    <d v="2026-11-04T00:00:00"/>
    <s v="29/09/2026"/>
    <n v="0.97126133999999997"/>
    <m/>
    <n v="5580000"/>
    <n v="5419638.2800000003"/>
    <n v="5580000"/>
    <n v="5419638.2800000003"/>
    <n v="11415151"/>
    <s v="AMOMPY"/>
    <s v="Momentum Capital Investment S.A."/>
    <s v="18/09/2026"/>
    <s v="18/09/2026"/>
    <n v="30"/>
    <s v="No"/>
    <s v=""/>
    <m/>
    <m/>
    <s v="*CVA021100007"/>
    <s v="*CVA021100007"/>
    <n v="7.2051754085185522E-5"/>
  </r>
  <r>
    <x v="27"/>
    <s v="Pesos"/>
    <d v="2026-11-04T00:00:00"/>
    <s v="29/09/2026"/>
    <n v="0.97406073999999998"/>
    <m/>
    <n v="1000000"/>
    <n v="974060.74"/>
    <n v="1000000"/>
    <n v="974060.74"/>
    <n v="11484"/>
    <s v="AMOMPY"/>
    <s v="Momentum Capital Investment S.A."/>
    <s v="23/09/2026"/>
    <s v="23/09/2026"/>
    <n v="27"/>
    <s v="No"/>
    <s v=""/>
    <m/>
    <m/>
    <s v="*MOV021100065"/>
    <s v="*MOV021100065"/>
    <n v="1.294971754139168E-5"/>
  </r>
  <r>
    <x v="27"/>
    <s v="Pesos"/>
    <d v="2026-11-04T00:00:00"/>
    <s v="29/09/2026"/>
    <n v="0.97499754000000005"/>
    <m/>
    <n v="10000000"/>
    <n v="9749975.3599999994"/>
    <n v="10000000"/>
    <n v="9749975.3599999994"/>
    <n v="22805"/>
    <s v="AMOMPY"/>
    <s v="Momentum Capital Investment S.A."/>
    <s v="28/09/2026"/>
    <s v="28/09/2026"/>
    <n v="26"/>
    <s v="No"/>
    <s v=""/>
    <m/>
    <m/>
    <s v="*MOV021100066"/>
    <s v="*MOV021100066"/>
    <n v="1.2962171840282633E-4"/>
  </r>
  <r>
    <x v="28"/>
    <s v="Pesos"/>
    <d v="2026-11-04T00:00:00"/>
    <s v="29/09/2026"/>
    <n v="0.96847815999999998"/>
    <m/>
    <n v="2500000"/>
    <n v="2421195.4"/>
    <n v="2500000"/>
    <n v="2421195.4"/>
    <n v="1014"/>
    <s v="AMOMPY"/>
    <s v="Momentum Capital Investment S.A."/>
    <s v="19/08/2026"/>
    <s v="19/08/2026"/>
    <n v="33"/>
    <s v="No"/>
    <s v=""/>
    <m/>
    <m/>
    <s v="*MAV021100886"/>
    <s v="*MAV021100886"/>
    <n v="3.2188748868491345E-5"/>
  </r>
  <r>
    <x v="28"/>
    <s v="Pesos"/>
    <d v="2026-11-04T00:00:00"/>
    <s v="29/09/2026"/>
    <n v="0.97126135000000002"/>
    <m/>
    <n v="5000000"/>
    <n v="4856306.74"/>
    <n v="5000000"/>
    <n v="4856306.74"/>
    <n v="1307"/>
    <s v="AMOMPY"/>
    <s v="Momentum Capital Investment S.A."/>
    <s v="29/09/2026"/>
    <s v="29/09/2026"/>
    <n v="30"/>
    <s v="No"/>
    <s v=""/>
    <m/>
    <m/>
    <s v="*MAV021101220"/>
    <s v="*MAV021101220"/>
    <n v="6.4562504158987706E-5"/>
  </r>
  <r>
    <x v="28"/>
    <s v="Pesos"/>
    <d v="2026-11-05T00:00:00"/>
    <s v="29/09/2026"/>
    <n v="0.97048663999999996"/>
    <m/>
    <n v="5000000"/>
    <n v="4852433.22"/>
    <n v="5000000"/>
    <n v="4852433.22"/>
    <n v="1206"/>
    <s v="AMOMPY"/>
    <s v="Momentum Capital Investment S.A."/>
    <s v="09/09/2026"/>
    <s v="09/09/2026"/>
    <n v="30"/>
    <s v="No"/>
    <s v=""/>
    <m/>
    <m/>
    <s v="*MAV031101462"/>
    <s v="*MAV031101462"/>
    <n v="6.4511007380777609E-5"/>
  </r>
  <r>
    <x v="28"/>
    <s v="Pesos"/>
    <d v="2026-11-05T00:00:00"/>
    <s v="29/09/2026"/>
    <n v="0.97048679999999998"/>
    <m/>
    <n v="4500000"/>
    <n v="4367190.58"/>
    <n v="4500000"/>
    <n v="4367190.58"/>
    <n v="1265"/>
    <s v="AMOMPY"/>
    <s v="Momentum Capital Investment S.A."/>
    <s v="22/09/2026"/>
    <s v="22/09/2026"/>
    <n v="30"/>
    <s v="No"/>
    <s v=""/>
    <m/>
    <m/>
    <s v="*MAV031101536"/>
    <s v="*MAV031101536"/>
    <n v="5.8059915709595791E-5"/>
  </r>
  <r>
    <x v="28"/>
    <s v="Pesos"/>
    <d v="2026-11-05T00:00:00"/>
    <s v="29/09/2026"/>
    <n v="0.97048663000000002"/>
    <m/>
    <n v="5000000"/>
    <n v="4852433.13"/>
    <n v="5000000"/>
    <n v="4852433.13"/>
    <n v="1290"/>
    <s v="AMOMPY"/>
    <s v="Momentum Capital Investment S.A."/>
    <s v="23/09/2026"/>
    <s v="23/09/2026"/>
    <n v="30"/>
    <s v="No"/>
    <s v=""/>
    <m/>
    <m/>
    <s v="*MAV031101547"/>
    <s v="*MAV031101547"/>
    <n v="6.4511006184266416E-5"/>
  </r>
  <r>
    <x v="28"/>
    <s v="Pesos"/>
    <d v="2026-11-05T00:00:00"/>
    <s v="29/09/2026"/>
    <n v="0.96858087000000004"/>
    <m/>
    <n v="3000000"/>
    <n v="2905742.61"/>
    <n v="3000000"/>
    <n v="2905742.61"/>
    <n v="1049"/>
    <s v="AMOMPY"/>
    <s v="Momentum Capital Investment S.A."/>
    <s v="25/08/2026"/>
    <s v="25/08/2026"/>
    <n v="32"/>
    <s v="No"/>
    <s v=""/>
    <m/>
    <m/>
    <s v="*MAV031101377"/>
    <s v="*MAV031101377"/>
    <n v="3.8630595097679679E-5"/>
  </r>
  <r>
    <x v="2"/>
    <s v="Pesos"/>
    <d v="2026-11-05T00:00:00"/>
    <s v="29/09/2026"/>
    <n v="0.96858093000000001"/>
    <m/>
    <n v="40000000"/>
    <n v="38743237.240000002"/>
    <n v="40000000"/>
    <n v="38743237.240000002"/>
    <n v="13953436"/>
    <s v="AMOMPY"/>
    <s v="Momentum Capital Investment S.A."/>
    <s v="22/07/2026"/>
    <s v="22/07/2026"/>
    <n v="32"/>
    <s v="No"/>
    <s v=""/>
    <m/>
    <m/>
    <s v="*MAV031101254"/>
    <s v="*MAV031101254"/>
    <n v="5.1507463374114368E-4"/>
  </r>
  <r>
    <x v="35"/>
    <s v="Pesos"/>
    <d v="2026-11-05T00:00:00"/>
    <s v="29/09/2026"/>
    <n v="0.96479172999999996"/>
    <m/>
    <n v="3625698.78"/>
    <n v="3498044.2"/>
    <n v="3625698.78"/>
    <n v="3498044.2"/>
    <n v="3350"/>
    <s v="AMOMPY"/>
    <s v="Momentum Capital Investment S.A."/>
    <s v="28/08/2026"/>
    <s v="28/08/2026"/>
    <n v="36"/>
    <s v="No"/>
    <s v=""/>
    <m/>
    <m/>
    <s v="*MAV031101392"/>
    <s v="*MAV031101392"/>
    <n v="4.6504989347279747E-5"/>
  </r>
  <r>
    <x v="35"/>
    <s v="Pesos"/>
    <d v="2026-11-05T00:00:00"/>
    <s v="29/09/2026"/>
    <n v="0.96573635000000002"/>
    <m/>
    <n v="3256800.5"/>
    <n v="3145210.63"/>
    <n v="3256800.5"/>
    <n v="3145210.63"/>
    <n v="3578"/>
    <s v="AMOMPY"/>
    <s v="Momentum Capital Investment S.A."/>
    <s v="17/09/2026"/>
    <s v="17/09/2026"/>
    <n v="35"/>
    <s v="No"/>
    <s v=""/>
    <m/>
    <m/>
    <s v="*MAV031101518"/>
    <s v="*MAV031101518"/>
    <n v="4.1814219169415015E-5"/>
  </r>
  <r>
    <x v="53"/>
    <s v="Pesos"/>
    <d v="2026-11-05T00:00:00"/>
    <s v="29/09/2026"/>
    <n v="0.96384910999999995"/>
    <m/>
    <n v="20000000"/>
    <n v="19276982.149999999"/>
    <n v="20000000"/>
    <n v="19276982.149999999"/>
    <n v="2594"/>
    <s v="AMOMPY"/>
    <s v="Momentum Capital Investment S.A."/>
    <s v="07/08/2026"/>
    <s v="07/08/2026"/>
    <n v="37"/>
    <s v="No"/>
    <s v=""/>
    <m/>
    <m/>
    <s v="*MAV031101304"/>
    <s v="*MAV031101304"/>
    <n v="2.5627916580741081E-4"/>
  </r>
  <r>
    <x v="244"/>
    <s v="Pesos"/>
    <d v="2026-11-05T00:00:00"/>
    <s v="29/09/2026"/>
    <n v="0.96763076999999997"/>
    <m/>
    <n v="5300000"/>
    <n v="5128443.08"/>
    <n v="5300000"/>
    <n v="5128443.08"/>
    <n v="8175674"/>
    <s v="AMOMPY"/>
    <s v="Momentum Capital Investment S.A."/>
    <s v="15/09/2026"/>
    <s v="15/09/2026"/>
    <n v="33"/>
    <s v="No"/>
    <s v=""/>
    <m/>
    <m/>
    <s v="*MAV031101490"/>
    <s v="*MAV031101490"/>
    <n v="6.8180439459149925E-5"/>
  </r>
  <r>
    <x v="6"/>
    <s v="Pesos"/>
    <d v="2026-11-05T00:00:00"/>
    <s v="29/09/2026"/>
    <n v="0.97335932999999997"/>
    <m/>
    <n v="15000000"/>
    <n v="14600389.880000001"/>
    <n v="15000000"/>
    <n v="14600389.880000001"/>
    <n v="236"/>
    <s v="AMOMPY"/>
    <s v="Momentum Capital Investment S.A."/>
    <s v="02/07/2026"/>
    <s v="02/07/2026"/>
    <n v="27"/>
    <s v="No"/>
    <s v=""/>
    <m/>
    <m/>
    <s v="*PRO031100021"/>
    <s v="*PRO031100021"/>
    <n v="1.9410588803752993E-4"/>
  </r>
  <r>
    <x v="6"/>
    <s v="Pesos"/>
    <d v="2026-11-05T00:00:00"/>
    <s v="29/09/2026"/>
    <n v="0.97335932999999997"/>
    <m/>
    <n v="25000000"/>
    <n v="24333983.25"/>
    <n v="25000000"/>
    <n v="24333983.25"/>
    <n v="9508922"/>
    <s v="AMOMPY"/>
    <s v="Momentum Capital Investment S.A."/>
    <s v="13/07/2026"/>
    <s v="13/07/2026"/>
    <n v="27"/>
    <s v="No"/>
    <s v=""/>
    <m/>
    <m/>
    <s v="*PRO031100022"/>
    <s v="*PRO031100022"/>
    <n v="3.2350981494691625E-4"/>
  </r>
  <r>
    <x v="275"/>
    <s v="Pesos"/>
    <d v="2026-11-05T00:00:00"/>
    <s v="29/09/2026"/>
    <n v="0.96479179999999998"/>
    <m/>
    <n v="3140560.45"/>
    <n v="3029986.98"/>
    <n v="3140560.45"/>
    <n v="3029986.98"/>
    <n v="1114"/>
    <s v="AMOMPY"/>
    <s v="Momentum Capital Investment S.A."/>
    <s v="02/09/2026"/>
    <s v="02/09/2026"/>
    <n v="36"/>
    <s v="No"/>
    <s v=""/>
    <m/>
    <m/>
    <s v="*MAV031101415"/>
    <s v="*MAV031101415"/>
    <n v="4.0282370424963847E-5"/>
  </r>
  <r>
    <x v="275"/>
    <s v="Pesos"/>
    <d v="2026-11-05T00:00:00"/>
    <s v="29/09/2026"/>
    <n v="0.96479197000000005"/>
    <m/>
    <n v="3256800.5"/>
    <n v="3142134.98"/>
    <n v="3256800.5"/>
    <n v="3142134.98"/>
    <n v="1281"/>
    <s v="AMOMPY"/>
    <s v="Momentum Capital Investment S.A."/>
    <s v="22/09/2026"/>
    <s v="22/09/2026"/>
    <n v="36"/>
    <s v="No"/>
    <s v=""/>
    <m/>
    <m/>
    <s v="*MAV031101538"/>
    <s v="*MAV031101538"/>
    <n v="4.17733297288282E-5"/>
  </r>
  <r>
    <x v="35"/>
    <s v="Pesos"/>
    <d v="2026-11-05T00:00:00"/>
    <s v="29/09/2026"/>
    <n v="0.96668259999999995"/>
    <m/>
    <n v="1020845.65"/>
    <n v="986833.73"/>
    <n v="1020845.65"/>
    <n v="986833.73"/>
    <n v="2911"/>
    <s v="AMOMPY"/>
    <s v="Momentum Capital Investment S.A."/>
    <s v="16/07/2026"/>
    <s v="16/07/2026"/>
    <n v="34"/>
    <s v="No"/>
    <s v=""/>
    <m/>
    <m/>
    <s v="*MAV031101243"/>
    <s v="*MAV031101243"/>
    <n v="1.3119528935965513E-5"/>
  </r>
  <r>
    <x v="35"/>
    <s v="Pesos"/>
    <d v="2026-11-05T00:00:00"/>
    <s v="29/09/2026"/>
    <n v="0.96668259999999995"/>
    <m/>
    <n v="990902.64"/>
    <n v="957888.34"/>
    <n v="990902.64"/>
    <n v="957888.34"/>
    <n v="2961"/>
    <s v="AMOMPY"/>
    <s v="Momentum Capital Investment S.A."/>
    <s v="16/07/2026"/>
    <s v="16/07/2026"/>
    <n v="34"/>
    <s v="No"/>
    <s v=""/>
    <m/>
    <m/>
    <s v="*MAV031101242"/>
    <s v="*MAV031101242"/>
    <n v="1.2734712456630329E-5"/>
  </r>
  <r>
    <x v="8"/>
    <s v="Pesos"/>
    <d v="2026-11-05T00:00:00"/>
    <s v="29/09/2026"/>
    <n v="0.97239986"/>
    <m/>
    <n v="60000000"/>
    <n v="58343991.439999998"/>
    <n v="60000000"/>
    <n v="58343991.439999998"/>
    <n v="99"/>
    <s v="AMOMPY"/>
    <s v="Momentum Capital Investment S.A."/>
    <s v="16/07/2026"/>
    <s v="16/07/2026"/>
    <n v="28"/>
    <s v="No"/>
    <s v=""/>
    <m/>
    <m/>
    <s v="*MIL031100026"/>
    <s v="*MIL031100026"/>
    <n v="7.7565820934880709E-4"/>
  </r>
  <r>
    <x v="179"/>
    <s v="Pesos"/>
    <d v="2026-11-05T00:00:00"/>
    <s v="29/09/2026"/>
    <n v="0.96858089999999997"/>
    <m/>
    <n v="475000000"/>
    <n v="460075925.88999999"/>
    <n v="475000000"/>
    <n v="460075925.88999999"/>
    <n v="1281"/>
    <s v="AMOMPY"/>
    <s v="Momentum Capital Investment S.A."/>
    <s v="16/09/2026"/>
    <s v="16/09/2026"/>
    <n v="32"/>
    <s v="No"/>
    <s v=""/>
    <m/>
    <m/>
    <s v="*MAV031101509"/>
    <s v="*MAV031101509"/>
    <n v="6.1165110585092988E-3"/>
  </r>
  <r>
    <x v="214"/>
    <s v="Pesos"/>
    <d v="2026-11-05T00:00:00"/>
    <s v="29/09/2026"/>
    <n v="0.96573635000000002"/>
    <m/>
    <n v="50000000"/>
    <n v="48286817.520000003"/>
    <n v="50000000"/>
    <n v="48286817.520000003"/>
    <n v="69489833"/>
    <s v="AMOMPY"/>
    <s v="Momentum Capital Investment S.A."/>
    <s v="03/09/2026"/>
    <s v="03/09/2026"/>
    <n v="35"/>
    <s v="No"/>
    <s v=""/>
    <m/>
    <m/>
    <s v="*MAV031101423"/>
    <s v="*MAV031101423"/>
    <n v="6.4195241854909696E-4"/>
  </r>
  <r>
    <x v="116"/>
    <s v="Pesos"/>
    <d v="2026-11-05T00:00:00"/>
    <s v="29/09/2026"/>
    <n v="0.96858085999999999"/>
    <m/>
    <n v="9915945.7599999998"/>
    <n v="9604395.3000000007"/>
    <n v="9915945.7599999998"/>
    <n v="9604395.3000000007"/>
    <n v="69407769"/>
    <s v="AMOMPY"/>
    <s v="Momentum Capital Investment S.A."/>
    <s v="01/09/2026"/>
    <s v="01/09/2026"/>
    <n v="32"/>
    <s v="No"/>
    <s v=""/>
    <m/>
    <m/>
    <s v="*MAV031101406"/>
    <s v="*MAV031101406"/>
    <n v="1.2768629427654563E-4"/>
  </r>
  <r>
    <x v="117"/>
    <s v="Pesos"/>
    <d v="2026-11-05T00:00:00"/>
    <s v="29/09/2026"/>
    <n v="0.96953283999999995"/>
    <m/>
    <n v="1598248"/>
    <n v="1549553.93"/>
    <n v="1598248"/>
    <n v="1549553.93"/>
    <n v="11999346"/>
    <s v="AMOMPY"/>
    <s v="Momentum Capital Investment S.A."/>
    <s v="02/09/2026"/>
    <s v="02/09/2026"/>
    <n v="31"/>
    <s v="No"/>
    <s v=""/>
    <m/>
    <m/>
    <s v="*MAV031101416"/>
    <s v="*MAV031101416"/>
    <n v="2.0600651360461786E-5"/>
  </r>
  <r>
    <x v="276"/>
    <s v="Pesos"/>
    <d v="2026-11-05T00:00:00"/>
    <s v="29/09/2026"/>
    <n v="0.96858082999999995"/>
    <m/>
    <n v="4758168.4800000004"/>
    <n v="4608670.79"/>
    <n v="4758168.4800000004"/>
    <n v="4608670.79"/>
    <n v="90022875"/>
    <s v="AMOMPY"/>
    <s v="Momentum Capital Investment S.A."/>
    <s v="04/09/2026"/>
    <s v="04/09/2026"/>
    <n v="32"/>
    <s v="No"/>
    <s v=""/>
    <m/>
    <m/>
    <s v="*MAV031101429"/>
    <s v="*MAV031101429"/>
    <n v="6.1270290979762151E-5"/>
  </r>
  <r>
    <x v="37"/>
    <s v="Pesos"/>
    <d v="2026-11-05T00:00:00"/>
    <s v="29/09/2026"/>
    <n v="0.97048657999999999"/>
    <m/>
    <n v="5568708.9100000001"/>
    <n v="5404357.2599999998"/>
    <n v="5568708.9100000001"/>
    <n v="5404357.2599999998"/>
    <n v="23042"/>
    <s v="AMOMPY"/>
    <s v="Momentum Capital Investment S.A."/>
    <s v="15/09/2026"/>
    <s v="15/09/2026"/>
    <n v="30"/>
    <s v="No"/>
    <s v=""/>
    <m/>
    <m/>
    <s v="*AFB031100008"/>
    <s v="*AFB031100008"/>
    <n v="7.1848599513177661E-5"/>
  </r>
  <r>
    <x v="45"/>
    <s v="Pesos"/>
    <d v="2026-11-05T00:00:00"/>
    <s v="29/09/2026"/>
    <n v="0.97048659000000004"/>
    <m/>
    <n v="11923076.92"/>
    <n v="11571186.220000001"/>
    <n v="11923076.92"/>
    <n v="11571186.220000001"/>
    <n v="90021990"/>
    <s v="AMOMPY"/>
    <s v="Momentum Capital Investment S.A."/>
    <s v="11/05/2026"/>
    <s v="11/05/2026"/>
    <n v="30"/>
    <s v="No"/>
    <s v=""/>
    <m/>
    <m/>
    <s v="*NEU031100019"/>
    <s v="*NEU031100019"/>
    <n v="1.5383393151421304E-4"/>
  </r>
  <r>
    <x v="273"/>
    <s v="Pesos"/>
    <d v="2026-11-05T00:00:00"/>
    <s v="29/09/2026"/>
    <n v="0.96763083999999999"/>
    <m/>
    <n v="40000000"/>
    <n v="38705233.579999998"/>
    <n v="40000000"/>
    <n v="38705233.579999998"/>
    <n v="11405027"/>
    <s v="AMOMPY"/>
    <s v="Momentum Capital Investment S.A."/>
    <s v="09/09/2026"/>
    <s v="09/09/2026"/>
    <n v="33"/>
    <s v="No"/>
    <s v=""/>
    <m/>
    <m/>
    <s v="*MAV031101468"/>
    <s v="*MAV031101468"/>
    <n v="5.1456939146791634E-4"/>
  </r>
  <r>
    <x v="277"/>
    <s v="Pesos"/>
    <d v="2026-11-05T00:00:00"/>
    <s v="29/09/2026"/>
    <n v="0.97432081999999998"/>
    <m/>
    <n v="50000000"/>
    <n v="48716040.759999998"/>
    <n v="50000000"/>
    <n v="48716040.759999998"/>
    <n v="1372559"/>
    <s v="AMOMPY"/>
    <s v="Momentum Capital Investment S.A."/>
    <s v="25/09/2026"/>
    <s v="25/09/2026"/>
    <n v="26"/>
    <s v="No"/>
    <s v=""/>
    <m/>
    <m/>
    <s v="*ARP031100237"/>
    <s v="*ARP031100237"/>
    <n v="6.4765875645180404E-4"/>
  </r>
  <r>
    <x v="60"/>
    <s v="Pesos"/>
    <d v="2026-11-05T00:00:00"/>
    <s v="29/09/2026"/>
    <n v="0.9629084"/>
    <m/>
    <n v="170000000"/>
    <n v="163694427.97999999"/>
    <n v="170000000"/>
    <n v="163694427.97999999"/>
    <n v="70406571"/>
    <s v="AMOMPY"/>
    <s v="Momentum Capital Investment S.A."/>
    <s v="10/09/2026"/>
    <s v="10/09/2026"/>
    <n v="38"/>
    <s v="No"/>
    <s v=""/>
    <m/>
    <m/>
    <s v="*MAV031101476"/>
    <s v="*MAV031101476"/>
    <n v="2.1762468379956292E-3"/>
  </r>
  <r>
    <x v="19"/>
    <s v="Pesos"/>
    <d v="2026-11-05T00:00:00"/>
    <s v="29/09/2026"/>
    <n v="0.96290829"/>
    <m/>
    <n v="60000000"/>
    <n v="57774497.119999997"/>
    <n v="60000000"/>
    <n v="57774497.119999997"/>
    <n v="70393049"/>
    <s v="AMOMPY"/>
    <s v="Momentum Capital Investment S.A."/>
    <s v="01/09/2026"/>
    <s v="01/09/2026"/>
    <n v="38"/>
    <s v="No"/>
    <s v=""/>
    <m/>
    <m/>
    <s v="*MAV031101409"/>
    <s v="*MAV031101409"/>
    <n v="7.680870279197856E-4"/>
  </r>
  <r>
    <x v="37"/>
    <s v="Pesos"/>
    <d v="2026-11-05T00:00:00"/>
    <s v="29/09/2026"/>
    <n v="0.97335945999999995"/>
    <m/>
    <n v="2500000"/>
    <n v="2433398.65"/>
    <n v="2500000"/>
    <n v="2433398.65"/>
    <n v="69814628"/>
    <s v="AMOMPY"/>
    <s v="Momentum Capital Investment S.A."/>
    <s v="18/09/2026"/>
    <s v="18/09/2026"/>
    <n v="27"/>
    <s v="No"/>
    <s v=""/>
    <m/>
    <m/>
    <s v="*AFB031100009"/>
    <s v="*AFB031100009"/>
    <n v="3.235098581542649E-5"/>
  </r>
  <r>
    <x v="130"/>
    <s v="Pesos"/>
    <d v="2026-11-05T00:00:00"/>
    <s v="29/09/2026"/>
    <n v="0.96196932999999996"/>
    <m/>
    <n v="3750000"/>
    <n v="3607384.99"/>
    <n v="3750000"/>
    <n v="3607384.99"/>
    <n v="66918287"/>
    <s v="AMOMPY"/>
    <s v="Momentum Capital Investment S.A."/>
    <s v="13/05/2026"/>
    <s v="13/05/2026"/>
    <n v="39"/>
    <s v="No"/>
    <s v=""/>
    <m/>
    <m/>
    <s v="*MAV031101211"/>
    <s v="*MAV031101211"/>
    <n v="4.7958628004610931E-5"/>
  </r>
  <r>
    <x v="210"/>
    <s v="Pesos"/>
    <d v="2026-11-05T00:00:00"/>
    <s v="29/09/2026"/>
    <n v="0.96763078000000002"/>
    <m/>
    <n v="1300000"/>
    <n v="1257920.02"/>
    <n v="1300000"/>
    <n v="1257920.02"/>
    <n v="555"/>
    <s v="AMOMPY"/>
    <s v="Momentum Capital Investment S.A."/>
    <s v="01/09/2026"/>
    <s v="01/09/2026"/>
    <n v="33"/>
    <s v="No"/>
    <s v=""/>
    <m/>
    <m/>
    <s v="*MAV031101400"/>
    <s v="*MAV031101400"/>
    <n v="1.6723504274139795E-5"/>
  </r>
  <r>
    <x v="135"/>
    <s v="Pesos"/>
    <d v="2026-11-05T00:00:00"/>
    <s v="29/09/2026"/>
    <n v="0.96858100000000003"/>
    <m/>
    <n v="20000000"/>
    <n v="19371619.91"/>
    <n v="20000000"/>
    <n v="19371619.91"/>
    <n v="727"/>
    <s v="AMOMPY"/>
    <s v="Momentum Capital Investment S.A."/>
    <s v="21/09/2026"/>
    <s v="21/09/2026"/>
    <n v="32"/>
    <s v="No"/>
    <s v=""/>
    <m/>
    <m/>
    <s v="*MAV031101530"/>
    <s v="*MAV031101530"/>
    <n v="2.5753733402056561E-4"/>
  </r>
  <r>
    <x v="21"/>
    <s v="Pesos"/>
    <d v="2026-11-05T00:00:00"/>
    <s v="29/09/2026"/>
    <n v="0.96858085999999999"/>
    <m/>
    <n v="10000000"/>
    <n v="9685808.6300000008"/>
    <n v="10000000"/>
    <n v="9685808.6300000008"/>
    <n v="14422572"/>
    <s v="AMOMPY"/>
    <s v="Momentum Capital Investment S.A."/>
    <s v="01/09/2026"/>
    <s v="01/09/2026"/>
    <n v="32"/>
    <s v="No"/>
    <s v=""/>
    <m/>
    <m/>
    <s v="*MAV031101401"/>
    <s v="*MAV031101401"/>
    <n v="1.2876864939497911E-4"/>
  </r>
  <r>
    <x v="172"/>
    <s v="Pesos"/>
    <d v="2026-11-05T00:00:00"/>
    <s v="29/09/2026"/>
    <n v="0.97528395000000001"/>
    <m/>
    <n v="15000000"/>
    <n v="14629259.199999999"/>
    <n v="15000000"/>
    <n v="14629259.199999999"/>
    <n v="69911195"/>
    <s v="AMOMPY"/>
    <s v="Momentum Capital Investment S.A."/>
    <s v="23/09/2026"/>
    <s v="23/09/2026"/>
    <n v="25"/>
    <s v="No"/>
    <s v=""/>
    <m/>
    <m/>
    <s v="*TRD031100028"/>
    <s v="*TRD031100028"/>
    <n v="1.9448969319901506E-4"/>
  </r>
  <r>
    <x v="50"/>
    <s v="Pesos"/>
    <d v="2026-11-05T00:00:00"/>
    <s v="29/09/2026"/>
    <n v="0.96668255999999997"/>
    <m/>
    <n v="200000000"/>
    <n v="193336511.46000001"/>
    <n v="200000000"/>
    <n v="193336511.46000001"/>
    <n v="90004087"/>
    <s v="AMOMPY"/>
    <s v="Momentum Capital Investment S.A."/>
    <s v="24/08/2026"/>
    <s v="24/08/2026"/>
    <n v="34"/>
    <s v="No"/>
    <s v=""/>
    <m/>
    <m/>
    <s v="*MAV031101373"/>
    <s v="*MAV031101373"/>
    <n v="2.570325556746118E-3"/>
  </r>
  <r>
    <x v="27"/>
    <s v="Pesos"/>
    <d v="2026-11-05T00:00:00"/>
    <s v="29/09/2026"/>
    <n v="0.97335934000000002"/>
    <m/>
    <n v="1000000"/>
    <n v="973359.34"/>
    <n v="1000000"/>
    <n v="973359.34"/>
    <n v="11485"/>
    <s v="AMOMPY"/>
    <s v="Momentum Capital Investment S.A."/>
    <s v="23/09/2026"/>
    <s v="23/09/2026"/>
    <n v="27"/>
    <s v="No"/>
    <s v=""/>
    <m/>
    <m/>
    <s v="*MOV031100057"/>
    <s v="*MOV031100057"/>
    <n v="1.2940392730822338E-5"/>
  </r>
  <r>
    <x v="27"/>
    <s v="Pesos"/>
    <d v="2026-11-05T00:00:00"/>
    <s v="29/09/2026"/>
    <n v="0.97240000000000004"/>
    <m/>
    <n v="1500000"/>
    <n v="1458600"/>
    <n v="1500000"/>
    <n v="1458600"/>
    <n v="14315893"/>
    <s v="AMOMPY"/>
    <s v="Momentum Capital Investment S.A."/>
    <s v="18/09/2026"/>
    <s v="18/09/2026"/>
    <n v="28"/>
    <s v="No"/>
    <s v=""/>
    <m/>
    <m/>
    <s v="*MOV031100056"/>
    <s v="*MOV031100056"/>
    <n v="1.9391458078757903E-5"/>
  </r>
  <r>
    <x v="27"/>
    <s v="Pesos"/>
    <d v="2026-11-05T00:00:00"/>
    <s v="29/09/2026"/>
    <n v="0.97432079000000005"/>
    <m/>
    <n v="10000000"/>
    <n v="9743207.8599999994"/>
    <n v="10000000"/>
    <n v="9743207.8599999994"/>
    <n v="22806"/>
    <s v="AMOMPY"/>
    <s v="Momentum Capital Investment S.A."/>
    <s v="28/09/2026"/>
    <s v="28/09/2026"/>
    <n v="26"/>
    <s v="No"/>
    <s v=""/>
    <m/>
    <m/>
    <s v="*MOV031100058"/>
    <s v="*MOV031100058"/>
    <n v="1.295317474083467E-4"/>
  </r>
  <r>
    <x v="28"/>
    <s v="Pesos"/>
    <d v="2026-11-05T00:00:00"/>
    <s v="29/09/2026"/>
    <n v="0.96763083999999999"/>
    <m/>
    <n v="2500000"/>
    <n v="2419077.11"/>
    <n v="2500000"/>
    <n v="2419077.11"/>
    <n v="1011"/>
    <s v="AMOMPY"/>
    <s v="Momentum Capital Investment S.A."/>
    <s v="19/08/2026"/>
    <s v="19/08/2026"/>
    <n v="33"/>
    <s v="No"/>
    <s v=""/>
    <m/>
    <m/>
    <s v="*MAV031101354"/>
    <s v="*MAV031101354"/>
    <n v="3.2160587116308665E-5"/>
  </r>
  <r>
    <x v="28"/>
    <s v="Pesos"/>
    <d v="2026-11-05T00:00:00"/>
    <s v="29/09/2026"/>
    <n v="0.97048681999999997"/>
    <m/>
    <n v="5000000"/>
    <n v="4852434.08"/>
    <n v="5000000"/>
    <n v="4852434.08"/>
    <n v="1308"/>
    <s v="AMOMPY"/>
    <s v="Momentum Capital Investment S.A."/>
    <s v="29/09/2026"/>
    <s v="29/09/2026"/>
    <n v="30"/>
    <s v="No"/>
    <s v=""/>
    <m/>
    <m/>
    <s v="*MAV031101575"/>
    <s v="*MAV031101575"/>
    <n v="6.45110188141068E-5"/>
  </r>
  <r>
    <x v="89"/>
    <s v="Pesos"/>
    <d v="2026-11-09T00:00:00"/>
    <s v="29/09/2026"/>
    <n v="0.96950711000000001"/>
    <m/>
    <n v="7000000"/>
    <n v="6786549.7699999996"/>
    <n v="7000000"/>
    <n v="6786549.7699999996"/>
    <n v="6489"/>
    <s v="AMOMPY"/>
    <s v="Momentum Capital Investment S.A."/>
    <s v="17/09/2026"/>
    <s v="17/09/2026"/>
    <n v="28"/>
    <s v="No"/>
    <s v=""/>
    <m/>
    <m/>
    <s v="*INP041100056"/>
    <s v="*INP041100056"/>
    <n v="9.0224252957876795E-5"/>
  </r>
  <r>
    <x v="28"/>
    <s v="Pesos"/>
    <d v="2026-11-09T00:00:00"/>
    <s v="29/09/2026"/>
    <n v="0.96740000000000004"/>
    <m/>
    <n v="5000000"/>
    <n v="4837000"/>
    <n v="5000000"/>
    <n v="4837000"/>
    <n v="1207"/>
    <s v="AMOMPY"/>
    <s v="Momentum Capital Investment S.A."/>
    <s v="09/09/2026"/>
    <s v="09/09/2026"/>
    <n v="30"/>
    <s v="No"/>
    <s v=""/>
    <m/>
    <m/>
    <s v="*MAV041101338"/>
    <s v="*MAV041101338"/>
    <n v="6.4305829375395579E-5"/>
  </r>
  <r>
    <x v="28"/>
    <s v="Pesos"/>
    <d v="2026-11-09T00:00:00"/>
    <s v="29/09/2026"/>
    <n v="0.96740015000000001"/>
    <m/>
    <n v="4500000"/>
    <n v="4353300.68"/>
    <n v="4500000"/>
    <n v="4353300.68"/>
    <n v="1289"/>
    <s v="AMOMPY"/>
    <s v="Momentum Capital Investment S.A."/>
    <s v="22/09/2026"/>
    <s v="22/09/2026"/>
    <n v="30"/>
    <s v="No"/>
    <s v=""/>
    <m/>
    <m/>
    <s v="*MAV041101433"/>
    <s v="*MAV041101433"/>
    <n v="5.7875255478162813E-5"/>
  </r>
  <r>
    <x v="28"/>
    <s v="Pesos"/>
    <d v="2026-11-09T00:00:00"/>
    <s v="29/09/2026"/>
    <n v="0.96530205000000002"/>
    <m/>
    <n v="3000000"/>
    <n v="2895906.15"/>
    <n v="3000000"/>
    <n v="2895906.15"/>
    <n v="1050"/>
    <s v="AMOMPY"/>
    <s v="Momentum Capital Investment S.A."/>
    <s v="25/08/2026"/>
    <s v="25/08/2026"/>
    <n v="32"/>
    <s v="No"/>
    <s v=""/>
    <m/>
    <m/>
    <s v="*MAV041101231"/>
    <s v="*MAV041101231"/>
    <n v="3.849982360327862E-5"/>
  </r>
  <r>
    <x v="2"/>
    <s v="Pesos"/>
    <d v="2026-11-09T00:00:00"/>
    <s v="29/09/2026"/>
    <n v="0.96530212000000004"/>
    <m/>
    <n v="40000000"/>
    <n v="38612084.670000002"/>
    <n v="40000000"/>
    <n v="38612084.670000002"/>
    <n v="13953437"/>
    <s v="AMOMPY"/>
    <s v="Momentum Capital Investment S.A."/>
    <s v="22/07/2026"/>
    <s v="22/07/2026"/>
    <n v="32"/>
    <s v="No"/>
    <s v=""/>
    <m/>
    <m/>
    <s v="*MAV041101144"/>
    <s v="*MAV041101144"/>
    <n v="5.1333101687354706E-4"/>
  </r>
  <r>
    <x v="35"/>
    <s v="Pesos"/>
    <d v="2026-11-09T00:00:00"/>
    <s v="29/09/2026"/>
    <n v="0.96113342999999996"/>
    <m/>
    <n v="2510000.36"/>
    <n v="2412445.2599999998"/>
    <n v="2510000.36"/>
    <n v="2412445.2599999998"/>
    <n v="3159"/>
    <s v="AMOMPY"/>
    <s v="Momentum Capital Investment S.A."/>
    <s v="19/08/2026"/>
    <s v="19/08/2026"/>
    <n v="36"/>
    <s v="No"/>
    <s v=""/>
    <m/>
    <m/>
    <s v="*MAV041101208"/>
    <s v="*MAV041101208"/>
    <n v="3.2072419530089271E-5"/>
  </r>
  <r>
    <x v="35"/>
    <s v="Pesos"/>
    <d v="2026-11-09T00:00:00"/>
    <s v="29/09/2026"/>
    <n v="0.96113335"/>
    <m/>
    <n v="3625698.78"/>
    <n v="3484780"/>
    <n v="3625698.78"/>
    <n v="3484780"/>
    <n v="3351"/>
    <s v="AMOMPY"/>
    <s v="Momentum Capital Investment S.A."/>
    <s v="28/08/2026"/>
    <s v="28/08/2026"/>
    <n v="36"/>
    <s v="No"/>
    <s v=""/>
    <m/>
    <m/>
    <s v="*MAV041101251"/>
    <s v="*MAV041101251"/>
    <n v="4.6328647527556539E-5"/>
  </r>
  <r>
    <x v="35"/>
    <s v="Pesos"/>
    <d v="2026-11-09T00:00:00"/>
    <s v="29/09/2026"/>
    <n v="0.96217226"/>
    <m/>
    <n v="1555000.5"/>
    <n v="1496178.34"/>
    <n v="1555000.5"/>
    <n v="1496178.34"/>
    <n v="3579"/>
    <s v="AMOMPY"/>
    <s v="Momentum Capital Investment S.A."/>
    <s v="17/09/2026"/>
    <s v="17/09/2026"/>
    <n v="35"/>
    <s v="No"/>
    <s v=""/>
    <m/>
    <m/>
    <s v="*MAV041101398"/>
    <s v="*MAV041101398"/>
    <n v="1.9891045905975313E-5"/>
  </r>
  <r>
    <x v="35"/>
    <s v="Pesos"/>
    <d v="2026-11-09T00:00:00"/>
    <s v="29/09/2026"/>
    <n v="0.96217224999999995"/>
    <m/>
    <n v="1250300.6499999999"/>
    <n v="1203004.5900000001"/>
    <n v="1250300.6499999999"/>
    <n v="1203004.5900000001"/>
    <n v="3580"/>
    <s v="AMOMPY"/>
    <s v="Momentum Capital Investment S.A."/>
    <s v="17/09/2026"/>
    <s v="17/09/2026"/>
    <n v="35"/>
    <s v="No"/>
    <s v=""/>
    <m/>
    <m/>
    <s v="*MAV041101397"/>
    <s v="*MAV041101397"/>
    <n v="1.5993427310803746E-5"/>
  </r>
  <r>
    <x v="53"/>
    <s v="Pesos"/>
    <d v="2026-11-09T00:00:00"/>
    <s v="29/09/2026"/>
    <n v="0.96009683999999995"/>
    <m/>
    <n v="20000000"/>
    <n v="19201936.699999999"/>
    <n v="20000000"/>
    <n v="19201936.699999999"/>
    <n v="2595"/>
    <s v="AMOMPY"/>
    <s v="Momentum Capital Investment S.A."/>
    <s v="07/08/2026"/>
    <s v="07/08/2026"/>
    <n v="37"/>
    <s v="No"/>
    <s v=""/>
    <m/>
    <m/>
    <s v="*MAV041101177"/>
    <s v="*MAV041101177"/>
    <n v="2.5528146890786571E-4"/>
  </r>
  <r>
    <x v="119"/>
    <s v="Pesos"/>
    <d v="2026-11-09T00:00:00"/>
    <s v="29/09/2026"/>
    <n v="0.96634998999999999"/>
    <m/>
    <n v="1756706.4"/>
    <n v="1697593.21"/>
    <n v="1756706.4"/>
    <n v="1697593.21"/>
    <n v="501"/>
    <s v="AMOMPY"/>
    <s v="Momentum Capital Investment S.A."/>
    <s v="07/09/2026"/>
    <s v="07/09/2026"/>
    <n v="31"/>
    <s v="No"/>
    <s v=""/>
    <m/>
    <m/>
    <s v="*MAV041101292"/>
    <s v="*MAV041101292"/>
    <n v="2.2568769756272498E-5"/>
  </r>
  <r>
    <x v="244"/>
    <s v="Pesos"/>
    <d v="2026-11-09T00:00:00"/>
    <s v="29/09/2026"/>
    <n v="0.96425667999999998"/>
    <m/>
    <n v="5300000"/>
    <n v="5110560.3899999997"/>
    <n v="5300000"/>
    <n v="5110560.3899999997"/>
    <n v="8175675"/>
    <s v="AMOMPY"/>
    <s v="Momentum Capital Investment S.A."/>
    <s v="15/09/2026"/>
    <s v="15/09/2026"/>
    <n v="33"/>
    <s v="No"/>
    <s v=""/>
    <m/>
    <m/>
    <s v="*MAV041101372"/>
    <s v="*MAV041101372"/>
    <n v="6.7942696806283864E-5"/>
  </r>
  <r>
    <x v="275"/>
    <s v="Pesos"/>
    <d v="2026-11-09T00:00:00"/>
    <s v="29/09/2026"/>
    <n v="0.96113342000000002"/>
    <m/>
    <n v="3140560.45"/>
    <n v="3018497.61"/>
    <n v="3140560.45"/>
    <n v="3018497.61"/>
    <n v="1115"/>
    <s v="AMOMPY"/>
    <s v="Momentum Capital Investment S.A."/>
    <s v="02/09/2026"/>
    <s v="02/09/2026"/>
    <n v="36"/>
    <s v="No"/>
    <s v=""/>
    <m/>
    <m/>
    <s v="*MAV041101266"/>
    <s v="*MAV041101266"/>
    <n v="4.0129624204816898E-5"/>
  </r>
  <r>
    <x v="275"/>
    <s v="Pesos"/>
    <d v="2026-11-09T00:00:00"/>
    <s v="29/09/2026"/>
    <n v="0.96113358999999998"/>
    <m/>
    <n v="1555000.5"/>
    <n v="1494563.22"/>
    <n v="1555000.5"/>
    <n v="1494563.22"/>
    <n v="1283"/>
    <s v="AMOMPY"/>
    <s v="Momentum Capital Investment S.A."/>
    <s v="22/09/2026"/>
    <s v="22/09/2026"/>
    <n v="36"/>
    <s v="No"/>
    <s v=""/>
    <m/>
    <m/>
    <s v="*MAV041101434"/>
    <s v="*MAV041101434"/>
    <n v="1.9869573581985072E-5"/>
  </r>
  <r>
    <x v="275"/>
    <s v="Pesos"/>
    <d v="2026-11-09T00:00:00"/>
    <s v="29/09/2026"/>
    <n v="0.96113358000000004"/>
    <m/>
    <n v="1250300.6499999999"/>
    <n v="1201705.94"/>
    <n v="1250300.6499999999"/>
    <n v="1201705.94"/>
    <n v="1282"/>
    <s v="AMOMPY"/>
    <s v="Momentum Capital Investment S.A."/>
    <s v="22/09/2026"/>
    <s v="22/09/2026"/>
    <n v="36"/>
    <s v="No"/>
    <s v=""/>
    <m/>
    <m/>
    <s v="*MAV041101435"/>
    <s v="*MAV041101435"/>
    <n v="1.5976162319007516E-5"/>
  </r>
  <r>
    <x v="35"/>
    <s v="Pesos"/>
    <d v="2026-11-09T00:00:00"/>
    <s v="29/09/2026"/>
    <n v="0.96425649000000002"/>
    <m/>
    <n v="2502550.36"/>
    <n v="2413100.4300000002"/>
    <n v="2502550.36"/>
    <n v="2413100.4300000002"/>
    <n v="3134"/>
    <s v="AMOMPY"/>
    <s v="Momentum Capital Investment S.A."/>
    <s v="27/07/2026"/>
    <s v="27/07/2026"/>
    <n v="33"/>
    <s v="No"/>
    <s v=""/>
    <m/>
    <m/>
    <s v="*MAV041101148"/>
    <s v="*MAV041101148"/>
    <n v="3.2081129732742134E-5"/>
  </r>
  <r>
    <x v="35"/>
    <s v="Pesos"/>
    <d v="2026-11-09T00:00:00"/>
    <s v="29/09/2026"/>
    <n v="0.96425649000000002"/>
    <m/>
    <n v="2502550.36"/>
    <n v="2413100.4300000002"/>
    <n v="2502550.36"/>
    <n v="2413100.4300000002"/>
    <n v="3144"/>
    <s v="AMOMPY"/>
    <s v="Momentum Capital Investment S.A."/>
    <s v="27/07/2026"/>
    <s v="27/07/2026"/>
    <n v="33"/>
    <s v="No"/>
    <s v=""/>
    <m/>
    <m/>
    <s v="*MAV041101149"/>
    <s v="*MAV041101149"/>
    <n v="3.2081129732742134E-5"/>
  </r>
  <r>
    <x v="35"/>
    <s v="Pesos"/>
    <d v="2026-11-09T00:00:00"/>
    <s v="29/09/2026"/>
    <n v="0.96425649000000002"/>
    <m/>
    <n v="2250000"/>
    <n v="2169577.11"/>
    <n v="2250000"/>
    <n v="2169577.11"/>
    <n v="3059"/>
    <s v="AMOMPY"/>
    <s v="Momentum Capital Investment S.A."/>
    <s v="27/07/2026"/>
    <s v="27/07/2026"/>
    <n v="33"/>
    <s v="No"/>
    <s v=""/>
    <m/>
    <m/>
    <s v="*MAV041101150"/>
    <s v="*MAV041101150"/>
    <n v="2.8843592196076873E-5"/>
  </r>
  <r>
    <x v="35"/>
    <s v="Pesos"/>
    <d v="2026-11-09T00:00:00"/>
    <s v="29/09/2026"/>
    <n v="0.96321323000000003"/>
    <m/>
    <n v="990902.64"/>
    <n v="954450.53"/>
    <n v="990902.64"/>
    <n v="954450.53"/>
    <n v="2962"/>
    <s v="AMOMPY"/>
    <s v="Momentum Capital Investment S.A."/>
    <s v="16/07/2026"/>
    <s v="16/07/2026"/>
    <n v="34"/>
    <s v="No"/>
    <s v=""/>
    <m/>
    <m/>
    <s v="*MAV041101132"/>
    <s v="*MAV041101132"/>
    <n v="1.2689008255000182E-5"/>
  </r>
  <r>
    <x v="35"/>
    <s v="Pesos"/>
    <d v="2026-11-09T00:00:00"/>
    <s v="29/09/2026"/>
    <n v="0.96321319000000005"/>
    <m/>
    <n v="1020845.65"/>
    <n v="983292"/>
    <n v="1020845.65"/>
    <n v="983292"/>
    <n v="2912"/>
    <s v="AMOMPY"/>
    <s v="Momentum Capital Investment S.A."/>
    <s v="16/07/2026"/>
    <s v="16/07/2026"/>
    <n v="34"/>
    <s v="No"/>
    <s v=""/>
    <m/>
    <m/>
    <s v="*MAV041101131"/>
    <s v="*MAV041101131"/>
    <n v="1.307244316274374E-5"/>
  </r>
  <r>
    <x v="8"/>
    <s v="Pesos"/>
    <d v="2026-11-09T00:00:00"/>
    <s v="29/09/2026"/>
    <n v="0.96739997"/>
    <m/>
    <n v="10000000"/>
    <n v="9673999.6899999995"/>
    <n v="10000000"/>
    <n v="9673999.6899999995"/>
    <n v="108"/>
    <s v="AMOMPY"/>
    <s v="Momentum Capital Investment S.A."/>
    <s v="14/08/2026"/>
    <s v="14/08/2026"/>
    <n v="30"/>
    <s v="No"/>
    <s v=""/>
    <m/>
    <m/>
    <s v="*MIL041100025"/>
    <s v="*MIL041100025"/>
    <n v="1.2861165462947481E-4"/>
  </r>
  <r>
    <x v="179"/>
    <s v="Pesos"/>
    <d v="2026-11-09T00:00:00"/>
    <s v="29/09/2026"/>
    <n v="0.96530209"/>
    <m/>
    <n v="475000000"/>
    <n v="458518492.56"/>
    <n v="475000000"/>
    <n v="458518492.56"/>
    <n v="931"/>
    <s v="AMOMPY"/>
    <s v="Momentum Capital Investment S.A."/>
    <s v="14/07/2026"/>
    <s v="14/07/2026"/>
    <n v="32"/>
    <s v="No"/>
    <s v=""/>
    <m/>
    <m/>
    <s v="*MAV041101126"/>
    <s v="*MAV041101126"/>
    <n v="6.0958056539232881E-3"/>
  </r>
  <r>
    <x v="192"/>
    <s v="Pesos"/>
    <d v="2026-11-09T00:00:00"/>
    <s v="29/09/2026"/>
    <n v="0.96530207000000001"/>
    <m/>
    <n v="50000000"/>
    <n v="48265103.329999998"/>
    <n v="50000000"/>
    <n v="48265103.329999998"/>
    <n v="5358"/>
    <s v="AMOMPY"/>
    <s v="Momentum Capital Investment S.A."/>
    <s v="16/09/2026"/>
    <s v="16/09/2026"/>
    <n v="32"/>
    <s v="No"/>
    <s v=""/>
    <m/>
    <m/>
    <s v="*MAV041101388"/>
    <s v="*MAV041101388"/>
    <n v="6.4166373775580252E-4"/>
  </r>
  <r>
    <x v="111"/>
    <s v="Pesos"/>
    <d v="2026-11-09T00:00:00"/>
    <s v="29/09/2026"/>
    <n v="0.96530205999999996"/>
    <m/>
    <n v="105000000"/>
    <n v="101356716.23"/>
    <n v="105000000"/>
    <n v="101356716.23"/>
    <n v="322"/>
    <s v="AMOMPY"/>
    <s v="Momentum Capital Investment S.A."/>
    <s v="18/08/2026"/>
    <s v="18/08/2026"/>
    <n v="32"/>
    <s v="No"/>
    <s v=""/>
    <m/>
    <m/>
    <s v="*MAV041101202"/>
    <s v="*MAV041101202"/>
    <n v="1.3474938391434294E-3"/>
  </r>
  <r>
    <x v="118"/>
    <s v="Pesos"/>
    <d v="2026-11-09T00:00:00"/>
    <s v="29/09/2026"/>
    <n v="0.96530218999999995"/>
    <m/>
    <n v="13000000"/>
    <n v="12548928.470000001"/>
    <n v="13000000"/>
    <n v="12548928.470000001"/>
    <n v="1306"/>
    <s v="AMOMPY"/>
    <s v="Momentum Capital Investment S.A."/>
    <s v="04/09/2026"/>
    <s v="04/09/2026"/>
    <n v="32"/>
    <s v="No"/>
    <s v=""/>
    <m/>
    <m/>
    <s v="*MAV041101282"/>
    <s v="*MAV041101282"/>
    <n v="1.6683259314365597E-4"/>
  </r>
  <r>
    <x v="277"/>
    <s v="Pesos"/>
    <d v="2026-11-09T00:00:00"/>
    <s v="29/09/2026"/>
    <n v="0.97162342999999995"/>
    <m/>
    <n v="150000000"/>
    <n v="145743514.03999999"/>
    <n v="150000000"/>
    <n v="145743514.03999999"/>
    <n v="1372557"/>
    <s v="AMOMPY"/>
    <s v="Momentum Capital Investment S.A."/>
    <s v="25/09/2026"/>
    <s v="25/09/2026"/>
    <n v="26"/>
    <s v="No"/>
    <s v=""/>
    <m/>
    <m/>
    <s v="*ARP041100244"/>
    <s v="*ARP041100244"/>
    <n v="1.9375971772641739E-3"/>
  </r>
  <r>
    <x v="130"/>
    <s v="Pesos"/>
    <d v="2026-11-09T00:00:00"/>
    <s v="29/09/2026"/>
    <n v="0.96321319999999999"/>
    <m/>
    <n v="6200000"/>
    <n v="5971921.8700000001"/>
    <n v="6200000"/>
    <n v="5971921.8700000001"/>
    <n v="69261919"/>
    <s v="AMOMPY"/>
    <s v="Momentum Capital Investment S.A."/>
    <s v="25/08/2026"/>
    <s v="25/08/2026"/>
    <n v="34"/>
    <s v="No"/>
    <s v=""/>
    <m/>
    <m/>
    <s v="*MAV041101230"/>
    <s v="*MAV041101230"/>
    <n v="7.9394126279804273E-5"/>
  </r>
  <r>
    <x v="213"/>
    <s v="Pesos"/>
    <d v="2026-11-09T00:00:00"/>
    <s v="29/09/2026"/>
    <n v="0.96113342999999996"/>
    <m/>
    <n v="1555000.5"/>
    <n v="1494562.96"/>
    <n v="1555000.5"/>
    <n v="1494562.96"/>
    <n v="503"/>
    <s v="AMOMPY"/>
    <s v="Momentum Capital Investment S.A."/>
    <s v="19/08/2026"/>
    <s v="19/08/2026"/>
    <n v="36"/>
    <s v="No"/>
    <s v=""/>
    <m/>
    <m/>
    <s v="*MAV041101207"/>
    <s v="*MAV041101207"/>
    <n v="1.9869570125397182E-5"/>
  </r>
  <r>
    <x v="210"/>
    <s v="Pesos"/>
    <d v="2026-11-09T00:00:00"/>
    <s v="29/09/2026"/>
    <n v="0.96425649999999996"/>
    <m/>
    <n v="1300000"/>
    <n v="1253533.45"/>
    <n v="1300000"/>
    <n v="1253533.45"/>
    <n v="556"/>
    <s v="AMOMPY"/>
    <s v="Momentum Capital Investment S.A."/>
    <s v="01/09/2026"/>
    <s v="01/09/2026"/>
    <n v="33"/>
    <s v="No"/>
    <s v=""/>
    <m/>
    <m/>
    <s v="*MAV041101258"/>
    <s v="*MAV041101258"/>
    <n v="1.6665186717397346E-5"/>
  </r>
  <r>
    <x v="278"/>
    <s v="Pesos"/>
    <d v="2026-11-09T00:00:00"/>
    <s v="29/09/2026"/>
    <n v="0.96425667000000004"/>
    <m/>
    <n v="1936748.66"/>
    <n v="1867522.82"/>
    <n v="1936748.66"/>
    <n v="1867522.82"/>
    <n v="69517547"/>
    <s v="AMOMPY"/>
    <s v="Momentum Capital Investment S.A."/>
    <s v="15/09/2026"/>
    <s v="15/09/2026"/>
    <n v="33"/>
    <s v="No"/>
    <s v=""/>
    <m/>
    <m/>
    <s v="*MAV041101371"/>
    <s v="*MAV041101371"/>
    <n v="2.4827910650729291E-5"/>
  </r>
  <r>
    <x v="102"/>
    <s v="Pesos"/>
    <d v="2026-11-09T00:00:00"/>
    <s v="29/09/2026"/>
    <n v="0.97268491000000001"/>
    <m/>
    <n v="12000000"/>
    <n v="11672218.9"/>
    <n v="12000000"/>
    <n v="11672218.9"/>
    <n v="34561"/>
    <s v="AMOMPY"/>
    <s v="Momentum Capital Investment S.A."/>
    <s v="31/07/2026"/>
    <s v="31/07/2026"/>
    <n v="25"/>
    <s v="No"/>
    <s v=""/>
    <m/>
    <m/>
    <s v="*MAV041101160"/>
    <s v="*MAV041101160"/>
    <n v="1.5517711743139704E-4"/>
  </r>
  <r>
    <x v="21"/>
    <s v="Pesos"/>
    <d v="2026-11-09T00:00:00"/>
    <s v="29/09/2026"/>
    <n v="0.96425658999999997"/>
    <m/>
    <n v="25000000"/>
    <n v="24106414.68"/>
    <n v="25000000"/>
    <n v="24106414.68"/>
    <n v="14422667"/>
    <s v="AMOMPY"/>
    <s v="Momentum Capital Investment S.A."/>
    <s v="03/09/2026"/>
    <s v="03/09/2026"/>
    <n v="33"/>
    <s v="No"/>
    <s v=""/>
    <m/>
    <m/>
    <s v="*MAV041101273"/>
    <s v="*MAV041101273"/>
    <n v="3.2048438893210896E-4"/>
  </r>
  <r>
    <x v="234"/>
    <s v="Pesos"/>
    <d v="2026-11-09T00:00:00"/>
    <s v="29/09/2026"/>
    <n v="0.96425658999999997"/>
    <m/>
    <n v="7954930.75"/>
    <n v="7670594.4299999997"/>
    <n v="7954930.75"/>
    <n v="7670594.4299999997"/>
    <n v="9"/>
    <s v="AMOMPY"/>
    <s v="Momentum Capital Investment S.A."/>
    <s v="06/08/2026"/>
    <s v="06/08/2026"/>
    <n v="33"/>
    <s v="No"/>
    <s v=""/>
    <m/>
    <m/>
    <s v="*MAV041101170"/>
    <s v="*MAV041101170"/>
    <n v="1.0197724552893108E-4"/>
  </r>
  <r>
    <x v="136"/>
    <s v="Pesos"/>
    <d v="2026-11-09T00:00:00"/>
    <s v="29/09/2026"/>
    <n v="0.96425653"/>
    <m/>
    <n v="85000000"/>
    <n v="81961805.269999996"/>
    <n v="85000000"/>
    <n v="81961805.269999996"/>
    <n v="68458957"/>
    <s v="AMOMPY"/>
    <s v="Momentum Capital Investment S.A."/>
    <s v="21/07/2026"/>
    <s v="21/07/2026"/>
    <n v="33"/>
    <s v="No"/>
    <s v=""/>
    <m/>
    <m/>
    <s v="*MAV041101142"/>
    <s v="*MAV041101142"/>
    <n v="1.089646860655782E-3"/>
  </r>
  <r>
    <x v="50"/>
    <s v="Pesos"/>
    <d v="2026-11-09T00:00:00"/>
    <s v="29/09/2026"/>
    <n v="0.96321325000000002"/>
    <m/>
    <n v="200000000"/>
    <n v="192642650.36000001"/>
    <n v="200000000"/>
    <n v="192642650.36000001"/>
    <n v="90004098"/>
    <s v="AMOMPY"/>
    <s v="Momentum Capital Investment S.A."/>
    <s v="26/08/2026"/>
    <s v="26/08/2026"/>
    <n v="34"/>
    <s v="No"/>
    <s v=""/>
    <m/>
    <m/>
    <s v="*MAV041101241"/>
    <s v="*MAV041101241"/>
    <n v="2.5611009726016431E-3"/>
  </r>
  <r>
    <x v="27"/>
    <s v="Pesos"/>
    <d v="2026-11-09T00:00:00"/>
    <s v="29/09/2026"/>
    <n v="0.97056403000000002"/>
    <m/>
    <n v="1000000"/>
    <n v="970564.03"/>
    <n v="1000000"/>
    <n v="970564.03"/>
    <n v="11486"/>
    <s v="AMOMPY"/>
    <s v="Momentum Capital Investment S.A."/>
    <s v="23/09/2026"/>
    <s v="23/09/2026"/>
    <n v="27"/>
    <s v="No"/>
    <s v=""/>
    <m/>
    <m/>
    <s v="*MOV041100071"/>
    <s v="*MOV041100071"/>
    <n v="1.2903230289658118E-5"/>
  </r>
  <r>
    <x v="27"/>
    <s v="Pesos"/>
    <d v="2026-11-09T00:00:00"/>
    <s v="29/09/2026"/>
    <n v="0.97162338999999998"/>
    <m/>
    <n v="10000000"/>
    <n v="9716233.9399999995"/>
    <n v="10000000"/>
    <n v="9716233.9399999995"/>
    <n v="22807"/>
    <s v="AMOMPY"/>
    <s v="Momentum Capital Investment S.A."/>
    <s v="28/09/2026"/>
    <s v="28/09/2026"/>
    <n v="26"/>
    <s v="No"/>
    <s v=""/>
    <m/>
    <m/>
    <s v="*MOV041100073"/>
    <s v="*MOV041100073"/>
    <n v="1.2917314077260026E-4"/>
  </r>
  <r>
    <x v="28"/>
    <s v="Pesos"/>
    <d v="2026-11-09T00:00:00"/>
    <s v="29/09/2026"/>
    <n v="0.96425654999999999"/>
    <m/>
    <n v="2500000"/>
    <n v="2410641.37"/>
    <n v="2500000"/>
    <n v="2410641.37"/>
    <n v="1012"/>
    <s v="AMOMPY"/>
    <s v="Momentum Capital Investment S.A."/>
    <s v="19/08/2026"/>
    <s v="19/08/2026"/>
    <n v="33"/>
    <s v="No"/>
    <s v=""/>
    <m/>
    <m/>
    <s v="*MAV041101210"/>
    <s v="*MAV041101210"/>
    <n v="3.2048437590343154E-5"/>
  </r>
  <r>
    <x v="28"/>
    <s v="Pesos"/>
    <d v="2026-11-09T00:00:00"/>
    <s v="29/09/2026"/>
    <n v="0.96740006999999995"/>
    <m/>
    <n v="2500000"/>
    <n v="2418500.17"/>
    <n v="2500000"/>
    <n v="2418500.17"/>
    <n v="897"/>
    <s v="AMOMPY"/>
    <s v="Momentum Capital Investment S.A."/>
    <s v="06/08/2026"/>
    <s v="06/08/2026"/>
    <n v="30"/>
    <s v="No"/>
    <s v=""/>
    <m/>
    <m/>
    <s v="*MAV041101171"/>
    <s v="*MAV041101171"/>
    <n v="3.2152916947774484E-5"/>
  </r>
  <r>
    <x v="29"/>
    <s v="Pesos"/>
    <d v="2026-11-09T00:00:00"/>
    <s v="29/09/2026"/>
    <n v="0.96740000000000004"/>
    <m/>
    <n v="75000000"/>
    <n v="72554999.810000002"/>
    <n v="75000000"/>
    <n v="72554999.810000002"/>
    <n v="341"/>
    <s v="AMOMPY"/>
    <s v="Momentum Capital Investment S.A."/>
    <s v="04/08/2026"/>
    <s v="04/08/2026"/>
    <n v="30"/>
    <s v="No"/>
    <s v=""/>
    <m/>
    <m/>
    <s v="*MAV041101167"/>
    <s v="*MAV041101167"/>
    <n v="9.6458743810496554E-4"/>
  </r>
  <r>
    <x v="76"/>
    <s v="Pesos"/>
    <d v="2026-11-09T00:00:00"/>
    <s v="29/09/2026"/>
    <n v="0.95906256000000001"/>
    <m/>
    <n v="43500000"/>
    <n v="41719221.409999996"/>
    <n v="43500000"/>
    <n v="41719221.409999996"/>
    <n v="163276"/>
    <s v="AMOMPY"/>
    <s v="Momentum Capital Investment S.A."/>
    <s v="02/09/2026"/>
    <s v="02/09/2026"/>
    <n v="38"/>
    <s v="No"/>
    <s v=""/>
    <m/>
    <m/>
    <s v="#MAV051160031"/>
    <s v="#MAV051160031"/>
    <n v="5.5463906009216659E-4"/>
  </r>
  <r>
    <x v="50"/>
    <s v="Pesos"/>
    <d v="2026-11-10T00:00:00"/>
    <s v="29/09/2026"/>
    <n v="0.96448593000000005"/>
    <m/>
    <n v="200000000"/>
    <n v="192897186.08000001"/>
    <n v="200000000"/>
    <n v="192897186.08000001"/>
    <n v="90004113"/>
    <s v="AMOMPY"/>
    <s v="Momentum Capital Investment S.A."/>
    <s v="01/09/2026"/>
    <s v="01/09/2026"/>
    <n v="32"/>
    <s v="No"/>
    <s v=""/>
    <m/>
    <m/>
    <s v="*MAV051101178"/>
    <s v="*MAV051101178"/>
    <n v="2.5644849152479661E-3"/>
  </r>
  <r>
    <x v="28"/>
    <s v="Pesos"/>
    <d v="2026-11-10T00:00:00"/>
    <s v="29/09/2026"/>
    <n v="0.96663146"/>
    <m/>
    <n v="5000000"/>
    <n v="4833157.29"/>
    <n v="5000000"/>
    <n v="4833157.29"/>
    <n v="1251"/>
    <s v="AMOMPY"/>
    <s v="Momentum Capital Investment S.A."/>
    <s v="18/09/2026"/>
    <s v="18/09/2026"/>
    <n v="30"/>
    <s v="No"/>
    <s v=""/>
    <m/>
    <m/>
    <s v="*MAV051101333"/>
    <s v="*MAV051101333"/>
    <n v="6.4254742202850786E-5"/>
  </r>
  <r>
    <x v="28"/>
    <s v="Pesos"/>
    <d v="2026-11-10T00:00:00"/>
    <s v="29/09/2026"/>
    <n v="0.96663140000000003"/>
    <m/>
    <n v="5000000"/>
    <n v="4833157"/>
    <n v="5000000"/>
    <n v="4833157"/>
    <n v="1244"/>
    <s v="AMOMPY"/>
    <s v="Momentum Capital Investment S.A."/>
    <s v="17/09/2026"/>
    <s v="17/09/2026"/>
    <n v="30"/>
    <s v="No"/>
    <s v=""/>
    <m/>
    <m/>
    <s v="*MAV051101325"/>
    <s v="*MAV051101325"/>
    <n v="6.4254738347425827E-5"/>
  </r>
  <r>
    <x v="28"/>
    <s v="Pesos"/>
    <d v="2026-11-10T00:00:00"/>
    <s v="29/09/2026"/>
    <n v="0.96663155999999995"/>
    <m/>
    <n v="5000000"/>
    <n v="4833157.82"/>
    <n v="5000000"/>
    <n v="4833157.82"/>
    <n v="1291"/>
    <s v="AMOMPY"/>
    <s v="Momentum Capital Investment S.A."/>
    <s v="23/09/2026"/>
    <s v="23/09/2026"/>
    <n v="30"/>
    <s v="No"/>
    <s v=""/>
    <m/>
    <m/>
    <s v="*MAV051101362"/>
    <s v="*MAV051101362"/>
    <n v="6.4254749248972271E-5"/>
  </r>
  <r>
    <x v="28"/>
    <s v="Pesos"/>
    <d v="2026-11-10T00:00:00"/>
    <s v="29/09/2026"/>
    <n v="0.96448593000000005"/>
    <m/>
    <n v="3000000"/>
    <n v="2893457.78"/>
    <n v="3000000"/>
    <n v="2893457.78"/>
    <n v="1051"/>
    <s v="AMOMPY"/>
    <s v="Momentum Capital Investment S.A."/>
    <s v="25/08/2026"/>
    <s v="25/08/2026"/>
    <n v="32"/>
    <s v="No"/>
    <s v=""/>
    <m/>
    <m/>
    <s v="*MAV051101135"/>
    <s v="*MAV051101135"/>
    <n v="3.8467273579820313E-5"/>
  </r>
  <r>
    <x v="2"/>
    <s v="Pesos"/>
    <d v="2026-11-10T00:00:00"/>
    <s v="29/09/2026"/>
    <n v="0.96448584999999998"/>
    <m/>
    <n v="40000000"/>
    <n v="38579434"/>
    <n v="40000000"/>
    <n v="38579434"/>
    <n v="13953438"/>
    <s v="AMOMPY"/>
    <s v="Momentum Capital Investment S.A."/>
    <s v="22/07/2026"/>
    <s v="22/07/2026"/>
    <n v="32"/>
    <s v="No"/>
    <s v=""/>
    <m/>
    <m/>
    <s v="*MAV051101031"/>
    <s v="*MAV051101031"/>
    <n v="5.1289694029425987E-4"/>
  </r>
  <r>
    <x v="35"/>
    <s v="Pesos"/>
    <d v="2026-11-10T00:00:00"/>
    <s v="29/09/2026"/>
    <n v="0.96022313000000004"/>
    <m/>
    <n v="3789564.21"/>
    <n v="3638827.22"/>
    <n v="3789564.21"/>
    <n v="3638827.22"/>
    <n v="3272"/>
    <s v="AMOMPY"/>
    <s v="Momentum Capital Investment S.A."/>
    <s v="19/08/2026"/>
    <s v="19/08/2026"/>
    <n v="36"/>
    <s v="No"/>
    <s v=""/>
    <m/>
    <m/>
    <s v="*MAV051101111"/>
    <s v="*MAV051101111"/>
    <n v="4.8376638895155062E-5"/>
  </r>
  <r>
    <x v="35"/>
    <s v="Pesos"/>
    <d v="2026-11-10T00:00:00"/>
    <s v="29/09/2026"/>
    <n v="0.96022313000000004"/>
    <m/>
    <n v="2510000.36"/>
    <n v="2410160.39"/>
    <n v="2510000.36"/>
    <n v="2410160.39"/>
    <n v="3160"/>
    <s v="AMOMPY"/>
    <s v="Momentum Capital Investment S.A."/>
    <s v="19/08/2026"/>
    <s v="19/08/2026"/>
    <n v="36"/>
    <s v="No"/>
    <s v=""/>
    <m/>
    <m/>
    <s v="*MAV051101113"/>
    <s v="*MAV051101113"/>
    <n v="3.2042043168632801E-5"/>
  </r>
  <r>
    <x v="35"/>
    <s v="Pesos"/>
    <d v="2026-11-10T00:00:00"/>
    <s v="29/09/2026"/>
    <n v="0.96022322000000004"/>
    <m/>
    <n v="3625698.78"/>
    <n v="3481480.17"/>
    <n v="3625698.78"/>
    <n v="3481480.17"/>
    <n v="3352"/>
    <s v="AMOMPY"/>
    <s v="Momentum Capital Investment S.A."/>
    <s v="28/08/2026"/>
    <s v="28/08/2026"/>
    <n v="36"/>
    <s v="No"/>
    <s v=""/>
    <m/>
    <m/>
    <s v="*MAV051101165"/>
    <s v="*MAV051101165"/>
    <n v="4.628477771053198E-5"/>
  </r>
  <r>
    <x v="35"/>
    <s v="Pesos"/>
    <d v="2026-11-10T00:00:00"/>
    <s v="29/09/2026"/>
    <n v="0.96128528000000002"/>
    <m/>
    <n v="1250300.6499999999"/>
    <n v="1201895.6100000001"/>
    <n v="1250300.6499999999"/>
    <n v="1201895.6100000001"/>
    <n v="3582"/>
    <s v="AMOMPY"/>
    <s v="Momentum Capital Investment S.A."/>
    <s v="17/09/2026"/>
    <s v="17/09/2026"/>
    <n v="35"/>
    <s v="No"/>
    <s v=""/>
    <m/>
    <m/>
    <s v="*MAV051101329"/>
    <s v="*MAV051101329"/>
    <n v="1.5978683899875335E-5"/>
  </r>
  <r>
    <x v="35"/>
    <s v="Pesos"/>
    <d v="2026-11-10T00:00:00"/>
    <s v="29/09/2026"/>
    <n v="0.96128528999999996"/>
    <m/>
    <n v="1555000.5"/>
    <n v="1494799.1"/>
    <n v="1555000.5"/>
    <n v="1494799.1"/>
    <n v="3581"/>
    <s v="AMOMPY"/>
    <s v="Momentum Capital Investment S.A."/>
    <s v="17/09/2026"/>
    <s v="16/09/2026"/>
    <n v="35"/>
    <s v="No"/>
    <s v=""/>
    <m/>
    <m/>
    <s v="*MAV051101328"/>
    <s v="*MAV051101328"/>
    <n v="1.9872709504877998E-5"/>
  </r>
  <r>
    <x v="53"/>
    <s v="Pesos"/>
    <d v="2026-11-10T00:00:00"/>
    <s v="29/09/2026"/>
    <n v="0.95916343999999998"/>
    <m/>
    <n v="25000000"/>
    <n v="23979086.010000002"/>
    <n v="25000000"/>
    <n v="23979086.010000002"/>
    <n v="2596"/>
    <s v="AMOMPY"/>
    <s v="Momentum Capital Investment S.A."/>
    <s v="07/08/2026"/>
    <s v="07/08/2026"/>
    <n v="37"/>
    <s v="No"/>
    <s v=""/>
    <m/>
    <m/>
    <s v="*MAV051101060"/>
    <s v="*MAV051101060"/>
    <n v="3.1879160916621776E-4"/>
  </r>
  <r>
    <x v="244"/>
    <s v="Pesos"/>
    <d v="2026-11-10T00:00:00"/>
    <s v="29/09/2026"/>
    <n v="0.96341670999999995"/>
    <m/>
    <n v="5300000"/>
    <n v="5106108.58"/>
    <n v="5300000"/>
    <n v="5106108.58"/>
    <n v="8175676"/>
    <s v="AMOMPY"/>
    <s v="Momentum Capital Investment S.A."/>
    <s v="15/09/2026"/>
    <s v="15/09/2026"/>
    <n v="33"/>
    <s v="No"/>
    <s v=""/>
    <m/>
    <m/>
    <s v="*MAV051101300"/>
    <s v="*MAV051101300"/>
    <n v="6.7883511911871698E-5"/>
  </r>
  <r>
    <x v="191"/>
    <s v="Pesos"/>
    <d v="2026-11-10T00:00:00"/>
    <s v="29/09/2026"/>
    <n v="0.96341672"/>
    <m/>
    <n v="5561000"/>
    <n v="5357560.3499999996"/>
    <n v="5561000"/>
    <n v="5357560.3499999996"/>
    <n v="14101158"/>
    <s v="AMOMPY"/>
    <s v="Momentum Capital Investment S.A."/>
    <s v="15/09/2026"/>
    <s v="15/09/2026"/>
    <n v="33"/>
    <s v="No"/>
    <s v=""/>
    <m/>
    <m/>
    <s v="*MAV051101301"/>
    <s v="*MAV051101301"/>
    <n v="7.1226454772686494E-5"/>
  </r>
  <r>
    <x v="279"/>
    <s v="Pesos"/>
    <d v="2026-11-10T00:00:00"/>
    <s v="29/09/2026"/>
    <n v="0.96341664999999999"/>
    <m/>
    <n v="933333333"/>
    <n v="899188873.85000002"/>
    <n v="933333333"/>
    <n v="899188873.85000002"/>
    <n v="154563"/>
    <s v="AMOMPY"/>
    <s v="Momentum Capital Investment S.A."/>
    <s v="24/06/2026"/>
    <s v="24/06/2026"/>
    <n v="33"/>
    <s v="No"/>
    <s v=""/>
    <m/>
    <m/>
    <s v="#MAV061160016"/>
    <s v="#MAV061160016"/>
    <n v="1.1954328364286169E-2"/>
  </r>
  <r>
    <x v="275"/>
    <s v="Pesos"/>
    <d v="2026-11-10T00:00:00"/>
    <s v="29/09/2026"/>
    <n v="0.96022311000000005"/>
    <m/>
    <n v="3140560.45"/>
    <n v="3015638.72"/>
    <n v="3140560.45"/>
    <n v="3015638.72"/>
    <n v="1116"/>
    <s v="AMOMPY"/>
    <s v="Momentum Capital Investment S.A."/>
    <s v="02/09/2026"/>
    <s v="02/09/2026"/>
    <n v="36"/>
    <s v="No"/>
    <s v=""/>
    <m/>
    <m/>
    <s v="*MAV051101191"/>
    <s v="*MAV051101191"/>
    <n v="4.0091616494967197E-5"/>
  </r>
  <r>
    <x v="275"/>
    <s v="Pesos"/>
    <d v="2026-11-10T00:00:00"/>
    <s v="29/09/2026"/>
    <n v="0.96022324999999997"/>
    <m/>
    <n v="1555000.5"/>
    <n v="1493147.64"/>
    <n v="1555000.5"/>
    <n v="1493147.64"/>
    <n v="1284"/>
    <s v="AMOMPY"/>
    <s v="Momentum Capital Investment S.A."/>
    <s v="22/09/2026"/>
    <s v="22/09/2026"/>
    <n v="36"/>
    <s v="No"/>
    <s v=""/>
    <m/>
    <m/>
    <s v="*MAV051101355"/>
    <s v="*MAV051101355"/>
    <n v="1.985075405625689E-5"/>
  </r>
  <r>
    <x v="35"/>
    <s v="Pesos"/>
    <d v="2026-11-10T00:00:00"/>
    <s v="29/09/2026"/>
    <n v="0.96341668000000003"/>
    <m/>
    <n v="2502550.36"/>
    <n v="2410998.75"/>
    <n v="2502550.36"/>
    <n v="2410998.75"/>
    <n v="3145"/>
    <s v="AMOMPY"/>
    <s v="Momentum Capital Investment S.A."/>
    <s v="27/07/2026"/>
    <s v="27/07/2026"/>
    <n v="33"/>
    <s v="No"/>
    <s v=""/>
    <m/>
    <m/>
    <s v="*MAV051101036"/>
    <s v="*MAV051101036"/>
    <n v="3.2053188803347535E-5"/>
  </r>
  <r>
    <x v="35"/>
    <s v="Pesos"/>
    <d v="2026-11-10T00:00:00"/>
    <s v="29/09/2026"/>
    <n v="0.96234980999999997"/>
    <m/>
    <n v="1020845.65"/>
    <n v="982410.62"/>
    <n v="1020845.65"/>
    <n v="982410.62"/>
    <n v="2913"/>
    <s v="AMOMPY"/>
    <s v="Momentum Capital Investment S.A."/>
    <s v="16/07/2026"/>
    <s v="16/07/2026"/>
    <n v="34"/>
    <s v="No"/>
    <s v=""/>
    <m/>
    <m/>
    <s v="*MAV051101016"/>
    <s v="*MAV051101016"/>
    <n v="1.3060725595678433E-5"/>
  </r>
  <r>
    <x v="35"/>
    <s v="Pesos"/>
    <d v="2026-11-10T00:00:00"/>
    <s v="29/09/2026"/>
    <n v="0.96234980999999997"/>
    <m/>
    <n v="990902.64"/>
    <n v="953594.97"/>
    <n v="990902.64"/>
    <n v="953594.97"/>
    <n v="2963"/>
    <s v="AMOMPY"/>
    <s v="Momentum Capital Investment S.A."/>
    <s v="16/07/2026"/>
    <s v="16/07/2026"/>
    <n v="34"/>
    <s v="No"/>
    <s v=""/>
    <m/>
    <m/>
    <s v="*MAV051101017"/>
    <s v="*MAV051101017"/>
    <n v="1.267763395370177E-5"/>
  </r>
  <r>
    <x v="8"/>
    <s v="Pesos"/>
    <d v="2026-11-10T00:00:00"/>
    <s v="29/09/2026"/>
    <n v="0.96663147999999999"/>
    <m/>
    <n v="10000000"/>
    <n v="9666314.75"/>
    <n v="10000000"/>
    <n v="9666314.75"/>
    <n v="68856195"/>
    <s v="AMOMPY"/>
    <s v="Momentum Capital Investment S.A."/>
    <s v="14/08/2026"/>
    <s v="14/08/2026"/>
    <n v="30"/>
    <s v="No"/>
    <s v=""/>
    <m/>
    <m/>
    <s v="*MIL051100025"/>
    <s v="*MIL051100025"/>
    <n v="1.2850948666577827E-4"/>
  </r>
  <r>
    <x v="8"/>
    <s v="Pesos"/>
    <d v="2026-11-10T00:00:00"/>
    <s v="29/09/2026"/>
    <n v="0.96663147999999999"/>
    <m/>
    <n v="3000000"/>
    <n v="2899894.43"/>
    <n v="3000000"/>
    <n v="2899894.43"/>
    <n v="12759460"/>
    <s v="AMOMPY"/>
    <s v="Momentum Capital Investment S.A."/>
    <s v="14/08/2026"/>
    <s v="14/08/2026"/>
    <n v="30"/>
    <s v="No"/>
    <s v=""/>
    <m/>
    <m/>
    <s v="*MIL051100026"/>
    <s v="*MIL051100026"/>
    <n v="3.8552846066206332E-5"/>
  </r>
  <r>
    <x v="112"/>
    <s v="Pesos"/>
    <d v="2026-11-10T00:00:00"/>
    <s v="29/09/2026"/>
    <n v="0.96448593000000005"/>
    <m/>
    <n v="5082311.97"/>
    <n v="4901818.3899999997"/>
    <n v="5082311.97"/>
    <n v="4901818.3899999997"/>
    <n v="69012952"/>
    <s v="AMOMPY"/>
    <s v="Momentum Capital Investment S.A."/>
    <s v="25/08/2026"/>
    <s v="25/08/2026"/>
    <n v="32"/>
    <s v="No"/>
    <s v=""/>
    <m/>
    <m/>
    <s v="*MAV051101136"/>
    <s v="*MAV051101136"/>
    <n v="6.5167561921959113E-5"/>
  </r>
  <r>
    <x v="82"/>
    <s v="Pesos"/>
    <d v="2026-11-10T00:00:00"/>
    <s v="29/09/2026"/>
    <n v="0.96663146"/>
    <m/>
    <n v="2700000"/>
    <n v="2609904.9500000002"/>
    <n v="2700000"/>
    <n v="2609904.9500000002"/>
    <n v="6911"/>
    <s v="AMOMPY"/>
    <s v="Momentum Capital Investment S.A."/>
    <s v="11/09/2026"/>
    <s v="11/09/2026"/>
    <n v="30"/>
    <s v="No"/>
    <s v=""/>
    <m/>
    <m/>
    <s v="*MAV051101285"/>
    <s v="*MAV051101285"/>
    <n v="3.4697560967686653E-5"/>
  </r>
  <r>
    <x v="121"/>
    <s v="Pesos"/>
    <d v="2026-11-10T00:00:00"/>
    <s v="29/09/2026"/>
    <n v="0.97531000000000001"/>
    <m/>
    <n v="5300000"/>
    <n v="5169143"/>
    <n v="5300000"/>
    <n v="5169143"/>
    <n v="3"/>
    <s v="AMOMPY"/>
    <s v="Momentum Capital Investment S.A."/>
    <s v="05/08/2026"/>
    <s v="05/08/2026"/>
    <n v="22"/>
    <s v="No"/>
    <s v=""/>
    <m/>
    <m/>
    <s v="*MAV051101051"/>
    <s v="*MAV051101051"/>
    <n v="6.8721527346499986E-5"/>
  </r>
  <r>
    <x v="45"/>
    <s v="Pesos"/>
    <d v="2026-11-10T00:00:00"/>
    <s v="29/09/2026"/>
    <n v="0.96986775999999997"/>
    <m/>
    <n v="2500000"/>
    <n v="2424669.41"/>
    <n v="2500000"/>
    <n v="2424669.41"/>
    <n v="53553933"/>
    <s v="AMOMPY"/>
    <s v="Momentum Capital Investment S.A."/>
    <s v="25/09/2026"/>
    <s v="25/09/2026"/>
    <n v="27"/>
    <s v="No"/>
    <s v=""/>
    <m/>
    <m/>
    <s v="*NEU051100034"/>
    <s v="*NEU051100034"/>
    <n v="3.223493433351273E-5"/>
  </r>
  <r>
    <x v="19"/>
    <s v="Pesos"/>
    <d v="2026-11-10T00:00:00"/>
    <s v="29/09/2026"/>
    <n v="0.95810598000000002"/>
    <m/>
    <n v="25000000"/>
    <n v="23952649.460000001"/>
    <n v="25000000"/>
    <n v="23952649.460000001"/>
    <n v="70393074"/>
    <s v="AMOMPY"/>
    <s v="Momentum Capital Investment S.A."/>
    <s v="04/09/2026"/>
    <s v="04/09/2026"/>
    <n v="38"/>
    <s v="No"/>
    <s v=""/>
    <m/>
    <m/>
    <s v="*MAV051101203"/>
    <s v="*MAV051101203"/>
    <n v="3.1844014663291731E-4"/>
  </r>
  <r>
    <x v="19"/>
    <s v="Pesos"/>
    <d v="2026-11-10T00:00:00"/>
    <s v="29/09/2026"/>
    <n v="0.95810598000000002"/>
    <m/>
    <n v="25000000"/>
    <n v="23952649.460000001"/>
    <n v="25000000"/>
    <n v="23952649.460000001"/>
    <n v="70393075"/>
    <s v="AMOMPY"/>
    <s v="Momentum Capital Investment S.A."/>
    <s v="04/09/2026"/>
    <s v="04/09/2026"/>
    <n v="38"/>
    <s v="No"/>
    <s v=""/>
    <m/>
    <m/>
    <s v="*MAV051101204"/>
    <s v="*MAV051101204"/>
    <n v="3.1844014663291731E-4"/>
  </r>
  <r>
    <x v="19"/>
    <s v="Pesos"/>
    <d v="2026-11-10T00:00:00"/>
    <s v="29/09/2026"/>
    <n v="0.95810598000000002"/>
    <m/>
    <n v="25000000"/>
    <n v="23952649.460000001"/>
    <n v="25000000"/>
    <n v="23952649.460000001"/>
    <n v="70393076"/>
    <s v="AMOMPY"/>
    <s v="Momentum Capital Investment S.A."/>
    <s v="04/09/2026"/>
    <s v="04/09/2026"/>
    <n v="38"/>
    <s v="No"/>
    <s v=""/>
    <m/>
    <m/>
    <s v="*MAV051101205"/>
    <s v="*MAV051101205"/>
    <n v="3.1844014663291731E-4"/>
  </r>
  <r>
    <x v="19"/>
    <s v="Pesos"/>
    <d v="2026-11-10T00:00:00"/>
    <s v="29/09/2026"/>
    <n v="0.95810585999999998"/>
    <m/>
    <n v="60000000"/>
    <n v="57486351.479999997"/>
    <n v="60000000"/>
    <n v="57486351.479999997"/>
    <n v="70393050"/>
    <s v="AMOMPY"/>
    <s v="Momentum Capital Investment S.A."/>
    <s v="02/09/2026"/>
    <s v="02/09/2026"/>
    <n v="38"/>
    <s v="No"/>
    <s v=""/>
    <m/>
    <m/>
    <s v="*MAV051101193"/>
    <s v="*MAV051101193"/>
    <n v="7.6425625587903633E-4"/>
  </r>
  <r>
    <x v="280"/>
    <s v="Pesos"/>
    <d v="2026-11-10T00:00:00"/>
    <s v="29/09/2026"/>
    <n v="0.95599791999999995"/>
    <m/>
    <n v="40000000"/>
    <n v="38239916.649999999"/>
    <n v="40000000"/>
    <n v="38239916.649999999"/>
    <n v="160531"/>
    <s v="AMOMPY"/>
    <s v="Momentum Capital Investment S.A."/>
    <s v="11/08/2026"/>
    <s v="11/08/2026"/>
    <n v="40"/>
    <s v="No"/>
    <s v=""/>
    <m/>
    <m/>
    <s v="#MAV091160021"/>
    <s v="#MAV091160021"/>
    <n v="5.0838320351958828E-4"/>
  </r>
  <r>
    <x v="37"/>
    <s v="Pesos"/>
    <d v="2026-11-10T00:00:00"/>
    <s v="29/09/2026"/>
    <n v="0.96986779999999995"/>
    <m/>
    <n v="40000000"/>
    <n v="38794711.939999998"/>
    <n v="40000000"/>
    <n v="38794711.939999998"/>
    <n v="42634"/>
    <s v="AMOMPY"/>
    <s v="Momentum Capital Investment S.A."/>
    <s v="22/09/2026"/>
    <s v="22/09/2026"/>
    <n v="27"/>
    <s v="No"/>
    <s v=""/>
    <m/>
    <m/>
    <s v="*AFB051100015"/>
    <s v="*AFB051100015"/>
    <n v="5.1575896768270854E-4"/>
  </r>
  <r>
    <x v="130"/>
    <s v="Pesos"/>
    <d v="2026-11-10T00:00:00"/>
    <s v="29/09/2026"/>
    <n v="0.95705074999999995"/>
    <m/>
    <n v="3750000"/>
    <n v="3588940.3"/>
    <n v="3750000"/>
    <n v="3588940.3"/>
    <n v="66918815"/>
    <s v="AMOMPY"/>
    <s v="Momentum Capital Investment S.A."/>
    <s v="13/05/2026"/>
    <s v="13/05/2026"/>
    <n v="39"/>
    <s v="No"/>
    <s v=""/>
    <m/>
    <m/>
    <s v="*MAV051100975"/>
    <s v="*MAV051100975"/>
    <n v="4.7713413804068846E-5"/>
  </r>
  <r>
    <x v="213"/>
    <s v="Pesos"/>
    <d v="2026-11-10T00:00:00"/>
    <s v="29/09/2026"/>
    <n v="0.96022313000000004"/>
    <m/>
    <n v="4213657.9800000004"/>
    <n v="4046051.87"/>
    <n v="4213657.9800000004"/>
    <n v="4046051.87"/>
    <n v="425"/>
    <s v="AMOMPY"/>
    <s v="Momentum Capital Investment S.A."/>
    <s v="19/08/2026"/>
    <s v="19/08/2026"/>
    <n v="36"/>
    <s v="No"/>
    <s v=""/>
    <m/>
    <m/>
    <s v="*MAV051101110"/>
    <s v="*MAV051101110"/>
    <n v="5.3790515029195823E-5"/>
  </r>
  <r>
    <x v="213"/>
    <s v="Pesos"/>
    <d v="2026-11-10T00:00:00"/>
    <s v="29/09/2026"/>
    <n v="0.96022313000000004"/>
    <m/>
    <n v="1555000.5"/>
    <n v="1493147.45"/>
    <n v="1555000.5"/>
    <n v="1493147.45"/>
    <n v="504"/>
    <s v="AMOMPY"/>
    <s v="Momentum Capital Investment S.A."/>
    <s v="19/08/2026"/>
    <s v="19/08/2026"/>
    <n v="36"/>
    <s v="No"/>
    <s v=""/>
    <m/>
    <m/>
    <s v="*MAV051101112"/>
    <s v="*MAV051101112"/>
    <n v="1.9850751530288814E-5"/>
  </r>
  <r>
    <x v="210"/>
    <s v="Pesos"/>
    <d v="2026-11-10T00:00:00"/>
    <s v="29/09/2026"/>
    <n v="0.96341670999999995"/>
    <m/>
    <n v="1300000"/>
    <n v="1252441.72"/>
    <n v="1300000"/>
    <n v="1252441.72"/>
    <n v="557"/>
    <s v="AMOMPY"/>
    <s v="Momentum Capital Investment S.A."/>
    <s v="01/09/2026"/>
    <s v="01/09/2026"/>
    <n v="33"/>
    <s v="No"/>
    <s v=""/>
    <m/>
    <m/>
    <s v="*MAV051101175"/>
    <s v="*MAV051101175"/>
    <n v="1.6650672637781054E-5"/>
  </r>
  <r>
    <x v="135"/>
    <s v="Pesos"/>
    <d v="2026-11-10T00:00:00"/>
    <s v="29/09/2026"/>
    <n v="0.96448586000000003"/>
    <m/>
    <n v="20000000"/>
    <n v="19289717.190000001"/>
    <n v="20000000"/>
    <n v="19289717.190000001"/>
    <n v="730"/>
    <s v="AMOMPY"/>
    <s v="Momentum Capital Investment S.A."/>
    <s v="21/09/2026"/>
    <s v="21/09/2026"/>
    <n v="32"/>
    <s v="No"/>
    <s v=""/>
    <m/>
    <m/>
    <s v="*MAV051101343"/>
    <s v="*MAV051101343"/>
    <n v="2.5644847267309803E-4"/>
  </r>
  <r>
    <x v="21"/>
    <s v="Pesos"/>
    <d v="2026-11-10T00:00:00"/>
    <s v="29/09/2026"/>
    <n v="0.96234982000000002"/>
    <m/>
    <n v="10000000"/>
    <n v="9623498.2200000007"/>
    <n v="10000000"/>
    <n v="9623498.2200000007"/>
    <n v="14284513"/>
    <s v="AMOMPY"/>
    <s v="Momentum Capital Investment S.A."/>
    <s v="24/08/2026"/>
    <s v="24/08/2026"/>
    <n v="34"/>
    <s v="No"/>
    <s v=""/>
    <m/>
    <m/>
    <s v="*MAV051101129"/>
    <s v="*MAV051101129"/>
    <n v="1.2794025936112117E-4"/>
  </r>
  <r>
    <x v="234"/>
    <s v="Pesos"/>
    <d v="2026-11-10T00:00:00"/>
    <s v="29/09/2026"/>
    <n v="0.96341666000000004"/>
    <m/>
    <n v="7954930.75"/>
    <n v="7663912.8099999996"/>
    <n v="7954930.75"/>
    <n v="7663912.8099999996"/>
    <n v="60"/>
    <s v="AMOMPY"/>
    <s v="Momentum Capital Investment S.A."/>
    <s v="06/08/2026"/>
    <s v="06/08/2026"/>
    <n v="33"/>
    <s v="No"/>
    <s v=""/>
    <m/>
    <m/>
    <s v="*MAV051101055"/>
    <s v="*MAV051101055"/>
    <n v="1.0188841627202158E-4"/>
  </r>
  <r>
    <x v="131"/>
    <s v="Pesos"/>
    <d v="2026-11-10T00:00:00"/>
    <s v="29/09/2026"/>
    <n v="0.95599805000000004"/>
    <m/>
    <n v="148000000"/>
    <n v="141487711.21000001"/>
    <n v="148000000"/>
    <n v="141487711.21000001"/>
    <n v="70408118"/>
    <s v="AMOMPY"/>
    <s v="Momentum Capital Investment S.A."/>
    <s v="11/09/2026"/>
    <s v="11/09/2026"/>
    <n v="40"/>
    <s v="No"/>
    <s v=""/>
    <m/>
    <m/>
    <s v="*MAV051101286"/>
    <s v="*MAV051101286"/>
    <n v="1.8810181136624984E-3"/>
  </r>
  <r>
    <x v="27"/>
    <s v="Pesos"/>
    <d v="2026-11-10T00:00:00"/>
    <s v="29/09/2026"/>
    <n v="0.96986786999999997"/>
    <m/>
    <n v="1000000"/>
    <n v="969867.87"/>
    <n v="1000000"/>
    <n v="969867.87"/>
    <n v="11487"/>
    <s v="AMOMPY"/>
    <s v="Momentum Capital Investment S.A."/>
    <s v="23/09/2026"/>
    <s v="23/09/2026"/>
    <n v="27"/>
    <s v="No"/>
    <s v=""/>
    <m/>
    <m/>
    <s v="*MOV051100074"/>
    <s v="*MOV051100074"/>
    <n v="1.2893975142629385E-5"/>
  </r>
  <r>
    <x v="28"/>
    <s v="Pesos"/>
    <d v="2026-11-10T00:00:00"/>
    <s v="29/09/2026"/>
    <n v="0.96341661000000001"/>
    <m/>
    <n v="2500000"/>
    <n v="2408541.5299999998"/>
    <n v="2500000"/>
    <n v="2408541.5299999998"/>
    <n v="1013"/>
    <s v="AMOMPY"/>
    <s v="Momentum Capital Investment S.A."/>
    <s v="19/08/2026"/>
    <s v="19/08/2026"/>
    <n v="33"/>
    <s v="No"/>
    <s v=""/>
    <m/>
    <m/>
    <s v="*MAV051101116"/>
    <s v="*MAV051101116"/>
    <n v="3.2020521122955174E-5"/>
  </r>
  <r>
    <x v="28"/>
    <s v="Pesos"/>
    <d v="2026-11-10T00:00:00"/>
    <s v="29/09/2026"/>
    <n v="0.96663144000000001"/>
    <m/>
    <n v="2500000"/>
    <n v="2416578.61"/>
    <n v="2500000"/>
    <n v="2416578.61"/>
    <n v="898"/>
    <s v="AMOMPY"/>
    <s v="Momentum Capital Investment S.A."/>
    <s v="06/08/2026"/>
    <s v="06/08/2026"/>
    <n v="30"/>
    <s v="No"/>
    <s v=""/>
    <m/>
    <m/>
    <s v="*MAV051101057"/>
    <s v="*MAV051101057"/>
    <n v="3.2127370636115487E-5"/>
  </r>
  <r>
    <x v="237"/>
    <s v="Pesos"/>
    <d v="2026-11-10T00:00:00"/>
    <s v="29/09/2026"/>
    <n v="0.96341668000000003"/>
    <m/>
    <n v="16250000"/>
    <n v="15655520.99"/>
    <n v="16250000"/>
    <n v="15655520.99"/>
    <n v="70007274"/>
    <s v="AMOMPY"/>
    <s v="Momentum Capital Investment S.A."/>
    <s v="25/09/2026"/>
    <s v="25/09/2026"/>
    <n v="33"/>
    <s v="No"/>
    <s v=""/>
    <m/>
    <m/>
    <s v="*MAV041101469"/>
    <s v="*MAV041101469"/>
    <n v="2.0813340119203309E-4"/>
  </r>
  <r>
    <x v="89"/>
    <s v="Pesos"/>
    <d v="2026-11-11T00:00:00"/>
    <s v="29/09/2026"/>
    <n v="0.96586419999999995"/>
    <m/>
    <n v="5000000"/>
    <n v="4829320.99"/>
    <n v="5000000"/>
    <n v="4829320.99"/>
    <n v="40810972"/>
    <s v="AMOMPY"/>
    <s v="Momentum Capital Investment S.A."/>
    <s v="24/09/2026"/>
    <s v="24/09/2026"/>
    <n v="30"/>
    <s v="No"/>
    <s v=""/>
    <m/>
    <m/>
    <s v="*INP061100059"/>
    <s v="*INP061100059"/>
    <n v="6.4203740248492137E-5"/>
  </r>
  <r>
    <x v="89"/>
    <s v="Pesos"/>
    <d v="2026-11-11T00:00:00"/>
    <s v="29/09/2026"/>
    <n v="0.96806724"/>
    <m/>
    <n v="7000000"/>
    <n v="6776470.6799999997"/>
    <n v="7000000"/>
    <n v="6776470.6799999997"/>
    <n v="6490"/>
    <s v="AMOMPY"/>
    <s v="Momentum Capital Investment S.A."/>
    <s v="17/09/2026"/>
    <s v="17/09/2026"/>
    <n v="28"/>
    <s v="No"/>
    <s v=""/>
    <m/>
    <m/>
    <s v="*INP091100049"/>
    <s v="*INP091100049"/>
    <n v="9.0090255802243292E-5"/>
  </r>
  <r>
    <x v="50"/>
    <s v="Pesos"/>
    <d v="2026-11-11T00:00:00"/>
    <s v="29/09/2026"/>
    <n v="0.96367102000000004"/>
    <m/>
    <n v="200000000"/>
    <n v="192734204.91999999"/>
    <n v="200000000"/>
    <n v="192734204.91999999"/>
    <n v="90004114"/>
    <s v="AMOMPY"/>
    <s v="Momentum Capital Investment S.A."/>
    <s v="01/09/2026"/>
    <s v="01/09/2026"/>
    <n v="32"/>
    <s v="No"/>
    <s v=""/>
    <m/>
    <m/>
    <s v="*MAV061101113"/>
    <s v="*MAV061101113"/>
    <n v="2.5623181510002163E-3"/>
  </r>
  <r>
    <x v="28"/>
    <s v="Pesos"/>
    <d v="2026-11-11T00:00:00"/>
    <s v="29/09/2026"/>
    <n v="0.96586402999999998"/>
    <m/>
    <n v="5000000"/>
    <n v="4829320.1500000004"/>
    <n v="5000000"/>
    <n v="4829320.1500000004"/>
    <n v="1250"/>
    <s v="AMOMPY"/>
    <s v="Momentum Capital Investment S.A."/>
    <s v="18/09/2026"/>
    <s v="18/09/2026"/>
    <n v="30"/>
    <s v="No"/>
    <s v=""/>
    <m/>
    <m/>
    <s v="*MAV091101140"/>
    <s v="*MAV091101140"/>
    <n v="6.4203729081054327E-5"/>
  </r>
  <r>
    <x v="28"/>
    <s v="Pesos"/>
    <d v="2026-11-11T00:00:00"/>
    <s v="29/09/2026"/>
    <n v="0.96586419999999995"/>
    <m/>
    <n v="4500000"/>
    <n v="4346388.9000000004"/>
    <n v="4500000"/>
    <n v="4346388.9000000004"/>
    <n v="1301"/>
    <s v="AMOMPY"/>
    <s v="Momentum Capital Investment S.A."/>
    <s v="24/09/2026"/>
    <s v="24/09/2026"/>
    <n v="30"/>
    <s v="No"/>
    <s v=""/>
    <m/>
    <m/>
    <s v="*MAV061101338"/>
    <s v="*MAV061101338"/>
    <n v="5.7783366343294044E-5"/>
  </r>
  <r>
    <x v="28"/>
    <s v="Pesos"/>
    <d v="2026-11-11T00:00:00"/>
    <s v="29/09/2026"/>
    <n v="0.96586419999999995"/>
    <m/>
    <n v="4500000"/>
    <n v="4346388.9000000004"/>
    <n v="4500000"/>
    <n v="4346388.9000000004"/>
    <n v="1302"/>
    <s v="AMOMPY"/>
    <s v="Momentum Capital Investment S.A."/>
    <s v="24/09/2026"/>
    <s v="24/09/2026"/>
    <n v="30"/>
    <s v="No"/>
    <s v=""/>
    <m/>
    <m/>
    <s v="*MAV091101175"/>
    <s v="*MAV091101175"/>
    <n v="5.7783366343294044E-5"/>
  </r>
  <r>
    <x v="28"/>
    <s v="Pesos"/>
    <d v="2026-11-11T00:00:00"/>
    <s v="29/09/2026"/>
    <n v="0.96367102999999998"/>
    <m/>
    <n v="3000000"/>
    <n v="2891013.08"/>
    <n v="3000000"/>
    <n v="2891013.08"/>
    <n v="1052"/>
    <s v="AMOMPY"/>
    <s v="Momentum Capital Investment S.A."/>
    <s v="25/08/2026"/>
    <s v="25/08/2026"/>
    <n v="32"/>
    <s v="No"/>
    <s v=""/>
    <m/>
    <m/>
    <s v="*MAV061101059"/>
    <s v="*MAV061101059"/>
    <n v="3.8434772347429574E-5"/>
  </r>
  <r>
    <x v="28"/>
    <s v="Pesos"/>
    <d v="2026-11-11T00:00:00"/>
    <s v="29/09/2026"/>
    <n v="0.96367102999999998"/>
    <m/>
    <n v="3000000"/>
    <n v="2891013.08"/>
    <n v="3000000"/>
    <n v="2891013.08"/>
    <n v="1053"/>
    <s v="AMOMPY"/>
    <s v="Momentum Capital Investment S.A."/>
    <s v="25/08/2026"/>
    <s v="25/08/2026"/>
    <n v="32"/>
    <s v="No"/>
    <s v=""/>
    <m/>
    <m/>
    <s v="*MAV091100925"/>
    <s v="*MAV091100925"/>
    <n v="3.8434772347429574E-5"/>
  </r>
  <r>
    <x v="281"/>
    <s v="Pesos"/>
    <d v="2026-11-11T00:00:00"/>
    <s v="29/09/2026"/>
    <n v="0.96257813999999997"/>
    <m/>
    <n v="3600000"/>
    <n v="3465281.29"/>
    <n v="3600000"/>
    <n v="3465281.29"/>
    <n v="13870042"/>
    <s v="AMOMPY"/>
    <s v="Momentum Capital Investment S.A."/>
    <s v="21/09/2026"/>
    <s v="21/09/2026"/>
    <n v="33"/>
    <s v="No"/>
    <s v=""/>
    <m/>
    <m/>
    <s v="*MAV091101151"/>
    <s v="*MAV091101151"/>
    <n v="4.6069420585588311E-5"/>
  </r>
  <r>
    <x v="282"/>
    <s v="Pesos"/>
    <d v="2026-11-11T00:00:00"/>
    <s v="29/09/2026"/>
    <n v="0.96257826999999996"/>
    <m/>
    <n v="130311.45"/>
    <n v="125434.97"/>
    <n v="130311.45"/>
    <n v="125434.97"/>
    <n v="2438"/>
    <s v="AMOMPY"/>
    <s v="Momentum Capital Investment S.A."/>
    <s v="22/09/2026"/>
    <s v="22/09/2026"/>
    <n v="33"/>
    <s v="No"/>
    <s v=""/>
    <m/>
    <m/>
    <s v="*MAV081101264"/>
    <s v="*MAV081101264"/>
    <n v="1.6676038409195499E-6"/>
  </r>
  <r>
    <x v="283"/>
    <s v="Pesos"/>
    <d v="2026-11-11T00:00:00"/>
    <s v="29/09/2026"/>
    <n v="0.96257820999999999"/>
    <m/>
    <n v="8574172.7400000002"/>
    <n v="8253311.8200000003"/>
    <n v="8574172.7400000002"/>
    <n v="8253311.8200000003"/>
    <n v="81454507"/>
    <s v="AMOMPY"/>
    <s v="Momentum Capital Investment S.A."/>
    <s v="22/09/2026"/>
    <s v="22/09/2026"/>
    <n v="33"/>
    <s v="No"/>
    <s v=""/>
    <m/>
    <m/>
    <s v="*MAV081101265"/>
    <s v="*MAV081101265"/>
    <n v="1.0972422197206028E-4"/>
  </r>
  <r>
    <x v="2"/>
    <s v="Pesos"/>
    <d v="2026-11-11T00:00:00"/>
    <s v="29/09/2026"/>
    <n v="0.96367102000000004"/>
    <m/>
    <n v="40000000"/>
    <n v="38546840.939999998"/>
    <n v="40000000"/>
    <n v="38546840.939999998"/>
    <n v="13953440"/>
    <s v="AMOMPY"/>
    <s v="Momentum Capital Investment S.A."/>
    <s v="31/07/2026"/>
    <s v="31/07/2026"/>
    <n v="32"/>
    <s v="No"/>
    <s v=""/>
    <m/>
    <m/>
    <s v="*MAV091100847"/>
    <s v="*MAV091100847"/>
    <n v="5.1246362961508219E-4"/>
  </r>
  <r>
    <x v="226"/>
    <s v="Pesos"/>
    <d v="2026-11-11T00:00:00"/>
    <s v="29/09/2026"/>
    <n v="0.97139067000000001"/>
    <m/>
    <n v="18000000"/>
    <n v="17485032.079999998"/>
    <n v="18000000"/>
    <n v="17485032.079999998"/>
    <n v="90025470"/>
    <s v="AMOMPY"/>
    <s v="Momentum Capital Investment S.A."/>
    <s v="23/09/2026"/>
    <s v="23/09/2026"/>
    <n v="25"/>
    <s v="No"/>
    <s v=""/>
    <m/>
    <m/>
    <s v="*FTR071100013"/>
    <s v="*FTR071100013"/>
    <n v="2.3245596228236467E-4"/>
  </r>
  <r>
    <x v="35"/>
    <s v="Pesos"/>
    <d v="2026-11-11T00:00:00"/>
    <s v="29/09/2026"/>
    <n v="0.95931471000000001"/>
    <m/>
    <n v="2510000.36"/>
    <n v="2407880.2599999998"/>
    <n v="2510000.36"/>
    <n v="2407880.2599999998"/>
    <n v="3162"/>
    <s v="AMOMPY"/>
    <s v="Momentum Capital Investment S.A."/>
    <s v="19/08/2026"/>
    <s v="19/08/2026"/>
    <n v="36"/>
    <s v="No"/>
    <s v=""/>
    <m/>
    <m/>
    <s v="*MAV071101383"/>
    <s v="*MAV071101383"/>
    <n v="3.2011729823432525E-5"/>
  </r>
  <r>
    <x v="35"/>
    <s v="Pesos"/>
    <d v="2026-11-11T00:00:00"/>
    <s v="29/09/2026"/>
    <n v="0.95931462999999995"/>
    <m/>
    <n v="3625698.78"/>
    <n v="3478185.89"/>
    <n v="3625698.78"/>
    <n v="3478185.89"/>
    <n v="3353"/>
    <s v="AMOMPY"/>
    <s v="Momentum Capital Investment S.A."/>
    <s v="28/08/2026"/>
    <s v="28/08/2026"/>
    <n v="36"/>
    <s v="No"/>
    <s v=""/>
    <m/>
    <m/>
    <s v="*MAV061101102"/>
    <s v="*MAV061101102"/>
    <n v="4.6240981678364362E-5"/>
  </r>
  <r>
    <x v="35"/>
    <s v="Pesos"/>
    <d v="2026-11-11T00:00:00"/>
    <s v="29/09/2026"/>
    <n v="0.96040018000000005"/>
    <m/>
    <n v="3256800.5"/>
    <n v="3127831.79"/>
    <n v="3256800.5"/>
    <n v="3127831.79"/>
    <n v="3584"/>
    <s v="AMOMPY"/>
    <s v="Momentum Capital Investment S.A."/>
    <s v="17/09/2026"/>
    <s v="17/09/2026"/>
    <n v="35"/>
    <s v="No"/>
    <s v=""/>
    <m/>
    <m/>
    <s v="*MAV071101486"/>
    <s v="*MAV071101486"/>
    <n v="4.1583174985048198E-5"/>
  </r>
  <r>
    <x v="35"/>
    <s v="Pesos"/>
    <d v="2026-11-11T00:00:00"/>
    <s v="29/09/2026"/>
    <n v="0.96040018000000005"/>
    <m/>
    <n v="3256800.5"/>
    <n v="3127831.79"/>
    <n v="3256800.5"/>
    <n v="3127831.79"/>
    <n v="3583"/>
    <s v="AMOMPY"/>
    <s v="Momentum Capital Investment S.A."/>
    <s v="17/09/2026"/>
    <s v="17/09/2026"/>
    <n v="35"/>
    <s v="No"/>
    <s v=""/>
    <m/>
    <m/>
    <s v="*MAV061101294"/>
    <s v="*MAV061101294"/>
    <n v="4.1583174985048198E-5"/>
  </r>
  <r>
    <x v="35"/>
    <s v="Pesos"/>
    <d v="2026-11-11T00:00:00"/>
    <s v="29/09/2026"/>
    <n v="0.95931471999999995"/>
    <m/>
    <n v="3105640.28"/>
    <n v="2979286.43"/>
    <n v="3105640.28"/>
    <n v="2979286.43"/>
    <n v="3375"/>
    <s v="AMOMPY"/>
    <s v="Momentum Capital Investment S.A."/>
    <s v="02/09/2026"/>
    <s v="02/09/2026"/>
    <n v="36"/>
    <s v="No"/>
    <s v=""/>
    <m/>
    <m/>
    <s v="*MAV061101118"/>
    <s v="*MAV061101118"/>
    <n v="3.9608328473849789E-5"/>
  </r>
  <r>
    <x v="132"/>
    <s v="Pesos"/>
    <d v="2026-11-11T00:00:00"/>
    <s v="29/09/2026"/>
    <n v="0.96476629999999997"/>
    <m/>
    <n v="9990457.7799999993"/>
    <n v="9638456.9800000004"/>
    <n v="9990457.7799999993"/>
    <n v="9638456.9800000004"/>
    <n v="3022"/>
    <s v="AMOMPY"/>
    <s v="Momentum Capital Investment S.A."/>
    <s v="08/09/2026"/>
    <s v="08/09/2026"/>
    <n v="31"/>
    <s v="No"/>
    <s v=""/>
    <m/>
    <m/>
    <s v="*MAV061101156"/>
    <s v="*MAV061101156"/>
    <n v="1.2813912962538154E-4"/>
  </r>
  <r>
    <x v="140"/>
    <s v="Pesos"/>
    <d v="2026-11-11T00:00:00"/>
    <s v="29/09/2026"/>
    <n v="0.96476629999999997"/>
    <m/>
    <n v="20398741.449999999"/>
    <n v="19680018.300000001"/>
    <n v="20398741.449999999"/>
    <n v="19680018.300000001"/>
    <n v="69586114"/>
    <s v="AMOMPY"/>
    <s v="Momentum Capital Investment S.A."/>
    <s v="08/09/2026"/>
    <s v="08/09/2026"/>
    <n v="31"/>
    <s v="No"/>
    <s v=""/>
    <m/>
    <m/>
    <s v="*MAV081101227"/>
    <s v="*MAV081101227"/>
    <n v="2.6163735763995503E-4"/>
  </r>
  <r>
    <x v="239"/>
    <s v="Pesos"/>
    <d v="2026-11-11T00:00:00"/>
    <s v="29/09/2026"/>
    <n v="0.96586404000000003"/>
    <m/>
    <n v="1340000"/>
    <n v="1294257.82"/>
    <n v="1340000"/>
    <n v="1294257.82"/>
    <n v="69652371"/>
    <s v="AMOMPY"/>
    <s v="Momentum Capital Investment S.A."/>
    <s v="11/09/2026"/>
    <s v="11/09/2026"/>
    <n v="30"/>
    <s v="No"/>
    <s v=""/>
    <m/>
    <m/>
    <s v="*MAV091101071"/>
    <s v="*MAV091101071"/>
    <n v="1.7206599656955023E-5"/>
  </r>
  <r>
    <x v="284"/>
    <s v="Pesos"/>
    <d v="2026-11-11T00:00:00"/>
    <s v="29/09/2026"/>
    <n v="0.96367095000000003"/>
    <m/>
    <n v="4000000"/>
    <n v="3854683.81"/>
    <n v="4000000"/>
    <n v="3854683.81"/>
    <n v="722"/>
    <s v="AMOMPY"/>
    <s v="Momentum Capital Investment S.A."/>
    <s v="14/09/2026"/>
    <s v="14/09/2026"/>
    <n v="32"/>
    <s v="No"/>
    <s v=""/>
    <m/>
    <m/>
    <s v="*MAV061101255"/>
    <s v="*MAV061101255"/>
    <n v="5.1246359185850683E-5"/>
  </r>
  <r>
    <x v="244"/>
    <s v="Pesos"/>
    <d v="2026-11-11T00:00:00"/>
    <s v="29/09/2026"/>
    <n v="0.96257822000000004"/>
    <m/>
    <n v="5300000"/>
    <n v="5101664.54"/>
    <n v="5300000"/>
    <n v="5101664.54"/>
    <n v="8175677"/>
    <s v="AMOMPY"/>
    <s v="Momentum Capital Investment S.A."/>
    <s v="15/09/2026"/>
    <s v="15/09/2026"/>
    <n v="33"/>
    <s v="No"/>
    <s v=""/>
    <m/>
    <m/>
    <s v="*MAV061101266"/>
    <s v="*MAV061101266"/>
    <n v="6.7824430316259249E-5"/>
  </r>
  <r>
    <x v="244"/>
    <s v="Pesos"/>
    <d v="2026-11-11T00:00:00"/>
    <s v="29/09/2026"/>
    <n v="0.96257822000000004"/>
    <m/>
    <n v="5300000"/>
    <n v="5101664.54"/>
    <n v="5300000"/>
    <n v="5101664.54"/>
    <n v="8175678"/>
    <s v="AMOMPY"/>
    <s v="Momentum Capital Investment S.A."/>
    <s v="15/09/2026"/>
    <s v="15/09/2026"/>
    <n v="33"/>
    <s v="No"/>
    <s v=""/>
    <m/>
    <m/>
    <s v="*MAV091101103"/>
    <s v="*MAV091101103"/>
    <n v="6.7824430316259249E-5"/>
  </r>
  <r>
    <x v="285"/>
    <s v="Pesos"/>
    <d v="2026-11-11T00:00:00"/>
    <s v="29/09/2026"/>
    <n v="0.96367100999999999"/>
    <m/>
    <n v="2073150"/>
    <n v="1997834.56"/>
    <n v="2073150"/>
    <n v="1997834.56"/>
    <n v="90000247"/>
    <s v="AMOMPY"/>
    <s v="Momentum Capital Investment S.A."/>
    <s v="15/09/2026"/>
    <s v="15/09/2026"/>
    <n v="32"/>
    <s v="No"/>
    <s v=""/>
    <m/>
    <m/>
    <s v="*MAV091101108"/>
    <s v="*MAV091101108"/>
    <n v="2.6560349046026152E-5"/>
  </r>
  <r>
    <x v="6"/>
    <s v="Pesos"/>
    <d v="2026-11-11T00:00:00"/>
    <s v="29/09/2026"/>
    <n v="0.9669643"/>
    <m/>
    <n v="35000000"/>
    <n v="33843750.439999998"/>
    <n v="35000000"/>
    <n v="33843750.439999998"/>
    <n v="65"/>
    <s v="AMOMPY"/>
    <s v="Momentum Capital Investment S.A."/>
    <s v="29/05/2026"/>
    <s v="29/05/2026"/>
    <n v="29"/>
    <s v="No"/>
    <s v=""/>
    <m/>
    <m/>
    <s v="*PRO061100023"/>
    <s v="*PRO061100023"/>
    <n v="4.4993806930289615E-4"/>
  </r>
  <r>
    <x v="55"/>
    <s v="Pesos"/>
    <d v="2026-11-11T00:00:00"/>
    <s v="29/09/2026"/>
    <n v="0.96586402000000005"/>
    <m/>
    <n v="60027851.850000001"/>
    <n v="57978742.32"/>
    <n v="60027851.850000001"/>
    <n v="57978742.32"/>
    <n v="40294868"/>
    <s v="AMOMPY"/>
    <s v="Momentum Capital Investment S.A."/>
    <s v="07/09/2026"/>
    <s v="07/09/2026"/>
    <n v="30"/>
    <s v="No"/>
    <s v=""/>
    <m/>
    <m/>
    <s v="*MAV061101144"/>
    <s v="*MAV061101144"/>
    <n v="7.7080237978704709E-4"/>
  </r>
  <r>
    <x v="34"/>
    <s v="Pesos"/>
    <d v="2026-11-11T00:00:00"/>
    <s v="29/09/2026"/>
    <n v="0.96257815000000002"/>
    <m/>
    <n v="2170000"/>
    <n v="2088794.59"/>
    <n v="2170000"/>
    <n v="2088794.59"/>
    <n v="260729"/>
    <s v="AMOMPY"/>
    <s v="Momentum Capital Investment S.A."/>
    <s v="27/08/2026"/>
    <s v="27/08/2026"/>
    <n v="33"/>
    <s v="No"/>
    <s v=""/>
    <m/>
    <m/>
    <s v="*MAV061101077"/>
    <s v="*MAV061101077"/>
    <n v="2.7769623424599828E-5"/>
  </r>
  <r>
    <x v="7"/>
    <s v="Pesos"/>
    <d v="2026-11-11T00:00:00"/>
    <s v="29/09/2026"/>
    <n v="0.96806705999999998"/>
    <m/>
    <n v="150000000"/>
    <n v="145210058.61000001"/>
    <n v="150000000"/>
    <n v="145210058.61000001"/>
    <n v="80"/>
    <s v="AMOMPY"/>
    <s v="Momentum Capital Investment S.A."/>
    <s v="12/08/2026"/>
    <s v="12/08/2026"/>
    <n v="28"/>
    <s v="No"/>
    <s v=""/>
    <m/>
    <m/>
    <s v="*MAV061101031"/>
    <s v="*MAV061101031"/>
    <n v="1.9305051173384023E-3"/>
  </r>
  <r>
    <x v="275"/>
    <s v="Pesos"/>
    <d v="2026-11-11T00:00:00"/>
    <s v="29/09/2026"/>
    <n v="0.95931471000000001"/>
    <m/>
    <n v="3140560.45"/>
    <n v="3012785.85"/>
    <n v="3140560.45"/>
    <n v="3012785.85"/>
    <n v="1117"/>
    <s v="AMOMPY"/>
    <s v="Momentum Capital Investment S.A."/>
    <s v="02/09/2026"/>
    <s v="02/09/2026"/>
    <n v="36"/>
    <s v="No"/>
    <s v=""/>
    <m/>
    <m/>
    <s v="*MAV061101117"/>
    <s v="*MAV061101117"/>
    <n v="4.005368881842178E-5"/>
  </r>
  <r>
    <x v="275"/>
    <s v="Pesos"/>
    <d v="2026-11-11T00:00:00"/>
    <s v="29/09/2026"/>
    <n v="0.95931464"/>
    <m/>
    <n v="3256800.5"/>
    <n v="3124296.39"/>
    <n v="3256800.5"/>
    <n v="3124296.39"/>
    <n v="1286"/>
    <s v="AMOMPY"/>
    <s v="Momentum Capital Investment S.A."/>
    <s v="22/09/2026"/>
    <s v="22/09/2026"/>
    <n v="36"/>
    <s v="No"/>
    <s v=""/>
    <m/>
    <m/>
    <s v="*MAV061101318"/>
    <s v="*MAV061101318"/>
    <n v="4.1536173366447043E-5"/>
  </r>
  <r>
    <x v="275"/>
    <s v="Pesos"/>
    <d v="2026-11-11T00:00:00"/>
    <s v="29/09/2026"/>
    <n v="0.95931464"/>
    <m/>
    <n v="3256800.5"/>
    <n v="3124296.39"/>
    <n v="3256800.5"/>
    <n v="3124296.39"/>
    <n v="1287"/>
    <s v="AMOMPY"/>
    <s v="Momentum Capital Investment S.A."/>
    <s v="22/09/2026"/>
    <s v="22/09/2026"/>
    <n v="36"/>
    <s v="No"/>
    <s v=""/>
    <m/>
    <m/>
    <s v="*MAV071101500"/>
    <s v="*MAV071101500"/>
    <n v="4.1536173366447043E-5"/>
  </r>
  <r>
    <x v="35"/>
    <s v="Pesos"/>
    <d v="2026-11-11T00:00:00"/>
    <s v="29/09/2026"/>
    <n v="0.96257824000000003"/>
    <m/>
    <n v="990902.64"/>
    <n v="953821.32"/>
    <n v="990902.64"/>
    <n v="953821.32"/>
    <n v="2965"/>
    <s v="AMOMPY"/>
    <s v="Momentum Capital Investment S.A."/>
    <s v="28/07/2026"/>
    <s v="28/07/2026"/>
    <n v="33"/>
    <s v="No"/>
    <s v=""/>
    <m/>
    <m/>
    <s v="*MAV071101350"/>
    <s v="*MAV071101350"/>
    <n v="1.2680643179353851E-5"/>
  </r>
  <r>
    <x v="35"/>
    <s v="Pesos"/>
    <d v="2026-11-11T00:00:00"/>
    <s v="29/09/2026"/>
    <n v="0.96148789000000001"/>
    <m/>
    <n v="990902.64"/>
    <n v="952740.89"/>
    <n v="990902.64"/>
    <n v="952740.89"/>
    <n v="2964"/>
    <s v="AMOMPY"/>
    <s v="Momentum Capital Investment S.A."/>
    <s v="16/07/2026"/>
    <s v="16/07/2026"/>
    <n v="34"/>
    <s v="No"/>
    <s v=""/>
    <m/>
    <m/>
    <s v="*MAV061100971"/>
    <s v="*MAV061100971"/>
    <n v="1.2666279328365211E-5"/>
  </r>
  <r>
    <x v="35"/>
    <s v="Pesos"/>
    <d v="2026-11-11T00:00:00"/>
    <s v="29/09/2026"/>
    <n v="0.96148787000000002"/>
    <m/>
    <n v="1020845.65"/>
    <n v="981530.71"/>
    <n v="1020845.65"/>
    <n v="981530.71"/>
    <n v="2915"/>
    <s v="AMOMPY"/>
    <s v="Momentum Capital Investment S.A."/>
    <s v="16/07/2026"/>
    <s v="16/07/2026"/>
    <n v="34"/>
    <s v="No"/>
    <s v=""/>
    <m/>
    <m/>
    <s v="*MAV071101344"/>
    <s v="*MAV071101344"/>
    <n v="1.3049027571629289E-5"/>
  </r>
  <r>
    <x v="35"/>
    <s v="Pesos"/>
    <d v="2026-11-11T00:00:00"/>
    <s v="29/09/2026"/>
    <n v="0.96148787000000002"/>
    <m/>
    <n v="1020845.65"/>
    <n v="981530.71"/>
    <n v="1020845.65"/>
    <n v="981530.71"/>
    <n v="2914"/>
    <s v="AMOMPY"/>
    <s v="Momentum Capital Investment S.A."/>
    <s v="16/07/2026"/>
    <s v="16/07/2026"/>
    <n v="34"/>
    <s v="No"/>
    <s v=""/>
    <m/>
    <m/>
    <s v="*MAV061100972"/>
    <s v="*MAV061100972"/>
    <n v="1.3049027571629289E-5"/>
  </r>
  <r>
    <x v="35"/>
    <s v="Pesos"/>
    <d v="2026-11-11T00:00:00"/>
    <s v="29/09/2026"/>
    <n v="0.95931471000000001"/>
    <m/>
    <n v="2510000.36"/>
    <n v="2407880.2599999998"/>
    <n v="2510000.36"/>
    <n v="2407880.2599999998"/>
    <n v="3161"/>
    <s v="AMOMPY"/>
    <s v="Momentum Capital Investment S.A."/>
    <s v="19/08/2026"/>
    <s v="19/08/2026"/>
    <n v="36"/>
    <s v="No"/>
    <s v=""/>
    <m/>
    <m/>
    <s v="*MAV061101044"/>
    <s v="*MAV061101044"/>
    <n v="3.2011729823432525E-5"/>
  </r>
  <r>
    <x v="8"/>
    <s v="Pesos"/>
    <d v="2026-11-11T00:00:00"/>
    <s v="29/09/2026"/>
    <n v="0.96806711000000001"/>
    <m/>
    <n v="60000000"/>
    <n v="58084026.759999998"/>
    <n v="60000000"/>
    <n v="58084026.759999998"/>
    <n v="100"/>
    <s v="AMOMPY"/>
    <s v="Momentum Capital Investment S.A."/>
    <s v="16/07/2026"/>
    <s v="16/07/2026"/>
    <n v="28"/>
    <s v="No"/>
    <s v=""/>
    <m/>
    <m/>
    <s v="*MIL061100020"/>
    <s v="*MIL061100020"/>
    <n v="7.7220209102015099E-4"/>
  </r>
  <r>
    <x v="8"/>
    <s v="Pesos"/>
    <d v="2026-11-11T00:00:00"/>
    <s v="29/09/2026"/>
    <n v="0.96586406999999996"/>
    <m/>
    <n v="10000000"/>
    <n v="9658640.6899999995"/>
    <n v="10000000"/>
    <n v="9658640.6899999995"/>
    <n v="68856220"/>
    <s v="AMOMPY"/>
    <s v="Momentum Capital Investment S.A."/>
    <s v="14/08/2026"/>
    <s v="14/08/2026"/>
    <n v="30"/>
    <s v="No"/>
    <s v=""/>
    <m/>
    <m/>
    <s v="*MIL091100018"/>
    <s v="*MIL091100018"/>
    <n v="1.2840746334699047E-4"/>
  </r>
  <r>
    <x v="8"/>
    <s v="Pesos"/>
    <d v="2026-11-11T00:00:00"/>
    <s v="29/09/2026"/>
    <n v="0.96586406999999996"/>
    <m/>
    <n v="11000000"/>
    <n v="10624504.76"/>
    <n v="11000000"/>
    <n v="10624504.76"/>
    <n v="10679146"/>
    <s v="AMOMPY"/>
    <s v="Momentum Capital Investment S.A."/>
    <s v="14/08/2026"/>
    <s v="14/08/2026"/>
    <n v="30"/>
    <s v="No"/>
    <s v=""/>
    <m/>
    <m/>
    <s v="*MIL091100020"/>
    <s v="*MIL091100020"/>
    <n v="1.412482096949841E-4"/>
  </r>
  <r>
    <x v="164"/>
    <s v="Pesos"/>
    <d v="2026-11-11T00:00:00"/>
    <s v="29/09/2026"/>
    <n v="0.96917253999999997"/>
    <m/>
    <n v="33580000"/>
    <n v="32544813.829999998"/>
    <n v="33580000"/>
    <n v="32544813.829999998"/>
    <n v="32241"/>
    <s v="AMOMPY"/>
    <s v="Momentum Capital Investment S.A."/>
    <s v="17/09/2026"/>
    <s v="17/09/2026"/>
    <n v="27"/>
    <s v="No"/>
    <s v=""/>
    <m/>
    <m/>
    <s v="*NIO061100042"/>
    <s v="*NIO061100042"/>
    <n v="4.3266926715029852E-4"/>
  </r>
  <r>
    <x v="286"/>
    <s v="Pesos"/>
    <d v="2026-11-11T00:00:00"/>
    <s v="29/09/2026"/>
    <n v="0.96367100000000006"/>
    <m/>
    <n v="14627728.42"/>
    <n v="14096317.720000001"/>
    <n v="14627728.42"/>
    <n v="14096317.720000001"/>
    <n v="69296586"/>
    <s v="AMOMPY"/>
    <s v="Momentum Capital Investment S.A."/>
    <s v="28/08/2026"/>
    <s v="28/08/2026"/>
    <n v="32"/>
    <s v="No"/>
    <s v=""/>
    <m/>
    <m/>
    <s v="*MAV061101083"/>
    <s v="*MAV061101083"/>
    <n v="1.8740446601688758E-4"/>
  </r>
  <r>
    <x v="37"/>
    <s v="Pesos"/>
    <d v="2026-11-11T00:00:00"/>
    <s v="29/09/2026"/>
    <n v="0.96586406999999996"/>
    <m/>
    <n v="12008751.93"/>
    <n v="11598821.970000001"/>
    <n v="12008751.93"/>
    <n v="11598821.970000001"/>
    <n v="23044"/>
    <s v="AMOMPY"/>
    <s v="Momentum Capital Investment S.A."/>
    <s v="15/09/2026"/>
    <s v="15/09/2026"/>
    <n v="30"/>
    <s v="No"/>
    <s v=""/>
    <m/>
    <m/>
    <s v="*AFB091100004"/>
    <s v="*AFB091100004"/>
    <n v="1.542013368944407E-4"/>
  </r>
  <r>
    <x v="37"/>
    <s v="Pesos"/>
    <d v="2026-11-11T00:00:00"/>
    <s v="29/09/2026"/>
    <n v="0.96586406999999996"/>
    <m/>
    <n v="3554233.32"/>
    <n v="3432906.25"/>
    <n v="3554233.32"/>
    <n v="3432906.25"/>
    <n v="23043"/>
    <s v="AMOMPY"/>
    <s v="Momentum Capital Investment S.A."/>
    <s v="15/09/2026"/>
    <s v="15/09/2026"/>
    <n v="30"/>
    <s v="No"/>
    <s v=""/>
    <m/>
    <m/>
    <s v="*AFB061100010"/>
    <s v="*AFB061100010"/>
    <n v="4.5639008388304538E-5"/>
  </r>
  <r>
    <x v="37"/>
    <s v="Pesos"/>
    <d v="2026-11-11T00:00:00"/>
    <s v="29/09/2026"/>
    <n v="0.96586406999999996"/>
    <m/>
    <n v="8141903.9699999997"/>
    <n v="7863972.4699999997"/>
    <n v="8141903.9699999997"/>
    <n v="7863972.4699999997"/>
    <n v="23097"/>
    <s v="AMOMPY"/>
    <s v="Momentum Capital Investment S.A."/>
    <s v="15/09/2026"/>
    <s v="15/09/2026"/>
    <n v="30"/>
    <s v="No"/>
    <s v=""/>
    <m/>
    <m/>
    <s v="*AFB091100006"/>
    <s v="*AFB091100006"/>
    <n v="1.0454812318971017E-4"/>
  </r>
  <r>
    <x v="37"/>
    <s v="Pesos"/>
    <d v="2026-11-11T00:00:00"/>
    <s v="29/09/2026"/>
    <n v="0.96586406999999996"/>
    <m/>
    <n v="14376774.91"/>
    <n v="13886010.279999999"/>
    <n v="14376774.91"/>
    <n v="13886010.279999999"/>
    <n v="22795"/>
    <s v="AMOMPY"/>
    <s v="Momentum Capital Investment S.A."/>
    <s v="15/09/2026"/>
    <s v="15/09/2026"/>
    <n v="30"/>
    <s v="No"/>
    <s v=""/>
    <m/>
    <m/>
    <s v="*AFB061100011"/>
    <s v="*AFB061100011"/>
    <n v="1.8460851928275149E-4"/>
  </r>
  <r>
    <x v="37"/>
    <s v="Pesos"/>
    <d v="2026-11-11T00:00:00"/>
    <s v="29/09/2026"/>
    <n v="0.96586406999999996"/>
    <m/>
    <n v="21728976.760000002"/>
    <n v="20987237.850000001"/>
    <n v="21728976.760000002"/>
    <n v="20987237.850000001"/>
    <n v="23058"/>
    <s v="AMOMPY"/>
    <s v="Momentum Capital Investment S.A."/>
    <s v="15/09/2026"/>
    <s v="15/09/2026"/>
    <n v="30"/>
    <s v="No"/>
    <s v=""/>
    <m/>
    <m/>
    <s v="*AFB091100005"/>
    <s v="*AFB091100005"/>
    <n v="2.7901627790840271E-4"/>
  </r>
  <r>
    <x v="39"/>
    <s v="Pesos"/>
    <d v="2026-11-11T00:00:00"/>
    <s v="29/09/2026"/>
    <n v="0.96696428000000001"/>
    <m/>
    <n v="5109127.71"/>
    <n v="4940343.9800000004"/>
    <n v="5109127.71"/>
    <n v="4940343.9800000004"/>
    <n v="90000654"/>
    <s v="AMOMPY"/>
    <s v="Momentum Capital Investment S.A."/>
    <s v="03/07/2026"/>
    <s v="03/07/2026"/>
    <n v="29"/>
    <s v="No"/>
    <s v=""/>
    <m/>
    <m/>
    <s v="*FED091100055"/>
    <s v="*FED091100055"/>
    <n v="6.5679743029489911E-5"/>
  </r>
  <r>
    <x v="13"/>
    <s v="Pesos"/>
    <d v="2026-11-11T00:00:00"/>
    <s v="29/09/2026"/>
    <n v="0.96586413000000004"/>
    <m/>
    <n v="100000000"/>
    <n v="96586412.700000003"/>
    <n v="100000000"/>
    <n v="96586412.700000003"/>
    <n v="90004129"/>
    <s v="AMOMPY"/>
    <s v="Momentum Capital Investment S.A."/>
    <s v="02/09/2026"/>
    <s v="02/09/2026"/>
    <n v="30"/>
    <s v="No"/>
    <s v=""/>
    <m/>
    <m/>
    <s v="*BIF091100005"/>
    <s v="*BIF091100005"/>
    <n v="1.2840747105784041E-3"/>
  </r>
  <r>
    <x v="13"/>
    <s v="Pesos"/>
    <d v="2026-11-11T00:00:00"/>
    <s v="29/09/2026"/>
    <n v="0.96586413000000004"/>
    <m/>
    <n v="100000000"/>
    <n v="96586412.700000003"/>
    <n v="100000000"/>
    <n v="96586412.700000003"/>
    <n v="90004130"/>
    <s v="AMOMPY"/>
    <s v="Momentum Capital Investment S.A."/>
    <s v="02/09/2026"/>
    <s v="02/09/2026"/>
    <n v="30"/>
    <s v="No"/>
    <s v=""/>
    <m/>
    <m/>
    <s v="*BIF091100004"/>
    <s v="*BIF091100004"/>
    <n v="1.2840747105784041E-3"/>
  </r>
  <r>
    <x v="8"/>
    <s v="Pesos"/>
    <d v="2026-11-11T00:00:00"/>
    <s v="29/09/2026"/>
    <n v="0.96917237000000001"/>
    <m/>
    <n v="10000000"/>
    <n v="9691723.7100000009"/>
    <n v="10000000"/>
    <n v="9691723.7100000009"/>
    <n v="2014"/>
    <s v="AMOMPY"/>
    <s v="Momentum Capital Investment S.A."/>
    <s v="07/07/2026"/>
    <s v="07/07/2026"/>
    <n v="27"/>
    <s v="No"/>
    <s v=""/>
    <m/>
    <m/>
    <s v="*MIL061100019"/>
    <s v="*MIL061100019"/>
    <n v="1.2884728783310644E-4"/>
  </r>
  <r>
    <x v="43"/>
    <s v="Pesos"/>
    <d v="2026-11-11T00:00:00"/>
    <s v="29/09/2026"/>
    <n v="0.96258105999999999"/>
    <m/>
    <n v="3890.81"/>
    <n v="3745.22"/>
    <n v="3890.81"/>
    <n v="3745.22"/>
    <n v="121964"/>
    <s v="AMOMPY"/>
    <s v="Momentum Capital Investment S.A."/>
    <s v="14/09/2026"/>
    <s v="14/09/2026"/>
    <n v="33"/>
    <s v="No"/>
    <s v=""/>
    <m/>
    <m/>
    <s v="*MAV091101079"/>
    <s v="*MAV091101079"/>
    <n v="4.9791085030663429E-8"/>
  </r>
  <r>
    <x v="43"/>
    <s v="Pesos"/>
    <d v="2026-11-11T00:00:00"/>
    <s v="29/09/2026"/>
    <n v="0.96257786000000001"/>
    <m/>
    <n v="28964.94"/>
    <n v="27881.01"/>
    <n v="28964.94"/>
    <n v="27881.01"/>
    <n v="121296"/>
    <s v="AMOMPY"/>
    <s v="Momentum Capital Investment S.A."/>
    <s v="14/09/2026"/>
    <s v="14/09/2026"/>
    <n v="33"/>
    <s v="No"/>
    <s v=""/>
    <m/>
    <m/>
    <s v="*MAV091101078"/>
    <s v="*MAV091101078"/>
    <n v="3.7066600617607971E-7"/>
  </r>
  <r>
    <x v="287"/>
    <s v="Pesos"/>
    <d v="2026-11-11T00:00:00"/>
    <s v="29/09/2026"/>
    <n v="0.96257822999999998"/>
    <m/>
    <n v="4296661.99"/>
    <n v="4135873.3"/>
    <n v="4296661.99"/>
    <n v="4135873.3"/>
    <n v="1541"/>
    <s v="AMOMPY"/>
    <s v="Momentum Capital Investment S.A."/>
    <s v="24/07/2026"/>
    <s v="24/07/2026"/>
    <n v="33"/>
    <s v="No"/>
    <s v=""/>
    <m/>
    <m/>
    <s v="*MAV061100982"/>
    <s v="*MAV061100982"/>
    <n v="5.4984652211712678E-5"/>
  </r>
  <r>
    <x v="142"/>
    <s v="Pesos"/>
    <d v="2026-11-11T00:00:00"/>
    <s v="29/09/2026"/>
    <n v="0.96257822999999998"/>
    <m/>
    <n v="20000000"/>
    <n v="19251564.530000001"/>
    <n v="20000000"/>
    <n v="19251564.530000001"/>
    <n v="40663540"/>
    <s v="AMOMPY"/>
    <s v="Momentum Capital Investment S.A."/>
    <s v="31/07/2026"/>
    <s v="31/07/2026"/>
    <n v="33"/>
    <s v="No"/>
    <s v=""/>
    <m/>
    <m/>
    <s v="*MAV081101197"/>
    <s v="*MAV081101197"/>
    <n v="2.5594124950911674E-4"/>
  </r>
  <r>
    <x v="288"/>
    <s v="Pesos"/>
    <d v="2026-11-11T00:00:00"/>
    <s v="29/09/2026"/>
    <n v="0.96257817999999995"/>
    <m/>
    <n v="8951101"/>
    <n v="8616134.5500000007"/>
    <n v="8951101"/>
    <n v="8616134.5500000007"/>
    <n v="14046167"/>
    <s v="AMOMPY"/>
    <s v="Momentum Capital Investment S.A."/>
    <s v="06/08/2026"/>
    <s v="06/08/2026"/>
    <n v="33"/>
    <s v="No"/>
    <s v=""/>
    <m/>
    <m/>
    <s v="*MAV091100864"/>
    <s v="*MAV091100864"/>
    <n v="1.1454779372498465E-4"/>
  </r>
  <r>
    <x v="288"/>
    <s v="Pesos"/>
    <d v="2026-11-11T00:00:00"/>
    <s v="29/09/2026"/>
    <n v="0.96257815000000002"/>
    <m/>
    <n v="7500000"/>
    <n v="7219336.1399999997"/>
    <n v="7500000"/>
    <n v="7219336.1399999997"/>
    <n v="14437225"/>
    <s v="AMOMPY"/>
    <s v="Momentum Capital Investment S.A."/>
    <s v="14/09/2026"/>
    <s v="14/09/2026"/>
    <n v="33"/>
    <s v="No"/>
    <s v=""/>
    <m/>
    <m/>
    <s v="*MAV091101091"/>
    <s v="*MAV091101091"/>
    <n v="9.5977961137578427E-5"/>
  </r>
  <r>
    <x v="289"/>
    <s v="Pesos"/>
    <d v="2026-11-11T00:00:00"/>
    <s v="29/09/2026"/>
    <n v="0.96367100999999999"/>
    <m/>
    <n v="445000"/>
    <n v="428833.6"/>
    <n v="445000"/>
    <n v="428833.6"/>
    <n v="69609968"/>
    <s v="AMOMPY"/>
    <s v="Momentum Capital Investment S.A."/>
    <s v="15/09/2026"/>
    <s v="15/09/2026"/>
    <n v="32"/>
    <s v="No"/>
    <s v=""/>
    <m/>
    <m/>
    <s v="*MAV061101273"/>
    <s v="*MAV061101273"/>
    <n v="5.7011578069126799E-6"/>
  </r>
  <r>
    <x v="168"/>
    <s v="Pesos"/>
    <d v="2026-11-11T00:00:00"/>
    <s v="29/09/2026"/>
    <n v="0.96257828000000001"/>
    <m/>
    <n v="70000000"/>
    <n v="67380479.670000002"/>
    <n v="70000000"/>
    <n v="67380479.670000002"/>
    <n v="9795700"/>
    <s v="AMOMPY"/>
    <s v="Momentum Capital Investment S.A."/>
    <s v="23/09/2026"/>
    <s v="23/09/2026"/>
    <n v="33"/>
    <s v="No"/>
    <s v=""/>
    <m/>
    <m/>
    <s v="*MAV071101507"/>
    <s v="*MAV071101507"/>
    <n v="8.957944240006885E-4"/>
  </r>
  <r>
    <x v="19"/>
    <s v="Pesos"/>
    <d v="2026-11-11T00:00:00"/>
    <s v="29/09/2026"/>
    <n v="0.95715117999999999"/>
    <m/>
    <n v="60000000"/>
    <n v="57429070.780000001"/>
    <n v="60000000"/>
    <n v="57429070.780000001"/>
    <n v="70393051"/>
    <s v="AMOMPY"/>
    <s v="Momentum Capital Investment S.A."/>
    <s v="04/09/2026"/>
    <s v="04/09/2026"/>
    <n v="38"/>
    <s v="No"/>
    <s v=""/>
    <m/>
    <m/>
    <s v="*MAV061101131"/>
    <s v="*MAV061101131"/>
    <n v="7.6349473367091089E-4"/>
  </r>
  <r>
    <x v="19"/>
    <s v="Pesos"/>
    <d v="2026-11-11T00:00:00"/>
    <s v="29/09/2026"/>
    <n v="0.95715117999999999"/>
    <m/>
    <n v="60000000"/>
    <n v="57429070.780000001"/>
    <n v="60000000"/>
    <n v="57429070.780000001"/>
    <n v="70393052"/>
    <s v="AMOMPY"/>
    <s v="Momentum Capital Investment S.A."/>
    <s v="04/09/2026"/>
    <s v="04/09/2026"/>
    <n v="38"/>
    <s v="No"/>
    <s v=""/>
    <m/>
    <m/>
    <s v="*MAV091100992"/>
    <s v="*MAV091100992"/>
    <n v="7.6349473367091089E-4"/>
  </r>
  <r>
    <x v="19"/>
    <s v="Pesos"/>
    <d v="2026-11-11T00:00:00"/>
    <s v="29/09/2026"/>
    <n v="0.95715117999999999"/>
    <m/>
    <n v="30000000"/>
    <n v="28714535.390000001"/>
    <n v="30000000"/>
    <n v="28714535.390000001"/>
    <n v="70393077"/>
    <s v="AMOMPY"/>
    <s v="Momentum Capital Investment S.A."/>
    <s v="04/09/2026"/>
    <s v="04/09/2026"/>
    <n v="38"/>
    <s v="No"/>
    <s v=""/>
    <m/>
    <m/>
    <s v="*MAV061101134"/>
    <s v="*MAV061101134"/>
    <n v="3.8174736683545545E-4"/>
  </r>
  <r>
    <x v="19"/>
    <s v="Pesos"/>
    <d v="2026-11-11T00:00:00"/>
    <s v="29/09/2026"/>
    <n v="0.95715119999999998"/>
    <m/>
    <n v="15000000"/>
    <n v="14357267.99"/>
    <n v="15000000"/>
    <n v="14357267.99"/>
    <n v="70393078"/>
    <s v="AMOMPY"/>
    <s v="Momentum Capital Investment S.A."/>
    <s v="15/09/2026"/>
    <s v="15/09/2026"/>
    <n v="38"/>
    <s v="No"/>
    <s v=""/>
    <m/>
    <m/>
    <s v="*MAV091101106"/>
    <s v="*MAV091101106"/>
    <n v="1.9087368733962552E-4"/>
  </r>
  <r>
    <x v="213"/>
    <s v="Pesos"/>
    <d v="2026-11-11T00:00:00"/>
    <s v="29/09/2026"/>
    <n v="0.95931471999999995"/>
    <m/>
    <n v="3256800.5"/>
    <n v="3124296.65"/>
    <n v="3256800.5"/>
    <n v="3124296.65"/>
    <n v="505"/>
    <s v="AMOMPY"/>
    <s v="Momentum Capital Investment S.A."/>
    <s v="19/08/2026"/>
    <s v="19/08/2026"/>
    <n v="36"/>
    <s v="No"/>
    <s v=""/>
    <m/>
    <m/>
    <s v="*MAV061101045"/>
    <s v="*MAV061101045"/>
    <n v="4.1536176823034937E-5"/>
  </r>
  <r>
    <x v="210"/>
    <s v="Pesos"/>
    <d v="2026-11-11T00:00:00"/>
    <s v="29/09/2026"/>
    <n v="0.96257822000000004"/>
    <m/>
    <n v="1300000"/>
    <n v="1251351.69"/>
    <n v="1300000"/>
    <n v="1251351.69"/>
    <n v="558"/>
    <s v="AMOMPY"/>
    <s v="Momentum Capital Investment S.A."/>
    <s v="01/09/2026"/>
    <s v="01/09/2026"/>
    <n v="33"/>
    <s v="No"/>
    <s v=""/>
    <m/>
    <m/>
    <s v="*MAV061101110"/>
    <s v="*MAV061101110"/>
    <n v="1.6636181158931753E-5"/>
  </r>
  <r>
    <x v="135"/>
    <s v="Pesos"/>
    <d v="2026-11-11T00:00:00"/>
    <s v="29/09/2026"/>
    <n v="0.96367093000000004"/>
    <m/>
    <n v="20000000"/>
    <n v="19273418.649999999"/>
    <n v="20000000"/>
    <n v="19273418.649999999"/>
    <n v="736"/>
    <s v="AMOMPY"/>
    <s v="Momentum Capital Investment S.A."/>
    <s v="21/09/2026"/>
    <s v="21/09/2026"/>
    <n v="32"/>
    <s v="No"/>
    <s v=""/>
    <m/>
    <m/>
    <s v="*MAV091101150"/>
    <s v="*MAV091101150"/>
    <n v="2.5623179061142588E-4"/>
  </r>
  <r>
    <x v="135"/>
    <s v="Pesos"/>
    <d v="2026-11-11T00:00:00"/>
    <s v="29/09/2026"/>
    <n v="0.96367093000000004"/>
    <m/>
    <n v="20000000"/>
    <n v="19273418.649999999"/>
    <n v="20000000"/>
    <n v="19273418.649999999"/>
    <n v="733"/>
    <s v="AMOMPY"/>
    <s v="Momentum Capital Investment S.A."/>
    <s v="21/09/2026"/>
    <s v="21/09/2026"/>
    <n v="32"/>
    <s v="No"/>
    <s v=""/>
    <m/>
    <m/>
    <s v="*MAV061101306"/>
    <s v="*MAV061101306"/>
    <n v="2.5623179061142588E-4"/>
  </r>
  <r>
    <x v="21"/>
    <s v="Pesos"/>
    <d v="2026-11-11T00:00:00"/>
    <s v="29/09/2026"/>
    <n v="0.96148785999999997"/>
    <m/>
    <n v="10000000"/>
    <n v="9614878.6500000004"/>
    <n v="10000000"/>
    <n v="9614878.6500000004"/>
    <n v="14284514"/>
    <s v="AMOMPY"/>
    <s v="Momentum Capital Investment S.A."/>
    <s v="24/08/2026"/>
    <s v="24/08/2026"/>
    <n v="34"/>
    <s v="No"/>
    <s v=""/>
    <m/>
    <m/>
    <s v="*MAV091100916"/>
    <s v="*MAV091100916"/>
    <n v="1.2782566589456974E-4"/>
  </r>
  <r>
    <x v="21"/>
    <s v="Pesos"/>
    <d v="2026-11-11T00:00:00"/>
    <s v="29/09/2026"/>
    <n v="0.96257828000000001"/>
    <m/>
    <n v="25000000"/>
    <n v="24064457.050000001"/>
    <n v="25000000"/>
    <n v="24064457.050000001"/>
    <n v="14422594"/>
    <s v="AMOMPY"/>
    <s v="Momentum Capital Investment S.A."/>
    <s v="02/09/2026"/>
    <s v="02/09/2026"/>
    <n v="33"/>
    <s v="No"/>
    <s v=""/>
    <m/>
    <m/>
    <s v="*MAV091100971"/>
    <s v="*MAV091100971"/>
    <n v="3.1992658033261015E-4"/>
  </r>
  <r>
    <x v="21"/>
    <s v="Pesos"/>
    <d v="2026-11-11T00:00:00"/>
    <s v="29/09/2026"/>
    <n v="0.96367102000000004"/>
    <m/>
    <n v="10000000"/>
    <n v="9636710.25"/>
    <n v="10000000"/>
    <n v="9636710.25"/>
    <n v="14422573"/>
    <s v="AMOMPY"/>
    <s v="Momentum Capital Investment S.A."/>
    <s v="01/09/2026"/>
    <s v="01/09/2026"/>
    <n v="32"/>
    <s v="No"/>
    <s v=""/>
    <m/>
    <m/>
    <s v="*MAV061101111"/>
    <s v="*MAV061101111"/>
    <n v="1.281159076031891E-4"/>
  </r>
  <r>
    <x v="85"/>
    <s v="Pesos"/>
    <d v="2026-11-11T00:00:00"/>
    <s v="29/09/2026"/>
    <n v="0.96257817999999995"/>
    <m/>
    <n v="5448062.4299999997"/>
    <n v="5244185.99"/>
    <n v="5448062.4299999997"/>
    <n v="5244185.99"/>
    <n v="90000595"/>
    <s v="AMOMPY"/>
    <s v="Momentum Capital Investment S.A."/>
    <s v="02/06/2026"/>
    <s v="02/06/2026"/>
    <n v="33"/>
    <s v="No"/>
    <s v=""/>
    <m/>
    <m/>
    <s v="*MAV091100786"/>
    <s v="*MAV091100786"/>
    <n v="6.9719191541405811E-5"/>
  </r>
  <r>
    <x v="236"/>
    <s v="Pesos"/>
    <d v="2026-11-11T00:00:00"/>
    <s v="29/09/2026"/>
    <n v="0.95931458000000003"/>
    <m/>
    <n v="8560000"/>
    <n v="8211732.7800000003"/>
    <n v="8560000"/>
    <n v="8211732.7800000003"/>
    <n v="13054211"/>
    <s v="AMOMPY"/>
    <s v="Momentum Capital Investment S.A."/>
    <s v="22/04/2026"/>
    <s v="22/04/2026"/>
    <n v="36"/>
    <s v="No"/>
    <s v=""/>
    <m/>
    <m/>
    <s v="*AAR091100027"/>
    <s v="*AAR091100027"/>
    <n v="1.0917144656337043E-4"/>
  </r>
  <r>
    <x v="236"/>
    <s v="Pesos"/>
    <d v="2026-11-11T00:00:00"/>
    <s v="29/09/2026"/>
    <n v="0.97028024999999996"/>
    <m/>
    <n v="13638775.050000001"/>
    <n v="13233434.039999999"/>
    <n v="13638775.050000001"/>
    <n v="13233434.039999999"/>
    <n v="90001961"/>
    <s v="AMOMPY"/>
    <s v="Momentum Capital Investment S.A."/>
    <s v="22/09/2026"/>
    <s v="22/09/2026"/>
    <n v="26"/>
    <s v="No"/>
    <s v=""/>
    <m/>
    <m/>
    <s v="*AAR071100017"/>
    <s v="*AAR071100017"/>
    <n v="1.7593279955071154E-4"/>
  </r>
  <r>
    <x v="28"/>
    <s v="Pesos"/>
    <d v="2026-11-11T00:00:00"/>
    <s v="29/09/2026"/>
    <n v="0.96257828000000001"/>
    <m/>
    <n v="2500000"/>
    <n v="2406445.71"/>
    <n v="2500000"/>
    <n v="2406445.71"/>
    <n v="1015"/>
    <s v="AMOMPY"/>
    <s v="Momentum Capital Investment S.A."/>
    <s v="19/08/2026"/>
    <s v="19/08/2026"/>
    <n v="33"/>
    <s v="No"/>
    <s v=""/>
    <m/>
    <m/>
    <s v="*MAV061101050"/>
    <s v="*MAV061101050"/>
    <n v="3.1992658099733855E-5"/>
  </r>
  <r>
    <x v="28"/>
    <s v="Pesos"/>
    <d v="2026-11-11T00:00:00"/>
    <s v="29/09/2026"/>
    <n v="0.96257828000000001"/>
    <m/>
    <n v="2500000"/>
    <n v="2406445.71"/>
    <n v="2500000"/>
    <n v="2406445.71"/>
    <n v="1016"/>
    <s v="AMOMPY"/>
    <s v="Momentum Capital Investment S.A."/>
    <s v="19/08/2026"/>
    <s v="19/08/2026"/>
    <n v="33"/>
    <s v="No"/>
    <s v=""/>
    <m/>
    <m/>
    <s v="*MAV091100907"/>
    <s v="*MAV091100907"/>
    <n v="3.1992658099733855E-5"/>
  </r>
  <r>
    <x v="28"/>
    <s v="Pesos"/>
    <d v="2026-11-11T00:00:00"/>
    <s v="29/09/2026"/>
    <n v="0.96586402000000005"/>
    <m/>
    <n v="5000000"/>
    <n v="4829320.09"/>
    <n v="5000000"/>
    <n v="4829320.09"/>
    <n v="1306"/>
    <s v="AMOMPY"/>
    <s v="Momentum Capital Investment S.A."/>
    <s v="25/09/2026"/>
    <s v="25/09/2026"/>
    <n v="30"/>
    <s v="No"/>
    <s v=""/>
    <m/>
    <m/>
    <s v="*MAV061101349"/>
    <s v="*MAV061101349"/>
    <n v="6.4203728283380198E-5"/>
  </r>
  <r>
    <x v="28"/>
    <s v="Pesos"/>
    <d v="2026-11-11T00:00:00"/>
    <s v="29/09/2026"/>
    <n v="0.96586402000000005"/>
    <m/>
    <n v="5000000"/>
    <n v="4829320.09"/>
    <n v="5000000"/>
    <n v="4829320.09"/>
    <n v="1305"/>
    <s v="AMOMPY"/>
    <s v="Momentum Capital Investment S.A."/>
    <s v="25/09/2026"/>
    <s v="25/09/2026"/>
    <n v="30"/>
    <s v="No"/>
    <s v=""/>
    <m/>
    <m/>
    <s v="*MAV091101188"/>
    <s v="*MAV091101188"/>
    <n v="6.4203728283380198E-5"/>
  </r>
  <r>
    <x v="89"/>
    <s v="Pesos"/>
    <d v="2026-11-12T00:00:00"/>
    <s v="29/09/2026"/>
    <n v="0.96622198999999998"/>
    <m/>
    <n v="11000000"/>
    <n v="10628441.9"/>
    <n v="11000000"/>
    <n v="10628441.9"/>
    <n v="90000056"/>
    <s v="AMOMPY"/>
    <s v="Momentum Capital Investment S.A."/>
    <s v="02/07/2026"/>
    <s v="02/07/2026"/>
    <n v="29"/>
    <s v="No"/>
    <s v=""/>
    <m/>
    <m/>
    <s v="*INP101100071"/>
    <s v="*INP101100071"/>
    <n v="1.4130055227366242E-4"/>
  </r>
  <r>
    <x v="28"/>
    <s v="Pesos"/>
    <d v="2026-11-12T00:00:00"/>
    <s v="29/09/2026"/>
    <n v="0.96285750000000003"/>
    <m/>
    <n v="3000000"/>
    <n v="2888572.51"/>
    <n v="3000000"/>
    <n v="2888572.51"/>
    <n v="1054"/>
    <s v="AMOMPY"/>
    <s v="Momentum Capital Investment S.A."/>
    <s v="25/08/2026"/>
    <s v="25/08/2026"/>
    <n v="32"/>
    <s v="No"/>
    <s v=""/>
    <m/>
    <m/>
    <s v="*MAV101101799"/>
    <s v="*MAV101101799"/>
    <n v="3.8402326021608042E-5"/>
  </r>
  <r>
    <x v="290"/>
    <s v="Pesos"/>
    <d v="2026-11-12T00:00:00"/>
    <s v="29/09/2026"/>
    <n v="0.96174123"/>
    <m/>
    <n v="437966.99"/>
    <n v="421210.91"/>
    <n v="437966.99"/>
    <n v="421210.91"/>
    <n v="2303621"/>
    <s v="AMOMPY"/>
    <s v="Momentum Capital Investment S.A."/>
    <s v="16/09/2026"/>
    <s v="16/09/2026"/>
    <n v="33"/>
    <s v="No"/>
    <s v=""/>
    <m/>
    <m/>
    <s v="*MAV101101989"/>
    <s v="*MAV101101989"/>
    <n v="5.5998174301250984E-6"/>
  </r>
  <r>
    <x v="281"/>
    <s v="Pesos"/>
    <d v="2026-11-12T00:00:00"/>
    <s v="29/09/2026"/>
    <n v="0.96174134"/>
    <m/>
    <n v="3600000"/>
    <n v="3462268.83"/>
    <n v="3600000"/>
    <n v="3462268.83"/>
    <n v="13870043"/>
    <s v="AMOMPY"/>
    <s v="Momentum Capital Investment S.A."/>
    <s v="21/09/2026"/>
    <s v="21/09/2026"/>
    <n v="33"/>
    <s v="No"/>
    <s v=""/>
    <m/>
    <m/>
    <s v="*MAV101102021"/>
    <s v="*MAV101102021"/>
    <n v="4.6029371228805145E-5"/>
  </r>
  <r>
    <x v="291"/>
    <s v="Pesos"/>
    <d v="2026-11-12T00:00:00"/>
    <s v="29/09/2026"/>
    <n v="0.96509805999999998"/>
    <m/>
    <n v="500000"/>
    <n v="482549.03"/>
    <n v="500000"/>
    <n v="482549.03"/>
    <n v="200"/>
    <s v="AMOMPY"/>
    <s v="Momentum Capital Investment S.A."/>
    <s v="25/09/2026"/>
    <s v="25/09/2026"/>
    <n v="30"/>
    <s v="No"/>
    <s v=""/>
    <m/>
    <m/>
    <s v="*MAV061101353"/>
    <s v="*MAV061101353"/>
    <n v="6.4152812876664546E-6"/>
  </r>
  <r>
    <x v="2"/>
    <s v="Pesos"/>
    <d v="2026-11-12T00:00:00"/>
    <s v="29/09/2026"/>
    <n v="0.96285750999999997"/>
    <m/>
    <n v="40000000"/>
    <n v="38514300.32"/>
    <n v="40000000"/>
    <n v="38514300.32"/>
    <n v="13953441"/>
    <s v="AMOMPY"/>
    <s v="Momentum Capital Investment S.A."/>
    <s v="31/07/2026"/>
    <s v="31/07/2026"/>
    <n v="32"/>
    <s v="No"/>
    <s v=""/>
    <m/>
    <m/>
    <s v="*MAV101101649"/>
    <s v="*MAV101101649"/>
    <n v="5.120310161030935E-4"/>
  </r>
  <r>
    <x v="35"/>
    <s v="Pesos"/>
    <d v="2026-11-12T00:00:00"/>
    <s v="29/09/2026"/>
    <n v="0.95840784999999995"/>
    <m/>
    <n v="2510000.36"/>
    <n v="2405604.0499999998"/>
    <n v="2510000.36"/>
    <n v="2405604.0499999998"/>
    <n v="3163"/>
    <s v="AMOMPY"/>
    <s v="Momentum Capital Investment S.A."/>
    <s v="19/08/2026"/>
    <s v="19/08/2026"/>
    <n v="36"/>
    <s v="No"/>
    <s v=""/>
    <m/>
    <m/>
    <s v="*MAV101101772"/>
    <s v="*MAV101101772"/>
    <n v="3.1981468592942021E-5"/>
  </r>
  <r>
    <x v="35"/>
    <s v="Pesos"/>
    <d v="2026-11-12T00:00:00"/>
    <s v="29/09/2026"/>
    <n v="0.95840776000000005"/>
    <m/>
    <n v="3625698.78"/>
    <n v="3474897.85"/>
    <n v="3625698.78"/>
    <n v="3474897.85"/>
    <n v="3354"/>
    <s v="AMOMPY"/>
    <s v="Momentum Capital Investment S.A."/>
    <s v="28/08/2026"/>
    <s v="28/08/2026"/>
    <n v="36"/>
    <s v="No"/>
    <s v=""/>
    <m/>
    <m/>
    <s v="*MAV101101827"/>
    <s v="*MAV101101827"/>
    <n v="4.6197268604306168E-5"/>
  </r>
  <r>
    <x v="35"/>
    <s v="Pesos"/>
    <d v="2026-11-12T00:00:00"/>
    <s v="29/09/2026"/>
    <n v="0.95951646999999995"/>
    <m/>
    <n v="1250300.6499999999"/>
    <n v="1199684.06"/>
    <n v="1250300.6499999999"/>
    <n v="1199684.06"/>
    <n v="3586"/>
    <s v="AMOMPY"/>
    <s v="Momentum Capital Investment S.A."/>
    <s v="17/09/2026"/>
    <s v="17/09/2026"/>
    <n v="35"/>
    <s v="No"/>
    <s v=""/>
    <m/>
    <m/>
    <s v="*MAV101102002"/>
    <s v="*MAV101102002"/>
    <n v="1.5949282296204637E-5"/>
  </r>
  <r>
    <x v="35"/>
    <s v="Pesos"/>
    <d v="2026-11-12T00:00:00"/>
    <s v="29/09/2026"/>
    <n v="0.95951646000000002"/>
    <m/>
    <n v="1555000.5"/>
    <n v="1492048.58"/>
    <n v="1555000.5"/>
    <n v="1492048.58"/>
    <n v="3585"/>
    <s v="AMOMPY"/>
    <s v="Momentum Capital Investment S.A."/>
    <s v="17/09/2026"/>
    <s v="16/09/2026"/>
    <n v="35"/>
    <s v="No"/>
    <s v=""/>
    <m/>
    <m/>
    <s v="*MAV101102001"/>
    <s v="*MAV101102001"/>
    <n v="1.983614252745116E-5"/>
  </r>
  <r>
    <x v="35"/>
    <s v="Pesos"/>
    <d v="2026-11-12T00:00:00"/>
    <s v="29/09/2026"/>
    <n v="0.95840784000000001"/>
    <m/>
    <n v="3105640.28"/>
    <n v="2976469.99"/>
    <n v="3105640.28"/>
    <n v="2976469.99"/>
    <n v="3376"/>
    <s v="AMOMPY"/>
    <s v="Momentum Capital Investment S.A."/>
    <s v="02/09/2026"/>
    <s v="02/09/2026"/>
    <n v="36"/>
    <s v="No"/>
    <s v=""/>
    <m/>
    <m/>
    <s v="*MAV101101848"/>
    <s v="*MAV101101848"/>
    <n v="3.9570885118446434E-5"/>
  </r>
  <r>
    <x v="35"/>
    <s v="Pesos"/>
    <d v="2026-11-12T00:00:00"/>
    <s v="29/09/2026"/>
    <n v="0.95840776999999999"/>
    <m/>
    <n v="2874176.47"/>
    <n v="2754633.07"/>
    <n v="2874176.47"/>
    <n v="2754633.07"/>
    <n v="3424"/>
    <s v="AMOMPY"/>
    <s v="Momentum Capital Investment S.A."/>
    <s v="08/09/2026"/>
    <s v="08/09/2026"/>
    <n v="36"/>
    <s v="No"/>
    <s v=""/>
    <m/>
    <m/>
    <s v="*MAV101101891"/>
    <s v="*MAV101101891"/>
    <n v="3.6621658919008082E-5"/>
  </r>
  <r>
    <x v="244"/>
    <s v="Pesos"/>
    <d v="2026-11-12T00:00:00"/>
    <s v="29/09/2026"/>
    <n v="0.96174117000000003"/>
    <m/>
    <n v="5300000"/>
    <n v="5097228.21"/>
    <n v="5300000"/>
    <n v="5097228.21"/>
    <n v="8175679"/>
    <s v="AMOMPY"/>
    <s v="Momentum Capital Investment S.A."/>
    <s v="15/09/2026"/>
    <s v="15/09/2026"/>
    <n v="33"/>
    <s v="No"/>
    <s v=""/>
    <m/>
    <m/>
    <s v="*MAV101101970"/>
    <s v="*MAV101101970"/>
    <n v="6.7765451221772375E-5"/>
  </r>
  <r>
    <x v="160"/>
    <s v="Pesos"/>
    <d v="2026-11-12T00:00:00"/>
    <s v="29/09/2026"/>
    <n v="0.96285746999999999"/>
    <m/>
    <n v="8123170.71"/>
    <n v="7821455.5899999999"/>
    <n v="8123170.71"/>
    <n v="7821455.5899999999"/>
    <n v="11244"/>
    <s v="AMOMPY"/>
    <s v="Momentum Capital Investment S.A."/>
    <s v="15/09/2026"/>
    <s v="15/09/2026"/>
    <n v="32"/>
    <s v="No"/>
    <s v=""/>
    <m/>
    <m/>
    <s v="*MAV101101981"/>
    <s v="*MAV101101981"/>
    <n v="1.0398287960259953E-4"/>
  </r>
  <r>
    <x v="292"/>
    <s v="Pesos"/>
    <d v="2026-11-12T00:00:00"/>
    <s v="29/09/2026"/>
    <n v="0.96285748999999998"/>
    <m/>
    <n v="428767.71"/>
    <n v="412842.2"/>
    <n v="428767.71"/>
    <n v="412842.2"/>
    <n v="1975205"/>
    <s v="AMOMPY"/>
    <s v="Momentum Capital Investment S.A."/>
    <s v="15/09/2026"/>
    <s v="15/09/2026"/>
    <n v="32"/>
    <s v="No"/>
    <s v=""/>
    <m/>
    <m/>
    <s v="*MAV101101980"/>
    <s v="*MAV101101980"/>
    <n v="5.4885590391074915E-6"/>
  </r>
  <r>
    <x v="293"/>
    <s v="Pesos"/>
    <d v="2026-11-12T00:00:00"/>
    <s v="29/09/2026"/>
    <n v="0.96285746999999999"/>
    <m/>
    <n v="17763197.079999998"/>
    <n v="17103426.98"/>
    <n v="17763197.079999998"/>
    <n v="17103426.98"/>
    <n v="1313"/>
    <s v="AMOMPY"/>
    <s v="Momentum Capital Investment S.A."/>
    <s v="15/09/2026"/>
    <s v="15/09/2026"/>
    <n v="32"/>
    <s v="No"/>
    <s v=""/>
    <m/>
    <m/>
    <s v="*MAV101101979"/>
    <s v="*MAV101101979"/>
    <n v="2.2738268701889957E-4"/>
  </r>
  <r>
    <x v="162"/>
    <s v="Pesos"/>
    <d v="2026-11-12T00:00:00"/>
    <s v="29/09/2026"/>
    <n v="0.96285752999999996"/>
    <m/>
    <n v="37348528.700000003"/>
    <n v="35961312.189999998"/>
    <n v="37348528.700000003"/>
    <n v="35961312.189999998"/>
    <n v="259"/>
    <s v="AMOMPY"/>
    <s v="Momentum Capital Investment S.A."/>
    <s v="16/09/2026"/>
    <s v="16/09/2026"/>
    <n v="32"/>
    <s v="No"/>
    <s v=""/>
    <m/>
    <m/>
    <s v="*MAV101101988"/>
    <s v="*MAV101101988"/>
    <n v="4.7809013971583062E-4"/>
  </r>
  <r>
    <x v="109"/>
    <s v="Pesos"/>
    <d v="2026-11-12T00:00:00"/>
    <s v="29/09/2026"/>
    <n v="0.96285750999999997"/>
    <m/>
    <n v="16498838.289999999"/>
    <n v="15886030.32"/>
    <n v="16498838.289999999"/>
    <n v="15886030.32"/>
    <n v="30851"/>
    <s v="AMOMPY"/>
    <s v="Momentum Capital Investment S.A."/>
    <s v="31/07/2026"/>
    <s v="31/07/2026"/>
    <n v="32"/>
    <s v="No"/>
    <s v=""/>
    <m/>
    <m/>
    <s v="*MAV101101648"/>
    <s v="*MAV101101648"/>
    <n v="2.1119792334303923E-4"/>
  </r>
  <r>
    <x v="109"/>
    <s v="Pesos"/>
    <d v="2026-11-12T00:00:00"/>
    <s v="29/09/2026"/>
    <n v="0.96285750999999997"/>
    <m/>
    <n v="11829797.539999999"/>
    <n v="11390409.380000001"/>
    <n v="11829797.539999999"/>
    <n v="11390409.380000001"/>
    <n v="30895"/>
    <s v="AMOMPY"/>
    <s v="Momentum Capital Investment S.A."/>
    <s v="31/07/2026"/>
    <s v="31/07/2026"/>
    <n v="32"/>
    <s v="No"/>
    <s v=""/>
    <m/>
    <m/>
    <s v="*MAV101101650"/>
    <s v="*MAV101101650"/>
    <n v="1.5143058137403047E-4"/>
  </r>
  <r>
    <x v="34"/>
    <s v="Pesos"/>
    <d v="2026-11-12T00:00:00"/>
    <s v="29/09/2026"/>
    <n v="0.96174130000000002"/>
    <m/>
    <n v="2170000"/>
    <n v="2086978.62"/>
    <n v="2170000"/>
    <n v="2086978.62"/>
    <n v="260730"/>
    <s v="AMOMPY"/>
    <s v="Momentum Capital Investment S.A."/>
    <s v="27/08/2026"/>
    <s v="27/08/2026"/>
    <n v="33"/>
    <s v="No"/>
    <s v=""/>
    <m/>
    <m/>
    <s v="*MAV101101816"/>
    <s v="*MAV101101816"/>
    <n v="2.7745480886462378E-5"/>
  </r>
  <r>
    <x v="275"/>
    <s v="Pesos"/>
    <d v="2026-11-12T00:00:00"/>
    <s v="29/09/2026"/>
    <n v="0.95840784000000001"/>
    <m/>
    <n v="3140560.45"/>
    <n v="3009937.75"/>
    <n v="3140560.45"/>
    <n v="3009937.75"/>
    <n v="1118"/>
    <s v="AMOMPY"/>
    <s v="Momentum Capital Investment S.A."/>
    <s v="02/09/2026"/>
    <s v="02/09/2026"/>
    <n v="36"/>
    <s v="No"/>
    <s v=""/>
    <m/>
    <m/>
    <s v="*MAV101101849"/>
    <s v="*MAV101101849"/>
    <n v="4.0015824556969621E-5"/>
  </r>
  <r>
    <x v="8"/>
    <s v="Pesos"/>
    <d v="2026-11-12T00:00:00"/>
    <s v="29/09/2026"/>
    <n v="0.96509787999999996"/>
    <m/>
    <n v="10000000"/>
    <n v="9650978.7899999991"/>
    <n v="10000000"/>
    <n v="9650978.7899999991"/>
    <n v="68856243"/>
    <s v="AMOMPY"/>
    <s v="Momentum Capital Investment S.A."/>
    <s v="14/08/2026"/>
    <s v="14/08/2026"/>
    <n v="30"/>
    <s v="No"/>
    <s v=""/>
    <m/>
    <m/>
    <s v="*MIL101100039"/>
    <s v="*MIL101100039"/>
    <n v="1.2830560169015953E-4"/>
  </r>
  <r>
    <x v="165"/>
    <s v="Pesos"/>
    <d v="2026-11-12T00:00:00"/>
    <s v="29/09/2026"/>
    <n v="0.96734876999999997"/>
    <m/>
    <n v="50000000"/>
    <n v="48367438.439999998"/>
    <n v="50000000"/>
    <n v="48367438.439999998"/>
    <n v="30"/>
    <s v="AMOMPY"/>
    <s v="Momentum Capital Investment S.A."/>
    <s v="12/08/2026"/>
    <s v="12/08/2026"/>
    <n v="28"/>
    <s v="No"/>
    <s v=""/>
    <m/>
    <m/>
    <s v="*MAV101101709"/>
    <s v="*MAV101101709"/>
    <n v="6.4302423891825287E-4"/>
  </r>
  <r>
    <x v="82"/>
    <s v="Pesos"/>
    <d v="2026-11-12T00:00:00"/>
    <s v="29/09/2026"/>
    <n v="0.96509783999999998"/>
    <m/>
    <n v="2700000"/>
    <n v="2605764.16"/>
    <n v="2700000"/>
    <n v="2605764.16"/>
    <n v="6912"/>
    <s v="AMOMPY"/>
    <s v="Momentum Capital Investment S.A."/>
    <s v="11/09/2026"/>
    <s v="11/09/2026"/>
    <n v="30"/>
    <s v="No"/>
    <s v=""/>
    <m/>
    <m/>
    <s v="*MAV101101936"/>
    <s v="*MAV101101936"/>
    <n v="3.4642510950068427E-5"/>
  </r>
  <r>
    <x v="148"/>
    <s v="Pesos"/>
    <d v="2026-11-12T00:00:00"/>
    <s v="29/09/2026"/>
    <n v="0.96062747000000004"/>
    <m/>
    <n v="5400000"/>
    <n v="5187388.32"/>
    <n v="5400000"/>
    <n v="5187388.32"/>
    <n v="162799"/>
    <s v="AMOMPY"/>
    <s v="Momentum Capital Investment S.A."/>
    <s v="28/08/2026"/>
    <s v="28/08/2026"/>
    <n v="34"/>
    <s v="No"/>
    <s v=""/>
    <m/>
    <m/>
    <s v="#MAV111160034"/>
    <s v="#MAV111160034"/>
    <n v="6.8964091008856713E-5"/>
  </r>
  <r>
    <x v="43"/>
    <s v="Pesos"/>
    <d v="2026-11-12T00:00:00"/>
    <s v="29/09/2026"/>
    <n v="0.96174201000000004"/>
    <m/>
    <n v="14698.63"/>
    <n v="14136.29"/>
    <n v="14698.63"/>
    <n v="14136.29"/>
    <n v="122352"/>
    <s v="AMOMPY"/>
    <s v="Momentum Capital Investment S.A."/>
    <s v="14/09/2026"/>
    <s v="14/09/2026"/>
    <n v="33"/>
    <s v="No"/>
    <s v=""/>
    <m/>
    <m/>
    <s v="*MAV101101947"/>
    <s v="*MAV101101947"/>
    <n v="1.8793588024418251E-7"/>
  </r>
  <r>
    <x v="45"/>
    <s v="Pesos"/>
    <d v="2026-11-12T00:00:00"/>
    <s v="29/09/2026"/>
    <n v="0.96622196000000005"/>
    <m/>
    <n v="17118303"/>
    <n v="16540080.24"/>
    <n v="17118303"/>
    <n v="16540080.24"/>
    <n v="27672"/>
    <s v="AMOMPY"/>
    <s v="Momentum Capital Investment S.A."/>
    <s v="30/04/2026"/>
    <s v="30/04/2026"/>
    <n v="29"/>
    <s v="No"/>
    <s v=""/>
    <m/>
    <m/>
    <s v="*NEU101100035"/>
    <s v="*NEU101100035"/>
    <n v="2.1989323501525571E-4"/>
  </r>
  <r>
    <x v="168"/>
    <s v="Pesos"/>
    <d v="2026-11-12T00:00:00"/>
    <s v="29/09/2026"/>
    <n v="0.96174130000000002"/>
    <m/>
    <n v="40000000"/>
    <n v="38469652.159999996"/>
    <n v="40000000"/>
    <n v="38469652.159999996"/>
    <n v="9795687"/>
    <s v="AMOMPY"/>
    <s v="Momentum Capital Investment S.A."/>
    <s v="10/09/2026"/>
    <s v="10/09/2026"/>
    <n v="33"/>
    <s v="No"/>
    <s v=""/>
    <m/>
    <m/>
    <s v="*MAV101101917"/>
    <s v="*MAV101101917"/>
    <n v="5.1143743806735117E-4"/>
  </r>
  <r>
    <x v="60"/>
    <s v="Pesos"/>
    <d v="2026-11-12T00:00:00"/>
    <s v="29/09/2026"/>
    <n v="0.95619843999999998"/>
    <m/>
    <n v="155000000"/>
    <n v="148210758.22999999"/>
    <n v="155000000"/>
    <n v="148210758.22999999"/>
    <n v="70411289"/>
    <s v="AMOMPY"/>
    <s v="Momentum Capital Investment S.A."/>
    <s v="24/09/2026"/>
    <s v="24/09/2026"/>
    <n v="38"/>
    <s v="No"/>
    <s v=""/>
    <m/>
    <m/>
    <s v="*MAV101102059"/>
    <s v="*MAV101102059"/>
    <n v="1.9703981249403319E-3"/>
  </r>
  <r>
    <x v="60"/>
    <s v="Pesos"/>
    <d v="2026-11-12T00:00:00"/>
    <s v="29/09/2026"/>
    <n v="0.95619847000000002"/>
    <m/>
    <n v="150000000"/>
    <n v="143429770.97999999"/>
    <n v="150000000"/>
    <n v="143429770.97999999"/>
    <n v="70406569"/>
    <s v="AMOMPY"/>
    <s v="Momentum Capital Investment S.A."/>
    <s v="07/09/2026"/>
    <s v="07/09/2026"/>
    <n v="38"/>
    <s v="No"/>
    <s v=""/>
    <m/>
    <m/>
    <s v="*MAV101101881"/>
    <s v="*MAV101101881"/>
    <n v="1.9068369609245282E-3"/>
  </r>
  <r>
    <x v="37"/>
    <s v="Pesos"/>
    <d v="2026-11-12T00:00:00"/>
    <s v="29/09/2026"/>
    <n v="0.96847804000000004"/>
    <m/>
    <n v="17861208.649999999"/>
    <n v="17298188.27"/>
    <n v="17861208.649999999"/>
    <n v="17298188.27"/>
    <n v="23266"/>
    <s v="AMOMPY"/>
    <s v="Momentum Capital Investment S.A."/>
    <s v="22/09/2026"/>
    <s v="22/09/2026"/>
    <n v="27"/>
    <s v="No"/>
    <s v=""/>
    <m/>
    <m/>
    <s v="*AFB101100013"/>
    <s v="*AFB101100013"/>
    <n v="2.2997195439199692E-4"/>
  </r>
  <r>
    <x v="130"/>
    <s v="Pesos"/>
    <d v="2026-11-12T00:00:00"/>
    <s v="29/09/2026"/>
    <n v="0.95509741999999997"/>
    <m/>
    <n v="3750000"/>
    <n v="3581615.32"/>
    <n v="3750000"/>
    <n v="3581615.32"/>
    <n v="66918856"/>
    <s v="AMOMPY"/>
    <s v="Momentum Capital Investment S.A."/>
    <s v="13/05/2026"/>
    <s v="13/05/2026"/>
    <n v="39"/>
    <s v="No"/>
    <s v=""/>
    <m/>
    <m/>
    <s v="*MAV101101561"/>
    <s v="*MAV101101561"/>
    <n v="4.7616031353364234E-5"/>
  </r>
  <r>
    <x v="213"/>
    <s v="Pesos"/>
    <d v="2026-11-12T00:00:00"/>
    <s v="29/09/2026"/>
    <n v="0.95840784999999995"/>
    <m/>
    <n v="1555000.5"/>
    <n v="1490324.69"/>
    <n v="1555000.5"/>
    <n v="1490324.69"/>
    <n v="507"/>
    <s v="AMOMPY"/>
    <s v="Momentum Capital Investment S.A."/>
    <s v="19/08/2026"/>
    <s v="19/08/2026"/>
    <n v="36"/>
    <s v="No"/>
    <s v=""/>
    <m/>
    <m/>
    <s v="*MAV101101773"/>
    <s v="*MAV101101773"/>
    <n v="1.9813224153210524E-5"/>
  </r>
  <r>
    <x v="262"/>
    <s v="Pesos"/>
    <d v="2026-11-12T00:00:00"/>
    <s v="29/09/2026"/>
    <n v="0.96509805000000004"/>
    <m/>
    <n v="2500000"/>
    <n v="2412745.12"/>
    <n v="2500000"/>
    <n v="2412745.12"/>
    <n v="361"/>
    <s v="AMOMPY"/>
    <s v="Momentum Capital Investment S.A."/>
    <s v="25/09/2026"/>
    <s v="25/09/2026"/>
    <n v="30"/>
    <s v="No"/>
    <s v=""/>
    <m/>
    <m/>
    <s v="*MAV061101354"/>
    <s v="*MAV061101354"/>
    <n v="3.2076406039495208E-5"/>
  </r>
  <r>
    <x v="123"/>
    <s v="Pesos"/>
    <d v="2026-11-12T00:00:00"/>
    <s v="29/09/2026"/>
    <n v="0.96174121000000001"/>
    <m/>
    <n v="30000000"/>
    <n v="28852236.170000002"/>
    <n v="30000000"/>
    <n v="28852236.170000002"/>
    <n v="475883"/>
    <s v="AMOMPY"/>
    <s v="Momentum Capital Investment S.A."/>
    <s v="07/08/2026"/>
    <s v="07/08/2026"/>
    <n v="33"/>
    <s v="No"/>
    <s v=""/>
    <m/>
    <m/>
    <s v="*MAV101101680"/>
    <s v="*MAV101101680"/>
    <n v="3.835780393315354E-4"/>
  </r>
  <r>
    <x v="135"/>
    <s v="Pesos"/>
    <d v="2026-11-12T00:00:00"/>
    <s v="29/09/2026"/>
    <n v="0.96285763000000002"/>
    <m/>
    <n v="20000000"/>
    <n v="19257152.66"/>
    <n v="20000000"/>
    <n v="19257152.66"/>
    <n v="739"/>
    <s v="AMOMPY"/>
    <s v="Momentum Capital Investment S.A."/>
    <s v="21/09/2026"/>
    <s v="21/09/2026"/>
    <n v="32"/>
    <s v="No"/>
    <s v=""/>
    <m/>
    <m/>
    <s v="*MAV101102020"/>
    <s v="*MAV101102020"/>
    <n v="2.5601554128796877E-4"/>
  </r>
  <r>
    <x v="21"/>
    <s v="Pesos"/>
    <d v="2026-11-12T00:00:00"/>
    <s v="29/09/2026"/>
    <n v="0.96285748999999998"/>
    <m/>
    <n v="10000000"/>
    <n v="9628574.9399999995"/>
    <n v="10000000"/>
    <n v="9628574.9399999995"/>
    <n v="14422574"/>
    <s v="AMOMPY"/>
    <s v="Momentum Capital Investment S.A."/>
    <s v="01/09/2026"/>
    <s v="01/09/2026"/>
    <n v="32"/>
    <s v="No"/>
    <s v=""/>
    <m/>
    <m/>
    <s v="*MAV101101833"/>
    <s v="*MAV101101833"/>
    <n v="1.2800775216453372E-4"/>
  </r>
  <r>
    <x v="172"/>
    <s v="Pesos"/>
    <d v="2026-11-12T00:00:00"/>
    <s v="29/09/2026"/>
    <n v="0.97074473999999999"/>
    <m/>
    <n v="15000000"/>
    <n v="14561171.15"/>
    <n v="15000000"/>
    <n v="14561171.15"/>
    <n v="69911238"/>
    <s v="AMOMPY"/>
    <s v="Momentum Capital Investment S.A."/>
    <s v="23/09/2026"/>
    <s v="23/09/2026"/>
    <n v="25"/>
    <s v="No"/>
    <s v=""/>
    <m/>
    <m/>
    <s v="*TRD101100037"/>
    <s v="*TRD101100037"/>
    <n v="1.9358449193256823E-4"/>
  </r>
  <r>
    <x v="236"/>
    <s v="Pesos"/>
    <d v="2026-11-12T00:00:00"/>
    <s v="29/09/2026"/>
    <n v="0.95840773999999995"/>
    <m/>
    <n v="8560000"/>
    <n v="8203970.2400000002"/>
    <n v="8560000"/>
    <n v="8203970.2400000002"/>
    <n v="13054212"/>
    <s v="AMOMPY"/>
    <s v="Momentum Capital Investment S.A."/>
    <s v="22/04/2026"/>
    <s v="22/04/2026"/>
    <n v="36"/>
    <s v="No"/>
    <s v=""/>
    <m/>
    <m/>
    <s v="*AAR101100035"/>
    <s v="*AAR101100035"/>
    <n v="1.0906824694113358E-4"/>
  </r>
  <r>
    <x v="236"/>
    <s v="Pesos"/>
    <d v="2026-11-12T00:00:00"/>
    <s v="29/09/2026"/>
    <n v="0.96847823"/>
    <m/>
    <n v="8000000"/>
    <n v="7747825.8200000003"/>
    <n v="8000000"/>
    <n v="7747825.8200000003"/>
    <n v="761091"/>
    <s v="AMOMPY"/>
    <s v="Momentum Capital Investment S.A."/>
    <s v="25/09/2026"/>
    <s v="25/09/2026"/>
    <n v="27"/>
    <s v="No"/>
    <s v=""/>
    <m/>
    <m/>
    <s v="*AAR101100038"/>
    <s v="*AAR101100038"/>
    <n v="1.0300400355823947E-4"/>
  </r>
  <r>
    <x v="51"/>
    <s v="Pesos"/>
    <d v="2026-11-12T00:00:00"/>
    <s v="29/09/2026"/>
    <n v="0.96397641000000001"/>
    <m/>
    <n v="4753002.9800000004"/>
    <n v="4581782.76"/>
    <n v="4753002.9800000004"/>
    <n v="4581782.76"/>
    <n v="113295"/>
    <s v="AMOMPY"/>
    <s v="Momentum Capital Investment S.A."/>
    <s v="23/09/2026"/>
    <s v="23/09/2026"/>
    <n v="31"/>
    <s v="No"/>
    <s v=""/>
    <m/>
    <m/>
    <s v="*MAV101102045"/>
    <s v="*MAV101102045"/>
    <n v="6.0912826214531526E-5"/>
  </r>
  <r>
    <x v="28"/>
    <s v="Pesos"/>
    <d v="2026-11-12T00:00:00"/>
    <s v="29/09/2026"/>
    <n v="0.96174124999999999"/>
    <m/>
    <n v="2500000"/>
    <n v="2404353.13"/>
    <n v="2500000"/>
    <n v="2404353.13"/>
    <n v="1017"/>
    <s v="AMOMPY"/>
    <s v="Momentum Capital Investment S.A."/>
    <s v="19/08/2026"/>
    <s v="19/08/2026"/>
    <n v="33"/>
    <s v="No"/>
    <s v=""/>
    <m/>
    <m/>
    <s v="*MAV101101776"/>
    <s v="*MAV101101776"/>
    <n v="3.1964838150915501E-5"/>
  </r>
  <r>
    <x v="28"/>
    <s v="Pesos"/>
    <d v="2026-11-12T00:00:00"/>
    <s v="29/09/2026"/>
    <n v="0.96509785999999997"/>
    <m/>
    <n v="2500000"/>
    <n v="2412744.64"/>
    <n v="2500000"/>
    <n v="2412744.64"/>
    <n v="888"/>
    <s v="AMOMPY"/>
    <s v="Momentum Capital Investment S.A."/>
    <s v="06/08/2026"/>
    <s v="06/08/2026"/>
    <n v="30"/>
    <s v="No"/>
    <s v=""/>
    <m/>
    <m/>
    <s v="*MAV101101674"/>
    <s v="*MAV101101674"/>
    <n v="3.2076399658102174E-5"/>
  </r>
  <r>
    <x v="294"/>
    <s v="Pesos"/>
    <d v="2026-11-12T00:00:00"/>
    <s v="29/09/2026"/>
    <n v="0.96397641000000001"/>
    <m/>
    <n v="694088.77"/>
    <n v="669085.19999999995"/>
    <n v="694088.77"/>
    <n v="669085.19999999995"/>
    <n v="37825"/>
    <s v="AMOMPY"/>
    <s v="Momentum Capital Investment S.A."/>
    <s v="23/09/2026"/>
    <s v="23/09/2026"/>
    <n v="31"/>
    <s v="No"/>
    <s v=""/>
    <m/>
    <m/>
    <s v="*MAV101102040"/>
    <s v="*MAV101102040"/>
    <n v="8.8951992368828652E-6"/>
  </r>
  <r>
    <x v="75"/>
    <s v="Pesos"/>
    <d v="2026-11-12T00:00:00"/>
    <s v="29/09/2026"/>
    <n v="0.96062751000000002"/>
    <m/>
    <n v="4000000"/>
    <n v="3842510.03"/>
    <n v="4000000"/>
    <n v="3842510.03"/>
    <n v="90000052"/>
    <s v="AMOMPY"/>
    <s v="Momentum Capital Investment S.A."/>
    <s v="11/06/2026"/>
    <s v="11/06/2026"/>
    <n v="34"/>
    <s v="No"/>
    <s v=""/>
    <m/>
    <m/>
    <s v="*MAV101101571"/>
    <s v="*MAV101101571"/>
    <n v="5.1084514029858616E-5"/>
  </r>
  <r>
    <x v="89"/>
    <s v="Pesos"/>
    <d v="2026-11-13T00:00:00"/>
    <s v="29/09/2026"/>
    <n v="0.96433298000000001"/>
    <m/>
    <n v="30000000"/>
    <n v="28929989.329999998"/>
    <n v="30000000"/>
    <n v="28929989.329999998"/>
    <n v="398"/>
    <s v="AMOMPY"/>
    <s v="Momentum Capital Investment S.A."/>
    <s v="17/09/2026"/>
    <s v="17/09/2026"/>
    <n v="30"/>
    <s v="No"/>
    <s v=""/>
    <m/>
    <m/>
    <s v="*INP111100075"/>
    <s v="*INP111100075"/>
    <n v="3.8461173406801621E-4"/>
  </r>
  <r>
    <x v="28"/>
    <s v="Pesos"/>
    <d v="2026-11-13T00:00:00"/>
    <s v="29/09/2026"/>
    <n v="0.96204535000000002"/>
    <m/>
    <n v="3000000"/>
    <n v="2886136.05"/>
    <n v="3000000"/>
    <n v="2886136.05"/>
    <n v="1055"/>
    <s v="AMOMPY"/>
    <s v="Momentum Capital Investment S.A."/>
    <s v="25/08/2026"/>
    <s v="25/08/2026"/>
    <n v="32"/>
    <s v="No"/>
    <s v=""/>
    <m/>
    <m/>
    <s v="*MAV111101387"/>
    <s v="*MAV111101387"/>
    <n v="3.836993433646437E-5"/>
  </r>
  <r>
    <x v="281"/>
    <s v="Pesos"/>
    <d v="2026-11-13T00:00:00"/>
    <s v="29/09/2026"/>
    <n v="0.96090573999999995"/>
    <m/>
    <n v="3600000"/>
    <n v="3459260.68"/>
    <n v="3600000"/>
    <n v="3459260.68"/>
    <n v="13870044"/>
    <s v="AMOMPY"/>
    <s v="Momentum Capital Investment S.A."/>
    <s v="21/09/2026"/>
    <s v="21/09/2026"/>
    <n v="33"/>
    <s v="No"/>
    <s v=""/>
    <m/>
    <m/>
    <s v="*MAV111101563"/>
    <s v="*MAV111101563"/>
    <n v="4.5989379171613578E-5"/>
  </r>
  <r>
    <x v="35"/>
    <s v="Pesos"/>
    <d v="2026-11-13T00:00:00"/>
    <s v="29/09/2026"/>
    <n v="0.95750268000000005"/>
    <m/>
    <n v="3105640.28"/>
    <n v="2973658.89"/>
    <n v="3105640.28"/>
    <n v="2973658.89"/>
    <n v="3377"/>
    <s v="AMOMPY"/>
    <s v="Momentum Capital Investment S.A."/>
    <s v="02/09/2026"/>
    <s v="02/09/2026"/>
    <n v="36"/>
    <s v="No"/>
    <s v=""/>
    <m/>
    <m/>
    <s v="*MAV111101424"/>
    <s v="*MAV111101424"/>
    <n v="3.9533512756040565E-5"/>
  </r>
  <r>
    <x v="35"/>
    <s v="Pesos"/>
    <d v="2026-11-13T00:00:00"/>
    <s v="29/09/2026"/>
    <n v="0.95750283000000003"/>
    <m/>
    <n v="2874176.47"/>
    <n v="2752032.11"/>
    <n v="2874176.47"/>
    <n v="2752032.11"/>
    <n v="3425"/>
    <s v="AMOMPY"/>
    <s v="Momentum Capital Investment S.A."/>
    <s v="08/09/2026"/>
    <s v="08/09/2026"/>
    <n v="36"/>
    <s v="No"/>
    <s v=""/>
    <m/>
    <m/>
    <s v="*MAV111101458"/>
    <s v="*MAV111101458"/>
    <n v="3.6587080277293745E-5"/>
  </r>
  <r>
    <x v="244"/>
    <s v="Pesos"/>
    <d v="2026-11-13T00:00:00"/>
    <s v="29/09/2026"/>
    <n v="0.96090582000000002"/>
    <m/>
    <n v="5300000"/>
    <n v="5092800.82"/>
    <n v="5300000"/>
    <n v="5092800.82"/>
    <n v="8175680"/>
    <s v="AMOMPY"/>
    <s v="Momentum Capital Investment S.A."/>
    <s v="15/09/2026"/>
    <s v="15/09/2026"/>
    <n v="33"/>
    <s v="No"/>
    <s v=""/>
    <m/>
    <m/>
    <s v="*MAV111101514"/>
    <s v="*MAV111101514"/>
    <n v="6.7706590980730761E-5"/>
  </r>
  <r>
    <x v="161"/>
    <s v="Pesos"/>
    <d v="2026-11-13T00:00:00"/>
    <s v="29/09/2026"/>
    <n v="0.96204553000000004"/>
    <m/>
    <n v="1129854.56"/>
    <n v="1086971.53"/>
    <n v="1129854.56"/>
    <n v="1086971.53"/>
    <n v="1026"/>
    <s v="AMOMPY"/>
    <s v="Momentum Capital Investment S.A."/>
    <s v="15/09/2026"/>
    <s v="15/09/2026"/>
    <n v="32"/>
    <s v="No"/>
    <s v=""/>
    <m/>
    <m/>
    <s v="*MAV111101516"/>
    <s v="*MAV111101516"/>
    <n v="1.4450817809405142E-5"/>
  </r>
  <r>
    <x v="109"/>
    <s v="Pesos"/>
    <d v="2026-11-13T00:00:00"/>
    <s v="29/09/2026"/>
    <n v="0.96204535999999996"/>
    <m/>
    <n v="3742647.36"/>
    <n v="3600596.53"/>
    <n v="3742647.36"/>
    <n v="3600596.53"/>
    <n v="10559629"/>
    <s v="AMOMPY"/>
    <s v="Momentum Capital Investment S.A."/>
    <s v="31/07/2026"/>
    <s v="31/07/2026"/>
    <n v="32"/>
    <s v="No"/>
    <s v=""/>
    <m/>
    <m/>
    <s v="*MAV111101310"/>
    <s v="*MAV111101310"/>
    <n v="4.7868378355968859E-5"/>
  </r>
  <r>
    <x v="109"/>
    <s v="Pesos"/>
    <d v="2026-11-13T00:00:00"/>
    <s v="29/09/2026"/>
    <n v="0.96204535999999996"/>
    <m/>
    <n v="11829797.539999999"/>
    <n v="11380801.890000001"/>
    <n v="11829797.539999999"/>
    <n v="11380801.890000001"/>
    <n v="30896"/>
    <s v="AMOMPY"/>
    <s v="Momentum Capital Investment S.A."/>
    <s v="31/07/2026"/>
    <s v="31/07/2026"/>
    <n v="32"/>
    <s v="No"/>
    <s v=""/>
    <m/>
    <m/>
    <s v="*MAV111101311"/>
    <s v="*MAV111101311"/>
    <n v="1.5130285393705179E-4"/>
  </r>
  <r>
    <x v="109"/>
    <s v="Pesos"/>
    <d v="2026-11-13T00:00:00"/>
    <s v="29/09/2026"/>
    <n v="0.96204535999999996"/>
    <m/>
    <n v="11490967.439999999"/>
    <n v="11054831.960000001"/>
    <n v="11490967.439999999"/>
    <n v="11054831.960000001"/>
    <n v="30906"/>
    <s v="AMOMPY"/>
    <s v="Momentum Capital Investment S.A."/>
    <s v="31/07/2026"/>
    <s v="31/07/2026"/>
    <n v="32"/>
    <s v="No"/>
    <s v=""/>
    <m/>
    <m/>
    <s v="*MAV111101312"/>
    <s v="*MAV111101312"/>
    <n v="1.4696922426988421E-4"/>
  </r>
  <r>
    <x v="109"/>
    <s v="Pesos"/>
    <d v="2026-11-13T00:00:00"/>
    <s v="29/09/2026"/>
    <n v="0.96204535999999996"/>
    <m/>
    <n v="11229494.109999999"/>
    <n v="10803282.75"/>
    <n v="11229494.109999999"/>
    <n v="10803282.75"/>
    <n v="30919"/>
    <s v="AMOMPY"/>
    <s v="Momentum Capital Investment S.A."/>
    <s v="31/07/2026"/>
    <s v="31/07/2026"/>
    <n v="32"/>
    <s v="No"/>
    <s v=""/>
    <m/>
    <m/>
    <s v="*MAV111101313"/>
    <s v="*MAV111101313"/>
    <n v="1.4362498598628371E-4"/>
  </r>
  <r>
    <x v="246"/>
    <s v="Pesos"/>
    <d v="2026-11-13T00:00:00"/>
    <s v="29/09/2026"/>
    <n v="0.96090573999999995"/>
    <m/>
    <n v="80000000"/>
    <n v="76872459.120000005"/>
    <n v="80000000"/>
    <n v="76872459.120000005"/>
    <n v="3034"/>
    <s v="AMOMPY"/>
    <s v="Momentum Capital Investment S.A."/>
    <s v="28/09/2026"/>
    <s v="28/09/2026"/>
    <n v="33"/>
    <s v="No"/>
    <s v=""/>
    <m/>
    <m/>
    <s v="*MAV071101534"/>
    <s v="*MAV071101534"/>
    <n v="1.0219861980231117E-3"/>
  </r>
  <r>
    <x v="275"/>
    <s v="Pesos"/>
    <d v="2026-11-13T00:00:00"/>
    <s v="29/09/2026"/>
    <n v="0.95750268000000005"/>
    <m/>
    <n v="3140560.45"/>
    <n v="3007095.05"/>
    <n v="3140560.45"/>
    <n v="3007095.05"/>
    <n v="1119"/>
    <s v="AMOMPY"/>
    <s v="Momentum Capital Investment S.A."/>
    <s v="02/09/2026"/>
    <s v="02/09/2026"/>
    <n v="36"/>
    <s v="No"/>
    <s v=""/>
    <m/>
    <m/>
    <s v="*MAV111101425"/>
    <s v="*MAV111101425"/>
    <n v="3.9978032086189089E-5"/>
  </r>
  <r>
    <x v="8"/>
    <s v="Pesos"/>
    <d v="2026-11-13T00:00:00"/>
    <s v="29/09/2026"/>
    <n v="0.96894084000000003"/>
    <m/>
    <n v="15000000"/>
    <n v="14534112.58"/>
    <n v="15000000"/>
    <n v="14534112.58"/>
    <n v="9621094"/>
    <s v="AMOMPY"/>
    <s v="Momentum Capital Investment S.A."/>
    <s v="17/07/2026"/>
    <s v="17/07/2026"/>
    <n v="26"/>
    <s v="No"/>
    <s v=""/>
    <m/>
    <m/>
    <s v="*MIL111100036"/>
    <s v="*MIL111100036"/>
    <n v="1.9322475991157131E-4"/>
  </r>
  <r>
    <x v="192"/>
    <s v="Pesos"/>
    <d v="2026-11-13T00:00:00"/>
    <s v="29/09/2026"/>
    <n v="0.96204535999999996"/>
    <m/>
    <n v="50000000"/>
    <n v="48102267.990000002"/>
    <n v="50000000"/>
    <n v="48102267.990000002"/>
    <n v="5359"/>
    <s v="AMOMPY"/>
    <s v="Momentum Capital Investment S.A."/>
    <s v="16/09/2026"/>
    <s v="16/09/2026"/>
    <n v="32"/>
    <s v="No"/>
    <s v=""/>
    <m/>
    <m/>
    <s v="*MAV111101528"/>
    <s v="*MAV111101528"/>
    <n v="6.3949891212207823E-4"/>
  </r>
  <r>
    <x v="192"/>
    <s v="Pesos"/>
    <d v="2026-11-13T00:00:00"/>
    <s v="29/09/2026"/>
    <n v="0.96204540999999999"/>
    <m/>
    <n v="50000000"/>
    <n v="48102270.450000003"/>
    <n v="50000000"/>
    <n v="48102270.450000003"/>
    <n v="5165"/>
    <s v="AMOMPY"/>
    <s v="Momentum Capital Investment S.A."/>
    <s v="12/08/2026"/>
    <s v="12/08/2026"/>
    <n v="32"/>
    <s v="No"/>
    <s v=""/>
    <m/>
    <m/>
    <s v="*MAV111101347"/>
    <s v="*MAV111101347"/>
    <n v="6.3949894482671758E-4"/>
  </r>
  <r>
    <x v="192"/>
    <s v="Pesos"/>
    <d v="2026-11-13T00:00:00"/>
    <s v="29/09/2026"/>
    <n v="0.96204553000000004"/>
    <m/>
    <n v="50000000"/>
    <n v="48102276.670000002"/>
    <n v="50000000"/>
    <n v="48102276.670000002"/>
    <n v="5405"/>
    <s v="AMOMPY"/>
    <s v="Momentum Capital Investment S.A."/>
    <s v="29/09/2026"/>
    <s v="29/09/2026"/>
    <n v="32"/>
    <s v="No"/>
    <s v=""/>
    <m/>
    <m/>
    <s v="*MAV061101395"/>
    <s v="*MAV061101395"/>
    <n v="6.3949902751893556E-4"/>
  </r>
  <r>
    <x v="13"/>
    <s v="Pesos"/>
    <d v="2026-11-13T00:00:00"/>
    <s v="29/09/2026"/>
    <n v="0.96433294000000003"/>
    <m/>
    <n v="100000000"/>
    <n v="96433294.120000005"/>
    <n v="100000000"/>
    <n v="96433294.120000005"/>
    <n v="90004134"/>
    <s v="AMOMPY"/>
    <s v="Momentum Capital Investment S.A."/>
    <s v="02/09/2026"/>
    <s v="02/09/2026"/>
    <n v="30"/>
    <s v="No"/>
    <s v=""/>
    <m/>
    <m/>
    <s v="*BIF111100007"/>
    <s v="*BIF111100007"/>
    <n v="1.2820390650791933E-3"/>
  </r>
  <r>
    <x v="8"/>
    <s v="Pesos"/>
    <d v="2026-11-13T00:00:00"/>
    <s v="29/09/2026"/>
    <n v="0.96318788"/>
    <m/>
    <n v="5000000"/>
    <n v="4815939.4000000004"/>
    <n v="5000000"/>
    <n v="4815939.4000000004"/>
    <n v="8806"/>
    <s v="AMOMPY"/>
    <s v="Momentum Capital Investment S.A."/>
    <s v="07/09/2026"/>
    <s v="07/09/2026"/>
    <n v="31"/>
    <s v="No"/>
    <s v=""/>
    <m/>
    <m/>
    <s v="*MIL111100040"/>
    <s v="*MIL111100040"/>
    <n v="6.4025837779335324E-5"/>
  </r>
  <r>
    <x v="45"/>
    <s v="Pesos"/>
    <d v="2026-11-13T00:00:00"/>
    <s v="29/09/2026"/>
    <n v="0.96778483000000004"/>
    <m/>
    <n v="2500000"/>
    <n v="2419462.08"/>
    <n v="2500000"/>
    <n v="2419462.08"/>
    <n v="53553934"/>
    <s v="AMOMPY"/>
    <s v="Momentum Capital Investment S.A."/>
    <s v="25/09/2026"/>
    <s v="25/09/2026"/>
    <n v="27"/>
    <s v="No"/>
    <s v=""/>
    <m/>
    <m/>
    <s v="*NEU111100019"/>
    <s v="*NEU111100019"/>
    <n v="3.2165705126466752E-5"/>
  </r>
  <r>
    <x v="295"/>
    <s v="Pesos"/>
    <d v="2026-11-13T00:00:00"/>
    <s v="29/09/2026"/>
    <n v="0.96090569000000003"/>
    <m/>
    <n v="100071435.06999999"/>
    <n v="96159211.379999995"/>
    <n v="100071435.06999999"/>
    <n v="96159211.379999995"/>
    <n v="10434104"/>
    <s v="AMOMPY"/>
    <s v="Momentum Capital Investment S.A."/>
    <s v="19/08/2026"/>
    <s v="19/08/2026"/>
    <n v="33"/>
    <s v="No"/>
    <s v=""/>
    <m/>
    <m/>
    <s v="*MAV111101373"/>
    <s v="*MAV111101373"/>
    <n v="1.2783952532302825E-3"/>
  </r>
  <r>
    <x v="60"/>
    <s v="Pesos"/>
    <d v="2026-11-13T00:00:00"/>
    <s v="29/09/2026"/>
    <n v="0.95524745"/>
    <m/>
    <n v="315500000"/>
    <n v="301380571.25999999"/>
    <n v="315500000"/>
    <n v="301380571.25999999"/>
    <n v="70418828"/>
    <s v="AMOMPY"/>
    <s v="Momentum Capital Investment S.A."/>
    <s v="28/09/2026"/>
    <s v="28/09/2026"/>
    <n v="38"/>
    <s v="No"/>
    <s v=""/>
    <m/>
    <m/>
    <s v="*MAV101102086"/>
    <s v="*MAV101102086"/>
    <n v="4.0067247451942957E-3"/>
  </r>
  <r>
    <x v="296"/>
    <s v="Pesos"/>
    <d v="2026-11-13T00:00:00"/>
    <s v="29/09/2026"/>
    <n v="0.96090582000000002"/>
    <m/>
    <n v="2500000"/>
    <n v="2402264.5499999998"/>
    <n v="2500000"/>
    <n v="2402264.5499999998"/>
    <n v="83"/>
    <s v="AMOMPY"/>
    <s v="Momentum Capital Investment S.A."/>
    <s v="22/09/2026"/>
    <s v="22/09/2026"/>
    <n v="33"/>
    <s v="No"/>
    <s v=""/>
    <m/>
    <m/>
    <s v="*MAV111101570"/>
    <s v="*MAV111101570"/>
    <n v="3.1937071380372427E-5"/>
  </r>
  <r>
    <x v="135"/>
    <s v="Pesos"/>
    <d v="2026-11-13T00:00:00"/>
    <s v="29/09/2026"/>
    <n v="0.96204546000000002"/>
    <m/>
    <n v="30000000"/>
    <n v="28861363.670000002"/>
    <n v="30000000"/>
    <n v="28861363.670000002"/>
    <n v="697"/>
    <s v="AMOMPY"/>
    <s v="Momentum Capital Investment S.A."/>
    <s v="21/09/2026"/>
    <s v="21/09/2026"/>
    <n v="32"/>
    <s v="No"/>
    <s v=""/>
    <m/>
    <m/>
    <s v="*MAV111101561"/>
    <s v="*MAV111101561"/>
    <n v="3.8369938550842687E-4"/>
  </r>
  <r>
    <x v="135"/>
    <s v="Pesos"/>
    <d v="2026-11-13T00:00:00"/>
    <s v="29/09/2026"/>
    <n v="0.96204546000000002"/>
    <m/>
    <n v="30000000"/>
    <n v="28861363.670000002"/>
    <n v="30000000"/>
    <n v="28861363.670000002"/>
    <n v="693"/>
    <s v="AMOMPY"/>
    <s v="Momentum Capital Investment S.A."/>
    <s v="21/09/2026"/>
    <s v="21/09/2026"/>
    <n v="32"/>
    <s v="No"/>
    <s v=""/>
    <m/>
    <m/>
    <s v="*MAV111101562"/>
    <s v="*MAV111101562"/>
    <n v="3.8369938550842687E-4"/>
  </r>
  <r>
    <x v="21"/>
    <s v="Pesos"/>
    <d v="2026-11-13T00:00:00"/>
    <s v="29/09/2026"/>
    <n v="0.96090573000000001"/>
    <m/>
    <n v="25000000"/>
    <n v="24022643.16"/>
    <n v="25000000"/>
    <n v="24022643.16"/>
    <n v="14422655"/>
    <s v="AMOMPY"/>
    <s v="Momentum Capital Investment S.A."/>
    <s v="03/09/2026"/>
    <s v="03/09/2026"/>
    <n v="33"/>
    <s v="No"/>
    <s v=""/>
    <m/>
    <m/>
    <s v="*MAV111101432"/>
    <s v="*MAV111101432"/>
    <n v="3.1937068269443324E-4"/>
  </r>
  <r>
    <x v="236"/>
    <s v="Pesos"/>
    <d v="2026-11-13T00:00:00"/>
    <s v="29/09/2026"/>
    <n v="0.96778483000000004"/>
    <m/>
    <n v="8000000"/>
    <n v="7742278.6699999999"/>
    <n v="8000000"/>
    <n v="7742278.6699999999"/>
    <n v="761092"/>
    <s v="AMOMPY"/>
    <s v="Momentum Capital Investment S.A."/>
    <s v="25/09/2026"/>
    <s v="25/09/2026"/>
    <n v="27"/>
    <s v="No"/>
    <s v=""/>
    <m/>
    <m/>
    <s v="*AAR111100043"/>
    <s v="*AAR111100043"/>
    <n v="1.0293025659081757E-4"/>
  </r>
  <r>
    <x v="28"/>
    <s v="Pesos"/>
    <d v="2026-11-13T00:00:00"/>
    <s v="29/09/2026"/>
    <n v="0.96090569000000003"/>
    <m/>
    <n v="2500000"/>
    <n v="2402264.2200000002"/>
    <n v="2500000"/>
    <n v="2402264.2200000002"/>
    <n v="1018"/>
    <s v="AMOMPY"/>
    <s v="Momentum Capital Investment S.A."/>
    <s v="19/08/2026"/>
    <s v="19/08/2026"/>
    <n v="33"/>
    <s v="No"/>
    <s v=""/>
    <m/>
    <m/>
    <s v="*MAV111101370"/>
    <s v="*MAV111101370"/>
    <n v="3.1937066993164721E-5"/>
  </r>
  <r>
    <x v="28"/>
    <s v="Pesos"/>
    <d v="2026-11-13T00:00:00"/>
    <s v="29/09/2026"/>
    <n v="0.96433307999999995"/>
    <m/>
    <n v="5000000"/>
    <n v="4821665.4000000004"/>
    <n v="5000000"/>
    <n v="4821665.4000000004"/>
    <n v="1309"/>
    <s v="AMOMPY"/>
    <s v="Momentum Capital Investment S.A."/>
    <s v="29/09/2026"/>
    <s v="29/09/2026"/>
    <n v="30"/>
    <s v="No"/>
    <s v=""/>
    <m/>
    <m/>
    <s v="*MAV091101216"/>
    <s v="*MAV091101216"/>
    <n v="6.4101962480390419E-5"/>
  </r>
  <r>
    <x v="28"/>
    <s v="Pesos"/>
    <d v="2026-11-13T00:00:00"/>
    <s v="29/09/2026"/>
    <n v="0.96433307999999995"/>
    <m/>
    <n v="5000000"/>
    <n v="4821665.4000000004"/>
    <n v="5000000"/>
    <n v="4821665.4000000004"/>
    <n v="1310"/>
    <s v="AMOMPY"/>
    <s v="Momentum Capital Investment S.A."/>
    <s v="29/09/2026"/>
    <s v="29/09/2026"/>
    <n v="30"/>
    <s v="No"/>
    <s v=""/>
    <m/>
    <m/>
    <s v="*MAV111101609"/>
    <s v="*MAV111101609"/>
    <n v="6.4101962480390419E-5"/>
  </r>
  <r>
    <x v="297"/>
    <s v="Pesos"/>
    <d v="2026-11-13T00:00:00"/>
    <s v="29/09/2026"/>
    <n v="0.96090582999999996"/>
    <m/>
    <n v="65000000"/>
    <n v="62458878.659999996"/>
    <n v="65000000"/>
    <n v="62458878.659999996"/>
    <n v="38498314"/>
    <s v="AMOMPY"/>
    <s v="Momentum Capital Investment S.A."/>
    <s v="29/09/2026"/>
    <s v="29/09/2026"/>
    <n v="33"/>
    <s v="No"/>
    <s v=""/>
    <m/>
    <m/>
    <s v="*MAV101102087"/>
    <s v="*MAV101102087"/>
    <n v="8.3036386067572782E-4"/>
  </r>
  <r>
    <x v="175"/>
    <s v="Pesos"/>
    <d v="2026-11-13T00:00:00"/>
    <s v="29/09/2026"/>
    <n v="0.96433307000000001"/>
    <m/>
    <n v="409929.9"/>
    <n v="395308.96"/>
    <n v="409929.9"/>
    <n v="395308.96"/>
    <n v="229"/>
    <s v="AMOMPY"/>
    <s v="Momentum Capital Investment S.A."/>
    <s v="29/09/2026"/>
    <s v="29/09/2026"/>
    <n v="30"/>
    <s v="No"/>
    <s v=""/>
    <m/>
    <m/>
    <s v="*MAV111101617"/>
    <s v="*MAV111101617"/>
    <n v="5.2554621733150867E-6"/>
  </r>
  <r>
    <x v="28"/>
    <s v="Pesos"/>
    <d v="2026-11-16T00:00:00"/>
    <s v="29/09/2026"/>
    <n v="0.95961724000000004"/>
    <m/>
    <n v="3000000"/>
    <n v="2878851.73"/>
    <n v="3000000"/>
    <n v="2878851.73"/>
    <n v="1056"/>
    <s v="AMOMPY"/>
    <s v="Momentum Capital Investment S.A."/>
    <s v="25/08/2026"/>
    <s v="25/08/2026"/>
    <n v="32"/>
    <s v="No"/>
    <s v=""/>
    <m/>
    <m/>
    <s v="*MAV121101331"/>
    <s v="*MAV121101331"/>
    <n v="3.8273092442927924E-5"/>
  </r>
  <r>
    <x v="281"/>
    <s v="Pesos"/>
    <d v="2026-11-16T00:00:00"/>
    <s v="29/09/2026"/>
    <n v="0.95840789999999998"/>
    <m/>
    <n v="3600000"/>
    <n v="3450268.44"/>
    <n v="3600000"/>
    <n v="3450268.44"/>
    <n v="13870045"/>
    <s v="AMOMPY"/>
    <s v="Momentum Capital Investment S.A."/>
    <s v="21/09/2026"/>
    <s v="21/09/2026"/>
    <n v="33"/>
    <s v="No"/>
    <s v=""/>
    <m/>
    <m/>
    <s v="*MAV121101563"/>
    <s v="*MAV121101563"/>
    <n v="4.5869831218100532E-5"/>
  </r>
  <r>
    <x v="92"/>
    <s v="Pesos"/>
    <d v="2026-11-16T00:00:00"/>
    <s v="29/09/2026"/>
    <n v="0.96816992000000002"/>
    <m/>
    <n v="3915102.27"/>
    <n v="3790484.26"/>
    <n v="3915102.27"/>
    <n v="3790484.26"/>
    <n v="681630"/>
    <s v="AMOMPY"/>
    <s v="Momentum Capital Investment S.A."/>
    <s v="18/09/2026"/>
    <s v="18/09/2026"/>
    <n v="25"/>
    <s v="No"/>
    <s v=""/>
    <m/>
    <m/>
    <s v="*MAV121101549"/>
    <s v="*MAV121101549"/>
    <n v="5.0392853850254818E-5"/>
  </r>
  <r>
    <x v="92"/>
    <s v="Pesos"/>
    <d v="2026-11-16T00:00:00"/>
    <s v="29/09/2026"/>
    <n v="0.96816992000000002"/>
    <m/>
    <n v="973870.43"/>
    <n v="942872.06"/>
    <n v="973870.43"/>
    <n v="942872.06"/>
    <n v="681511"/>
    <s v="AMOMPY"/>
    <s v="Momentum Capital Investment S.A."/>
    <s v="18/09/2026"/>
    <s v="18/09/2026"/>
    <n v="25"/>
    <s v="No"/>
    <s v=""/>
    <m/>
    <m/>
    <s v="*MAV121101550"/>
    <s v="*MAV121101550"/>
    <n v="1.2535077488771499E-5"/>
  </r>
  <r>
    <x v="92"/>
    <s v="Pesos"/>
    <d v="2026-11-16T00:00:00"/>
    <s v="29/09/2026"/>
    <n v="0.96816992000000002"/>
    <m/>
    <n v="1029426.04"/>
    <n v="996659.33"/>
    <n v="1029426.04"/>
    <n v="996659.33"/>
    <n v="681498"/>
    <s v="AMOMPY"/>
    <s v="Momentum Capital Investment S.A."/>
    <s v="18/09/2026"/>
    <s v="18/09/2026"/>
    <n v="25"/>
    <s v="No"/>
    <s v=""/>
    <m/>
    <m/>
    <s v="*MAV121101551"/>
    <s v="*MAV121101551"/>
    <n v="1.3250156051349198E-5"/>
  </r>
  <r>
    <x v="92"/>
    <s v="Pesos"/>
    <d v="2026-11-16T00:00:00"/>
    <s v="29/09/2026"/>
    <n v="0.96816990999999997"/>
    <m/>
    <n v="1351574.42"/>
    <n v="1308553.69"/>
    <n v="1351574.42"/>
    <n v="1308553.69"/>
    <n v="681634"/>
    <s v="AMOMPY"/>
    <s v="Momentum Capital Investment S.A."/>
    <s v="18/09/2026"/>
    <s v="18/09/2026"/>
    <n v="25"/>
    <s v="No"/>
    <s v=""/>
    <m/>
    <m/>
    <s v="*MAV121101552"/>
    <s v="*MAV121101552"/>
    <n v="1.739665708449127E-5"/>
  </r>
  <r>
    <x v="92"/>
    <s v="Pesos"/>
    <d v="2026-11-16T00:00:00"/>
    <s v="29/09/2026"/>
    <n v="0.96816983000000001"/>
    <m/>
    <n v="188938.02"/>
    <n v="182924.09"/>
    <n v="188938.02"/>
    <n v="182924.09"/>
    <n v="681548"/>
    <s v="AMOMPY"/>
    <s v="Momentum Capital Investment S.A."/>
    <s v="18/09/2026"/>
    <s v="18/09/2026"/>
    <n v="25"/>
    <s v="No"/>
    <s v=""/>
    <m/>
    <m/>
    <s v="*MAV121101553"/>
    <s v="*MAV121101553"/>
    <n v="2.4318969030782517E-6"/>
  </r>
  <r>
    <x v="92"/>
    <s v="Pesos"/>
    <d v="2026-11-16T00:00:00"/>
    <s v="29/09/2026"/>
    <n v="0.96816990999999997"/>
    <m/>
    <n v="1351574.42"/>
    <n v="1308553.69"/>
    <n v="1351574.42"/>
    <n v="1308553.69"/>
    <n v="681632"/>
    <s v="AMOMPY"/>
    <s v="Momentum Capital Investment S.A."/>
    <s v="18/09/2026"/>
    <s v="18/09/2026"/>
    <n v="25"/>
    <s v="No"/>
    <s v=""/>
    <m/>
    <m/>
    <s v="*MAV121101554"/>
    <s v="*MAV121101554"/>
    <n v="1.739665708449127E-5"/>
  </r>
  <r>
    <x v="35"/>
    <s v="Pesos"/>
    <d v="2026-11-16T00:00:00"/>
    <s v="29/09/2026"/>
    <n v="0.95599794000000005"/>
    <m/>
    <n v="3625698.78"/>
    <n v="3466160.56"/>
    <n v="3625698.78"/>
    <n v="3466160.56"/>
    <n v="3356"/>
    <s v="AMOMPY"/>
    <s v="Momentum Capital Investment S.A."/>
    <s v="01/09/2026"/>
    <s v="01/09/2026"/>
    <n v="35"/>
    <s v="No"/>
    <s v=""/>
    <m/>
    <m/>
    <s v="*MAV121101369"/>
    <s v="*MAV121101369"/>
    <n v="4.6081110101113415E-5"/>
  </r>
  <r>
    <x v="156"/>
    <s v="Pesos"/>
    <d v="2026-11-16T00:00:00"/>
    <s v="29/09/2026"/>
    <n v="0.96204551999999999"/>
    <m/>
    <n v="5925436.6100000003"/>
    <n v="5700539.7400000002"/>
    <n v="5925436.6100000003"/>
    <n v="5700539.7400000002"/>
    <n v="694"/>
    <s v="AMOMPY"/>
    <s v="Momentum Capital Investment S.A."/>
    <s v="11/09/2026"/>
    <s v="11/09/2026"/>
    <n v="30"/>
    <s v="No"/>
    <s v=""/>
    <m/>
    <m/>
    <s v="*MAV121101478"/>
    <s v="*MAV121101478"/>
    <n v="7.5786217876390712E-5"/>
  </r>
  <r>
    <x v="244"/>
    <s v="Pesos"/>
    <d v="2026-11-16T00:00:00"/>
    <s v="29/09/2026"/>
    <n v="0.95840773000000001"/>
    <m/>
    <n v="5300000"/>
    <n v="5079560.9800000004"/>
    <n v="5300000"/>
    <n v="5079560.9800000004"/>
    <n v="8175681"/>
    <s v="AMOMPY"/>
    <s v="Momentum Capital Investment S.A."/>
    <s v="15/09/2026"/>
    <s v="15/09/2026"/>
    <n v="33"/>
    <s v="No"/>
    <s v=""/>
    <m/>
    <m/>
    <s v="*MAV121101499"/>
    <s v="*MAV121101499"/>
    <n v="6.7530573016703977E-5"/>
  </r>
  <r>
    <x v="159"/>
    <s v="Pesos"/>
    <d v="2026-11-16T00:00:00"/>
    <s v="29/09/2026"/>
    <n v="0.95961721"/>
    <m/>
    <n v="1869225"/>
    <n v="1793740.48"/>
    <n v="1869225"/>
    <n v="1793740.48"/>
    <n v="5"/>
    <s v="AMOMPY"/>
    <s v="Momentum Capital Investment S.A."/>
    <s v="15/09/2026"/>
    <s v="15/09/2026"/>
    <n v="32"/>
    <s v="No"/>
    <s v=""/>
    <m/>
    <m/>
    <s v="*MAV121101513"/>
    <s v="*MAV121101513"/>
    <n v="2.3847006254004581E-5"/>
  </r>
  <r>
    <x v="34"/>
    <s v="Pesos"/>
    <d v="2026-11-16T00:00:00"/>
    <s v="29/09/2026"/>
    <n v="0.95840787999999999"/>
    <m/>
    <n v="2170000"/>
    <n v="2079745.11"/>
    <n v="2170000"/>
    <n v="2079745.11"/>
    <n v="260731"/>
    <s v="AMOMPY"/>
    <s v="Momentum Capital Investment S.A."/>
    <s v="27/08/2026"/>
    <s v="27/08/2026"/>
    <n v="33"/>
    <s v="No"/>
    <s v=""/>
    <m/>
    <m/>
    <s v="*MAV121101347"/>
    <s v="*MAV121101347"/>
    <n v="2.7649314489967606E-5"/>
  </r>
  <r>
    <x v="109"/>
    <s v="Pesos"/>
    <d v="2026-11-16T00:00:00"/>
    <s v="29/09/2026"/>
    <n v="0.95961726000000003"/>
    <m/>
    <n v="11829797.539999999"/>
    <n v="11352077.880000001"/>
    <n v="11829797.539999999"/>
    <n v="11352077.880000001"/>
    <n v="30897"/>
    <s v="AMOMPY"/>
    <s v="Momentum Capital Investment S.A."/>
    <s v="31/07/2026"/>
    <s v="31/07/2026"/>
    <n v="32"/>
    <s v="No"/>
    <s v=""/>
    <m/>
    <m/>
    <s v="*MAV121101212"/>
    <s v="*MAV121101212"/>
    <n v="1.5092098060936167E-4"/>
  </r>
  <r>
    <x v="109"/>
    <s v="Pesos"/>
    <d v="2026-11-16T00:00:00"/>
    <s v="29/09/2026"/>
    <n v="0.95961726000000003"/>
    <m/>
    <n v="11229494.109999999"/>
    <n v="10776016.35"/>
    <n v="11229494.109999999"/>
    <n v="10776016.35"/>
    <n v="30920"/>
    <s v="AMOMPY"/>
    <s v="Momentum Capital Investment S.A."/>
    <s v="31/07/2026"/>
    <s v="31/07/2026"/>
    <n v="32"/>
    <s v="No"/>
    <s v=""/>
    <m/>
    <m/>
    <s v="*MAV121101210"/>
    <s v="*MAV121101210"/>
    <n v="1.432624909550492E-4"/>
  </r>
  <r>
    <x v="109"/>
    <s v="Pesos"/>
    <d v="2026-11-16T00:00:00"/>
    <s v="29/09/2026"/>
    <n v="0.95961726000000003"/>
    <m/>
    <n v="11490967.439999999"/>
    <n v="11026930.67"/>
    <n v="11490967.439999999"/>
    <n v="11026930.67"/>
    <n v="30907"/>
    <s v="AMOMPY"/>
    <s v="Momentum Capital Investment S.A."/>
    <s v="31/07/2026"/>
    <s v="31/07/2026"/>
    <n v="32"/>
    <s v="No"/>
    <s v=""/>
    <m/>
    <m/>
    <s v="*MAV121101211"/>
    <s v="*MAV121101211"/>
    <n v="1.4659828864985248E-4"/>
  </r>
  <r>
    <x v="275"/>
    <s v="Pesos"/>
    <d v="2026-11-16T00:00:00"/>
    <s v="29/09/2026"/>
    <n v="0.95479762999999995"/>
    <m/>
    <n v="3140560.45"/>
    <n v="2998599.67"/>
    <n v="3140560.45"/>
    <n v="2998599.67"/>
    <n v="1120"/>
    <s v="AMOMPY"/>
    <s v="Momentum Capital Investment S.A."/>
    <s v="02/09/2026"/>
    <s v="02/09/2026"/>
    <n v="36"/>
    <s v="No"/>
    <s v=""/>
    <m/>
    <m/>
    <s v="*MAV121101391"/>
    <s v="*MAV121101391"/>
    <n v="3.9865089672139233E-5"/>
  </r>
  <r>
    <x v="8"/>
    <s v="Pesos"/>
    <d v="2026-11-16T00:00:00"/>
    <s v="29/09/2026"/>
    <n v="0.96204537000000001"/>
    <m/>
    <n v="40000000"/>
    <n v="38481814.799999997"/>
    <n v="40000000"/>
    <n v="38481814.799999997"/>
    <n v="4374"/>
    <s v="AMOMPY"/>
    <s v="Momentum Capital Investment S.A."/>
    <s v="14/08/2026"/>
    <s v="14/08/2026"/>
    <n v="30"/>
    <s v="No"/>
    <s v=""/>
    <m/>
    <m/>
    <s v="*MIL121100036"/>
    <s v="*MIL121100036"/>
    <n v="5.1159913512184661E-4"/>
  </r>
  <r>
    <x v="164"/>
    <s v="Pesos"/>
    <d v="2026-11-16T00:00:00"/>
    <s v="29/09/2026"/>
    <n v="0.96571077000000005"/>
    <m/>
    <n v="3000000"/>
    <n v="2897132.31"/>
    <n v="3000000"/>
    <n v="2897132.31"/>
    <n v="90023131"/>
    <s v="AMOMPY"/>
    <s v="Momentum Capital Investment S.A."/>
    <s v="24/09/2026"/>
    <s v="24/09/2026"/>
    <n v="27"/>
    <s v="No"/>
    <s v=""/>
    <m/>
    <m/>
    <s v="*NIO121100033"/>
    <s v="*NIO121100033"/>
    <n v="3.8516124871781198E-5"/>
  </r>
  <r>
    <x v="219"/>
    <s v="Pesos"/>
    <d v="2026-11-16T00:00:00"/>
    <s v="29/09/2026"/>
    <n v="0.95840776999999999"/>
    <m/>
    <n v="25000000"/>
    <n v="23960194.219999999"/>
    <n v="25000000"/>
    <n v="23960194.219999999"/>
    <n v="90016069"/>
    <s v="AMOMPY"/>
    <s v="Momentum Capital Investment S.A."/>
    <s v="14/08/2026"/>
    <s v="14/08/2026"/>
    <n v="33"/>
    <s v="No"/>
    <s v=""/>
    <m/>
    <m/>
    <s v="*MAV121101299"/>
    <s v="*MAV121101299"/>
    <n v="3.1854045096395685E-4"/>
  </r>
  <r>
    <x v="8"/>
    <s v="Pesos"/>
    <d v="2026-11-16T00:00:00"/>
    <s v="29/09/2026"/>
    <n v="0.96693883999999997"/>
    <m/>
    <n v="4000000"/>
    <n v="3867755.37"/>
    <n v="4000000"/>
    <n v="3867755.37"/>
    <n v="90002236"/>
    <s v="AMOMPY"/>
    <s v="Momentum Capital Investment S.A."/>
    <s v="22/09/2026"/>
    <s v="22/09/2026"/>
    <n v="26"/>
    <s v="No"/>
    <s v=""/>
    <m/>
    <m/>
    <s v="*MIL121100039"/>
    <s v="*MIL121100039"/>
    <n v="5.1420139939836675E-5"/>
  </r>
  <r>
    <x v="298"/>
    <s v="Pesos"/>
    <d v="2026-11-16T00:00:00"/>
    <s v="29/09/2026"/>
    <n v="0.95840780000000003"/>
    <m/>
    <n v="5468322.6299999999"/>
    <n v="5240883.08"/>
    <n v="5468322.6299999999"/>
    <n v="5240883.08"/>
    <n v="762870"/>
    <s v="AMOMPY"/>
    <s v="Momentum Capital Investment S.A."/>
    <s v="28/07/2026"/>
    <s v="28/07/2026"/>
    <n v="33"/>
    <s v="No"/>
    <s v=""/>
    <m/>
    <m/>
    <s v="*MAV121101206"/>
    <s v="*MAV121101206"/>
    <n v="6.9675280777109285E-5"/>
  </r>
  <r>
    <x v="288"/>
    <s v="Pesos"/>
    <d v="2026-11-16T00:00:00"/>
    <s v="29/09/2026"/>
    <n v="0.95840789999999998"/>
    <m/>
    <n v="7500000"/>
    <n v="7188059.2699999996"/>
    <n v="7500000"/>
    <n v="7188059.2699999996"/>
    <n v="14437226"/>
    <s v="AMOMPY"/>
    <s v="Momentum Capital Investment S.A."/>
    <s v="14/09/2026"/>
    <s v="14/09/2026"/>
    <n v="33"/>
    <s v="No"/>
    <s v=""/>
    <m/>
    <m/>
    <s v="*MAV121101495"/>
    <s v="*MAV121101495"/>
    <n v="9.5562148636934145E-5"/>
  </r>
  <r>
    <x v="295"/>
    <s v="Pesos"/>
    <d v="2026-11-16T00:00:00"/>
    <s v="29/09/2026"/>
    <n v="0.95961724999999998"/>
    <m/>
    <n v="38054448.590000004"/>
    <n v="36517705.289999999"/>
    <n v="38054448.590000004"/>
    <n v="36517705.289999999"/>
    <n v="10434108"/>
    <s v="AMOMPY"/>
    <s v="Momentum Capital Investment S.A."/>
    <s v="25/08/2026"/>
    <s v="25/08/2026"/>
    <n v="32"/>
    <s v="No"/>
    <s v=""/>
    <m/>
    <m/>
    <s v="*MAV121101332"/>
    <s v="*MAV121101332"/>
    <n v="4.8548714607395501E-4"/>
  </r>
  <r>
    <x v="130"/>
    <s v="Pesos"/>
    <d v="2026-11-16T00:00:00"/>
    <s v="29/09/2026"/>
    <n v="0.95121449999999996"/>
    <m/>
    <n v="3750000"/>
    <n v="3567054.38"/>
    <n v="3750000"/>
    <n v="3567054.38"/>
    <n v="66918897"/>
    <s v="AMOMPY"/>
    <s v="Momentum Capital Investment S.A."/>
    <s v="13/05/2026"/>
    <s v="13/05/2026"/>
    <n v="39"/>
    <s v="No"/>
    <s v=""/>
    <m/>
    <m/>
    <s v="*MAV121101139"/>
    <s v="*MAV121101139"/>
    <n v="4.7422449934471253E-5"/>
  </r>
  <r>
    <x v="183"/>
    <s v="Pesos"/>
    <d v="2026-11-16T00:00:00"/>
    <s v="29/09/2026"/>
    <n v="0.95961722000000005"/>
    <m/>
    <n v="30000000"/>
    <n v="28788516.579999998"/>
    <n v="30000000"/>
    <n v="28788516.579999998"/>
    <n v="10505"/>
    <s v="AMOMPY"/>
    <s v="Momentum Capital Investment S.A."/>
    <s v="28/08/2026"/>
    <s v="28/08/2026"/>
    <n v="32"/>
    <s v="No"/>
    <s v=""/>
    <m/>
    <m/>
    <s v="*MAV121101353"/>
    <s v="*MAV121101353"/>
    <n v="3.827309148571897E-4"/>
  </r>
  <r>
    <x v="135"/>
    <s v="Pesos"/>
    <d v="2026-11-16T00:00:00"/>
    <s v="29/09/2026"/>
    <n v="0.95961737000000003"/>
    <m/>
    <n v="20000000"/>
    <n v="19192347.41"/>
    <n v="20000000"/>
    <n v="19192347.41"/>
    <n v="742"/>
    <s v="AMOMPY"/>
    <s v="Momentum Capital Investment S.A."/>
    <s v="21/09/2026"/>
    <s v="21/09/2026"/>
    <n v="32"/>
    <s v="No"/>
    <s v=""/>
    <m/>
    <m/>
    <s v="*MAV121101562"/>
    <s v="*MAV121101562"/>
    <n v="2.5515398343203951E-4"/>
  </r>
  <r>
    <x v="21"/>
    <s v="Pesos"/>
    <d v="2026-11-16T00:00:00"/>
    <s v="29/09/2026"/>
    <n v="0.95840789999999998"/>
    <m/>
    <n v="36666666"/>
    <n v="35141622.380000003"/>
    <n v="36666666"/>
    <n v="35141622.380000003"/>
    <n v="14537770"/>
    <s v="AMOMPY"/>
    <s v="Momentum Capital Investment S.A."/>
    <s v="14/09/2026"/>
    <s v="14/09/2026"/>
    <n v="33"/>
    <s v="No"/>
    <s v=""/>
    <m/>
    <m/>
    <s v="*MAV121101496"/>
    <s v="*MAV121101496"/>
    <n v="4.6719271712690978E-4"/>
  </r>
  <r>
    <x v="21"/>
    <s v="Pesos"/>
    <d v="2026-11-16T00:00:00"/>
    <s v="29/09/2026"/>
    <n v="0.95961724000000004"/>
    <m/>
    <n v="10000000"/>
    <n v="9596172.3800000008"/>
    <n v="10000000"/>
    <n v="9596172.3800000008"/>
    <n v="14422575"/>
    <s v="AMOMPY"/>
    <s v="Momentum Capital Investment S.A."/>
    <s v="01/09/2026"/>
    <s v="01/09/2026"/>
    <n v="32"/>
    <s v="No"/>
    <s v=""/>
    <m/>
    <m/>
    <s v="*MAV121101368"/>
    <s v="*MAV121101368"/>
    <n v="1.2757697410071609E-4"/>
  </r>
  <r>
    <x v="299"/>
    <s v="Pesos"/>
    <d v="2026-11-16T00:00:00"/>
    <s v="29/09/2026"/>
    <n v="0.95840773000000001"/>
    <m/>
    <n v="686128.26"/>
    <n v="657590.63"/>
    <n v="686128.26"/>
    <n v="657590.63"/>
    <n v="19384"/>
    <s v="AMOMPY"/>
    <s v="Momentum Capital Investment S.A."/>
    <s v="15/09/2026"/>
    <s v="15/09/2026"/>
    <n v="33"/>
    <s v="No"/>
    <s v=""/>
    <m/>
    <m/>
    <s v="*MAV121101505"/>
    <s v="*MAV121101505"/>
    <n v="8.7423838849780612E-6"/>
  </r>
  <r>
    <x v="300"/>
    <s v="Pesos"/>
    <d v="2026-11-16T00:00:00"/>
    <s v="29/09/2026"/>
    <n v="0.95840773999999995"/>
    <m/>
    <n v="4069364.15"/>
    <n v="3900110.1"/>
    <n v="4069364.15"/>
    <n v="3900110.1"/>
    <n v="39543"/>
    <s v="AMOMPY"/>
    <s v="Momentum Capital Investment S.A."/>
    <s v="06/08/2026"/>
    <s v="06/08/2026"/>
    <n v="33"/>
    <s v="No"/>
    <s v=""/>
    <m/>
    <m/>
    <s v="*MAV121101263"/>
    <s v="*MAV121101263"/>
    <n v="5.1850282124427742E-5"/>
  </r>
  <r>
    <x v="28"/>
    <s v="Pesos"/>
    <d v="2026-11-16T00:00:00"/>
    <s v="29/09/2026"/>
    <n v="0.95840782999999996"/>
    <m/>
    <n v="2500000"/>
    <n v="2396019.58"/>
    <n v="2500000"/>
    <n v="2396019.58"/>
    <n v="1019"/>
    <s v="AMOMPY"/>
    <s v="Momentum Capital Investment S.A."/>
    <s v="19/08/2026"/>
    <s v="19/08/2026"/>
    <n v="33"/>
    <s v="No"/>
    <s v=""/>
    <m/>
    <m/>
    <s v="*MAV121101312"/>
    <s v="*MAV121101312"/>
    <n v="3.1854047196937558E-5"/>
  </r>
  <r>
    <x v="28"/>
    <s v="Pesos"/>
    <d v="2026-11-16T00:00:00"/>
    <s v="29/09/2026"/>
    <n v="0.96204533999999997"/>
    <m/>
    <n v="2500000"/>
    <n v="2405113.36"/>
    <n v="2500000"/>
    <n v="2405113.36"/>
    <n v="889"/>
    <s v="AMOMPY"/>
    <s v="Momentum Capital Investment S.A."/>
    <s v="06/08/2026"/>
    <s v="06/08/2026"/>
    <n v="30"/>
    <s v="No"/>
    <s v=""/>
    <m/>
    <m/>
    <s v="*MAV121101264"/>
    <s v="*MAV121101264"/>
    <n v="3.1974945080968443E-5"/>
  </r>
  <r>
    <x v="28"/>
    <s v="Pesos"/>
    <d v="2026-11-16T00:00:00"/>
    <s v="29/09/2026"/>
    <n v="0.96204557000000002"/>
    <m/>
    <n v="5000000"/>
    <n v="4810227.8499999996"/>
    <n v="5000000"/>
    <n v="4810227.8499999996"/>
    <n v="1311"/>
    <s v="AMOMPY"/>
    <s v="Momentum Capital Investment S.A."/>
    <s v="29/09/2026"/>
    <s v="29/09/2026"/>
    <n v="30"/>
    <s v="No"/>
    <s v=""/>
    <m/>
    <m/>
    <s v="*MAV121101606"/>
    <s v="*MAV121101606"/>
    <n v="6.3949905184799641E-5"/>
  </r>
  <r>
    <x v="76"/>
    <s v="Pesos"/>
    <d v="2026-11-16T00:00:00"/>
    <s v="29/09/2026"/>
    <n v="0.95240590000000003"/>
    <m/>
    <n v="42000000"/>
    <n v="40001047.939999998"/>
    <n v="42000000"/>
    <n v="40001047.939999998"/>
    <n v="163277"/>
    <s v="AMOMPY"/>
    <s v="Momentum Capital Investment S.A."/>
    <s v="02/09/2026"/>
    <s v="02/09/2026"/>
    <n v="38"/>
    <s v="No"/>
    <s v=""/>
    <m/>
    <m/>
    <s v="#MAV131160032"/>
    <s v="#MAV131160032"/>
    <n v="5.3179668465302011E-4"/>
  </r>
  <r>
    <x v="205"/>
    <s v="Pesos"/>
    <d v="2026-11-16T00:00:00"/>
    <s v="29/09/2026"/>
    <n v="0.95840789999999998"/>
    <m/>
    <n v="60000000"/>
    <n v="57504474.039999999"/>
    <n v="60000000"/>
    <n v="57504474.039999999"/>
    <n v="20866"/>
    <s v="AMOMPY"/>
    <s v="Momentum Capital Investment S.A."/>
    <s v="28/09/2026"/>
    <s v="28/09/2026"/>
    <n v="33"/>
    <s v="No"/>
    <s v=""/>
    <m/>
    <m/>
    <s v="*MAV121101604"/>
    <s v="*MAV121101604"/>
    <n v="7.6449718750012496E-4"/>
  </r>
  <r>
    <x v="176"/>
    <s v="Pesos"/>
    <d v="2026-11-16T00:00:00"/>
    <s v="29/09/2026"/>
    <n v="0.96204557000000002"/>
    <m/>
    <n v="5920000"/>
    <n v="5695309.7800000003"/>
    <n v="5920000"/>
    <n v="5695309.7800000003"/>
    <n v="1026"/>
    <s v="AMOMPY"/>
    <s v="Momentum Capital Investment S.A."/>
    <s v="29/09/2026"/>
    <s v="29/09/2026"/>
    <n v="30"/>
    <s v="No"/>
    <s v=""/>
    <m/>
    <m/>
    <s v="*MAV121101610"/>
    <s v="*MAV121101610"/>
    <n v="7.5716687813252376E-5"/>
  </r>
  <r>
    <x v="28"/>
    <s v="Pesos"/>
    <d v="2026-11-17T00:00:00"/>
    <s v="29/09/2026"/>
    <n v="0.95881072000000001"/>
    <m/>
    <n v="3000000"/>
    <n v="2876432.15"/>
    <n v="3000000"/>
    <n v="2876432.15"/>
    <n v="1057"/>
    <s v="AMOMPY"/>
    <s v="Momentum Capital Investment S.A."/>
    <s v="25/08/2026"/>
    <s v="25/08/2026"/>
    <n v="32"/>
    <s v="No"/>
    <s v=""/>
    <m/>
    <m/>
    <s v="*MAV131101205"/>
    <s v="*MAV131101205"/>
    <n v="3.8240925170105903E-5"/>
  </r>
  <r>
    <x v="281"/>
    <s v="Pesos"/>
    <d v="2026-11-17T00:00:00"/>
    <s v="29/09/2026"/>
    <n v="0.95757809000000005"/>
    <m/>
    <n v="3600000"/>
    <n v="3447281.11"/>
    <n v="3600000"/>
    <n v="3447281.11"/>
    <n v="13870046"/>
    <s v="AMOMPY"/>
    <s v="Momentum Capital Investment S.A."/>
    <s v="21/09/2026"/>
    <s v="21/09/2026"/>
    <n v="33"/>
    <s v="No"/>
    <s v=""/>
    <m/>
    <m/>
    <s v="*MAV131101395"/>
    <s v="*MAV131101395"/>
    <n v="4.5830115953831768E-5"/>
  </r>
  <r>
    <x v="35"/>
    <s v="Pesos"/>
    <d v="2026-11-17T00:00:00"/>
    <s v="29/09/2026"/>
    <n v="0.95512251999999997"/>
    <m/>
    <n v="3625698.78"/>
    <n v="3462986.55"/>
    <n v="3625698.78"/>
    <n v="3462986.55"/>
    <n v="3357"/>
    <s v="AMOMPY"/>
    <s v="Momentum Capital Investment S.A."/>
    <s v="01/09/2026"/>
    <s v="01/09/2026"/>
    <n v="35"/>
    <s v="No"/>
    <s v=""/>
    <m/>
    <m/>
    <s v="*MAV131101236"/>
    <s v="*MAV131101236"/>
    <n v="4.6038913006737598E-5"/>
  </r>
  <r>
    <x v="35"/>
    <s v="Pesos"/>
    <d v="2026-11-17T00:00:00"/>
    <s v="29/09/2026"/>
    <n v="0.95389942000000005"/>
    <m/>
    <n v="2874176.47"/>
    <n v="2741675.27"/>
    <n v="2874176.47"/>
    <n v="2741675.27"/>
    <n v="3427"/>
    <s v="AMOMPY"/>
    <s v="Momentum Capital Investment S.A."/>
    <s v="08/09/2026"/>
    <s v="08/09/2026"/>
    <n v="36"/>
    <s v="No"/>
    <s v=""/>
    <m/>
    <m/>
    <s v="*MAV131101288"/>
    <s v="*MAV131101288"/>
    <n v="3.6449390555170889E-5"/>
  </r>
  <r>
    <x v="284"/>
    <s v="Pesos"/>
    <d v="2026-11-17T00:00:00"/>
    <s v="29/09/2026"/>
    <n v="0.95881066000000004"/>
    <m/>
    <n v="4000000"/>
    <n v="3835242.63"/>
    <n v="4000000"/>
    <n v="3835242.63"/>
    <n v="723"/>
    <s v="AMOMPY"/>
    <s v="Momentum Capital Investment S.A."/>
    <s v="14/09/2026"/>
    <s v="14/09/2026"/>
    <n v="32"/>
    <s v="No"/>
    <s v=""/>
    <m/>
    <m/>
    <s v="*MAV131101336"/>
    <s v="*MAV131101336"/>
    <n v="5.0987897080426583E-5"/>
  </r>
  <r>
    <x v="244"/>
    <s v="Pesos"/>
    <d v="2026-11-17T00:00:00"/>
    <s v="29/09/2026"/>
    <n v="0.95757815000000002"/>
    <m/>
    <n v="5300000"/>
    <n v="5075164.22"/>
    <n v="5300000"/>
    <n v="5075164.22"/>
    <n v="8175682"/>
    <s v="AMOMPY"/>
    <s v="Momentum Capital Investment S.A."/>
    <s v="15/09/2026"/>
    <s v="15/09/2026"/>
    <n v="33"/>
    <s v="No"/>
    <s v=""/>
    <m/>
    <m/>
    <s v="*MAV131101341"/>
    <s v="*MAV131101341"/>
    <n v="6.7472119988305269E-5"/>
  </r>
  <r>
    <x v="34"/>
    <s v="Pesos"/>
    <d v="2026-11-17T00:00:00"/>
    <s v="29/09/2026"/>
    <n v="0.95757808"/>
    <m/>
    <n v="2170000"/>
    <n v="2077944.43"/>
    <n v="2170000"/>
    <n v="2077944.43"/>
    <n v="260732"/>
    <s v="AMOMPY"/>
    <s v="Momentum Capital Investment S.A."/>
    <s v="27/08/2026"/>
    <s v="27/08/2026"/>
    <n v="33"/>
    <s v="No"/>
    <s v=""/>
    <m/>
    <m/>
    <s v="*MAV131101218"/>
    <s v="*MAV131101218"/>
    <n v="2.7625375225787393E-5"/>
  </r>
  <r>
    <x v="6"/>
    <s v="Pesos"/>
    <d v="2026-11-17T00:00:00"/>
    <s v="29/09/2026"/>
    <n v="0.96752817000000002"/>
    <m/>
    <n v="32000000"/>
    <n v="30960901.34"/>
    <n v="32000000"/>
    <n v="30960901.34"/>
    <n v="5314"/>
    <s v="AMOMPY"/>
    <s v="Momentum Capital Investment S.A."/>
    <s v="16/07/2026"/>
    <s v="16/07/2026"/>
    <n v="25"/>
    <s v="No"/>
    <s v=""/>
    <m/>
    <m/>
    <s v="*PRO131100019"/>
    <s v="*PRO131100019"/>
    <n v="4.1161183354940998E-4"/>
  </r>
  <r>
    <x v="6"/>
    <s v="Pesos"/>
    <d v="2026-11-17T00:00:00"/>
    <s v="29/09/2026"/>
    <n v="0.96252742999999996"/>
    <m/>
    <n v="35000000"/>
    <n v="33688459.93"/>
    <n v="35000000"/>
    <n v="33688459.93"/>
    <n v="66"/>
    <s v="AMOMPY"/>
    <s v="Momentum Capital Investment S.A."/>
    <s v="29/05/2026"/>
    <s v="29/05/2026"/>
    <n v="29"/>
    <s v="No"/>
    <s v=""/>
    <m/>
    <m/>
    <s v="*PRO131100018"/>
    <s v="*PRO131100018"/>
    <n v="4.4787354893083124E-4"/>
  </r>
  <r>
    <x v="163"/>
    <s v="Pesos"/>
    <d v="2026-11-17T00:00:00"/>
    <s v="29/09/2026"/>
    <n v="0.95512244999999996"/>
    <m/>
    <n v="25000000"/>
    <n v="23878061.199999999"/>
    <n v="25000000"/>
    <n v="23878061.199999999"/>
    <n v="123"/>
    <s v="AMOMPY"/>
    <s v="Momentum Capital Investment S.A."/>
    <s v="13/08/2026"/>
    <s v="13/08/2026"/>
    <n v="35"/>
    <s v="No"/>
    <s v=""/>
    <m/>
    <m/>
    <s v="*MAV131101141"/>
    <s v="*MAV131101141"/>
    <n v="3.1744852787729034E-4"/>
  </r>
  <r>
    <x v="7"/>
    <s v="Pesos"/>
    <d v="2026-11-17T00:00:00"/>
    <s v="29/09/2026"/>
    <n v="0.96377276000000001"/>
    <m/>
    <n v="150000000"/>
    <n v="144565914.63"/>
    <n v="150000000"/>
    <n v="144565914.63"/>
    <n v="79"/>
    <s v="AMOMPY"/>
    <s v="Momentum Capital Investment S.A."/>
    <s v="12/08/2026"/>
    <s v="12/08/2026"/>
    <n v="28"/>
    <s v="No"/>
    <s v=""/>
    <m/>
    <m/>
    <s v="*MAV131101138"/>
    <s v="*MAV131101138"/>
    <n v="1.9219415008672283E-3"/>
  </r>
  <r>
    <x v="8"/>
    <s v="Pesos"/>
    <d v="2026-11-17T00:00:00"/>
    <s v="29/09/2026"/>
    <n v="0.96128535999999998"/>
    <m/>
    <n v="25000000"/>
    <n v="24032134.100000001"/>
    <n v="25000000"/>
    <n v="24032134.100000001"/>
    <n v="12742280"/>
    <s v="AMOMPY"/>
    <s v="Momentum Capital Investment S.A."/>
    <s v="14/08/2026"/>
    <s v="14/08/2026"/>
    <n v="30"/>
    <s v="No"/>
    <s v=""/>
    <m/>
    <m/>
    <s v="*MIL131100037"/>
    <s v="*MIL131100037"/>
    <n v="3.1949686064941611E-4"/>
  </r>
  <r>
    <x v="192"/>
    <s v="Pesos"/>
    <d v="2026-11-17T00:00:00"/>
    <s v="29/09/2026"/>
    <n v="0.95881055000000004"/>
    <m/>
    <n v="50000000"/>
    <n v="47940527.659999996"/>
    <n v="50000000"/>
    <n v="47940527.659999996"/>
    <n v="5360"/>
    <s v="AMOMPY"/>
    <s v="Momentum Capital Investment S.A."/>
    <s v="16/09/2026"/>
    <s v="16/09/2026"/>
    <n v="32"/>
    <s v="No"/>
    <s v=""/>
    <m/>
    <m/>
    <s v="*MAV131101362"/>
    <s v="*MAV131101362"/>
    <n v="6.373486441741559E-4"/>
  </r>
  <r>
    <x v="301"/>
    <s v="Pesos"/>
    <d v="2026-11-17T00:00:00"/>
    <s v="29/09/2026"/>
    <n v="0.95512246999999995"/>
    <m/>
    <n v="3087576.27"/>
    <n v="2949013.47"/>
    <n v="3087576.27"/>
    <n v="2949013.47"/>
    <n v="1507"/>
    <s v="AMOMPY"/>
    <s v="Momentum Capital Investment S.A."/>
    <s v="24/08/2026"/>
    <s v="24/08/2026"/>
    <n v="35"/>
    <s v="No"/>
    <s v=""/>
    <m/>
    <m/>
    <s v="*MAV131101199"/>
    <s v="*MAV131101199"/>
    <n v="3.9205862523788145E-5"/>
  </r>
  <r>
    <x v="220"/>
    <s v="Pesos"/>
    <d v="2026-11-17T00:00:00"/>
    <s v="29/09/2026"/>
    <n v="0.95512242999999997"/>
    <m/>
    <n v="35000000"/>
    <n v="33429285"/>
    <n v="35000000"/>
    <n v="33429285"/>
    <n v="324"/>
    <s v="AMOMPY"/>
    <s v="Momentum Capital Investment S.A."/>
    <s v="03/09/2026"/>
    <s v="03/09/2026"/>
    <n v="35"/>
    <s v="No"/>
    <s v=""/>
    <m/>
    <m/>
    <s v="*MAV131101250"/>
    <s v="*MAV131101250"/>
    <n v="4.4442792998789968E-4"/>
  </r>
  <r>
    <x v="302"/>
    <s v="Pesos"/>
    <d v="2026-11-17T00:00:00"/>
    <s v="29/09/2026"/>
    <n v="0.95757815999999996"/>
    <m/>
    <n v="2169517.4900000002"/>
    <n v="2077482.56"/>
    <n v="2169517.4900000002"/>
    <n v="2077482.56"/>
    <n v="90000461"/>
    <s v="AMOMPY"/>
    <s v="Momentum Capital Investment S.A."/>
    <s v="22/09/2026"/>
    <s v="22/09/2026"/>
    <n v="33"/>
    <s v="No"/>
    <s v=""/>
    <m/>
    <m/>
    <s v="*MAV131101411"/>
    <s v="*MAV131101411"/>
    <n v="2.7619234863287162E-5"/>
  </r>
  <r>
    <x v="8"/>
    <s v="Pesos"/>
    <d v="2026-11-17T00:00:00"/>
    <s v="29/09/2026"/>
    <n v="0.95881066000000004"/>
    <m/>
    <n v="10000000"/>
    <n v="9588106.6099999994"/>
    <n v="10000000"/>
    <n v="9588106.6099999994"/>
    <n v="2198"/>
    <s v="AMOMPY"/>
    <s v="Momentum Capital Investment S.A."/>
    <s v="07/09/2026"/>
    <s v="07/09/2026"/>
    <n v="32"/>
    <s v="No"/>
    <s v=""/>
    <m/>
    <m/>
    <s v="*MIL131100041"/>
    <s v="*MIL131100041"/>
    <n v="1.2746974316637635E-4"/>
  </r>
  <r>
    <x v="8"/>
    <s v="Pesos"/>
    <d v="2026-11-17T00:00:00"/>
    <s v="29/09/2026"/>
    <n v="0.96627324000000003"/>
    <m/>
    <n v="4000000"/>
    <n v="3865092.95"/>
    <n v="4000000"/>
    <n v="3865092.95"/>
    <n v="90002235"/>
    <s v="AMOMPY"/>
    <s v="Momentum Capital Investment S.A."/>
    <s v="22/09/2026"/>
    <s v="22/09/2026"/>
    <n v="26"/>
    <s v="No"/>
    <s v=""/>
    <m/>
    <m/>
    <s v="*MIL131100042"/>
    <s v="*MIL131100042"/>
    <n v="5.1384744213922755E-5"/>
  </r>
  <r>
    <x v="43"/>
    <s v="Pesos"/>
    <d v="2026-11-17T00:00:00"/>
    <s v="29/09/2026"/>
    <n v="0.95512275000000002"/>
    <m/>
    <n v="29431.84"/>
    <n v="28111.02"/>
    <n v="29431.84"/>
    <n v="28111.02"/>
    <n v="30099837"/>
    <s v="AMOMPY"/>
    <s v="Momentum Capital Investment S.A."/>
    <s v="16/09/2026"/>
    <s v="16/09/2026"/>
    <n v="35"/>
    <s v="No"/>
    <s v=""/>
    <m/>
    <m/>
    <s v="*MAV131101350"/>
    <s v="*MAV131101350"/>
    <n v="3.7372388995003773E-7"/>
  </r>
  <r>
    <x v="303"/>
    <s v="Pesos"/>
    <d v="2026-11-17T00:00:00"/>
    <s v="29/09/2026"/>
    <n v="0.95757802999999997"/>
    <m/>
    <n v="25000000"/>
    <n v="23939450.640000001"/>
    <n v="25000000"/>
    <n v="23939450.640000001"/>
    <n v="68636415"/>
    <s v="AMOMPY"/>
    <s v="Momentum Capital Investment S.A."/>
    <s v="28/07/2026"/>
    <s v="28/07/2026"/>
    <n v="33"/>
    <s v="No"/>
    <s v=""/>
    <m/>
    <m/>
    <s v="*MAV131101091"/>
    <s v="*MAV131101091"/>
    <n v="3.1826467401210347E-4"/>
  </r>
  <r>
    <x v="37"/>
    <s v="Pesos"/>
    <d v="2026-11-17T00:00:00"/>
    <s v="29/09/2026"/>
    <n v="0.96502142999999996"/>
    <m/>
    <n v="7869664.6799999997"/>
    <n v="7594395.04"/>
    <n v="7869664.6799999997"/>
    <n v="7594395.04"/>
    <n v="23267"/>
    <s v="AMOMPY"/>
    <s v="Momentum Capital Investment S.A."/>
    <s v="22/09/2026"/>
    <s v="22/09/2026"/>
    <n v="27"/>
    <s v="No"/>
    <s v=""/>
    <m/>
    <m/>
    <s v="*AFB131100011"/>
    <s v="*AFB131100011"/>
    <n v="1.0096420749464347E-4"/>
  </r>
  <r>
    <x v="37"/>
    <s v="Pesos"/>
    <d v="2026-11-17T00:00:00"/>
    <s v="29/09/2026"/>
    <n v="0.96502142999999996"/>
    <m/>
    <n v="7411283.71"/>
    <n v="7152047.5899999999"/>
    <n v="7411283.71"/>
    <n v="7152047.5899999999"/>
    <n v="23242"/>
    <s v="AMOMPY"/>
    <s v="Momentum Capital Investment S.A."/>
    <s v="22/09/2026"/>
    <s v="22/09/2026"/>
    <n v="27"/>
    <s v="No"/>
    <s v=""/>
    <m/>
    <m/>
    <s v="*AFB131100012"/>
    <s v="*AFB131100012"/>
    <n v="9.5083388878902032E-5"/>
  </r>
  <r>
    <x v="296"/>
    <s v="Pesos"/>
    <d v="2026-11-17T00:00:00"/>
    <s v="29/09/2026"/>
    <n v="0.95757815999999996"/>
    <m/>
    <n v="2500000"/>
    <n v="2393945.4"/>
    <n v="2500000"/>
    <n v="2393945.4"/>
    <n v="98"/>
    <s v="AMOMPY"/>
    <s v="Momentum Capital Investment S.A."/>
    <s v="22/09/2026"/>
    <s v="22/09/2026"/>
    <n v="33"/>
    <s v="No"/>
    <s v=""/>
    <m/>
    <m/>
    <s v="*MAV131101407"/>
    <s v="*MAV131101407"/>
    <n v="3.1826471868185466E-5"/>
  </r>
  <r>
    <x v="242"/>
    <s v="Pesos"/>
    <d v="2026-11-17T00:00:00"/>
    <s v="29/09/2026"/>
    <n v="0.95881061999999995"/>
    <m/>
    <n v="15000000"/>
    <n v="14382159.279999999"/>
    <n v="15000000"/>
    <n v="14382159.279999999"/>
    <n v="67449055"/>
    <s v="AMOMPY"/>
    <s v="Momentum Capital Investment S.A."/>
    <s v="05/06/2026"/>
    <s v="05/06/2026"/>
    <n v="32"/>
    <s v="No"/>
    <s v=""/>
    <m/>
    <m/>
    <s v="*MAV131101027"/>
    <s v="*MAV131101027"/>
    <n v="1.9120460630751333E-4"/>
  </r>
  <r>
    <x v="262"/>
    <s v="Pesos"/>
    <d v="2026-11-17T00:00:00"/>
    <s v="29/09/2026"/>
    <n v="0.96128535000000004"/>
    <m/>
    <n v="2500000"/>
    <n v="2403213.37"/>
    <n v="2500000"/>
    <n v="2403213.37"/>
    <n v="362"/>
    <s v="AMOMPY"/>
    <s v="Momentum Capital Investment S.A."/>
    <s v="25/09/2026"/>
    <s v="25/09/2026"/>
    <n v="30"/>
    <s v="No"/>
    <s v=""/>
    <m/>
    <m/>
    <s v="*MAV131101435"/>
    <s v="*MAV131101435"/>
    <n v="3.194968553315886E-5"/>
  </r>
  <r>
    <x v="184"/>
    <s v="Dolar 3500"/>
    <d v="2026-11-17T00:00:00"/>
    <s v="29/09/2026"/>
    <n v="0.98937465999999996"/>
    <s v="1 US3 = 1523,9697583441 $"/>
    <n v="18230"/>
    <n v="18036.3"/>
    <n v="27781968.690000001"/>
    <n v="27486775.75"/>
    <n v="146446"/>
    <s v="AMOMPY"/>
    <s v="Momentum Capital Investment S.A."/>
    <s v="17/04/2026"/>
    <s v="17/04/2026"/>
    <n v="8"/>
    <s v="No"/>
    <s v=""/>
    <m/>
    <m/>
    <s v="#UMV131160016"/>
    <s v="#UMV131160016"/>
    <n v="3.6542483180881968E-4"/>
  </r>
  <r>
    <x v="21"/>
    <s v="Pesos"/>
    <d v="2026-11-17T00:00:00"/>
    <s v="29/09/2026"/>
    <n v="0.95634870999999999"/>
    <m/>
    <n v="10000000"/>
    <n v="9563487.0999999996"/>
    <n v="10000000"/>
    <n v="9563487.0999999996"/>
    <n v="14284515"/>
    <s v="AMOMPY"/>
    <s v="Momentum Capital Investment S.A."/>
    <s v="24/08/2026"/>
    <s v="24/08/2026"/>
    <n v="34"/>
    <s v="No"/>
    <s v=""/>
    <m/>
    <m/>
    <s v="*MAV131101195"/>
    <s v="*MAV131101195"/>
    <n v="1.2714243739640204E-4"/>
  </r>
  <r>
    <x v="299"/>
    <s v="Pesos"/>
    <d v="2026-11-17T00:00:00"/>
    <s v="29/09/2026"/>
    <n v="0.95757815000000002"/>
    <m/>
    <n v="686128.26"/>
    <n v="657021.43000000005"/>
    <n v="686128.26"/>
    <n v="657021.43000000005"/>
    <n v="19385"/>
    <s v="AMOMPY"/>
    <s v="Momentum Capital Investment S.A."/>
    <s v="15/09/2026"/>
    <s v="15/09/2026"/>
    <n v="33"/>
    <s v="No"/>
    <s v=""/>
    <m/>
    <m/>
    <s v="*MAV131101342"/>
    <s v="*MAV131101342"/>
    <n v="8.7348166164065351E-6"/>
  </r>
  <r>
    <x v="299"/>
    <s v="Pesos"/>
    <d v="2026-11-17T00:00:00"/>
    <s v="29/09/2026"/>
    <n v="0.95757815999999996"/>
    <m/>
    <n v="685128.94"/>
    <n v="656064.51"/>
    <n v="685128.94"/>
    <n v="656064.51"/>
    <n v="19401"/>
    <s v="AMOMPY"/>
    <s v="Momentum Capital Investment S.A."/>
    <s v="15/09/2026"/>
    <s v="15/09/2026"/>
    <n v="33"/>
    <s v="No"/>
    <s v=""/>
    <m/>
    <m/>
    <s v="*MAV131101343"/>
    <s v="*MAV131101343"/>
    <n v="8.7220947776126741E-6"/>
  </r>
  <r>
    <x v="236"/>
    <s v="Pesos"/>
    <d v="2026-11-17T00:00:00"/>
    <s v="29/09/2026"/>
    <n v="0.95389928000000002"/>
    <m/>
    <n v="9450000"/>
    <n v="9014348.2300000004"/>
    <n v="9450000"/>
    <n v="9014348.2300000004"/>
    <n v="66335143"/>
    <s v="AMOMPY"/>
    <s v="Momentum Capital Investment S.A."/>
    <s v="22/04/2026"/>
    <s v="22/04/2026"/>
    <n v="36"/>
    <s v="No"/>
    <s v=""/>
    <m/>
    <m/>
    <s v="*AAR131100017"/>
    <s v="*AAR131100017"/>
    <n v="1.198418728982384E-4"/>
  </r>
  <r>
    <x v="28"/>
    <s v="Pesos"/>
    <d v="2026-11-17T00:00:00"/>
    <s v="29/09/2026"/>
    <n v="0.95757804000000002"/>
    <m/>
    <n v="2500000"/>
    <n v="2393945.11"/>
    <n v="2500000"/>
    <n v="2393945.11"/>
    <n v="1020"/>
    <s v="AMOMPY"/>
    <s v="Momentum Capital Investment S.A."/>
    <s v="19/08/2026"/>
    <s v="19/08/2026"/>
    <n v="33"/>
    <s v="No"/>
    <s v=""/>
    <m/>
    <m/>
    <s v="*MAV131101163"/>
    <s v="*MAV131101163"/>
    <n v="3.1826468012760507E-5"/>
  </r>
  <r>
    <x v="76"/>
    <s v="Pesos"/>
    <d v="2026-11-17T00:00:00"/>
    <s v="29/09/2026"/>
    <n v="0.95146255000000002"/>
    <m/>
    <n v="45200000"/>
    <n v="43006107.259999998"/>
    <n v="45200000"/>
    <n v="43006107.259999998"/>
    <n v="163278"/>
    <s v="AMOMPY"/>
    <s v="Momentum Capital Investment S.A."/>
    <s v="04/09/2026"/>
    <s v="04/09/2026"/>
    <n v="38"/>
    <s v="No"/>
    <s v=""/>
    <m/>
    <m/>
    <s v="#MAV161160038"/>
    <s v="#MAV161160038"/>
    <n v="5.7174765258662824E-4"/>
  </r>
  <r>
    <x v="76"/>
    <s v="Pesos"/>
    <d v="2026-11-17T00:00:00"/>
    <s v="29/09/2026"/>
    <n v="0.95146255000000002"/>
    <m/>
    <n v="25000000"/>
    <n v="23786563.75"/>
    <n v="25000000"/>
    <n v="23786563.75"/>
    <n v="163279"/>
    <s v="AMOMPY"/>
    <s v="Momentum Capital Investment S.A."/>
    <s v="04/09/2026"/>
    <s v="04/09/2026"/>
    <n v="38"/>
    <s v="No"/>
    <s v=""/>
    <m/>
    <m/>
    <s v="#MAV161160039"/>
    <s v="#MAV161160039"/>
    <n v="3.1623210873154217E-4"/>
  </r>
  <r>
    <x v="89"/>
    <s v="Pesos"/>
    <d v="2026-11-18T00:00:00"/>
    <s v="29/09/2026"/>
    <n v="0.96306069000000005"/>
    <m/>
    <n v="8000000"/>
    <n v="7704485.5099999998"/>
    <n v="8000000"/>
    <n v="7704485.5099999998"/>
    <n v="6491"/>
    <s v="AMOMPY"/>
    <s v="Momentum Capital Investment S.A."/>
    <s v="17/09/2026"/>
    <s v="17/09/2026"/>
    <n v="28"/>
    <s v="No"/>
    <s v=""/>
    <m/>
    <m/>
    <s v="*INP141100067"/>
    <s v="*INP141100067"/>
    <n v="1.0242781282432655E-4"/>
  </r>
  <r>
    <x v="28"/>
    <s v="Pesos"/>
    <d v="2026-11-18T00:00:00"/>
    <s v="29/09/2026"/>
    <n v="0.95800538000000002"/>
    <m/>
    <n v="3000000"/>
    <n v="2874016.13"/>
    <n v="3000000"/>
    <n v="2874016.13"/>
    <n v="1058"/>
    <s v="AMOMPY"/>
    <s v="Momentum Capital Investment S.A."/>
    <s v="25/08/2026"/>
    <s v="25/08/2026"/>
    <n v="32"/>
    <s v="No"/>
    <s v=""/>
    <m/>
    <m/>
    <s v="*MAV161101067"/>
    <s v="*MAV161101067"/>
    <n v="3.8208805225948871E-5"/>
  </r>
  <r>
    <x v="283"/>
    <s v="Pesos"/>
    <d v="2026-11-18T00:00:00"/>
    <s v="29/09/2026"/>
    <n v="0.95674977000000005"/>
    <m/>
    <n v="8574172.7400000002"/>
    <n v="8203337.8300000001"/>
    <n v="8574172.7400000002"/>
    <n v="8203337.8300000001"/>
    <n v="81454508"/>
    <s v="AMOMPY"/>
    <s v="Momentum Capital Investment S.A."/>
    <s v="22/09/2026"/>
    <s v="22/09/2026"/>
    <n v="33"/>
    <s v="No"/>
    <s v=""/>
    <m/>
    <m/>
    <s v="*MAV161101260"/>
    <s v="*MAV161101260"/>
    <n v="1.0905983932286703E-4"/>
  </r>
  <r>
    <x v="304"/>
    <s v="Pesos"/>
    <d v="2026-11-18T00:00:00"/>
    <s v="29/09/2026"/>
    <n v="0.95674977000000005"/>
    <m/>
    <n v="1885862.4"/>
    <n v="1804298.42"/>
    <n v="1885862.4"/>
    <n v="1804298.42"/>
    <n v="565"/>
    <s v="AMOMPY"/>
    <s v="Momentum Capital Investment S.A."/>
    <s v="22/09/2026"/>
    <s v="22/09/2026"/>
    <n v="33"/>
    <s v="No"/>
    <s v=""/>
    <m/>
    <m/>
    <s v="*MAV151101722"/>
    <s v="*MAV151101722"/>
    <n v="2.3987369513916853E-5"/>
  </r>
  <r>
    <x v="305"/>
    <s v="Pesos"/>
    <d v="2026-11-18T00:00:00"/>
    <s v="29/09/2026"/>
    <n v="0.96052636999999996"/>
    <m/>
    <n v="9087933.1199999992"/>
    <n v="8729199.4000000004"/>
    <n v="9087933.1199999992"/>
    <n v="8729199.4000000004"/>
    <n v="20619376"/>
    <s v="AMOMPY"/>
    <s v="Momentum Capital Investment S.A."/>
    <s v="25/09/2026"/>
    <s v="25/09/2026"/>
    <n v="30"/>
    <s v="No"/>
    <s v=""/>
    <m/>
    <m/>
    <s v="*MAV161101299"/>
    <s v="*MAV161101299"/>
    <n v="1.1605094215427031E-4"/>
  </r>
  <r>
    <x v="92"/>
    <s v="Pesos"/>
    <d v="2026-11-18T00:00:00"/>
    <s v="29/09/2026"/>
    <n v="0.96433292999999998"/>
    <m/>
    <n v="918585.17"/>
    <n v="885821.93"/>
    <n v="918585.17"/>
    <n v="885821.93"/>
    <n v="677250"/>
    <s v="AMOMPY"/>
    <s v="Momentum Capital Investment S.A."/>
    <s v="07/09/2026"/>
    <s v="07/09/2026"/>
    <n v="27"/>
    <s v="No"/>
    <s v=""/>
    <m/>
    <m/>
    <s v="*MAV141101533"/>
    <s v="*MAV141101533"/>
    <n v="1.1776620609378458E-5"/>
  </r>
  <r>
    <x v="92"/>
    <s v="Pesos"/>
    <d v="2026-11-18T00:00:00"/>
    <s v="29/09/2026"/>
    <n v="0.96433292999999998"/>
    <m/>
    <n v="918585.17"/>
    <n v="885821.93"/>
    <n v="918585.17"/>
    <n v="885821.93"/>
    <n v="677264"/>
    <s v="AMOMPY"/>
    <s v="Momentum Capital Investment S.A."/>
    <s v="07/09/2026"/>
    <s v="07/09/2026"/>
    <n v="27"/>
    <s v="No"/>
    <s v=""/>
    <m/>
    <m/>
    <s v="*MAV141101534"/>
    <s v="*MAV141101534"/>
    <n v="1.1776620609378458E-5"/>
  </r>
  <r>
    <x v="92"/>
    <s v="Pesos"/>
    <d v="2026-11-18T00:00:00"/>
    <s v="29/09/2026"/>
    <n v="0.96433292999999998"/>
    <m/>
    <n v="918585.17"/>
    <n v="885821.93"/>
    <n v="918585.17"/>
    <n v="885821.93"/>
    <n v="670020"/>
    <s v="AMOMPY"/>
    <s v="Momentum Capital Investment S.A."/>
    <s v="07/09/2026"/>
    <s v="07/09/2026"/>
    <n v="27"/>
    <s v="No"/>
    <s v=""/>
    <m/>
    <m/>
    <s v="*MAV141101531"/>
    <s v="*MAV141101531"/>
    <n v="1.1776620609378458E-5"/>
  </r>
  <r>
    <x v="92"/>
    <s v="Pesos"/>
    <d v="2026-11-18T00:00:00"/>
    <s v="29/09/2026"/>
    <n v="0.96433292999999998"/>
    <m/>
    <n v="918585.17"/>
    <n v="885821.93"/>
    <n v="918585.17"/>
    <n v="885821.93"/>
    <n v="677274"/>
    <s v="AMOMPY"/>
    <s v="Momentum Capital Investment S.A."/>
    <s v="07/09/2026"/>
    <s v="07/09/2026"/>
    <n v="27"/>
    <s v="No"/>
    <s v=""/>
    <m/>
    <m/>
    <s v="*MAV141101532"/>
    <s v="*MAV141101532"/>
    <n v="1.1776620609378458E-5"/>
  </r>
  <r>
    <x v="92"/>
    <s v="Pesos"/>
    <d v="2026-11-18T00:00:00"/>
    <s v="29/09/2026"/>
    <n v="0.96306075999999996"/>
    <m/>
    <n v="16797939.449999999"/>
    <n v="16177436.41"/>
    <n v="16797939.449999999"/>
    <n v="16177436.41"/>
    <n v="598437"/>
    <s v="AMOMPY"/>
    <s v="Momentum Capital Investment S.A."/>
    <s v="10/08/2026"/>
    <s v="10/08/2026"/>
    <n v="28"/>
    <s v="No"/>
    <s v=""/>
    <m/>
    <m/>
    <s v="*MAV161100997"/>
    <s v="*MAV161100997"/>
    <n v="2.1507204166069298E-4"/>
  </r>
  <r>
    <x v="92"/>
    <s v="Pesos"/>
    <d v="2026-11-18T00:00:00"/>
    <s v="29/09/2026"/>
    <n v="0.96306075999999996"/>
    <m/>
    <n v="7158904.5"/>
    <n v="6894460.04"/>
    <n v="7158904.5"/>
    <n v="6894460.04"/>
    <n v="654496"/>
    <s v="AMOMPY"/>
    <s v="Momentum Capital Investment S.A."/>
    <s v="10/08/2026"/>
    <s v="10/08/2026"/>
    <n v="28"/>
    <s v="No"/>
    <s v=""/>
    <m/>
    <m/>
    <s v="*MAV161100996"/>
    <s v="*MAV161100996"/>
    <n v="9.1658873468621659E-5"/>
  </r>
  <r>
    <x v="92"/>
    <s v="Pesos"/>
    <d v="2026-11-18T00:00:00"/>
    <s v="29/09/2026"/>
    <n v="0.96306075999999996"/>
    <m/>
    <n v="15011972.220000001"/>
    <n v="14457441.449999999"/>
    <n v="15011972.220000001"/>
    <n v="14457441.449999999"/>
    <n v="654215"/>
    <s v="AMOMPY"/>
    <s v="Momentum Capital Investment S.A."/>
    <s v="10/08/2026"/>
    <s v="10/08/2026"/>
    <n v="28"/>
    <s v="No"/>
    <s v=""/>
    <m/>
    <m/>
    <s v="*MAV161100999"/>
    <s v="*MAV161100999"/>
    <n v="1.922054502973892E-4"/>
  </r>
  <r>
    <x v="92"/>
    <s v="Pesos"/>
    <d v="2026-11-18T00:00:00"/>
    <s v="29/09/2026"/>
    <n v="0.96306075999999996"/>
    <m/>
    <n v="8829623.3000000007"/>
    <n v="8503463.7699999996"/>
    <n v="8829623.3000000007"/>
    <n v="8503463.7699999996"/>
    <n v="636510"/>
    <s v="AMOMPY"/>
    <s v="Momentum Capital Investment S.A."/>
    <s v="10/08/2026"/>
    <s v="10/08/2026"/>
    <n v="28"/>
    <s v="No"/>
    <s v=""/>
    <m/>
    <m/>
    <s v="*MAV161100998"/>
    <s v="*MAV161100998"/>
    <n v="1.1304988428643332E-4"/>
  </r>
  <r>
    <x v="155"/>
    <s v="Pesos"/>
    <d v="2026-11-18T00:00:00"/>
    <s v="29/09/2026"/>
    <n v="0.96052636000000002"/>
    <m/>
    <n v="50000000"/>
    <n v="48026317.75"/>
    <n v="50000000"/>
    <n v="48026317.75"/>
    <n v="68016"/>
    <s v="AMOMPY"/>
    <s v="Momentum Capital Investment S.A."/>
    <s v="29/07/2026"/>
    <s v="29/07/2026"/>
    <n v="30"/>
    <s v="No"/>
    <s v=""/>
    <m/>
    <m/>
    <s v="*MAV161100954"/>
    <s v="*MAV161100954"/>
    <n v="6.3848918642961177E-4"/>
  </r>
  <r>
    <x v="226"/>
    <s v="Pesos"/>
    <d v="2026-11-18T00:00:00"/>
    <s v="29/09/2026"/>
    <n v="0.96560860999999998"/>
    <m/>
    <n v="150000000"/>
    <n v="144841291.11000001"/>
    <n v="150000000"/>
    <n v="144841291.11000001"/>
    <n v="360"/>
    <s v="AMOMPY"/>
    <s v="Momentum Capital Investment S.A."/>
    <s v="23/09/2026"/>
    <s v="23/09/2026"/>
    <n v="26"/>
    <s v="No"/>
    <s v=""/>
    <m/>
    <m/>
    <s v="*FTR161100013"/>
    <s v="*FTR161100013"/>
    <n v="1.9256025124316024E-3"/>
  </r>
  <r>
    <x v="53"/>
    <s v="Pesos"/>
    <d v="2026-11-18T00:00:00"/>
    <s v="29/09/2026"/>
    <n v="0.95176019000000001"/>
    <m/>
    <n v="25000000"/>
    <n v="23794004.75"/>
    <n v="25000000"/>
    <n v="23794004.75"/>
    <n v="2659"/>
    <s v="AMOMPY"/>
    <s v="Momentum Capital Investment S.A."/>
    <s v="24/08/2026"/>
    <s v="24/08/2026"/>
    <n v="37"/>
    <s v="No"/>
    <s v=""/>
    <m/>
    <m/>
    <s v="*MAV161101059"/>
    <s v="*MAV161101059"/>
    <n v="3.1633103361812114E-4"/>
  </r>
  <r>
    <x v="244"/>
    <s v="Pesos"/>
    <d v="2026-11-18T00:00:00"/>
    <s v="29/09/2026"/>
    <n v="0.95674977999999999"/>
    <m/>
    <n v="5300000"/>
    <n v="5070773.84"/>
    <n v="5300000"/>
    <n v="5070773.84"/>
    <n v="8175683"/>
    <s v="AMOMPY"/>
    <s v="Momentum Capital Investment S.A."/>
    <s v="15/09/2026"/>
    <s v="15/09/2026"/>
    <n v="33"/>
    <s v="No"/>
    <s v=""/>
    <m/>
    <m/>
    <s v="*MAV161101203"/>
    <s v="*MAV161101203"/>
    <n v="6.7413751779255615E-5"/>
  </r>
  <r>
    <x v="177"/>
    <s v="Pesos"/>
    <d v="2026-11-18T00:00:00"/>
    <s v="29/09/2026"/>
    <n v="0.95800534999999998"/>
    <m/>
    <n v="2112204.7400000002"/>
    <n v="2023503.44"/>
    <n v="2112204.7400000002"/>
    <n v="2023503.44"/>
    <n v="213"/>
    <s v="AMOMPY"/>
    <s v="Momentum Capital Investment S.A."/>
    <s v="15/09/2026"/>
    <s v="15/09/2026"/>
    <n v="32"/>
    <s v="No"/>
    <s v=""/>
    <m/>
    <m/>
    <s v="*MAV141101582"/>
    <s v="*MAV141101582"/>
    <n v="2.6901605737681621E-5"/>
  </r>
  <r>
    <x v="178"/>
    <s v="Pesos"/>
    <d v="2026-11-18T00:00:00"/>
    <s v="29/09/2026"/>
    <n v="0.95800536000000003"/>
    <m/>
    <n v="1566916.35"/>
    <n v="1501114.26"/>
    <n v="1566916.35"/>
    <n v="1501114.26"/>
    <n v="1181"/>
    <s v="AMOMPY"/>
    <s v="Momentum Capital Investment S.A."/>
    <s v="15/09/2026"/>
    <s v="15/09/2026"/>
    <n v="32"/>
    <s v="No"/>
    <s v=""/>
    <m/>
    <m/>
    <s v="*MAV141101583"/>
    <s v="*MAV141101583"/>
    <n v="1.9956666834098241E-5"/>
  </r>
  <r>
    <x v="188"/>
    <s v="Pesos"/>
    <d v="2026-11-18T00:00:00"/>
    <s v="29/09/2026"/>
    <n v="0.95800536000000003"/>
    <m/>
    <n v="5000000"/>
    <n v="4790026.78"/>
    <n v="5000000"/>
    <n v="4790026.78"/>
    <n v="1268"/>
    <s v="AMOMPY"/>
    <s v="Momentum Capital Investment S.A."/>
    <s v="15/09/2026"/>
    <s v="15/09/2026"/>
    <n v="32"/>
    <s v="No"/>
    <s v=""/>
    <m/>
    <m/>
    <s v="*MAV161101207"/>
    <s v="*MAV161101207"/>
    <n v="6.3681340669476016E-5"/>
  </r>
  <r>
    <x v="306"/>
    <s v="Pesos"/>
    <d v="2026-11-18T00:00:00"/>
    <s v="29/09/2026"/>
    <n v="0.95674977999999999"/>
    <m/>
    <n v="375000000"/>
    <n v="358781168.50999999"/>
    <n v="375000000"/>
    <n v="358781168.50999999"/>
    <n v="91648903"/>
    <s v="AMOMPY"/>
    <s v="Momentum Capital Investment S.A."/>
    <s v="15/09/2026"/>
    <s v="15/09/2026"/>
    <n v="33"/>
    <s v="No"/>
    <s v=""/>
    <m/>
    <m/>
    <s v="MAVR151100183"/>
    <s v="MAVR151100183"/>
    <n v="4.7698409355611138E-3"/>
  </r>
  <r>
    <x v="307"/>
    <s v="Pesos"/>
    <d v="2026-11-18T00:00:00"/>
    <s v="29/09/2026"/>
    <n v="0.95800543000000005"/>
    <m/>
    <n v="1027513.96"/>
    <n v="984363.95"/>
    <n v="1027513.96"/>
    <n v="984363.95"/>
    <n v="3585515"/>
    <s v="AMOMPY"/>
    <s v="Momentum Capital Investment S.A."/>
    <s v="16/09/2026"/>
    <s v="16/09/2026"/>
    <n v="32"/>
    <s v="No"/>
    <s v=""/>
    <m/>
    <m/>
    <s v="*MAV151101692"/>
    <s v="*MAV151101692"/>
    <n v="1.3086694275788798E-5"/>
  </r>
  <r>
    <x v="6"/>
    <s v="Pesos"/>
    <d v="2026-11-18T00:00:00"/>
    <s v="29/09/2026"/>
    <n v="0.96433290000000005"/>
    <m/>
    <n v="25000000"/>
    <n v="24108322.390000001"/>
    <n v="25000000"/>
    <n v="24108322.390000001"/>
    <n v="895"/>
    <s v="AMOMPY"/>
    <s v="Momentum Capital Investment S.A."/>
    <s v="17/09/2026"/>
    <s v="17/09/2026"/>
    <n v="27"/>
    <s v="No"/>
    <s v=""/>
    <m/>
    <m/>
    <s v="*PRO151100020"/>
    <s v="*PRO151100020"/>
    <n v="3.2050975111398987E-4"/>
  </r>
  <r>
    <x v="6"/>
    <s v="Pesos"/>
    <d v="2026-11-18T00:00:00"/>
    <s v="29/09/2026"/>
    <n v="0.96433290000000005"/>
    <m/>
    <n v="25000000"/>
    <n v="24108322.390000001"/>
    <n v="25000000"/>
    <n v="24108322.390000001"/>
    <n v="894"/>
    <s v="AMOMPY"/>
    <s v="Momentum Capital Investment S.A."/>
    <s v="17/09/2026"/>
    <s v="17/09/2026"/>
    <n v="27"/>
    <s v="No"/>
    <s v=""/>
    <m/>
    <m/>
    <s v="*PRO161100014"/>
    <s v="*PRO161100014"/>
    <n v="3.2050975111398987E-4"/>
  </r>
  <r>
    <x v="6"/>
    <s v="Pesos"/>
    <d v="2026-11-18T00:00:00"/>
    <s v="29/09/2026"/>
    <n v="0.96433290000000005"/>
    <m/>
    <n v="25000000"/>
    <n v="24108322.390000001"/>
    <n v="25000000"/>
    <n v="24108322.390000001"/>
    <n v="896"/>
    <s v="AMOMPY"/>
    <s v="Momentum Capital Investment S.A."/>
    <s v="17/09/2026"/>
    <s v="17/09/2026"/>
    <n v="27"/>
    <s v="No"/>
    <s v=""/>
    <m/>
    <m/>
    <s v="*PRO141100016"/>
    <s v="*PRO141100016"/>
    <n v="3.2050975111398987E-4"/>
  </r>
  <r>
    <x v="6"/>
    <s v="Pesos"/>
    <d v="2026-11-18T00:00:00"/>
    <s v="29/09/2026"/>
    <n v="0.96433294000000003"/>
    <m/>
    <n v="26231345.640000001"/>
    <n v="25295750.66"/>
    <n v="26231345.640000001"/>
    <n v="25295750.66"/>
    <n v="14072118"/>
    <s v="AMOMPY"/>
    <s v="Momentum Capital Investment S.A."/>
    <s v="25/09/2026"/>
    <s v="25/09/2026"/>
    <n v="27"/>
    <s v="No"/>
    <s v=""/>
    <m/>
    <m/>
    <s v="*PRO151100021"/>
    <s v="*PRO151100021"/>
    <n v="3.3629609796661359E-4"/>
  </r>
  <r>
    <x v="34"/>
    <s v="Pesos"/>
    <d v="2026-11-18T00:00:00"/>
    <s v="29/09/2026"/>
    <n v="0.95674970999999998"/>
    <m/>
    <n v="2170000"/>
    <n v="2076146.88"/>
    <n v="2170000"/>
    <n v="2076146.88"/>
    <n v="260733"/>
    <s v="AMOMPY"/>
    <s v="Momentum Capital Investment S.A."/>
    <s v="27/08/2026"/>
    <s v="27/08/2026"/>
    <n v="33"/>
    <s v="No"/>
    <s v=""/>
    <m/>
    <m/>
    <s v="*MAV161101082"/>
    <s v="*MAV161101082"/>
    <n v="2.7601477573607582E-5"/>
  </r>
  <r>
    <x v="163"/>
    <s v="Pesos"/>
    <d v="2026-11-18T00:00:00"/>
    <s v="29/09/2026"/>
    <n v="0.95424838000000001"/>
    <m/>
    <n v="15000000"/>
    <n v="14313725.66"/>
    <n v="15000000"/>
    <n v="14313725.66"/>
    <n v="148"/>
    <s v="AMOMPY"/>
    <s v="Momentum Capital Investment S.A."/>
    <s v="19/08/2026"/>
    <s v="19/08/2026"/>
    <n v="35"/>
    <s v="No"/>
    <s v=""/>
    <m/>
    <m/>
    <s v="*MAV161101030"/>
    <s v="*MAV161101030"/>
    <n v="1.9029481083691988E-4"/>
  </r>
  <r>
    <x v="8"/>
    <s v="Pesos"/>
    <d v="2026-11-18T00:00:00"/>
    <s v="29/09/2026"/>
    <n v="0.96560847000000005"/>
    <m/>
    <n v="15000000"/>
    <n v="14484127.02"/>
    <n v="15000000"/>
    <n v="14484127.02"/>
    <n v="9621095"/>
    <s v="AMOMPY"/>
    <s v="Momentum Capital Investment S.A."/>
    <s v="17/07/2026"/>
    <s v="17/07/2026"/>
    <n v="26"/>
    <s v="No"/>
    <s v=""/>
    <m/>
    <m/>
    <s v="*MIL151100042"/>
    <s v="*MIL151100042"/>
    <n v="1.9256022344421681E-4"/>
  </r>
  <r>
    <x v="8"/>
    <s v="Pesos"/>
    <d v="2026-11-18T00:00:00"/>
    <s v="29/09/2026"/>
    <n v="0.95926423000000005"/>
    <m/>
    <n v="15000000"/>
    <n v="14388963.439999999"/>
    <n v="15000000"/>
    <n v="14388963.439999999"/>
    <n v="2438"/>
    <s v="AMOMPY"/>
    <s v="Momentum Capital Investment S.A."/>
    <s v="14/08/2026"/>
    <s v="14/08/2026"/>
    <n v="31"/>
    <s v="No"/>
    <s v=""/>
    <m/>
    <m/>
    <s v="*MIL141100051"/>
    <s v="*MIL141100051"/>
    <n v="1.9129506468088585E-4"/>
  </r>
  <r>
    <x v="8"/>
    <s v="Pesos"/>
    <d v="2026-11-18T00:00:00"/>
    <s v="29/09/2026"/>
    <n v="0.96052641999999999"/>
    <m/>
    <n v="3000000"/>
    <n v="2881579.25"/>
    <n v="3000000"/>
    <n v="2881579.25"/>
    <n v="12759461"/>
    <s v="AMOMPY"/>
    <s v="Momentum Capital Investment S.A."/>
    <s v="14/08/2026"/>
    <s v="14/08/2026"/>
    <n v="30"/>
    <s v="No"/>
    <s v=""/>
    <m/>
    <m/>
    <s v="*MIL161100019"/>
    <s v="*MIL161100019"/>
    <n v="3.8309353645271936E-5"/>
  </r>
  <r>
    <x v="247"/>
    <s v="Pesos"/>
    <d v="2026-11-18T00:00:00"/>
    <s v="29/09/2026"/>
    <n v="0.95549751000000005"/>
    <m/>
    <n v="13000000"/>
    <n v="12421467.66"/>
    <n v="13000000"/>
    <n v="12421467.66"/>
    <n v="14330928"/>
    <s v="AMOMPY"/>
    <s v="Momentum Capital Investment S.A."/>
    <s v="25/08/2026"/>
    <s v="25/08/2026"/>
    <n v="34"/>
    <s v="No"/>
    <s v=""/>
    <m/>
    <m/>
    <s v="*MAV151101608"/>
    <s v="*MAV151101608"/>
    <n v="1.65138056633441E-4"/>
  </r>
  <r>
    <x v="82"/>
    <s v="Pesos"/>
    <d v="2026-11-18T00:00:00"/>
    <s v="29/09/2026"/>
    <n v="0.96052638999999995"/>
    <m/>
    <n v="2700000"/>
    <n v="2593421.2599999998"/>
    <n v="2700000"/>
    <n v="2593421.2599999998"/>
    <n v="6913"/>
    <s v="AMOMPY"/>
    <s v="Momentum Capital Investment S.A."/>
    <s v="11/09/2026"/>
    <s v="11/09/2026"/>
    <n v="30"/>
    <s v="No"/>
    <s v=""/>
    <m/>
    <m/>
    <s v="*MAV151101677"/>
    <s v="*MAV151101677"/>
    <n v="3.4478417416597764E-5"/>
  </r>
  <r>
    <x v="43"/>
    <s v="Pesos"/>
    <d v="2026-11-18T00:00:00"/>
    <s v="29/09/2026"/>
    <n v="0.95675047999999996"/>
    <m/>
    <n v="12839.68"/>
    <n v="12284.37"/>
    <n v="12839.68"/>
    <n v="12284.37"/>
    <n v="30101604"/>
    <s v="AMOMPY"/>
    <s v="Momentum Capital Investment S.A."/>
    <s v="21/09/2026"/>
    <s v="21/09/2026"/>
    <n v="33"/>
    <s v="No"/>
    <s v=""/>
    <m/>
    <m/>
    <s v="*MAV161101250"/>
    <s v="*MAV161101250"/>
    <n v="1.6331540235770689E-7"/>
  </r>
  <r>
    <x v="43"/>
    <s v="Pesos"/>
    <d v="2026-11-18T00:00:00"/>
    <s v="29/09/2026"/>
    <n v="0.95674963000000002"/>
    <m/>
    <n v="165489.23000000001"/>
    <n v="158331.76"/>
    <n v="165489.23000000001"/>
    <n v="158331.76"/>
    <n v="30101248"/>
    <s v="AMOMPY"/>
    <s v="Momentum Capital Investment S.A."/>
    <s v="17/09/2026"/>
    <s v="17/09/2026"/>
    <n v="33"/>
    <s v="No"/>
    <s v=""/>
    <m/>
    <m/>
    <s v="*MAV161101232"/>
    <s v="*MAV161101232"/>
    <n v="2.1049524794844082E-6"/>
  </r>
  <r>
    <x v="308"/>
    <s v="Pesos"/>
    <d v="2026-11-18T00:00:00"/>
    <s v="29/09/2026"/>
    <n v="0.95674976"/>
    <m/>
    <n v="24730000"/>
    <n v="23660421.440000001"/>
    <n v="24730000"/>
    <n v="23660421.440000001"/>
    <n v="195"/>
    <s v="AMOMPY"/>
    <s v="Momentum Capital Investment S.A."/>
    <s v="11/09/2026"/>
    <s v="11/09/2026"/>
    <n v="33"/>
    <s v="No"/>
    <s v=""/>
    <m/>
    <m/>
    <s v="*MAV141101560"/>
    <s v="*MAV141101560"/>
    <n v="3.1455510111031451E-4"/>
  </r>
  <r>
    <x v="309"/>
    <s v="Pesos"/>
    <d v="2026-11-18T00:00:00"/>
    <s v="29/09/2026"/>
    <n v="0.95674963999999996"/>
    <m/>
    <n v="735765"/>
    <n v="703942.9"/>
    <n v="735765"/>
    <n v="703942.9"/>
    <n v="262870"/>
    <s v="AMOMPY"/>
    <s v="Momentum Capital Investment S.A."/>
    <s v="28/07/2026"/>
    <s v="28/07/2026"/>
    <n v="33"/>
    <s v="No"/>
    <s v=""/>
    <m/>
    <m/>
    <s v="*MAV141101452"/>
    <s v="*MAV141101452"/>
    <n v="9.3586173283897358E-6"/>
  </r>
  <r>
    <x v="19"/>
    <s v="Pesos"/>
    <d v="2026-11-18T00:00:00"/>
    <s v="29/09/2026"/>
    <n v="0.95052095999999997"/>
    <m/>
    <n v="42000000"/>
    <n v="39921880.25"/>
    <n v="42000000"/>
    <n v="39921880.25"/>
    <n v="163282"/>
    <s v="AMOMPY"/>
    <s v="Momentum Capital Investment S.A."/>
    <s v="15/09/2026"/>
    <s v="15/09/2026"/>
    <n v="38"/>
    <s v="No"/>
    <s v=""/>
    <m/>
    <m/>
    <s v="#MAV171160044"/>
    <s v="#MAV171160044"/>
    <n v="5.3074418435010841E-4"/>
  </r>
  <r>
    <x v="37"/>
    <s v="Pesos"/>
    <d v="2026-11-18T00:00:00"/>
    <s v="29/09/2026"/>
    <n v="0.96306071000000004"/>
    <m/>
    <n v="12983989.119999999"/>
    <n v="12504369.779999999"/>
    <n v="12983989.119999999"/>
    <n v="12504369.779999999"/>
    <n v="652703"/>
    <s v="AMOMPY"/>
    <s v="Momentum Capital Investment S.A."/>
    <s v="21/09/2026"/>
    <s v="21/09/2026"/>
    <n v="28"/>
    <s v="No"/>
    <s v=""/>
    <m/>
    <m/>
    <s v="*AFB151100010"/>
    <s v="*AFB151100010"/>
    <n v="1.6624020457298586E-4"/>
  </r>
  <r>
    <x v="37"/>
    <s v="Pesos"/>
    <d v="2026-11-18T00:00:00"/>
    <s v="29/09/2026"/>
    <n v="0.96433298000000001"/>
    <m/>
    <n v="40000000"/>
    <n v="38573319.079999998"/>
    <n v="40000000"/>
    <n v="38573319.079999998"/>
    <n v="42635"/>
    <s v="AMOMPY"/>
    <s v="Momentum Capital Investment S.A."/>
    <s v="22/09/2026"/>
    <s v="22/09/2026"/>
    <n v="27"/>
    <s v="No"/>
    <s v=""/>
    <m/>
    <m/>
    <s v="*AFB151100012"/>
    <s v="*AFB151100012"/>
    <n v="5.1281564506949978E-4"/>
  </r>
  <r>
    <x v="310"/>
    <s v="Pesos"/>
    <d v="2026-11-18T00:00:00"/>
    <s v="29/09/2026"/>
    <n v="0.95300273999999996"/>
    <m/>
    <n v="30000000"/>
    <n v="28590082.280000001"/>
    <n v="30000000"/>
    <n v="28590082.280000001"/>
    <n v="10978198"/>
    <s v="AMOMPY"/>
    <s v="Momentum Capital Investment S.A."/>
    <s v="01/09/2026"/>
    <s v="01/09/2026"/>
    <n v="36"/>
    <s v="No"/>
    <s v=""/>
    <m/>
    <m/>
    <s v="*MAV161101098"/>
    <s v="*MAV161101098"/>
    <n v="3.8009281639987609E-4"/>
  </r>
  <r>
    <x v="48"/>
    <s v="Pesos"/>
    <d v="2026-11-18T00:00:00"/>
    <s v="29/09/2026"/>
    <n v="0.95674972000000003"/>
    <m/>
    <n v="6500000"/>
    <n v="6218873.1600000001"/>
    <n v="6500000"/>
    <n v="6218873.1600000001"/>
    <n v="50791"/>
    <s v="AMOMPY"/>
    <s v="Momentum Capital Investment S.A."/>
    <s v="14/09/2026"/>
    <s v="14/09/2026"/>
    <n v="33"/>
    <s v="No"/>
    <s v=""/>
    <m/>
    <m/>
    <s v="*MAV161101187"/>
    <s v="*MAV161101187"/>
    <n v="8.2677237199542514E-5"/>
  </r>
  <r>
    <x v="123"/>
    <s v="Pesos"/>
    <d v="2026-11-18T00:00:00"/>
    <s v="29/09/2026"/>
    <n v="0.95674979000000004"/>
    <m/>
    <n v="25000000"/>
    <n v="23918744.66"/>
    <n v="25000000"/>
    <n v="23918744.66"/>
    <n v="475884"/>
    <s v="AMOMPY"/>
    <s v="Momentum Capital Investment S.A."/>
    <s v="07/08/2026"/>
    <s v="07/08/2026"/>
    <n v="33"/>
    <s v="No"/>
    <s v=""/>
    <m/>
    <m/>
    <s v="*MAV161100990"/>
    <s v="*MAV161100990"/>
    <n v="3.1798939693603766E-4"/>
  </r>
  <r>
    <x v="21"/>
    <s v="Pesos"/>
    <d v="2026-11-18T00:00:00"/>
    <s v="29/09/2026"/>
    <n v="0.95674985000000001"/>
    <m/>
    <n v="25000000"/>
    <n v="23918746.23"/>
    <n v="25000000"/>
    <n v="23918746.23"/>
    <n v="14422595"/>
    <s v="AMOMPY"/>
    <s v="Momentum Capital Investment S.A."/>
    <s v="02/09/2026"/>
    <s v="02/09/2026"/>
    <n v="33"/>
    <s v="No"/>
    <s v=""/>
    <m/>
    <m/>
    <s v="*MAV161101104"/>
    <s v="*MAV161101104"/>
    <n v="3.1798941780851068E-4"/>
  </r>
  <r>
    <x v="21"/>
    <s v="Pesos"/>
    <d v="2026-11-18T00:00:00"/>
    <s v="29/09/2026"/>
    <n v="0.95800536999999997"/>
    <m/>
    <n v="10000000"/>
    <n v="9580053.6799999997"/>
    <n v="10000000"/>
    <n v="9580053.6799999997"/>
    <n v="14422576"/>
    <s v="AMOMPY"/>
    <s v="Momentum Capital Investment S.A."/>
    <s v="01/09/2026"/>
    <s v="01/09/2026"/>
    <n v="32"/>
    <s v="No"/>
    <s v=""/>
    <m/>
    <m/>
    <s v="*MAV161101096"/>
    <s v="*MAV161101096"/>
    <n v="1.2736268293430029E-4"/>
  </r>
  <r>
    <x v="299"/>
    <s v="Pesos"/>
    <d v="2026-11-18T00:00:00"/>
    <s v="29/09/2026"/>
    <n v="0.95674977999999999"/>
    <m/>
    <n v="685128.94"/>
    <n v="655496.95999999996"/>
    <n v="685128.94"/>
    <n v="655496.95999999996"/>
    <n v="19403"/>
    <s v="AMOMPY"/>
    <s v="Momentum Capital Investment S.A."/>
    <s v="15/09/2026"/>
    <s v="15/09/2026"/>
    <n v="33"/>
    <s v="No"/>
    <s v=""/>
    <m/>
    <m/>
    <s v="*MAV151101687"/>
    <s v="*MAV151101687"/>
    <n v="8.714549445079698E-6"/>
  </r>
  <r>
    <x v="299"/>
    <s v="Pesos"/>
    <d v="2026-11-18T00:00:00"/>
    <s v="29/09/2026"/>
    <n v="0.95674977999999999"/>
    <m/>
    <n v="685128.94"/>
    <n v="655496.95999999996"/>
    <n v="685128.94"/>
    <n v="655496.95999999996"/>
    <n v="19402"/>
    <s v="AMOMPY"/>
    <s v="Momentum Capital Investment S.A."/>
    <s v="15/09/2026"/>
    <s v="15/09/2026"/>
    <n v="33"/>
    <s v="No"/>
    <s v=""/>
    <m/>
    <m/>
    <s v="*MAV141101579"/>
    <s v="*MAV141101579"/>
    <n v="8.714549445079698E-6"/>
  </r>
  <r>
    <x v="299"/>
    <s v="Pesos"/>
    <d v="2026-11-18T00:00:00"/>
    <s v="29/09/2026"/>
    <n v="0.95674976"/>
    <m/>
    <n v="686128.26"/>
    <n v="656453.05000000005"/>
    <n v="686128.26"/>
    <n v="656453.05000000005"/>
    <n v="19386"/>
    <s v="AMOMPY"/>
    <s v="Momentum Capital Investment S.A."/>
    <s v="15/09/2026"/>
    <s v="15/09/2026"/>
    <n v="33"/>
    <s v="No"/>
    <s v=""/>
    <m/>
    <m/>
    <s v="*MAV141101580"/>
    <s v="*MAV141101580"/>
    <n v="8.7272602493814388E-6"/>
  </r>
  <r>
    <x v="299"/>
    <s v="Pesos"/>
    <d v="2026-11-18T00:00:00"/>
    <s v="29/09/2026"/>
    <n v="0.95674976"/>
    <m/>
    <n v="686128.26"/>
    <n v="656453.05000000005"/>
    <n v="686128.26"/>
    <n v="656453.05000000005"/>
    <n v="19387"/>
    <s v="AMOMPY"/>
    <s v="Momentum Capital Investment S.A."/>
    <s v="15/09/2026"/>
    <s v="15/09/2026"/>
    <n v="33"/>
    <s v="No"/>
    <s v=""/>
    <m/>
    <m/>
    <s v="*MAV151101686"/>
    <s v="*MAV151101686"/>
    <n v="8.7272602493814388E-6"/>
  </r>
  <r>
    <x v="236"/>
    <s v="Pesos"/>
    <d v="2026-11-18T00:00:00"/>
    <s v="29/09/2026"/>
    <n v="0.95300264999999995"/>
    <m/>
    <n v="9450000"/>
    <n v="9005875.0099999998"/>
    <n v="9450000"/>
    <n v="9005875.0099999998"/>
    <n v="66335193"/>
    <s v="AMOMPY"/>
    <s v="Momentum Capital Investment S.A."/>
    <s v="22/04/2026"/>
    <s v="22/04/2026"/>
    <n v="36"/>
    <s v="No"/>
    <s v=""/>
    <m/>
    <m/>
    <s v="*AAR161100027"/>
    <s v="*AAR161100027"/>
    <n v="1.1972922509183355E-4"/>
  </r>
  <r>
    <x v="25"/>
    <s v="Pesos"/>
    <d v="2026-11-18T00:00:00"/>
    <s v="29/09/2026"/>
    <n v="0.96052638000000001"/>
    <m/>
    <n v="5580000"/>
    <n v="5359737.1900000004"/>
    <n v="5580000"/>
    <n v="5359737.1900000004"/>
    <n v="11415150"/>
    <s v="AMOMPY"/>
    <s v="Momentum Capital Investment S.A."/>
    <s v="18/09/2026"/>
    <s v="18/09/2026"/>
    <n v="30"/>
    <s v="No"/>
    <s v=""/>
    <m/>
    <m/>
    <s v="*CVA161100012"/>
    <s v="*CVA161100012"/>
    <n v="7.1255394921873505E-5"/>
  </r>
  <r>
    <x v="25"/>
    <s v="Pesos"/>
    <d v="2026-11-18T00:00:00"/>
    <s v="29/09/2026"/>
    <n v="0.95926418999999996"/>
    <m/>
    <n v="2500000"/>
    <n v="2398160.48"/>
    <n v="2500000"/>
    <n v="2398160.48"/>
    <n v="90003663"/>
    <s v="AMOMPY"/>
    <s v="Momentum Capital Investment S.A."/>
    <s v="01/07/2026"/>
    <s v="01/07/2026"/>
    <n v="31"/>
    <s v="No"/>
    <s v=""/>
    <m/>
    <m/>
    <s v="*CVA161100008"/>
    <s v="*CVA161100008"/>
    <n v="3.1882509539321222E-5"/>
  </r>
  <r>
    <x v="28"/>
    <s v="Pesos"/>
    <d v="2026-11-18T00:00:00"/>
    <s v="29/09/2026"/>
    <n v="0.95674968999999999"/>
    <m/>
    <n v="2500000"/>
    <n v="2391874.2200000002"/>
    <n v="2500000"/>
    <n v="2391874.2200000002"/>
    <n v="1021"/>
    <s v="AMOMPY"/>
    <s v="Momentum Capital Investment S.A."/>
    <s v="19/08/2026"/>
    <s v="19/08/2026"/>
    <n v="33"/>
    <s v="No"/>
    <s v=""/>
    <m/>
    <m/>
    <s v="*MAV161101032"/>
    <s v="*MAV161101032"/>
    <n v="3.1798936423139839E-5"/>
  </r>
  <r>
    <x v="75"/>
    <s v="Pesos"/>
    <d v="2026-11-18T00:00:00"/>
    <s v="29/09/2026"/>
    <n v="0.95424841000000005"/>
    <m/>
    <n v="1500000"/>
    <n v="1431372.62"/>
    <n v="1500000"/>
    <n v="1431372.62"/>
    <n v="5"/>
    <s v="AMOMPY"/>
    <s v="Momentum Capital Investment S.A."/>
    <s v="23/04/2026"/>
    <s v="23/04/2026"/>
    <n v="35"/>
    <s v="No"/>
    <s v=""/>
    <m/>
    <m/>
    <s v="*MAV151101538"/>
    <s v="*MAV151101538"/>
    <n v="1.9029481801598706E-5"/>
  </r>
  <r>
    <x v="237"/>
    <s v="Pesos"/>
    <d v="2026-11-18T00:00:00"/>
    <s v="29/09/2026"/>
    <n v="0.95674972999999996"/>
    <m/>
    <n v="13250000"/>
    <n v="12676933.92"/>
    <n v="13250000"/>
    <n v="12676933.92"/>
    <n v="70007297"/>
    <s v="AMOMPY"/>
    <s v="Momentum Capital Investment S.A."/>
    <s v="25/09/2026"/>
    <s v="25/09/2026"/>
    <n v="33"/>
    <s v="No"/>
    <s v=""/>
    <m/>
    <m/>
    <s v="*MAV141101630"/>
    <s v="*MAV141101630"/>
    <n v="1.6853437040783225E-4"/>
  </r>
  <r>
    <x v="28"/>
    <s v="Pesos"/>
    <d v="2026-11-19T00:00:00"/>
    <s v="29/09/2026"/>
    <n v="0.95720137999999999"/>
    <m/>
    <n v="3000000"/>
    <n v="2871604.14"/>
    <n v="3000000"/>
    <n v="2871604.14"/>
    <n v="1059"/>
    <s v="AMOMPY"/>
    <s v="Momentum Capital Investment S.A."/>
    <s v="25/08/2026"/>
    <s v="25/08/2026"/>
    <n v="32"/>
    <s v="No"/>
    <s v=""/>
    <m/>
    <m/>
    <s v="*MAV171101402"/>
    <s v="*MAV171101402"/>
    <n v="3.8176738858904189E-5"/>
  </r>
  <r>
    <x v="311"/>
    <s v="Pesos"/>
    <d v="2026-11-19T00:00:00"/>
    <s v="29/09/2026"/>
    <n v="0.95592283"/>
    <m/>
    <n v="574285.71"/>
    <n v="548972.81999999995"/>
    <n v="574285.71"/>
    <n v="548972.81999999995"/>
    <n v="30018579"/>
    <s v="AMOMPY"/>
    <s v="Momentum Capital Investment S.A."/>
    <s v="22/09/2026"/>
    <s v="22/09/2026"/>
    <n v="33"/>
    <s v="No"/>
    <s v=""/>
    <m/>
    <m/>
    <s v="*MAV171101544"/>
    <s v="*MAV171101544"/>
    <n v="7.2983569350113177E-6"/>
  </r>
  <r>
    <x v="2"/>
    <s v="Pesos"/>
    <d v="2026-11-19T00:00:00"/>
    <s v="29/09/2026"/>
    <n v="0.95720137999999999"/>
    <m/>
    <n v="10000000"/>
    <n v="9572013.8000000007"/>
    <n v="10000000"/>
    <n v="9572013.8000000007"/>
    <n v="13953469"/>
    <s v="AMOMPY"/>
    <s v="Momentum Capital Investment S.A."/>
    <s v="31/07/2026"/>
    <s v="31/07/2026"/>
    <n v="32"/>
    <s v="No"/>
    <s v=""/>
    <m/>
    <m/>
    <s v="*MAV171101314"/>
    <s v="*MAV171101314"/>
    <n v="1.272557961963473E-4"/>
  </r>
  <r>
    <x v="92"/>
    <s v="Pesos"/>
    <d v="2026-11-19T00:00:00"/>
    <s v="29/09/2026"/>
    <n v="0.97017708000000002"/>
    <m/>
    <n v="2753548.09"/>
    <n v="2671429.25"/>
    <n v="2753548.09"/>
    <n v="2671429.25"/>
    <n v="646175"/>
    <s v="AMOMPY"/>
    <s v="Momentum Capital Investment S.A."/>
    <s v="31/07/2026"/>
    <s v="31/07/2026"/>
    <n v="22"/>
    <s v="No"/>
    <s v=""/>
    <m/>
    <m/>
    <s v="*MAV171101296"/>
    <s v="*MAV171101296"/>
    <n v="3.5515500008050644E-5"/>
  </r>
  <r>
    <x v="92"/>
    <s v="Pesos"/>
    <d v="2026-11-19T00:00:00"/>
    <s v="29/09/2026"/>
    <n v="0.97017708000000002"/>
    <m/>
    <n v="13824514.550000001"/>
    <n v="13412227.17"/>
    <n v="13824514.550000001"/>
    <n v="13412227.17"/>
    <n v="646107"/>
    <s v="AMOMPY"/>
    <s v="Momentum Capital Investment S.A."/>
    <s v="31/07/2026"/>
    <s v="31/07/2026"/>
    <n v="22"/>
    <s v="No"/>
    <s v=""/>
    <m/>
    <m/>
    <s v="*MAV171101299"/>
    <s v="*MAV171101299"/>
    <n v="1.7830977712178305E-4"/>
  </r>
  <r>
    <x v="92"/>
    <s v="Pesos"/>
    <d v="2026-11-19T00:00:00"/>
    <s v="29/09/2026"/>
    <n v="0.97017708000000002"/>
    <m/>
    <n v="4118494.87"/>
    <n v="3995669.31"/>
    <n v="4118494.87"/>
    <n v="3995669.31"/>
    <n v="646126"/>
    <s v="AMOMPY"/>
    <s v="Momentum Capital Investment S.A."/>
    <s v="31/07/2026"/>
    <s v="31/07/2026"/>
    <n v="22"/>
    <s v="No"/>
    <s v=""/>
    <m/>
    <m/>
    <s v="*MAV171101303"/>
    <s v="*MAV171101303"/>
    <n v="5.3120700618020379E-5"/>
  </r>
  <r>
    <x v="92"/>
    <s v="Pesos"/>
    <d v="2026-11-19T00:00:00"/>
    <s v="29/09/2026"/>
    <n v="0.97017708999999996"/>
    <m/>
    <n v="2994215.75"/>
    <n v="2904919.51"/>
    <n v="2994215.75"/>
    <n v="2904919.51"/>
    <n v="646250"/>
    <s v="AMOMPY"/>
    <s v="Momentum Capital Investment S.A."/>
    <s v="31/07/2026"/>
    <s v="31/07/2026"/>
    <n v="22"/>
    <s v="No"/>
    <s v=""/>
    <m/>
    <m/>
    <s v="*MAV171101297"/>
    <s v="*MAV171101297"/>
    <n v="3.8619652338085118E-5"/>
  </r>
  <r>
    <x v="92"/>
    <s v="Pesos"/>
    <d v="2026-11-19T00:00:00"/>
    <s v="29/09/2026"/>
    <n v="0.97017708000000002"/>
    <m/>
    <n v="6602649.0700000003"/>
    <n v="6405738.79"/>
    <n v="6602649.0700000003"/>
    <n v="6405738.79"/>
    <n v="646185"/>
    <s v="AMOMPY"/>
    <s v="Momentum Capital Investment S.A."/>
    <s v="31/07/2026"/>
    <s v="31/07/2026"/>
    <n v="22"/>
    <s v="No"/>
    <s v=""/>
    <m/>
    <m/>
    <s v="*MAV171101304"/>
    <s v="*MAV171101304"/>
    <n v="8.5161535177401886E-5"/>
  </r>
  <r>
    <x v="92"/>
    <s v="Pesos"/>
    <d v="2026-11-19T00:00:00"/>
    <s v="29/09/2026"/>
    <n v="0.97017706999999997"/>
    <m/>
    <n v="3715219.33"/>
    <n v="3604420.62"/>
    <n v="3715219.33"/>
    <n v="3604420.62"/>
    <n v="646200"/>
    <s v="AMOMPY"/>
    <s v="Momentum Capital Investment S.A."/>
    <s v="31/07/2026"/>
    <s v="31/07/2026"/>
    <n v="22"/>
    <s v="No"/>
    <s v=""/>
    <m/>
    <m/>
    <s v="*MAV171101309"/>
    <s v="*MAV171101309"/>
    <n v="4.7919217983642245E-5"/>
  </r>
  <r>
    <x v="92"/>
    <s v="Pesos"/>
    <d v="2026-11-19T00:00:00"/>
    <s v="29/09/2026"/>
    <n v="0.97017708000000002"/>
    <m/>
    <n v="4405109.3099999996"/>
    <n v="4273736.08"/>
    <n v="4405109.3099999996"/>
    <n v="4273736.08"/>
    <n v="646238"/>
    <s v="AMOMPY"/>
    <s v="Momentum Capital Investment S.A."/>
    <s v="31/07/2026"/>
    <s v="31/07/2026"/>
    <n v="22"/>
    <s v="No"/>
    <s v=""/>
    <m/>
    <m/>
    <s v="*MAV171101310"/>
    <s v="*MAV171101310"/>
    <n v="5.6817478427941275E-5"/>
  </r>
  <r>
    <x v="35"/>
    <s v="Pesos"/>
    <d v="2026-11-19T00:00:00"/>
    <s v="29/09/2026"/>
    <n v="0.95337618999999996"/>
    <m/>
    <n v="3256800.5"/>
    <n v="3104956.04"/>
    <n v="3256800.5"/>
    <n v="3104956.04"/>
    <n v="3587"/>
    <s v="AMOMPY"/>
    <s v="Momentum Capital Investment S.A."/>
    <s v="17/09/2026"/>
    <s v="17/09/2026"/>
    <n v="35"/>
    <s v="No"/>
    <s v=""/>
    <m/>
    <m/>
    <s v="*MAV171101522"/>
    <s v="*MAV171101522"/>
    <n v="4.1279051752396926E-5"/>
  </r>
  <r>
    <x v="35"/>
    <s v="Pesos"/>
    <d v="2026-11-19T00:00:00"/>
    <s v="29/09/2026"/>
    <n v="0.95337607000000002"/>
    <m/>
    <n v="3625698.78"/>
    <n v="3456654.45"/>
    <n v="3625698.78"/>
    <n v="3456654.45"/>
    <n v="3358"/>
    <s v="AMOMPY"/>
    <s v="Momentum Capital Investment S.A."/>
    <s v="01/09/2026"/>
    <s v="01/09/2026"/>
    <n v="35"/>
    <s v="No"/>
    <s v=""/>
    <m/>
    <m/>
    <s v="*MAV171101424"/>
    <s v="*MAV171101424"/>
    <n v="4.5954730467521574E-5"/>
  </r>
  <r>
    <x v="53"/>
    <s v="Pesos"/>
    <d v="2026-11-19T00:00:00"/>
    <s v="29/09/2026"/>
    <n v="0.95084276000000001"/>
    <m/>
    <n v="25000000"/>
    <n v="23771069.120000001"/>
    <n v="25000000"/>
    <n v="23771069.120000001"/>
    <n v="2660"/>
    <s v="AMOMPY"/>
    <s v="Momentum Capital Investment S.A."/>
    <s v="24/08/2026"/>
    <s v="24/08/2026"/>
    <n v="37"/>
    <s v="No"/>
    <s v=""/>
    <m/>
    <m/>
    <s v="*MAV171101396"/>
    <s v="*MAV171101396"/>
    <n v="3.1602611430668902E-4"/>
  </r>
  <r>
    <x v="244"/>
    <s v="Pesos"/>
    <d v="2026-11-19T00:00:00"/>
    <s v="29/09/2026"/>
    <n v="0.95592284000000005"/>
    <m/>
    <n v="5687804.6399999997"/>
    <n v="5437102.3700000001"/>
    <n v="5687804.6399999997"/>
    <n v="5437102.3700000001"/>
    <n v="8175684"/>
    <s v="AMOMPY"/>
    <s v="Momentum Capital Investment S.A."/>
    <s v="15/09/2026"/>
    <s v="15/09/2026"/>
    <n v="33"/>
    <s v="No"/>
    <s v=""/>
    <m/>
    <m/>
    <s v="*MAV171101500"/>
    <s v="*MAV171101500"/>
    <n v="7.2283931631544126E-5"/>
  </r>
  <r>
    <x v="34"/>
    <s v="Pesos"/>
    <d v="2026-11-19T00:00:00"/>
    <s v="29/09/2026"/>
    <n v="0.95592297000000004"/>
    <m/>
    <n v="2170000"/>
    <n v="2074352.85"/>
    <n v="2170000"/>
    <n v="2074352.85"/>
    <n v="260734"/>
    <s v="AMOMPY"/>
    <s v="Momentum Capital Investment S.A."/>
    <s v="27/08/2026"/>
    <s v="27/08/2026"/>
    <n v="33"/>
    <s v="No"/>
    <s v=""/>
    <m/>
    <m/>
    <s v="*MAV171101413"/>
    <s v="*MAV171101413"/>
    <n v="2.7577626718310014E-5"/>
  </r>
  <r>
    <x v="6"/>
    <s v="Pesos"/>
    <d v="2026-11-19T00:00:00"/>
    <s v="29/09/2026"/>
    <n v="0.96364563000000003"/>
    <m/>
    <n v="25000000"/>
    <n v="24091140.870000001"/>
    <n v="25000000"/>
    <n v="24091140.870000001"/>
    <n v="893"/>
    <s v="AMOMPY"/>
    <s v="Momentum Capital Investment S.A."/>
    <s v="17/09/2026"/>
    <s v="17/09/2026"/>
    <n v="27"/>
    <s v="No"/>
    <s v=""/>
    <m/>
    <m/>
    <s v="*PRO171100017"/>
    <s v="*PRO171100017"/>
    <n v="3.202813302139423E-4"/>
  </r>
  <r>
    <x v="246"/>
    <s v="Pesos"/>
    <d v="2026-11-19T00:00:00"/>
    <s v="29/09/2026"/>
    <n v="0.95592301999999996"/>
    <m/>
    <n v="80000000"/>
    <n v="76473841.299999997"/>
    <n v="80000000"/>
    <n v="76473841.299999997"/>
    <n v="3036"/>
    <s v="AMOMPY"/>
    <s v="Momentum Capital Investment S.A."/>
    <s v="28/09/2026"/>
    <s v="28/09/2026"/>
    <n v="33"/>
    <s v="No"/>
    <s v=""/>
    <m/>
    <m/>
    <s v="*MAV171101587"/>
    <s v="*MAV171101587"/>
    <n v="1.0166867459828156E-3"/>
  </r>
  <r>
    <x v="202"/>
    <s v="Pesos"/>
    <d v="2026-11-19T00:00:00"/>
    <s v="29/09/2026"/>
    <n v="0.95848334999999996"/>
    <m/>
    <n v="482400"/>
    <n v="462372.37"/>
    <n v="482400"/>
    <n v="462372.37"/>
    <n v="3978"/>
    <s v="AMOMPY"/>
    <s v="Momentum Capital Investment S.A."/>
    <s v="02/09/2026"/>
    <s v="02/09/2026"/>
    <n v="31"/>
    <s v="No"/>
    <s v=""/>
    <m/>
    <m/>
    <s v="*MAV171101439"/>
    <s v="*MAV171101439"/>
    <n v="6.1470412927676804E-6"/>
  </r>
  <r>
    <x v="241"/>
    <s v="Pesos"/>
    <d v="2026-11-19T00:00:00"/>
    <s v="29/09/2026"/>
    <n v="0.95720134999999995"/>
    <m/>
    <n v="2188623.9300000002"/>
    <n v="2094953.77"/>
    <n v="2188623.9300000002"/>
    <n v="2094953.77"/>
    <n v="30000397"/>
    <s v="AMOMPY"/>
    <s v="Momentum Capital Investment S.A."/>
    <s v="15/09/2026"/>
    <s v="15/09/2026"/>
    <n v="32"/>
    <s v="No"/>
    <s v=""/>
    <m/>
    <m/>
    <s v="*MAV171101507"/>
    <s v="*MAV171101507"/>
    <n v="2.7851507066975751E-5"/>
  </r>
  <r>
    <x v="37"/>
    <s v="Pesos"/>
    <d v="2026-11-19T00:00:00"/>
    <s v="29/09/2026"/>
    <n v="0.95976870999999997"/>
    <m/>
    <n v="10000000"/>
    <n v="9597687.0700000003"/>
    <n v="10000000"/>
    <n v="9597687.0700000003"/>
    <n v="8229"/>
    <s v="AMOMPY"/>
    <s v="Momentum Capital Investment S.A."/>
    <s v="16/09/2026"/>
    <s v="16/09/2026"/>
    <n v="30"/>
    <s v="No"/>
    <s v=""/>
    <m/>
    <m/>
    <s v="*AFB171100013"/>
    <s v="*AFB171100013"/>
    <n v="1.2759711125115986E-4"/>
  </r>
  <r>
    <x v="8"/>
    <s v="Pesos"/>
    <d v="2026-11-19T00:00:00"/>
    <s v="29/09/2026"/>
    <n v="0.96494477000000001"/>
    <m/>
    <n v="4000000"/>
    <n v="3859779.08"/>
    <n v="4000000"/>
    <n v="3859779.08"/>
    <n v="90002234"/>
    <s v="AMOMPY"/>
    <s v="Momentum Capital Investment S.A."/>
    <s v="22/09/2026"/>
    <s v="22/09/2026"/>
    <n v="26"/>
    <s v="No"/>
    <s v=""/>
    <m/>
    <m/>
    <s v="*MIL171100046"/>
    <s v="*MIL171100046"/>
    <n v="5.1314098603514849E-5"/>
  </r>
  <r>
    <x v="312"/>
    <s v="Pesos"/>
    <d v="2026-11-19T00:00:00"/>
    <s v="29/09/2026"/>
    <n v="0.95592290000000002"/>
    <m/>
    <n v="15040535.109999999"/>
    <n v="14377591.960000001"/>
    <n v="15040535.109999999"/>
    <n v="14377591.960000001"/>
    <n v="29717251"/>
    <s v="AMOMPY"/>
    <s v="Momentum Capital Investment S.A."/>
    <s v="21/07/2026"/>
    <s v="21/07/2026"/>
    <n v="33"/>
    <s v="No"/>
    <s v=""/>
    <m/>
    <m/>
    <s v="*MAV171101273"/>
    <s v="*MAV171101273"/>
    <n v="1.9114388575745695E-4"/>
  </r>
  <r>
    <x v="43"/>
    <s v="Pesos"/>
    <d v="2026-11-19T00:00:00"/>
    <s v="29/09/2026"/>
    <n v="0.95592303999999995"/>
    <m/>
    <n v="204051.5"/>
    <n v="195057.53"/>
    <n v="204051.5"/>
    <n v="195057.53"/>
    <n v="30101906"/>
    <s v="AMOMPY"/>
    <s v="Momentum Capital Investment S.A."/>
    <s v="21/09/2026"/>
    <s v="21/09/2026"/>
    <n v="33"/>
    <s v="No"/>
    <s v=""/>
    <m/>
    <m/>
    <s v="*MAV171101539"/>
    <s v="*MAV171101539"/>
    <n v="2.5932057561641729E-6"/>
  </r>
  <r>
    <x v="43"/>
    <s v="Pesos"/>
    <d v="2026-11-19T00:00:00"/>
    <s v="29/09/2026"/>
    <n v="0.95337612000000005"/>
    <m/>
    <n v="278508.32"/>
    <n v="265523.18"/>
    <n v="278508.32"/>
    <n v="265523.18"/>
    <n v="30100623"/>
    <s v="AMOMPY"/>
    <s v="Momentum Capital Investment S.A."/>
    <s v="16/09/2026"/>
    <s v="16/09/2026"/>
    <n v="35"/>
    <s v="No"/>
    <s v=""/>
    <m/>
    <m/>
    <s v="*MAV171101506"/>
    <s v="*MAV171101506"/>
    <n v="3.530016189434039E-6"/>
  </r>
  <r>
    <x v="37"/>
    <s v="Pesos"/>
    <d v="2026-11-19T00:00:00"/>
    <s v="29/09/2026"/>
    <n v="0.96364548000000005"/>
    <m/>
    <n v="2500000"/>
    <n v="2409113.71"/>
    <n v="2500000"/>
    <n v="2409113.71"/>
    <n v="69814724"/>
    <s v="AMOMPY"/>
    <s v="Momentum Capital Investment S.A."/>
    <s v="18/09/2026"/>
    <s v="18/09/2026"/>
    <n v="27"/>
    <s v="No"/>
    <s v=""/>
    <m/>
    <m/>
    <s v="*AFB171100015"/>
    <s v="*AFB171100015"/>
    <n v="3.2028128009341787E-5"/>
  </r>
  <r>
    <x v="296"/>
    <s v="Pesos"/>
    <d v="2026-11-19T00:00:00"/>
    <s v="29/09/2026"/>
    <n v="0.95592281999999995"/>
    <m/>
    <n v="2500000"/>
    <n v="2389807.06"/>
    <n v="2500000"/>
    <n v="2389807.06"/>
    <n v="94"/>
    <s v="AMOMPY"/>
    <s v="Momentum Capital Investment S.A."/>
    <s v="22/09/2026"/>
    <s v="22/09/2026"/>
    <n v="33"/>
    <s v="No"/>
    <s v=""/>
    <m/>
    <m/>
    <s v="*MAV171101542"/>
    <s v="*MAV171101542"/>
    <n v="3.1771454422260852E-5"/>
  </r>
  <r>
    <x v="47"/>
    <s v="Pesos"/>
    <d v="2026-11-19T00:00:00"/>
    <s v="29/09/2026"/>
    <n v="0.95848330000000004"/>
    <m/>
    <n v="17265963.219999999"/>
    <n v="16549137.380000001"/>
    <n v="17265963.219999999"/>
    <n v="16549137.380000001"/>
    <n v="31835604"/>
    <s v="AMOMPY"/>
    <s v="Momentum Capital Investment S.A."/>
    <s v="01/09/2026"/>
    <s v="01/09/2026"/>
    <n v="31"/>
    <s v="No"/>
    <s v=""/>
    <m/>
    <m/>
    <s v="*MAV171101431"/>
    <s v="*MAV171101431"/>
    <n v="2.2001364578628509E-4"/>
  </r>
  <r>
    <x v="130"/>
    <s v="Pesos"/>
    <d v="2026-11-19T00:00:00"/>
    <s v="29/09/2026"/>
    <n v="0.94832298999999998"/>
    <m/>
    <n v="3750000"/>
    <n v="3556211.21"/>
    <n v="3750000"/>
    <n v="3556211.21"/>
    <n v="66918963"/>
    <s v="AMOMPY"/>
    <s v="Momentum Capital Investment S.A."/>
    <s v="13/05/2026"/>
    <s v="13/05/2026"/>
    <n v="39"/>
    <s v="No"/>
    <s v=""/>
    <m/>
    <m/>
    <s v="*MAV171101249"/>
    <s v="*MAV171101249"/>
    <n v="4.7278294664694863E-5"/>
  </r>
  <r>
    <x v="21"/>
    <s v="Pesos"/>
    <d v="2026-11-19T00:00:00"/>
    <s v="29/09/2026"/>
    <n v="0.95464773000000003"/>
    <m/>
    <n v="10000000"/>
    <n v="9546477.25"/>
    <n v="10000000"/>
    <n v="9546477.25"/>
    <n v="14284516"/>
    <s v="AMOMPY"/>
    <s v="Momentum Capital Investment S.A."/>
    <s v="24/08/2026"/>
    <s v="24/08/2026"/>
    <n v="34"/>
    <s v="No"/>
    <s v=""/>
    <m/>
    <m/>
    <s v="*MAV171101394"/>
    <s v="*MAV171101394"/>
    <n v="1.2691629877498357E-4"/>
  </r>
  <r>
    <x v="236"/>
    <s v="Pesos"/>
    <d v="2026-11-19T00:00:00"/>
    <s v="29/09/2026"/>
    <n v="0.96364570000000005"/>
    <m/>
    <n v="8000000"/>
    <n v="7709165.6100000003"/>
    <n v="8000000"/>
    <n v="7709165.6100000003"/>
    <n v="761093"/>
    <s v="AMOMPY"/>
    <s v="Momentum Capital Investment S.A."/>
    <s v="25/09/2026"/>
    <s v="25/09/2026"/>
    <n v="27"/>
    <s v="No"/>
    <s v=""/>
    <m/>
    <m/>
    <s v="*AAR171100015"/>
    <s v="*AAR171100015"/>
    <n v="1.0249003273585433E-4"/>
  </r>
  <r>
    <x v="190"/>
    <s v="Pesos"/>
    <d v="2026-11-19T00:00:00"/>
    <s v="29/09/2026"/>
    <n v="0.96234976000000005"/>
    <m/>
    <n v="20279181.25"/>
    <n v="19515665.170000002"/>
    <n v="20279181.25"/>
    <n v="19515665.170000002"/>
    <n v="99803231"/>
    <s v="AMOMPY"/>
    <s v="Momentum Capital Investment S.A."/>
    <s v="10/08/2026"/>
    <s v="10/08/2026"/>
    <n v="28"/>
    <s v="No"/>
    <s v=""/>
    <m/>
    <m/>
    <s v="*MAV171101338"/>
    <s v="*MAV171101338"/>
    <n v="2.5945235364262362E-4"/>
  </r>
  <r>
    <x v="28"/>
    <s v="Pesos"/>
    <d v="2026-11-19T00:00:00"/>
    <s v="29/09/2026"/>
    <n v="0.95592292999999995"/>
    <m/>
    <n v="2500000"/>
    <n v="2389807.3199999998"/>
    <n v="2500000"/>
    <n v="2389807.3199999998"/>
    <n v="1022"/>
    <s v="AMOMPY"/>
    <s v="Momentum Capital Investment S.A."/>
    <s v="19/08/2026"/>
    <s v="19/08/2026"/>
    <n v="33"/>
    <s v="No"/>
    <s v=""/>
    <m/>
    <m/>
    <s v="*MAV171101373"/>
    <s v="*MAV171101373"/>
    <n v="3.1771457878848739E-5"/>
  </r>
  <r>
    <x v="28"/>
    <s v="Pesos"/>
    <d v="2026-11-19T00:00:00"/>
    <s v="29/09/2026"/>
    <n v="0.95976863999999995"/>
    <m/>
    <n v="2500000"/>
    <n v="2399421.59"/>
    <n v="2500000"/>
    <n v="2399421.59"/>
    <n v="890"/>
    <s v="AMOMPY"/>
    <s v="Momentum Capital Investment S.A."/>
    <s v="06/08/2026"/>
    <s v="06/08/2026"/>
    <n v="30"/>
    <s v="No"/>
    <s v=""/>
    <m/>
    <m/>
    <s v="*MAV171101324"/>
    <s v="*MAV171101324"/>
    <n v="3.1899275453004001E-5"/>
  </r>
  <r>
    <x v="89"/>
    <s v="Pesos"/>
    <d v="2026-11-20T00:00:00"/>
    <s v="29/09/2026"/>
    <n v="0.96163989000000005"/>
    <m/>
    <n v="8000000"/>
    <n v="7693119.1299999999"/>
    <n v="8000000"/>
    <n v="7693119.1299999999"/>
    <n v="6492"/>
    <s v="AMOMPY"/>
    <s v="Momentum Capital Investment S.A."/>
    <s v="17/09/2026"/>
    <s v="17/09/2026"/>
    <n v="28"/>
    <s v="No"/>
    <s v=""/>
    <m/>
    <m/>
    <s v="*INP181100091"/>
    <s v="*INP181100091"/>
    <n v="1.0227670170319861E-4"/>
  </r>
  <r>
    <x v="28"/>
    <s v="Pesos"/>
    <d v="2026-11-20T00:00:00"/>
    <s v="29/09/2026"/>
    <n v="0.95639874000000002"/>
    <m/>
    <n v="3000000"/>
    <n v="2869196.21"/>
    <n v="3000000"/>
    <n v="2869196.21"/>
    <n v="1060"/>
    <s v="AMOMPY"/>
    <s v="Momentum Capital Investment S.A."/>
    <s v="25/08/2026"/>
    <s v="25/08/2026"/>
    <n v="32"/>
    <s v="No"/>
    <s v=""/>
    <m/>
    <m/>
    <s v="*MAV181101284"/>
    <s v="*MAV181101284"/>
    <n v="3.8144726467808903E-5"/>
  </r>
  <r>
    <x v="198"/>
    <s v="Pesos"/>
    <d v="2026-11-20T00:00:00"/>
    <s v="29/09/2026"/>
    <n v="0.95901223999999996"/>
    <m/>
    <n v="1059989.51"/>
    <n v="1016542.92"/>
    <n v="1059989.51"/>
    <n v="1016542.92"/>
    <n v="11204209"/>
    <s v="AMOMPY"/>
    <s v="Momentum Capital Investment S.A."/>
    <s v="25/09/2026"/>
    <s v="25/09/2026"/>
    <n v="30"/>
    <s v="No"/>
    <s v=""/>
    <m/>
    <m/>
    <s v="*MAV181101487"/>
    <s v="*MAV181101487"/>
    <n v="1.3514499806964316E-5"/>
  </r>
  <r>
    <x v="139"/>
    <s v="Pesos"/>
    <d v="2026-11-20T00:00:00"/>
    <s v="29/09/2026"/>
    <n v="0.95901225999999995"/>
    <m/>
    <n v="2269565.34"/>
    <n v="2176540.98"/>
    <n v="2269565.34"/>
    <n v="2176540.98"/>
    <n v="10287266"/>
    <s v="AMOMPY"/>
    <s v="Momentum Capital Investment S.A."/>
    <s v="25/09/2026"/>
    <s v="25/09/2026"/>
    <n v="30"/>
    <s v="No"/>
    <s v=""/>
    <m/>
    <m/>
    <s v="*MAV181101488"/>
    <s v="*MAV181101488"/>
    <n v="2.8936173845035408E-5"/>
  </r>
  <r>
    <x v="2"/>
    <s v="Pesos"/>
    <d v="2026-11-20T00:00:00"/>
    <s v="29/09/2026"/>
    <n v="0.95639874000000002"/>
    <m/>
    <n v="10000000"/>
    <n v="9563987.4299999997"/>
    <n v="10000000"/>
    <n v="9563987.4299999997"/>
    <n v="13953470"/>
    <s v="AMOMPY"/>
    <s v="Momentum Capital Investment S.A."/>
    <s v="31/07/2026"/>
    <s v="31/07/2026"/>
    <n v="32"/>
    <s v="No"/>
    <s v=""/>
    <m/>
    <m/>
    <s v="*MAV181101195"/>
    <s v="*MAV181101195"/>
    <n v="1.2714908906801903E-4"/>
  </r>
  <r>
    <x v="313"/>
    <s v="Pesos"/>
    <d v="2026-11-20T00:00:00"/>
    <s v="29/09/2026"/>
    <n v="0.95509756000000001"/>
    <m/>
    <n v="14295769.460000001"/>
    <n v="13653854.51"/>
    <n v="14295769.460000001"/>
    <n v="13653854.51"/>
    <n v="46404"/>
    <s v="AMOMPY"/>
    <s v="Momentum Capital Investment S.A."/>
    <s v="15/09/2026"/>
    <s v="15/09/2026"/>
    <n v="33"/>
    <s v="No"/>
    <s v=""/>
    <m/>
    <m/>
    <s v="*MAV181101390"/>
    <s v="*MAV181101390"/>
    <n v="1.8152210842185969E-4"/>
  </r>
  <r>
    <x v="226"/>
    <s v="Pesos"/>
    <d v="2026-11-20T00:00:00"/>
    <s v="29/09/2026"/>
    <n v="0.96163995000000002"/>
    <m/>
    <n v="70000000"/>
    <n v="67314796.609999999"/>
    <n v="70000000"/>
    <n v="67314796.609999999"/>
    <n v="83299236"/>
    <s v="AMOMPY"/>
    <s v="Momentum Capital Investment S.A."/>
    <s v="25/09/2026"/>
    <s v="25/09/2026"/>
    <n v="28"/>
    <s v="No"/>
    <s v=""/>
    <m/>
    <m/>
    <s v="*FTR181100022"/>
    <s v="*FTR181100022"/>
    <n v="8.949211960393046E-4"/>
  </r>
  <r>
    <x v="35"/>
    <s v="Pesos"/>
    <d v="2026-11-20T00:00:00"/>
    <s v="29/09/2026"/>
    <n v="0.95250533999999998"/>
    <m/>
    <n v="1555000.5"/>
    <n v="1481146.28"/>
    <n v="1555000.5"/>
    <n v="1481146.28"/>
    <n v="3588"/>
    <s v="AMOMPY"/>
    <s v="Momentum Capital Investment S.A."/>
    <s v="17/09/2026"/>
    <s v="17/09/2026"/>
    <n v="35"/>
    <s v="No"/>
    <s v=""/>
    <m/>
    <m/>
    <s v="*MAV181101410"/>
    <s v="*MAV181101410"/>
    <n v="1.9691201149820526E-5"/>
  </r>
  <r>
    <x v="35"/>
    <s v="Pesos"/>
    <d v="2026-11-20T00:00:00"/>
    <s v="29/09/2026"/>
    <n v="0.95250533999999998"/>
    <m/>
    <n v="1250300.6499999999"/>
    <n v="1190918.04"/>
    <n v="1250300.6499999999"/>
    <n v="1190918.04"/>
    <n v="3589"/>
    <s v="AMOMPY"/>
    <s v="Momentum Capital Investment S.A."/>
    <s v="17/09/2026"/>
    <s v="17/09/2026"/>
    <n v="35"/>
    <s v="No"/>
    <s v=""/>
    <m/>
    <m/>
    <s v="*MAV181101409"/>
    <s v="*MAV181101409"/>
    <n v="1.5832741840049727E-5"/>
  </r>
  <r>
    <x v="35"/>
    <s v="Pesos"/>
    <d v="2026-11-20T00:00:00"/>
    <s v="29/09/2026"/>
    <n v="0.95250522999999998"/>
    <m/>
    <n v="3625698.78"/>
    <n v="3453497.05"/>
    <n v="3625698.78"/>
    <n v="3453497.05"/>
    <n v="3359"/>
    <s v="AMOMPY"/>
    <s v="Momentum Capital Investment S.A."/>
    <s v="01/09/2026"/>
    <s v="01/09/2026"/>
    <n v="35"/>
    <s v="No"/>
    <s v=""/>
    <m/>
    <m/>
    <s v="*MAV181101316"/>
    <s v="*MAV181101316"/>
    <n v="4.5912754195933831E-5"/>
  </r>
  <r>
    <x v="35"/>
    <s v="Pesos"/>
    <d v="2026-11-20T00:00:00"/>
    <s v="29/09/2026"/>
    <n v="0.95121443000000006"/>
    <m/>
    <n v="2874176.47"/>
    <n v="2733958.13"/>
    <n v="2874176.47"/>
    <n v="2733958.13"/>
    <n v="3429"/>
    <s v="AMOMPY"/>
    <s v="Momentum Capital Investment S.A."/>
    <s v="08/09/2026"/>
    <s v="08/09/2026"/>
    <n v="36"/>
    <s v="No"/>
    <s v=""/>
    <m/>
    <m/>
    <s v="*MAV181101352"/>
    <s v="*MAV181101352"/>
    <n v="3.6346794506358396E-5"/>
  </r>
  <r>
    <x v="53"/>
    <s v="Pesos"/>
    <d v="2026-11-20T00:00:00"/>
    <s v="29/09/2026"/>
    <n v="0.94992730999999997"/>
    <m/>
    <n v="25000000"/>
    <n v="23748182.629999999"/>
    <n v="25000000"/>
    <n v="23748182.629999999"/>
    <n v="2661"/>
    <s v="AMOMPY"/>
    <s v="Momentum Capital Investment S.A."/>
    <s v="24/08/2026"/>
    <s v="24/08/2026"/>
    <n v="37"/>
    <s v="No"/>
    <s v=""/>
    <m/>
    <m/>
    <s v="*MAV181101278"/>
    <s v="*MAV181101278"/>
    <n v="3.1572184829036859E-4"/>
  </r>
  <r>
    <x v="314"/>
    <s v="Pesos"/>
    <d v="2026-11-20T00:00:00"/>
    <s v="29/09/2026"/>
    <n v="0.95509756000000001"/>
    <m/>
    <n v="3581660.97"/>
    <n v="3420835.65"/>
    <n v="3581660.97"/>
    <n v="3420835.65"/>
    <n v="14100643"/>
    <s v="AMOMPY"/>
    <s v="Momentum Capital Investment S.A."/>
    <s v="15/09/2026"/>
    <s v="15/09/2026"/>
    <n v="33"/>
    <s v="No"/>
    <s v=""/>
    <m/>
    <m/>
    <s v="*MAV181101391"/>
    <s v="*MAV181101391"/>
    <n v="4.5478534965923178E-5"/>
  </r>
  <r>
    <x v="34"/>
    <s v="Pesos"/>
    <d v="2026-11-20T00:00:00"/>
    <s v="29/09/2026"/>
    <n v="0.95509748000000005"/>
    <m/>
    <n v="2170000"/>
    <n v="2072561.53"/>
    <n v="2170000"/>
    <n v="2072561.53"/>
    <n v="260735"/>
    <s v="AMOMPY"/>
    <s v="Momentum Capital Investment S.A."/>
    <s v="27/08/2026"/>
    <s v="27/08/2026"/>
    <n v="33"/>
    <s v="No"/>
    <s v=""/>
    <m/>
    <m/>
    <s v="*MAV181101298"/>
    <s v="*MAV181101298"/>
    <n v="2.7553811891293943E-5"/>
  </r>
  <r>
    <x v="8"/>
    <s v="Pesos"/>
    <d v="2026-11-20T00:00:00"/>
    <s v="29/09/2026"/>
    <n v="0.96428199000000003"/>
    <m/>
    <n v="15000000"/>
    <n v="14464229.82"/>
    <n v="15000000"/>
    <n v="14464229.82"/>
    <n v="9621096"/>
    <s v="AMOMPY"/>
    <s v="Momentum Capital Investment S.A."/>
    <s v="17/07/2026"/>
    <s v="17/07/2026"/>
    <n v="26"/>
    <s v="No"/>
    <s v=""/>
    <m/>
    <m/>
    <s v="*MIL181100030"/>
    <s v="*MIL181100030"/>
    <n v="1.9229569874952009E-4"/>
  </r>
  <r>
    <x v="8"/>
    <s v="Pesos"/>
    <d v="2026-11-20T00:00:00"/>
    <s v="29/09/2026"/>
    <n v="0.95901210999999997"/>
    <m/>
    <n v="10000000"/>
    <n v="9590121.0899999999"/>
    <n v="10000000"/>
    <n v="9590121.0899999999"/>
    <n v="109"/>
    <s v="AMOMPY"/>
    <s v="Momentum Capital Investment S.A."/>
    <s v="14/08/2026"/>
    <s v="14/08/2026"/>
    <n v="30"/>
    <s v="No"/>
    <s v=""/>
    <m/>
    <m/>
    <s v="*MIL181100032"/>
    <s v="*MIL181100032"/>
    <n v="1.2749652480936998E-4"/>
  </r>
  <r>
    <x v="8"/>
    <s v="Pesos"/>
    <d v="2026-11-20T00:00:00"/>
    <s v="29/09/2026"/>
    <n v="0.95770363000000003"/>
    <m/>
    <n v="15000000"/>
    <n v="14365554.49"/>
    <n v="15000000"/>
    <n v="14365554.49"/>
    <n v="2439"/>
    <s v="AMOMPY"/>
    <s v="Momentum Capital Investment S.A."/>
    <s v="14/08/2026"/>
    <s v="14/08/2026"/>
    <n v="31"/>
    <s v="No"/>
    <s v=""/>
    <m/>
    <m/>
    <s v="*MIL181100031"/>
    <s v="*MIL181100031"/>
    <n v="1.9098385278414054E-4"/>
  </r>
  <r>
    <x v="180"/>
    <s v="Pesos"/>
    <d v="2026-11-20T00:00:00"/>
    <s v="29/09/2026"/>
    <n v="0.95379954"/>
    <m/>
    <n v="100000000"/>
    <n v="95379954.379999995"/>
    <n v="100000000"/>
    <n v="95379954.379999995"/>
    <n v="2210"/>
    <s v="AMOMPY"/>
    <s v="Momentum Capital Investment S.A."/>
    <s v="14/08/2026"/>
    <s v="14/08/2026"/>
    <n v="34"/>
    <s v="No"/>
    <s v=""/>
    <m/>
    <m/>
    <s v="*MAV181101244"/>
    <s v="*MAV181101244"/>
    <n v="1.2680353674164346E-3"/>
  </r>
  <r>
    <x v="37"/>
    <s v="Pesos"/>
    <d v="2026-11-20T00:00:00"/>
    <s v="29/09/2026"/>
    <n v="0.95901212999999996"/>
    <m/>
    <n v="10000000"/>
    <n v="9590121.2799999993"/>
    <n v="10000000"/>
    <n v="9590121.2799999993"/>
    <n v="8230"/>
    <s v="AMOMPY"/>
    <s v="Momentum Capital Investment S.A."/>
    <s v="16/09/2026"/>
    <s v="16/09/2026"/>
    <n v="30"/>
    <s v="No"/>
    <s v=""/>
    <m/>
    <m/>
    <s v="*AFB181100011"/>
    <s v="*AFB181100011"/>
    <n v="1.2749652733533805E-4"/>
  </r>
  <r>
    <x v="310"/>
    <s v="Pesos"/>
    <d v="2026-11-20T00:00:00"/>
    <s v="29/09/2026"/>
    <n v="0.95121443999999999"/>
    <m/>
    <n v="30000000"/>
    <n v="28536433.32"/>
    <n v="30000000"/>
    <n v="28536433.32"/>
    <n v="10978199"/>
    <s v="AMOMPY"/>
    <s v="Momentum Capital Investment S.A."/>
    <s v="01/09/2026"/>
    <s v="01/09/2026"/>
    <n v="36"/>
    <s v="No"/>
    <s v=""/>
    <m/>
    <m/>
    <s v="*MAV181101317"/>
    <s v="*MAV181101317"/>
    <n v="3.7937957660911164E-4"/>
  </r>
  <r>
    <x v="213"/>
    <s v="Pesos"/>
    <d v="2026-11-20T00:00:00"/>
    <s v="29/09/2026"/>
    <n v="0.95121453"/>
    <m/>
    <n v="1555000.5"/>
    <n v="1479139.07"/>
    <n v="1555000.5"/>
    <n v="1479139.07"/>
    <n v="509"/>
    <s v="AMOMPY"/>
    <s v="Momentum Capital Investment S.A."/>
    <s v="19/08/2026"/>
    <s v="19/08/2026"/>
    <n v="36"/>
    <s v="No"/>
    <s v=""/>
    <m/>
    <m/>
    <s v="*MAV181101252"/>
    <s v="*MAV181101252"/>
    <n v="1.9664516158342216E-5"/>
  </r>
  <r>
    <x v="213"/>
    <s v="Pesos"/>
    <d v="2026-11-20T00:00:00"/>
    <s v="29/09/2026"/>
    <n v="0.95379954"/>
    <m/>
    <n v="5000300.25"/>
    <n v="4769284.08"/>
    <n v="5000300.25"/>
    <n v="4769284.08"/>
    <n v="359"/>
    <s v="AMOMPY"/>
    <s v="Momentum Capital Investment S.A."/>
    <s v="16/07/2026"/>
    <s v="16/07/2026"/>
    <n v="34"/>
    <s v="No"/>
    <s v=""/>
    <m/>
    <m/>
    <s v="*MAV181101169"/>
    <s v="*MAV181101169"/>
    <n v="6.3405575416843182E-5"/>
  </r>
  <r>
    <x v="204"/>
    <s v="Pesos"/>
    <d v="2026-11-20T00:00:00"/>
    <s v="29/09/2026"/>
    <n v="0.95509748999999999"/>
    <m/>
    <n v="20000000"/>
    <n v="19101949.84"/>
    <n v="20000000"/>
    <n v="19101949.84"/>
    <n v="395"/>
    <s v="AMOMPY"/>
    <s v="Momentum Capital Investment S.A."/>
    <s v="14/09/2026"/>
    <s v="14/09/2026"/>
    <n v="33"/>
    <s v="No"/>
    <s v=""/>
    <m/>
    <m/>
    <s v="*MAV181101381"/>
    <s v="*MAV181101381"/>
    <n v="2.5395218671664355E-4"/>
  </r>
  <r>
    <x v="204"/>
    <s v="Pesos"/>
    <d v="2026-11-20T00:00:00"/>
    <s v="29/09/2026"/>
    <n v="0.95509748999999999"/>
    <m/>
    <n v="40000000"/>
    <n v="38203899.689999998"/>
    <n v="40000000"/>
    <n v="38203899.689999998"/>
    <n v="396"/>
    <s v="AMOMPY"/>
    <s v="Momentum Capital Investment S.A."/>
    <s v="14/09/2026"/>
    <s v="14/09/2026"/>
    <n v="33"/>
    <s v="No"/>
    <s v=""/>
    <m/>
    <m/>
    <s v="*MAV181101382"/>
    <s v="*MAV181101382"/>
    <n v="5.0790437356623274E-4"/>
  </r>
  <r>
    <x v="102"/>
    <s v="Pesos"/>
    <d v="2026-11-20T00:00:00"/>
    <s v="29/09/2026"/>
    <n v="0.96560849999999998"/>
    <m/>
    <n v="12000000"/>
    <n v="11587302"/>
    <n v="12000000"/>
    <n v="11587302"/>
    <n v="34563"/>
    <s v="AMOMPY"/>
    <s v="Momentum Capital Investment S.A."/>
    <s v="31/07/2026"/>
    <s v="31/07/2026"/>
    <n v="25"/>
    <s v="No"/>
    <s v=""/>
    <m/>
    <m/>
    <s v="*MAV181101193"/>
    <s v="*MAV181101193"/>
    <n v="1.540481838604879E-4"/>
  </r>
  <r>
    <x v="135"/>
    <s v="Pesos"/>
    <d v="2026-11-20T00:00:00"/>
    <s v="29/09/2026"/>
    <n v="0.95639874999999996"/>
    <m/>
    <n v="10000000"/>
    <n v="9563987.4600000009"/>
    <n v="10000000"/>
    <n v="9563987.4600000009"/>
    <n v="698"/>
    <s v="AMOMPY"/>
    <s v="Momentum Capital Investment S.A."/>
    <s v="16/09/2026"/>
    <s v="16/09/2026"/>
    <n v="32"/>
    <s v="No"/>
    <s v=""/>
    <m/>
    <m/>
    <s v="*MAV181101398"/>
    <s v="*MAV181101398"/>
    <n v="1.2714908946685611E-4"/>
  </r>
  <r>
    <x v="135"/>
    <s v="Pesos"/>
    <d v="2026-11-20T00:00:00"/>
    <s v="29/09/2026"/>
    <n v="0.95509756000000001"/>
    <m/>
    <n v="20000000"/>
    <n v="19101951.170000002"/>
    <n v="20000000"/>
    <n v="19101951.170000002"/>
    <n v="694"/>
    <s v="AMOMPY"/>
    <s v="Momentum Capital Investment S.A."/>
    <s v="15/09/2026"/>
    <s v="15/09/2026"/>
    <n v="33"/>
    <s v="No"/>
    <s v=""/>
    <m/>
    <m/>
    <s v="*MAV181101395"/>
    <s v="*MAV181101395"/>
    <n v="2.5395220439842012E-4"/>
  </r>
  <r>
    <x v="21"/>
    <s v="Pesos"/>
    <d v="2026-11-20T00:00:00"/>
    <s v="29/09/2026"/>
    <n v="0.95639872000000004"/>
    <m/>
    <n v="10000000"/>
    <n v="9563987.1600000001"/>
    <n v="10000000"/>
    <n v="9563987.1600000001"/>
    <n v="14422577"/>
    <s v="AMOMPY"/>
    <s v="Momentum Capital Investment S.A."/>
    <s v="01/09/2026"/>
    <s v="01/09/2026"/>
    <n v="32"/>
    <s v="No"/>
    <s v=""/>
    <m/>
    <m/>
    <s v="*MAV181101315"/>
    <s v="*MAV181101315"/>
    <n v="1.2714908547848544E-4"/>
  </r>
  <r>
    <x v="21"/>
    <s v="Pesos"/>
    <d v="2026-11-20T00:00:00"/>
    <s v="29/09/2026"/>
    <n v="0.95509747"/>
    <m/>
    <n v="25000000"/>
    <n v="23877436.690000001"/>
    <n v="25000000"/>
    <n v="23877436.690000001"/>
    <n v="14422656"/>
    <s v="AMOMPY"/>
    <s v="Momentum Capital Investment S.A."/>
    <s v="03/09/2026"/>
    <s v="03/09/2026"/>
    <n v="33"/>
    <s v="No"/>
    <s v=""/>
    <m/>
    <m/>
    <s v="*MAV181101328"/>
    <s v="*MAV181101328"/>
    <n v="3.1744022528611745E-4"/>
  </r>
  <r>
    <x v="236"/>
    <s v="Pesos"/>
    <d v="2026-11-20T00:00:00"/>
    <s v="29/09/2026"/>
    <n v="0.96295920999999995"/>
    <m/>
    <n v="8000000"/>
    <n v="7703673.6600000001"/>
    <n v="8000000"/>
    <n v="7703673.6600000001"/>
    <n v="761094"/>
    <s v="AMOMPY"/>
    <s v="Momentum Capital Investment S.A."/>
    <s v="25/09/2026"/>
    <s v="25/09/2026"/>
    <n v="27"/>
    <s v="No"/>
    <s v=""/>
    <m/>
    <m/>
    <s v="*AAR181100041"/>
    <s v="*AAR181100041"/>
    <n v="1.024170196286312E-4"/>
  </r>
  <r>
    <x v="28"/>
    <s v="Pesos"/>
    <d v="2026-11-20T00:00:00"/>
    <s v="29/09/2026"/>
    <n v="0.95509743000000002"/>
    <m/>
    <n v="2500000"/>
    <n v="2387743.58"/>
    <n v="2500000"/>
    <n v="2387743.58"/>
    <n v="1023"/>
    <s v="AMOMPY"/>
    <s v="Momentum Capital Investment S.A."/>
    <s v="19/08/2026"/>
    <s v="19/08/2026"/>
    <n v="33"/>
    <s v="No"/>
    <s v=""/>
    <m/>
    <m/>
    <s v="*MAV181101254"/>
    <s v="*MAV181101254"/>
    <n v="3.1744021345395123E-5"/>
  </r>
  <r>
    <x v="28"/>
    <s v="Pesos"/>
    <d v="2026-11-20T00:00:00"/>
    <s v="29/09/2026"/>
    <n v="0.95901221999999997"/>
    <m/>
    <n v="2500000"/>
    <n v="2397530.5499999998"/>
    <n v="2500000"/>
    <n v="2397530.5499999998"/>
    <n v="899"/>
    <s v="AMOMPY"/>
    <s v="Momentum Capital Investment S.A."/>
    <s v="06/08/2026"/>
    <s v="06/08/2026"/>
    <n v="30"/>
    <s v="No"/>
    <s v=""/>
    <m/>
    <m/>
    <s v="*MAV181101210"/>
    <s v="*MAV181101210"/>
    <n v="3.1874134891585342E-5"/>
  </r>
  <r>
    <x v="315"/>
    <s v="Pesos"/>
    <d v="2026-11-20T00:00:00"/>
    <s v="29/09/2026"/>
    <n v="0.95509748000000005"/>
    <m/>
    <n v="6355928.2400000002"/>
    <n v="6070531.0599999996"/>
    <n v="6355928.2400000002"/>
    <n v="6070531.0599999996"/>
    <n v="11543"/>
    <s v="AMOMPY"/>
    <s v="Momentum Capital Investment S.A."/>
    <s v="28/09/2026"/>
    <s v="28/09/2026"/>
    <n v="33"/>
    <s v="No"/>
    <s v=""/>
    <m/>
    <m/>
    <s v="*MAV181101496"/>
    <s v="*MAV181101496"/>
    <n v="8.0705092942402154E-5"/>
  </r>
  <r>
    <x v="315"/>
    <s v="Pesos"/>
    <d v="2026-11-20T00:00:00"/>
    <s v="29/09/2026"/>
    <n v="0.95509748000000005"/>
    <m/>
    <n v="6355928.2400000002"/>
    <n v="6070531.0599999996"/>
    <n v="6355928.2400000002"/>
    <n v="6070531.0599999996"/>
    <n v="11542"/>
    <s v="AMOMPY"/>
    <s v="Momentum Capital Investment S.A."/>
    <s v="28/09/2026"/>
    <s v="28/09/2026"/>
    <n v="33"/>
    <s v="No"/>
    <s v=""/>
    <m/>
    <m/>
    <s v="*MAV181101497"/>
    <s v="*MAV181101497"/>
    <n v="8.0705092942402154E-5"/>
  </r>
  <r>
    <x v="28"/>
    <s v="Pesos"/>
    <d v="2026-11-24T00:00:00"/>
    <s v="29/09/2026"/>
    <n v="0.95320172000000003"/>
    <m/>
    <n v="3000000"/>
    <n v="2859605.17"/>
    <n v="3000000"/>
    <n v="2859605.17"/>
    <n v="1061"/>
    <s v="AMOMPY"/>
    <s v="Momentum Capital Investment S.A."/>
    <s v="25/08/2026"/>
    <s v="25/08/2026"/>
    <n v="32"/>
    <s v="No"/>
    <s v=""/>
    <m/>
    <m/>
    <s v="*MAV191101171"/>
    <s v="*MAV191101171"/>
    <n v="3.8017217726487296E-5"/>
  </r>
  <r>
    <x v="316"/>
    <s v="Pesos"/>
    <d v="2026-11-24T00:00:00"/>
    <s v="29/09/2026"/>
    <n v="0.95599807000000003"/>
    <m/>
    <n v="285000"/>
    <n v="272459.45"/>
    <n v="285000"/>
    <n v="272459.45"/>
    <n v="10863715"/>
    <s v="AMOMPY"/>
    <s v="Momentum Capital Investment S.A."/>
    <s v="25/09/2026"/>
    <s v="25/09/2026"/>
    <n v="30"/>
    <s v="No"/>
    <s v=""/>
    <m/>
    <m/>
    <s v="*MAV191101355"/>
    <s v="*MAV191101355"/>
    <n v="3.6222309082931824E-6"/>
  </r>
  <r>
    <x v="35"/>
    <s v="Pesos"/>
    <d v="2026-11-24T00:00:00"/>
    <s v="29/09/2026"/>
    <n v="0.94765820000000001"/>
    <m/>
    <n v="3789564.21"/>
    <n v="3591211.59"/>
    <n v="3789564.21"/>
    <n v="3591211.59"/>
    <n v="3278"/>
    <s v="AMOMPY"/>
    <s v="Momentum Capital Investment S.A."/>
    <s v="19/08/2026"/>
    <s v="19/08/2026"/>
    <n v="36"/>
    <s v="No"/>
    <s v=""/>
    <m/>
    <m/>
    <s v="*MAV191101138"/>
    <s v="*MAV191101138"/>
    <n v="4.7743609625280758E-5"/>
  </r>
  <r>
    <x v="35"/>
    <s v="Pesos"/>
    <d v="2026-11-24T00:00:00"/>
    <s v="29/09/2026"/>
    <n v="0.94903806000000002"/>
    <m/>
    <n v="1555000.5"/>
    <n v="1475754.65"/>
    <n v="1555000.5"/>
    <n v="1475754.65"/>
    <n v="3590"/>
    <s v="AMOMPY"/>
    <s v="Momentum Capital Investment S.A."/>
    <s v="17/09/2026"/>
    <s v="17/09/2026"/>
    <n v="35"/>
    <s v="No"/>
    <s v=""/>
    <m/>
    <m/>
    <s v="*MAV191101285"/>
    <s v="*MAV191101285"/>
    <n v="1.9619521753741289E-5"/>
  </r>
  <r>
    <x v="35"/>
    <s v="Pesos"/>
    <d v="2026-11-24T00:00:00"/>
    <s v="29/09/2026"/>
    <n v="0.94903806000000002"/>
    <m/>
    <n v="1250300.6499999999"/>
    <n v="1186582.8999999999"/>
    <n v="1250300.6499999999"/>
    <n v="1186582.8999999999"/>
    <n v="3591"/>
    <s v="AMOMPY"/>
    <s v="Momentum Capital Investment S.A."/>
    <s v="17/09/2026"/>
    <s v="17/09/2026"/>
    <n v="35"/>
    <s v="No"/>
    <s v=""/>
    <m/>
    <m/>
    <s v="*MAV191101286"/>
    <s v="*MAV191101286"/>
    <n v="1.5775108022981613E-5"/>
  </r>
  <r>
    <x v="35"/>
    <s v="Pesos"/>
    <d v="2026-11-24T00:00:00"/>
    <s v="29/09/2026"/>
    <n v="0.94903817000000001"/>
    <m/>
    <n v="3625698.78"/>
    <n v="3440926.54"/>
    <n v="3625698.78"/>
    <n v="3440926.54"/>
    <n v="3360"/>
    <s v="AMOMPY"/>
    <s v="Momentum Capital Investment S.A."/>
    <s v="01/09/2026"/>
    <s v="01/09/2026"/>
    <n v="35"/>
    <s v="No"/>
    <s v=""/>
    <m/>
    <m/>
    <s v="*MAV191101198"/>
    <s v="*MAV191101198"/>
    <n v="4.5745634685654385E-5"/>
  </r>
  <r>
    <x v="53"/>
    <s v="Pesos"/>
    <d v="2026-11-24T00:00:00"/>
    <s v="29/09/2026"/>
    <n v="0.94628243999999995"/>
    <m/>
    <n v="25000000"/>
    <n v="23657060.949999999"/>
    <n v="25000000"/>
    <n v="23657060.949999999"/>
    <n v="2662"/>
    <s v="AMOMPY"/>
    <s v="Momentum Capital Investment S.A."/>
    <s v="24/08/2026"/>
    <s v="24/08/2026"/>
    <n v="37"/>
    <s v="No"/>
    <s v=""/>
    <m/>
    <m/>
    <s v="*MAV191101164"/>
    <s v="*MAV191101164"/>
    <n v="3.1451042484474543E-4"/>
  </r>
  <r>
    <x v="34"/>
    <s v="Pesos"/>
    <d v="2026-11-24T00:00:00"/>
    <s v="29/09/2026"/>
    <n v="0.95180986000000001"/>
    <m/>
    <n v="2170000"/>
    <n v="2065427.39"/>
    <n v="2170000"/>
    <n v="2065427.39"/>
    <n v="260736"/>
    <s v="AMOMPY"/>
    <s v="Momentum Capital Investment S.A."/>
    <s v="27/08/2026"/>
    <s v="27/08/2026"/>
    <n v="33"/>
    <s v="No"/>
    <s v=""/>
    <m/>
    <m/>
    <s v="*MAV191101182"/>
    <s v="*MAV191101182"/>
    <n v="2.7458966576102669E-5"/>
  </r>
  <r>
    <x v="6"/>
    <s v="Pesos"/>
    <d v="2026-11-24T00:00:00"/>
    <s v="29/09/2026"/>
    <n v="0.96022322000000004"/>
    <m/>
    <n v="8000000"/>
    <n v="7681785.7699999996"/>
    <n v="8000000"/>
    <n v="7681785.7699999996"/>
    <n v="69815983"/>
    <s v="AMOMPY"/>
    <s v="Momentum Capital Investment S.A."/>
    <s v="18/09/2026"/>
    <s v="18/09/2026"/>
    <n v="27"/>
    <s v="No"/>
    <s v=""/>
    <m/>
    <m/>
    <s v="*PRO191100019"/>
    <s v="*PRO191100019"/>
    <n v="1.0212602956873303E-4"/>
  </r>
  <r>
    <x v="163"/>
    <s v="Pesos"/>
    <d v="2026-11-24T00:00:00"/>
    <s v="29/09/2026"/>
    <n v="0.94903804000000003"/>
    <m/>
    <n v="20000000"/>
    <n v="18980760.780000001"/>
    <n v="20000000"/>
    <n v="18980760.780000001"/>
    <n v="147"/>
    <s v="AMOMPY"/>
    <s v="Momentum Capital Investment S.A."/>
    <s v="19/08/2026"/>
    <s v="19/08/2026"/>
    <n v="35"/>
    <s v="No"/>
    <s v=""/>
    <m/>
    <m/>
    <s v="*MAV191101140"/>
    <s v="*MAV191101140"/>
    <n v="2.5234103041841643E-4"/>
  </r>
  <r>
    <x v="317"/>
    <s v="Pesos"/>
    <d v="2026-11-24T00:00:00"/>
    <s v="29/09/2026"/>
    <n v="0.95180991000000004"/>
    <m/>
    <n v="5800000"/>
    <n v="5520497.5"/>
    <n v="5800000"/>
    <n v="5520497.5"/>
    <n v="6581"/>
    <s v="AMOMPY"/>
    <s v="Momentum Capital Investment S.A."/>
    <s v="21/08/2026"/>
    <s v="21/08/2026"/>
    <n v="33"/>
    <s v="No"/>
    <s v=""/>
    <m/>
    <m/>
    <s v="*MAV191101153"/>
    <s v="*MAV191101153"/>
    <n v="7.3392633926462232E-5"/>
  </r>
  <r>
    <x v="96"/>
    <s v="Pesos"/>
    <d v="2026-11-24T00:00:00"/>
    <s v="29/09/2026"/>
    <n v="0.94903811000000005"/>
    <m/>
    <n v="100000000"/>
    <n v="94903811.349999994"/>
    <n v="100000000"/>
    <n v="94903811.349999994"/>
    <n v="98"/>
    <s v="AMOMPY"/>
    <s v="Momentum Capital Investment S.A."/>
    <s v="24/08/2026"/>
    <s v="24/08/2026"/>
    <n v="35"/>
    <s v="No"/>
    <s v=""/>
    <m/>
    <m/>
    <s v="*MAV191101151"/>
    <s v="*MAV191101151"/>
    <n v="1.2617052511366196E-3"/>
  </r>
  <r>
    <x v="45"/>
    <s v="Pesos"/>
    <d v="2026-11-24T00:00:00"/>
    <s v="29/09/2026"/>
    <n v="0.96022322000000004"/>
    <m/>
    <n v="2500000"/>
    <n v="2400558.04"/>
    <n v="2500000"/>
    <n v="2400558.04"/>
    <n v="53553935"/>
    <s v="AMOMPY"/>
    <s v="Momentum Capital Investment S.A."/>
    <s v="25/09/2026"/>
    <s v="25/09/2026"/>
    <n v="27"/>
    <s v="No"/>
    <s v=""/>
    <m/>
    <m/>
    <s v="*NEU191100020"/>
    <s v="*NEU191100020"/>
    <n v="3.1914384065737858E-5"/>
  </r>
  <r>
    <x v="296"/>
    <s v="Pesos"/>
    <d v="2026-11-24T00:00:00"/>
    <s v="29/09/2026"/>
    <n v="0.95180993999999997"/>
    <m/>
    <n v="2500000"/>
    <n v="2379524.84"/>
    <n v="2500000"/>
    <n v="2379524.84"/>
    <n v="101"/>
    <s v="AMOMPY"/>
    <s v="Momentum Capital Investment S.A."/>
    <s v="22/09/2026"/>
    <s v="22/09/2026"/>
    <n v="33"/>
    <s v="No"/>
    <s v=""/>
    <m/>
    <m/>
    <s v="*MAV191101311"/>
    <s v="*MAV191101311"/>
    <n v="3.1634756740863233E-5"/>
  </r>
  <r>
    <x v="310"/>
    <s v="Pesos"/>
    <d v="2026-11-24T00:00:00"/>
    <s v="29/09/2026"/>
    <n v="0.94765832999999999"/>
    <m/>
    <n v="30000000"/>
    <n v="28429749.850000001"/>
    <n v="30000000"/>
    <n v="28429749.850000001"/>
    <n v="10978200"/>
    <s v="AMOMPY"/>
    <s v="Momentum Capital Investment S.A."/>
    <s v="01/09/2026"/>
    <s v="01/09/2026"/>
    <n v="36"/>
    <s v="No"/>
    <s v=""/>
    <m/>
    <m/>
    <s v="*MAV191101200"/>
    <s v="*MAV191101200"/>
    <n v="3.7796126587539343E-4"/>
  </r>
  <r>
    <x v="213"/>
    <s v="Pesos"/>
    <d v="2026-11-24T00:00:00"/>
    <s v="29/09/2026"/>
    <n v="0.94765818999999996"/>
    <m/>
    <n v="1555000.5"/>
    <n v="1473608.96"/>
    <n v="1555000.5"/>
    <n v="1473608.96"/>
    <n v="510"/>
    <s v="AMOMPY"/>
    <s v="Momentum Capital Investment S.A."/>
    <s v="19/08/2026"/>
    <s v="19/08/2026"/>
    <n v="36"/>
    <s v="No"/>
    <s v=""/>
    <m/>
    <m/>
    <s v="*MAV191101137"/>
    <s v="*MAV191101137"/>
    <n v="1.9590995730372982E-5"/>
  </r>
  <r>
    <x v="213"/>
    <s v="Pesos"/>
    <d v="2026-11-24T00:00:00"/>
    <s v="29/09/2026"/>
    <n v="0.95042183999999996"/>
    <m/>
    <n v="5000300.25"/>
    <n v="4752394.59"/>
    <n v="5000300.25"/>
    <n v="4752394.59"/>
    <n v="360"/>
    <s v="AMOMPY"/>
    <s v="Momentum Capital Investment S.A."/>
    <s v="16/07/2026"/>
    <s v="16/07/2026"/>
    <n v="34"/>
    <s v="No"/>
    <s v=""/>
    <m/>
    <m/>
    <s v="*MAV191101074"/>
    <s v="*MAV191101074"/>
    <n v="6.3181036929727726E-5"/>
  </r>
  <r>
    <x v="27"/>
    <s v="Pesos"/>
    <d v="2026-11-24T00:00:00"/>
    <s v="29/09/2026"/>
    <n v="0.95881068999999997"/>
    <m/>
    <n v="3000000"/>
    <n v="2876432.07"/>
    <n v="3000000"/>
    <n v="2876432.07"/>
    <n v="14315894"/>
    <s v="AMOMPY"/>
    <s v="Momentum Capital Investment S.A."/>
    <s v="18/09/2026"/>
    <s v="18/09/2026"/>
    <n v="28"/>
    <s v="No"/>
    <s v=""/>
    <m/>
    <m/>
    <s v="*MOV191100046"/>
    <s v="*MOV191100046"/>
    <n v="3.8240924106540394E-5"/>
  </r>
  <r>
    <x v="28"/>
    <s v="Pesos"/>
    <d v="2026-11-24T00:00:00"/>
    <s v="29/09/2026"/>
    <n v="0.95180982000000003"/>
    <m/>
    <n v="2500000"/>
    <n v="2379524.54"/>
    <n v="2500000"/>
    <n v="2379524.54"/>
    <n v="1024"/>
    <s v="AMOMPY"/>
    <s v="Momentum Capital Investment S.A."/>
    <s v="19/08/2026"/>
    <s v="19/08/2026"/>
    <n v="33"/>
    <s v="No"/>
    <s v=""/>
    <m/>
    <m/>
    <s v="*MAV191101141"/>
    <s v="*MAV191101141"/>
    <n v="3.1634752752492591E-5"/>
  </r>
  <r>
    <x v="28"/>
    <s v="Pesos"/>
    <d v="2026-11-24T00:00:00"/>
    <s v="29/09/2026"/>
    <n v="0.95599803000000005"/>
    <m/>
    <n v="2500000"/>
    <n v="2389995.0699999998"/>
    <n v="2500000"/>
    <n v="2389995.0699999998"/>
    <n v="891"/>
    <s v="AMOMPY"/>
    <s v="Momentum Capital Investment S.A."/>
    <s v="06/08/2026"/>
    <s v="06/08/2026"/>
    <n v="30"/>
    <s v="No"/>
    <s v=""/>
    <m/>
    <m/>
    <s v="*MAV191101104"/>
    <s v="*MAV191101104"/>
    <n v="3.1773953934144427E-5"/>
  </r>
  <r>
    <x v="195"/>
    <s v="Pesos"/>
    <d v="2026-11-24T00:00:00"/>
    <s v="29/09/2026"/>
    <n v="0.95881068000000003"/>
    <m/>
    <n v="7098063.4299999997"/>
    <n v="6805699.0300000003"/>
    <n v="7098063.4299999997"/>
    <n v="6805699.0300000003"/>
    <n v="90027050"/>
    <s v="AMOMPY"/>
    <s v="Momentum Capital Investment S.A."/>
    <s v="10/08/2026"/>
    <s v="10/08/2026"/>
    <n v="28"/>
    <s v="No"/>
    <s v=""/>
    <m/>
    <m/>
    <s v="*MAV191101110"/>
    <s v="*MAV191101110"/>
    <n v="9.047883411277139E-5"/>
  </r>
  <r>
    <x v="318"/>
    <s v="Pesos"/>
    <d v="2026-11-25T00:00:00"/>
    <s v="29/09/2026"/>
    <n v="0.95099153000000003"/>
    <m/>
    <n v="121402.9"/>
    <n v="115453.13"/>
    <n v="121402.9"/>
    <n v="115453.13"/>
    <n v="90000511"/>
    <s v="AMOMPY"/>
    <s v="Momentum Capital Investment S.A."/>
    <s v="16/09/2026"/>
    <s v="16/09/2026"/>
    <n v="33"/>
    <s v="No"/>
    <s v=""/>
    <m/>
    <m/>
    <s v="*MAV201101621"/>
    <s v="*MAV201101621"/>
    <n v="1.5348995821036519E-6"/>
  </r>
  <r>
    <x v="319"/>
    <s v="Pesos"/>
    <d v="2026-11-25T00:00:00"/>
    <s v="29/09/2026"/>
    <n v="0.95099162999999998"/>
    <m/>
    <n v="281718.78999999998"/>
    <n v="267912.21000000002"/>
    <n v="281718.78999999998"/>
    <n v="267912.21000000002"/>
    <n v="315867"/>
    <s v="AMOMPY"/>
    <s v="Momentum Capital Investment S.A."/>
    <s v="16/09/2026"/>
    <s v="16/09/2026"/>
    <n v="33"/>
    <s v="No"/>
    <s v=""/>
    <m/>
    <m/>
    <s v="*MAV201101619"/>
    <s v="*MAV201101619"/>
    <n v="3.5617773131786542E-6"/>
  </r>
  <r>
    <x v="206"/>
    <s v="Pesos"/>
    <d v="2026-11-25T00:00:00"/>
    <s v="29/09/2026"/>
    <n v="0.96040502000000005"/>
    <m/>
    <n v="140000000"/>
    <n v="134456702.83000001"/>
    <n v="140000000"/>
    <n v="134456702.83000001"/>
    <n v="4480"/>
    <s v="AMOMPY"/>
    <s v="Momentum Capital Investment S.A."/>
    <s v="17/09/2026"/>
    <s v="17/09/2026"/>
    <n v="26.4"/>
    <s v="No"/>
    <s v=""/>
    <m/>
    <m/>
    <s v="*SOL201100012"/>
    <s v="*SOL201100012"/>
    <n v="1.787543888890686E-3"/>
  </r>
  <r>
    <x v="320"/>
    <s v="Pesos"/>
    <d v="2026-11-25T00:00:00"/>
    <s v="29/09/2026"/>
    <n v="0.95099149999999999"/>
    <m/>
    <n v="827834.5"/>
    <n v="787263.57"/>
    <n v="827834.5"/>
    <n v="787263.57"/>
    <n v="17414"/>
    <s v="AMOMPY"/>
    <s v="Momentum Capital Investment S.A."/>
    <s v="22/09/2026"/>
    <s v="22/09/2026"/>
    <n v="33"/>
    <s v="No"/>
    <s v=""/>
    <m/>
    <m/>
    <s v="*MAV201101691"/>
    <s v="*MAV201101691"/>
    <n v="1.0466329709713622E-5"/>
  </r>
  <r>
    <x v="321"/>
    <s v="Pesos"/>
    <d v="2026-11-25T00:00:00"/>
    <s v="29/09/2026"/>
    <n v="0.95382464"/>
    <m/>
    <n v="619400"/>
    <n v="590798.98"/>
    <n v="619400"/>
    <n v="590798.98"/>
    <n v="604"/>
    <s v="AMOMPY"/>
    <s v="Momentum Capital Investment S.A."/>
    <s v="23/09/2026"/>
    <s v="23/09/2026"/>
    <n v="31"/>
    <s v="No"/>
    <s v=""/>
    <m/>
    <m/>
    <s v="*MAV201101693"/>
    <s v="*MAV201101693"/>
    <n v="7.8544176975476007E-6"/>
  </r>
  <r>
    <x v="291"/>
    <s v="Pesos"/>
    <d v="2026-11-25T00:00:00"/>
    <s v="29/09/2026"/>
    <n v="0.95524737999999998"/>
    <m/>
    <n v="500000"/>
    <n v="477623.69"/>
    <n v="500000"/>
    <n v="477623.69"/>
    <n v="201"/>
    <s v="AMOMPY"/>
    <s v="Momentum Capital Investment S.A."/>
    <s v="25/09/2026"/>
    <s v="25/09/2026"/>
    <n v="30"/>
    <s v="No"/>
    <s v=""/>
    <m/>
    <m/>
    <s v="*MAV201101735"/>
    <s v="*MAV201101735"/>
    <n v="6.3498010160816269E-6"/>
  </r>
  <r>
    <x v="322"/>
    <s v="Pesos"/>
    <d v="2026-11-25T00:00:00"/>
    <s v="29/09/2026"/>
    <n v="0.95524737999999998"/>
    <m/>
    <n v="600000"/>
    <n v="573148.43000000005"/>
    <n v="600000"/>
    <n v="573148.43000000005"/>
    <n v="69995854"/>
    <s v="AMOMPY"/>
    <s v="Momentum Capital Investment S.A."/>
    <s v="25/09/2026"/>
    <s v="25/09/2026"/>
    <n v="30"/>
    <s v="No"/>
    <s v=""/>
    <m/>
    <m/>
    <s v="*MAV201101734"/>
    <s v="*MAV201101734"/>
    <n v="7.619761245887091E-6"/>
  </r>
  <r>
    <x v="226"/>
    <s v="Pesos"/>
    <d v="2026-11-25T00:00:00"/>
    <s v="29/09/2026"/>
    <n v="0.96098167999999995"/>
    <m/>
    <n v="150000000"/>
    <n v="144147251.63999999"/>
    <n v="150000000"/>
    <n v="144147251.63999999"/>
    <n v="461478"/>
    <s v="AMOMPY"/>
    <s v="Momentum Capital Investment S.A."/>
    <s v="23/09/2026"/>
    <s v="23/09/2026"/>
    <n v="26"/>
    <s v="No"/>
    <s v=""/>
    <m/>
    <m/>
    <s v="*FTR201100028"/>
    <s v="*FTR201100028"/>
    <n v="1.9163755569348872E-3"/>
  </r>
  <r>
    <x v="35"/>
    <s v="Pesos"/>
    <d v="2026-11-25T00:00:00"/>
    <s v="29/09/2026"/>
    <n v="0.94817510999999999"/>
    <m/>
    <n v="3256800.5"/>
    <n v="3088017.18"/>
    <n v="3256800.5"/>
    <n v="3088017.18"/>
    <n v="3592"/>
    <s v="AMOMPY"/>
    <s v="Momentum Capital Investment S.A."/>
    <s v="17/09/2026"/>
    <s v="17/09/2026"/>
    <n v="35"/>
    <s v="No"/>
    <s v=""/>
    <m/>
    <m/>
    <s v="*MAV201101641"/>
    <s v="*MAV201101641"/>
    <n v="4.10538569124189E-5"/>
  </r>
  <r>
    <x v="35"/>
    <s v="Pesos"/>
    <d v="2026-11-25T00:00:00"/>
    <s v="29/09/2026"/>
    <n v="0.94817523999999997"/>
    <m/>
    <n v="3841101.28"/>
    <n v="3642037.11"/>
    <n v="3841101.28"/>
    <n v="3642037.11"/>
    <n v="3361"/>
    <s v="AMOMPY"/>
    <s v="Momentum Capital Investment S.A."/>
    <s v="01/09/2026"/>
    <s v="01/09/2026"/>
    <n v="35"/>
    <s v="No"/>
    <s v=""/>
    <m/>
    <m/>
    <s v="*MAV201101521"/>
    <s v="*MAV201101521"/>
    <n v="4.8419312998660077E-5"/>
  </r>
  <r>
    <x v="53"/>
    <s v="Pesos"/>
    <d v="2026-11-25T00:00:00"/>
    <s v="29/09/2026"/>
    <n v="0.94537554000000001"/>
    <m/>
    <n v="25000000"/>
    <n v="23634388.420000002"/>
    <n v="25000000"/>
    <n v="23634388.420000002"/>
    <n v="2663"/>
    <s v="AMOMPY"/>
    <s v="Momentum Capital Investment S.A."/>
    <s v="24/08/2026"/>
    <s v="24/08/2026"/>
    <n v="37"/>
    <s v="No"/>
    <s v=""/>
    <m/>
    <m/>
    <s v="*MAV201101480"/>
    <s v="*MAV201101480"/>
    <n v="3.1420900333436948E-4"/>
  </r>
  <r>
    <x v="314"/>
    <s v="Pesos"/>
    <d v="2026-11-25T00:00:00"/>
    <s v="29/09/2026"/>
    <n v="0.95099151000000004"/>
    <m/>
    <n v="6590432.0999999996"/>
    <n v="6267444.96"/>
    <n v="6590432.0999999996"/>
    <n v="6267444.96"/>
    <n v="14100644"/>
    <s v="AMOMPY"/>
    <s v="Momentum Capital Investment S.A."/>
    <s v="15/09/2026"/>
    <s v="15/09/2026"/>
    <n v="33"/>
    <s v="No"/>
    <s v=""/>
    <m/>
    <m/>
    <s v="*MAV201101615"/>
    <s v="*MAV201101615"/>
    <n v="8.3322978337284042E-5"/>
  </r>
  <r>
    <x v="34"/>
    <s v="Pesos"/>
    <d v="2026-11-25T00:00:00"/>
    <s v="29/09/2026"/>
    <n v="0.95099142999999997"/>
    <m/>
    <n v="2170000"/>
    <n v="2063651.4"/>
    <n v="2170000"/>
    <n v="2063651.4"/>
    <n v="260737"/>
    <s v="AMOMPY"/>
    <s v="Momentum Capital Investment S.A."/>
    <s v="27/08/2026"/>
    <s v="27/08/2026"/>
    <n v="33"/>
    <s v="No"/>
    <s v=""/>
    <m/>
    <m/>
    <s v="*MAV201101507"/>
    <s v="*MAV201101507"/>
    <n v="2.7435355554826586E-5"/>
  </r>
  <r>
    <x v="6"/>
    <s v="Pesos"/>
    <d v="2026-11-25T00:00:00"/>
    <s v="29/09/2026"/>
    <n v="0.95810594000000004"/>
    <m/>
    <n v="25000000"/>
    <n v="23952648.600000001"/>
    <n v="25000000"/>
    <n v="23952648.600000001"/>
    <n v="69915720"/>
    <s v="AMOMPY"/>
    <s v="Momentum Capital Investment S.A."/>
    <s v="22/09/2026"/>
    <s v="22/09/2026"/>
    <n v="28"/>
    <s v="No"/>
    <s v=""/>
    <m/>
    <m/>
    <s v="*PRO201100035"/>
    <s v="*PRO201100035"/>
    <n v="3.1844013519958815E-4"/>
  </r>
  <r>
    <x v="6"/>
    <s v="Pesos"/>
    <d v="2026-11-25T00:00:00"/>
    <s v="29/09/2026"/>
    <n v="0.95667449999999998"/>
    <m/>
    <n v="30000000"/>
    <n v="28700234.989999998"/>
    <n v="30000000"/>
    <n v="28700234.989999998"/>
    <n v="67"/>
    <s v="AMOMPY"/>
    <s v="Momentum Capital Investment S.A."/>
    <s v="29/05/2026"/>
    <s v="29/05/2026"/>
    <n v="29"/>
    <s v="No"/>
    <s v=""/>
    <m/>
    <m/>
    <s v="*PRO201100027"/>
    <s v="*PRO201100027"/>
    <n v="3.8155724918352237E-4"/>
  </r>
  <r>
    <x v="7"/>
    <s v="Pesos"/>
    <d v="2026-11-25T00:00:00"/>
    <s v="29/09/2026"/>
    <n v="0.95810587000000003"/>
    <m/>
    <n v="150000000"/>
    <n v="143715880.63999999"/>
    <n v="150000000"/>
    <n v="143715880.63999999"/>
    <n v="78"/>
    <s v="AMOMPY"/>
    <s v="Momentum Capital Investment S.A."/>
    <s v="12/08/2026"/>
    <s v="12/08/2026"/>
    <n v="28"/>
    <s v="No"/>
    <s v=""/>
    <m/>
    <m/>
    <s v="*MAV201101432"/>
    <s v="*MAV201101432"/>
    <n v="1.9106406654890542E-3"/>
  </r>
  <r>
    <x v="323"/>
    <s v="Pesos"/>
    <d v="2026-11-25T00:00:00"/>
    <s v="29/09/2026"/>
    <n v="0.95810585000000004"/>
    <m/>
    <n v="50000000"/>
    <n v="47905292.689999998"/>
    <n v="50000000"/>
    <n v="47905292.689999998"/>
    <n v="29757440"/>
    <s v="AMOMPY"/>
    <s v="Momentum Capital Investment S.A."/>
    <s v="28/07/2026"/>
    <s v="28/07/2026"/>
    <n v="28"/>
    <s v="No"/>
    <s v=""/>
    <m/>
    <m/>
    <s v="*MAV201101385"/>
    <s v="*MAV201101385"/>
    <n v="6.3688021044067079E-4"/>
  </r>
  <r>
    <x v="8"/>
    <s v="Pesos"/>
    <d v="2026-11-25T00:00:00"/>
    <s v="29/09/2026"/>
    <n v="0.95382456999999998"/>
    <m/>
    <n v="15000000"/>
    <n v="14307368.49"/>
    <n v="15000000"/>
    <n v="14307368.49"/>
    <n v="2440"/>
    <s v="AMOMPY"/>
    <s v="Momentum Capital Investment S.A."/>
    <s v="14/08/2026"/>
    <s v="14/08/2026"/>
    <n v="31"/>
    <s v="No"/>
    <s v=""/>
    <m/>
    <m/>
    <s v="*MIL201100033"/>
    <s v="*MIL201100033"/>
    <n v="1.9021029500286356E-4"/>
  </r>
  <r>
    <x v="220"/>
    <s v="Pesos"/>
    <d v="2026-11-25T00:00:00"/>
    <s v="29/09/2026"/>
    <n v="0.94817514000000003"/>
    <m/>
    <n v="35000000"/>
    <n v="33186130.030000001"/>
    <n v="35000000"/>
    <n v="33186130.030000001"/>
    <n v="325"/>
    <s v="AMOMPY"/>
    <s v="Momentum Capital Investment S.A."/>
    <s v="03/09/2026"/>
    <s v="03/09/2026"/>
    <n v="35"/>
    <s v="No"/>
    <s v=""/>
    <m/>
    <m/>
    <s v="*MAV201101538"/>
    <s v="*MAV201101538"/>
    <n v="4.4119528950565872E-4"/>
  </r>
  <r>
    <x v="37"/>
    <s v="Pesos"/>
    <d v="2026-11-25T00:00:00"/>
    <s v="29/09/2026"/>
    <n v="0.95524750000000003"/>
    <m/>
    <n v="10000000"/>
    <n v="9552475"/>
    <n v="10000000"/>
    <n v="9552475"/>
    <n v="8231"/>
    <s v="AMOMPY"/>
    <s v="Momentum Capital Investment S.A."/>
    <s v="16/09/2026"/>
    <s v="16/09/2026"/>
    <n v="30"/>
    <s v="No"/>
    <s v=""/>
    <m/>
    <m/>
    <s v="*AFB201100021"/>
    <s v="*AFB201100021"/>
    <n v="1.2699603627511512E-4"/>
  </r>
  <r>
    <x v="82"/>
    <s v="Pesos"/>
    <d v="2026-11-25T00:00:00"/>
    <s v="29/09/2026"/>
    <n v="0.95524741000000002"/>
    <m/>
    <n v="2700000"/>
    <n v="2579168.02"/>
    <n v="2700000"/>
    <n v="2579168.02"/>
    <n v="6914"/>
    <s v="AMOMPY"/>
    <s v="Momentum Capital Investment S.A."/>
    <s v="11/09/2026"/>
    <s v="11/09/2026"/>
    <n v="30"/>
    <s v="No"/>
    <s v=""/>
    <m/>
    <m/>
    <s v="*MAV201101599"/>
    <s v="*MAV201101599"/>
    <n v="3.4288926736530256E-5"/>
  </r>
  <r>
    <x v="8"/>
    <s v="Pesos"/>
    <d v="2026-11-25T00:00:00"/>
    <s v="29/09/2026"/>
    <n v="0.95240588000000004"/>
    <m/>
    <n v="10000000"/>
    <n v="9524058.7799999993"/>
    <n v="10000000"/>
    <n v="9524058.7799999993"/>
    <n v="2199"/>
    <s v="AMOMPY"/>
    <s v="Momentum Capital Investment S.A."/>
    <s v="07/09/2026"/>
    <s v="07/09/2026"/>
    <n v="32"/>
    <s v="No"/>
    <s v=""/>
    <m/>
    <m/>
    <s v="*MIL201100037"/>
    <s v="*MIL201100037"/>
    <n v="1.2661825488276165E-4"/>
  </r>
  <r>
    <x v="8"/>
    <s v="Pesos"/>
    <d v="2026-11-25T00:00:00"/>
    <s v="29/09/2026"/>
    <n v="0.95382451999999995"/>
    <m/>
    <n v="5000000"/>
    <n v="4769122.59"/>
    <n v="5000000"/>
    <n v="4769122.59"/>
    <n v="8807"/>
    <s v="AMOMPY"/>
    <s v="Momentum Capital Investment S.A."/>
    <s v="07/09/2026"/>
    <s v="07/09/2026"/>
    <n v="31"/>
    <s v="No"/>
    <s v=""/>
    <m/>
    <m/>
    <s v="*MIL201100039"/>
    <s v="*MIL201100039"/>
    <n v="6.3403428476924666E-5"/>
  </r>
  <r>
    <x v="8"/>
    <s v="Pesos"/>
    <d v="2026-11-25T00:00:00"/>
    <s v="29/09/2026"/>
    <n v="0.96098161999999998"/>
    <m/>
    <n v="4000000"/>
    <n v="3843926.46"/>
    <n v="4000000"/>
    <n v="3843926.46"/>
    <n v="90002233"/>
    <s v="AMOMPY"/>
    <s v="Momentum Capital Investment S.A."/>
    <s v="22/09/2026"/>
    <s v="22/09/2026"/>
    <n v="26"/>
    <s v="No"/>
    <s v=""/>
    <m/>
    <m/>
    <s v="*MIL201100040"/>
    <s v="*MIL201100040"/>
    <n v="5.1103344855970293E-5"/>
  </r>
  <r>
    <x v="312"/>
    <s v="Pesos"/>
    <d v="2026-11-25T00:00:00"/>
    <s v="29/09/2026"/>
    <n v="0.95099140000000004"/>
    <m/>
    <n v="15040535.109999999"/>
    <n v="14303419.58"/>
    <n v="15040535.109999999"/>
    <n v="14303419.58"/>
    <n v="29717250"/>
    <s v="AMOMPY"/>
    <s v="Momentum Capital Investment S.A."/>
    <s v="21/07/2026"/>
    <s v="21/07/2026"/>
    <n v="33"/>
    <s v="No"/>
    <s v=""/>
    <m/>
    <m/>
    <s v="*MAV201101365"/>
    <s v="*MAV201101365"/>
    <n v="1.9015779594711024E-4"/>
  </r>
  <r>
    <x v="212"/>
    <s v="Pesos"/>
    <d v="2026-11-25T00:00:00"/>
    <s v="29/09/2026"/>
    <n v="0.95099138000000005"/>
    <m/>
    <n v="5898583.8099999996"/>
    <n v="5609502.3499999996"/>
    <n v="5898583.8099999996"/>
    <n v="5609502.3499999996"/>
    <n v="10180817"/>
    <s v="AMOMPY"/>
    <s v="Momentum Capital Investment S.A."/>
    <s v="24/07/2026"/>
    <s v="24/07/2026"/>
    <n v="33"/>
    <s v="No"/>
    <s v=""/>
    <m/>
    <m/>
    <s v="*MAV201101382"/>
    <s v="*MAV201101382"/>
    <n v="7.457591502997323E-5"/>
  </r>
  <r>
    <x v="212"/>
    <s v="Pesos"/>
    <d v="2026-11-25T00:00:00"/>
    <s v="29/09/2026"/>
    <n v="0.95099138999999999"/>
    <m/>
    <n v="2900162.75"/>
    <n v="2758029.81"/>
    <n v="2900162.75"/>
    <n v="2758029.81"/>
    <n v="10180818"/>
    <s v="AMOMPY"/>
    <s v="Momentum Capital Investment S.A."/>
    <s v="28/07/2026"/>
    <s v="28/07/2026"/>
    <n v="33"/>
    <s v="No"/>
    <s v=""/>
    <m/>
    <m/>
    <s v="*MAV201101388"/>
    <s v="*MAV201101388"/>
    <n v="3.6666817112696852E-5"/>
  </r>
  <r>
    <x v="324"/>
    <s v="Pesos"/>
    <d v="2026-11-25T00:00:00"/>
    <s v="29/09/2026"/>
    <n v="0.95810587000000003"/>
    <m/>
    <n v="150000000"/>
    <n v="143715880.63999999"/>
    <n v="150000000"/>
    <n v="143715880.63999999"/>
    <n v="90000173"/>
    <s v="AMOMPY"/>
    <s v="Momentum Capital Investment S.A."/>
    <s v="12/08/2026"/>
    <s v="12/08/2026"/>
    <n v="28"/>
    <s v="No"/>
    <s v=""/>
    <m/>
    <m/>
    <s v="*MAV201101429"/>
    <s v="*MAV201101429"/>
    <n v="1.9106406654890542E-3"/>
  </r>
  <r>
    <x v="310"/>
    <s v="Pesos"/>
    <d v="2026-11-25T00:00:00"/>
    <s v="29/09/2026"/>
    <n v="0.94677334000000002"/>
    <m/>
    <n v="30000000"/>
    <n v="28403200.300000001"/>
    <n v="30000000"/>
    <n v="28403200.300000001"/>
    <n v="10978201"/>
    <s v="AMOMPY"/>
    <s v="Momentum Capital Investment S.A."/>
    <s v="01/09/2026"/>
    <s v="01/09/2026"/>
    <n v="36"/>
    <s v="No"/>
    <s v=""/>
    <m/>
    <m/>
    <s v="*MAV201101523"/>
    <s v="*MAV201101523"/>
    <n v="3.7760830105581649E-4"/>
  </r>
  <r>
    <x v="46"/>
    <s v="Pesos"/>
    <d v="2026-11-25T00:00:00"/>
    <s v="29/09/2026"/>
    <n v="0.95099138000000005"/>
    <m/>
    <n v="6744589.1799999997"/>
    <n v="6414046.1699999999"/>
    <n v="6744589.1799999997"/>
    <n v="6414046.1699999999"/>
    <n v="14564375"/>
    <s v="AMOMPY"/>
    <s v="Momentum Capital Investment S.A."/>
    <s v="24/09/2026"/>
    <s v="24/09/2026"/>
    <n v="33"/>
    <s v="No"/>
    <s v=""/>
    <m/>
    <m/>
    <s v="*MAV201101711"/>
    <s v="*MAV201101711"/>
    <n v="8.5271978212513844E-5"/>
  </r>
  <r>
    <x v="213"/>
    <s v="Pesos"/>
    <d v="2026-11-25T00:00:00"/>
    <s v="29/09/2026"/>
    <n v="0.94958125000000004"/>
    <m/>
    <n v="5000300.25"/>
    <n v="4748191.37"/>
    <n v="5000300.25"/>
    <n v="4748191.37"/>
    <n v="361"/>
    <s v="AMOMPY"/>
    <s v="Momentum Capital Investment S.A."/>
    <s v="16/07/2026"/>
    <s v="16/07/2026"/>
    <n v="34"/>
    <s v="No"/>
    <s v=""/>
    <m/>
    <m/>
    <s v="*MAV201101356"/>
    <s v="*MAV201101356"/>
    <n v="6.3125156932178166E-5"/>
  </r>
  <r>
    <x v="21"/>
    <s v="Pesos"/>
    <d v="2026-11-25T00:00:00"/>
    <s v="29/09/2026"/>
    <n v="0.95240594000000001"/>
    <m/>
    <n v="10000000"/>
    <n v="9524059.4199999999"/>
    <n v="10000000"/>
    <n v="9524059.4199999999"/>
    <n v="14422578"/>
    <s v="AMOMPY"/>
    <s v="Momentum Capital Investment S.A."/>
    <s v="01/09/2026"/>
    <s v="01/09/2026"/>
    <n v="32"/>
    <s v="No"/>
    <s v=""/>
    <m/>
    <m/>
    <s v="*MAV201101520"/>
    <s v="*MAV201101520"/>
    <n v="1.266182633912857E-4"/>
  </r>
  <r>
    <x v="123"/>
    <s v="Pesos"/>
    <d v="2026-11-25T00:00:00"/>
    <s v="29/09/2026"/>
    <n v="0.95099151000000004"/>
    <m/>
    <n v="25000000"/>
    <n v="23774787.719999999"/>
    <n v="25000000"/>
    <n v="23774787.719999999"/>
    <n v="475885"/>
    <s v="AMOMPY"/>
    <s v="Momentum Capital Investment S.A."/>
    <s v="07/08/2026"/>
    <s v="07/08/2026"/>
    <n v="33"/>
    <s v="No"/>
    <s v=""/>
    <m/>
    <m/>
    <s v="*MAV201101413"/>
    <s v="*MAV201101413"/>
    <n v="3.1607555149029768E-4"/>
  </r>
  <r>
    <x v="45"/>
    <s v="Pesos"/>
    <d v="2026-11-25T00:00:00"/>
    <s v="29/09/2026"/>
    <n v="0.95524737999999998"/>
    <m/>
    <n v="9478811.3499999996"/>
    <n v="9054609.6799999997"/>
    <n v="9478811.3499999996"/>
    <n v="9054609.6799999997"/>
    <n v="90020413"/>
    <s v="AMOMPY"/>
    <s v="Momentum Capital Investment S.A."/>
    <s v="29/05/2026"/>
    <s v="29/05/2026"/>
    <n v="30"/>
    <s v="No"/>
    <s v=""/>
    <m/>
    <m/>
    <s v="*NEU201100026"/>
    <s v="*NEU201100026"/>
    <n v="1.2037713151599857E-4"/>
  </r>
  <r>
    <x v="236"/>
    <s v="Pesos"/>
    <d v="2026-11-25T00:00:00"/>
    <s v="29/09/2026"/>
    <n v="0.94677323999999996"/>
    <m/>
    <n v="9450000"/>
    <n v="8947007.0800000001"/>
    <n v="9450000"/>
    <n v="8947007.0800000001"/>
    <n v="66335232"/>
    <s v="AMOMPY"/>
    <s v="Momentum Capital Investment S.A."/>
    <s v="22/04/2026"/>
    <s v="22/04/2026"/>
    <n v="36"/>
    <s v="No"/>
    <s v=""/>
    <m/>
    <m/>
    <s v="*AAR201100017"/>
    <s v="*AAR201100017"/>
    <n v="1.1894660134524214E-4"/>
  </r>
  <r>
    <x v="102"/>
    <s v="Pesos"/>
    <d v="2026-11-25T00:00:00"/>
    <s v="29/09/2026"/>
    <n v="0.96971315999999996"/>
    <m/>
    <n v="8500000"/>
    <n v="8242561.8399999999"/>
    <n v="8500000"/>
    <n v="8242561.8399999999"/>
    <n v="34602"/>
    <s v="AMOMPY"/>
    <s v="Momentum Capital Investment S.A."/>
    <s v="08/09/2026"/>
    <s v="08/09/2026"/>
    <n v="20"/>
    <s v="No"/>
    <s v=""/>
    <m/>
    <m/>
    <s v="*MAV201101542"/>
    <s v="*MAV201101542"/>
    <n v="1.0958130562315208E-4"/>
  </r>
  <r>
    <x v="28"/>
    <s v="Pesos"/>
    <d v="2026-11-25T00:00:00"/>
    <s v="29/09/2026"/>
    <n v="0.95240594999999995"/>
    <m/>
    <n v="3000000"/>
    <n v="2857217.84"/>
    <n v="3000000"/>
    <n v="2857217.84"/>
    <n v="1062"/>
    <s v="AMOMPY"/>
    <s v="Momentum Capital Investment S.A."/>
    <s v="25/08/2026"/>
    <s v="25/08/2026"/>
    <n v="32"/>
    <s v="No"/>
    <s v=""/>
    <m/>
    <m/>
    <s v="*MAV201101487"/>
    <s v="*MAV201101487"/>
    <n v="3.7985479203509674E-5"/>
  </r>
  <r>
    <x v="28"/>
    <s v="Pesos"/>
    <d v="2026-11-25T00:00:00"/>
    <s v="29/09/2026"/>
    <n v="0.95099140000000004"/>
    <m/>
    <n v="2500000"/>
    <n v="2377478.4900000002"/>
    <n v="2500000"/>
    <n v="2377478.4900000002"/>
    <n v="1025"/>
    <s v="AMOMPY"/>
    <s v="Momentum Capital Investment S.A."/>
    <s v="19/08/2026"/>
    <s v="19/08/2026"/>
    <n v="33"/>
    <s v="No"/>
    <s v=""/>
    <m/>
    <m/>
    <s v="*MAV201101452"/>
    <s v="*MAV201101452"/>
    <n v="3.1607551399961366E-5"/>
  </r>
  <r>
    <x v="89"/>
    <s v="Pesos"/>
    <d v="2026-11-26T00:00:00"/>
    <s v="29/09/2026"/>
    <n v="0.95305251999999996"/>
    <m/>
    <n v="60000000"/>
    <n v="57183150.950000003"/>
    <n v="60000000"/>
    <n v="57183150.950000003"/>
    <n v="80939924"/>
    <s v="AMOMPY"/>
    <s v="Momentum Capital Investment S.A."/>
    <s v="02/09/2026"/>
    <s v="02/09/2026"/>
    <n v="31"/>
    <s v="No"/>
    <s v=""/>
    <m/>
    <m/>
    <s v="*INP231100062"/>
    <s v="*INP231100062"/>
    <n v="7.6022533556712628E-4"/>
  </r>
  <r>
    <x v="89"/>
    <s v="Pesos"/>
    <d v="2026-11-26T00:00:00"/>
    <s v="29/09/2026"/>
    <n v="0.95740227"/>
    <m/>
    <n v="32500000"/>
    <n v="31115573.75"/>
    <n v="32500000"/>
    <n v="31115573.75"/>
    <n v="1367869"/>
    <s v="AMOMPY"/>
    <s v="Momentum Capital Investment S.A."/>
    <s v="23/09/2026"/>
    <s v="23/09/2026"/>
    <n v="28"/>
    <s v="No"/>
    <s v=""/>
    <m/>
    <m/>
    <s v="*INP211100070"/>
    <s v="*INP211100070"/>
    <n v="4.1366813654848819E-4"/>
  </r>
  <r>
    <x v="89"/>
    <s v="Pesos"/>
    <d v="2026-11-26T00:00:00"/>
    <s v="29/09/2026"/>
    <n v="0.95594785000000004"/>
    <m/>
    <n v="5000000"/>
    <n v="4779739.24"/>
    <n v="5000000"/>
    <n v="4779739.24"/>
    <n v="11481"/>
    <s v="AMOMPY"/>
    <s v="Momentum Capital Investment S.A."/>
    <s v="18/09/2026"/>
    <s v="18/09/2026"/>
    <n v="29"/>
    <s v="No"/>
    <s v=""/>
    <m/>
    <m/>
    <s v="*INP241100098"/>
    <s v="*INP241100098"/>
    <n v="6.3544572260972279E-5"/>
  </r>
  <r>
    <x v="89"/>
    <s v="Pesos"/>
    <d v="2026-11-26T00:00:00"/>
    <s v="29/09/2026"/>
    <n v="0.95594785000000004"/>
    <m/>
    <n v="5000000"/>
    <n v="4779739.24"/>
    <n v="5000000"/>
    <n v="4779739.24"/>
    <n v="11480"/>
    <s v="AMOMPY"/>
    <s v="Momentum Capital Investment S.A."/>
    <s v="18/09/2026"/>
    <s v="18/09/2026"/>
    <n v="29"/>
    <s v="No"/>
    <s v=""/>
    <m/>
    <m/>
    <s v="*INP241100097"/>
    <s v="*INP241100097"/>
    <n v="6.3544572260972279E-5"/>
  </r>
  <r>
    <x v="89"/>
    <s v="Pesos"/>
    <d v="2026-11-26T00:00:00"/>
    <s v="29/09/2026"/>
    <n v="0.95594785000000004"/>
    <m/>
    <n v="5000000"/>
    <n v="4779739.24"/>
    <n v="5000000"/>
    <n v="4779739.24"/>
    <n v="11483"/>
    <s v="AMOMPY"/>
    <s v="Momentum Capital Investment S.A."/>
    <s v="18/09/2026"/>
    <s v="18/09/2026"/>
    <n v="29"/>
    <s v="No"/>
    <s v=""/>
    <m/>
    <m/>
    <s v="*INP241100095"/>
    <s v="*INP241100095"/>
    <n v="6.3544572260972279E-5"/>
  </r>
  <r>
    <x v="89"/>
    <s v="Pesos"/>
    <d v="2026-11-26T00:00:00"/>
    <s v="29/09/2026"/>
    <n v="0.95594785000000004"/>
    <m/>
    <n v="5000000"/>
    <n v="4779739.24"/>
    <n v="5000000"/>
    <n v="4779739.24"/>
    <n v="11482"/>
    <s v="AMOMPY"/>
    <s v="Momentum Capital Investment S.A."/>
    <s v="18/09/2026"/>
    <s v="18/09/2026"/>
    <n v="29"/>
    <s v="No"/>
    <s v=""/>
    <m/>
    <m/>
    <s v="*INP241100096"/>
    <s v="*INP241100096"/>
    <n v="6.3544572260972279E-5"/>
  </r>
  <r>
    <x v="89"/>
    <s v="Pesos"/>
    <d v="2026-11-26T00:00:00"/>
    <s v="29/09/2026"/>
    <n v="0.95886095000000005"/>
    <m/>
    <n v="5000000"/>
    <n v="4794304.74"/>
    <n v="5000000"/>
    <n v="4794304.74"/>
    <n v="40740204"/>
    <s v="AMOMPY"/>
    <s v="Momentum Capital Investment S.A."/>
    <s v="18/09/2026"/>
    <s v="18/09/2026"/>
    <n v="27"/>
    <s v="No"/>
    <s v=""/>
    <m/>
    <m/>
    <s v="*INP241100092"/>
    <s v="*INP241100092"/>
    <n v="6.3738214303099076E-5"/>
  </r>
  <r>
    <x v="89"/>
    <s v="Pesos"/>
    <d v="2026-11-26T00:00:00"/>
    <s v="29/09/2026"/>
    <n v="0.95886095000000005"/>
    <m/>
    <n v="5000000"/>
    <n v="4794304.74"/>
    <n v="5000000"/>
    <n v="4794304.74"/>
    <n v="40740212"/>
    <s v="AMOMPY"/>
    <s v="Momentum Capital Investment S.A."/>
    <s v="18/09/2026"/>
    <s v="18/09/2026"/>
    <n v="27"/>
    <s v="No"/>
    <s v=""/>
    <m/>
    <m/>
    <s v="*INP241100093"/>
    <s v="*INP241100093"/>
    <n v="6.3738214303099076E-5"/>
  </r>
  <r>
    <x v="325"/>
    <s v="Pesos"/>
    <d v="2026-11-26T00:00:00"/>
    <s v="29/09/2026"/>
    <n v="0.95305256999999999"/>
    <m/>
    <n v="47373027.109999999"/>
    <n v="45148985.270000003"/>
    <n v="47373027.109999999"/>
    <n v="45148985.270000003"/>
    <n v="11412587"/>
    <s v="AMOMPY"/>
    <s v="Momentum Capital Investment S.A."/>
    <s v="17/09/2026"/>
    <s v="17/09/2026"/>
    <n v="31"/>
    <s v="No"/>
    <s v=""/>
    <m/>
    <m/>
    <s v="*MAV211101205"/>
    <s v="*MAV211101205"/>
    <n v="6.002362917603614E-4"/>
  </r>
  <r>
    <x v="224"/>
    <s v="Pesos"/>
    <d v="2026-11-26T00:00:00"/>
    <s v="29/09/2026"/>
    <n v="0.95161141999999999"/>
    <m/>
    <n v="25000000"/>
    <n v="23790285.460000001"/>
    <n v="25000000"/>
    <n v="23790285.460000001"/>
    <n v="51407"/>
    <s v="AMOMPY"/>
    <s v="Momentum Capital Investment S.A."/>
    <s v="24/09/2026"/>
    <s v="24/09/2026"/>
    <n v="32"/>
    <s v="No"/>
    <s v=""/>
    <m/>
    <m/>
    <s v="*MAV231101052"/>
    <s v="*MAV231101052"/>
    <n v="3.1628158726125993E-4"/>
  </r>
  <r>
    <x v="326"/>
    <s v="Pesos"/>
    <d v="2026-11-26T00:00:00"/>
    <s v="29/09/2026"/>
    <n v="0.95017446999999999"/>
    <m/>
    <n v="182156"/>
    <n v="173079.98"/>
    <n v="182156"/>
    <n v="173079.98"/>
    <n v="2232882"/>
    <s v="AMOMPY"/>
    <s v="Momentum Capital Investment S.A."/>
    <s v="22/09/2026"/>
    <s v="22/09/2026"/>
    <n v="33"/>
    <s v="No"/>
    <s v=""/>
    <m/>
    <m/>
    <s v="*MAV221101300"/>
    <s v="*MAV221101300"/>
    <n v="2.3010237052257347E-6"/>
  </r>
  <r>
    <x v="327"/>
    <s v="Pesos"/>
    <d v="2026-11-26T00:00:00"/>
    <s v="29/09/2026"/>
    <n v="0.95017446999999999"/>
    <m/>
    <n v="6135324.1399999997"/>
    <n v="5829628.3499999996"/>
    <n v="6135324.1399999997"/>
    <n v="5829628.3499999996"/>
    <n v="149440"/>
    <s v="AMOMPY"/>
    <s v="Momentum Capital Investment S.A."/>
    <s v="22/09/2026"/>
    <s v="22/09/2026"/>
    <n v="33"/>
    <s v="No"/>
    <s v=""/>
    <m/>
    <m/>
    <s v="*MAV211101219"/>
    <s v="*MAV211101219"/>
    <n v="7.7502395285728511E-5"/>
  </r>
  <r>
    <x v="328"/>
    <s v="Pesos"/>
    <d v="2026-11-26T00:00:00"/>
    <s v="29/09/2026"/>
    <n v="0.95305249999999997"/>
    <m/>
    <n v="1520907"/>
    <n v="1449504.22"/>
    <n v="1520907"/>
    <n v="1449504.22"/>
    <n v="1368988"/>
    <s v="AMOMPY"/>
    <s v="Momentum Capital Investment S.A."/>
    <s v="23/09/2026"/>
    <s v="23/09/2026"/>
    <n v="31"/>
    <s v="No"/>
    <s v=""/>
    <m/>
    <m/>
    <s v="*MAV221101303"/>
    <s v="*MAV221101303"/>
    <n v="1.9270533605589385E-5"/>
  </r>
  <r>
    <x v="291"/>
    <s v="Pesos"/>
    <d v="2026-11-26T00:00:00"/>
    <s v="29/09/2026"/>
    <n v="0.95449792"/>
    <m/>
    <n v="543369.21"/>
    <n v="518644.78"/>
    <n v="543369.21"/>
    <n v="518644.78"/>
    <n v="202"/>
    <s v="AMOMPY"/>
    <s v="Momentum Capital Investment S.A."/>
    <s v="25/09/2026"/>
    <s v="25/09/2026"/>
    <n v="30"/>
    <s v="No"/>
    <s v=""/>
    <m/>
    <m/>
    <s v="*MAV241101498"/>
    <s v="*MAV241101498"/>
    <n v="6.8951587200991476E-6"/>
  </r>
  <r>
    <x v="92"/>
    <s v="Pesos"/>
    <d v="2026-11-26T00:00:00"/>
    <s v="29/09/2026"/>
    <n v="0.96622200999999996"/>
    <m/>
    <n v="9164430.8599999994"/>
    <n v="8854874.7899999991"/>
    <n v="9164430.8599999994"/>
    <n v="8854874.7899999991"/>
    <n v="646957"/>
    <s v="AMOMPY"/>
    <s v="Momentum Capital Investment S.A."/>
    <s v="31/07/2026"/>
    <s v="31/07/2026"/>
    <n v="22"/>
    <s v="No"/>
    <s v=""/>
    <m/>
    <m/>
    <s v="*MAV241101208"/>
    <s v="*MAV241101208"/>
    <n v="1.177217422754252E-4"/>
  </r>
  <r>
    <x v="89"/>
    <s v="Pesos"/>
    <d v="2026-11-26T00:00:00"/>
    <s v="29/09/2026"/>
    <n v="0.95886092999999994"/>
    <m/>
    <n v="20000000"/>
    <n v="19177218.57"/>
    <n v="20000000"/>
    <n v="19177218.57"/>
    <n v="1355"/>
    <s v="AMOMPY"/>
    <s v="Momentum Capital Investment S.A."/>
    <s v="25/09/2026"/>
    <s v="25/09/2026"/>
    <n v="27"/>
    <s v="No"/>
    <s v=""/>
    <m/>
    <m/>
    <s v="*INP231100063"/>
    <s v="*INP231100063"/>
    <n v="2.5495285202751448E-4"/>
  </r>
  <r>
    <x v="35"/>
    <s v="Pesos"/>
    <d v="2026-11-26T00:00:00"/>
    <s v="29/09/2026"/>
    <n v="0.94588996999999997"/>
    <m/>
    <n v="3256800.5"/>
    <n v="3080574.92"/>
    <n v="3256800.5"/>
    <n v="3080574.92"/>
    <n v="3593"/>
    <s v="AMOMPY"/>
    <s v="Momentum Capital Investment S.A."/>
    <s v="22/09/2026"/>
    <s v="22/09/2026"/>
    <n v="36"/>
    <s v="No"/>
    <s v=""/>
    <m/>
    <m/>
    <s v="*MAV231101020"/>
    <s v="*MAV231101020"/>
    <n v="4.0954915274683248E-5"/>
  </r>
  <r>
    <x v="35"/>
    <s v="Pesos"/>
    <d v="2026-11-26T00:00:00"/>
    <s v="29/09/2026"/>
    <n v="0.94731379999999998"/>
    <m/>
    <n v="3102456.89"/>
    <n v="2939000.24"/>
    <n v="3102456.89"/>
    <n v="2939000.24"/>
    <n v="3515"/>
    <s v="AMOMPY"/>
    <s v="Momentum Capital Investment S.A."/>
    <s v="18/09/2026"/>
    <s v="18/09/2026"/>
    <n v="35"/>
    <s v="No"/>
    <s v=""/>
    <m/>
    <m/>
    <s v="*MAV241101443"/>
    <s v="*MAV241101443"/>
    <n v="3.907274094845703E-5"/>
  </r>
  <r>
    <x v="35"/>
    <s v="Pesos"/>
    <d v="2026-11-26T00:00:00"/>
    <s v="29/09/2026"/>
    <n v="0.94731381000000003"/>
    <m/>
    <n v="4150625.28"/>
    <n v="3931944.64"/>
    <n v="4150625.28"/>
    <n v="3931944.64"/>
    <n v="3483"/>
    <s v="AMOMPY"/>
    <s v="Momentum Capital Investment S.A."/>
    <s v="18/09/2026"/>
    <s v="18/09/2026"/>
    <n v="35"/>
    <s v="No"/>
    <s v=""/>
    <m/>
    <m/>
    <s v="*MAV241101445"/>
    <s v="*MAV241101445"/>
    <n v="5.2273508607265081E-5"/>
  </r>
  <r>
    <x v="35"/>
    <s v="Pesos"/>
    <d v="2026-11-26T00:00:00"/>
    <s v="29/09/2026"/>
    <n v="0.94731379999999998"/>
    <m/>
    <n v="1555000.5"/>
    <n v="1473073.44"/>
    <n v="1555000.5"/>
    <n v="1473073.44"/>
    <n v="3594"/>
    <s v="AMOMPY"/>
    <s v="Momentum Capital Investment S.A."/>
    <s v="18/09/2026"/>
    <s v="18/09/2026"/>
    <n v="35"/>
    <s v="No"/>
    <s v=""/>
    <m/>
    <m/>
    <s v="*MAV241101442"/>
    <s v="*MAV241101442"/>
    <n v="1.9583876222879266E-5"/>
  </r>
  <r>
    <x v="35"/>
    <s v="Pesos"/>
    <d v="2026-11-26T00:00:00"/>
    <s v="29/09/2026"/>
    <n v="0.94731381000000003"/>
    <m/>
    <n v="1250300.6499999999"/>
    <n v="1184427.07"/>
    <n v="1250300.6499999999"/>
    <n v="1184427.07"/>
    <n v="3595"/>
    <s v="AMOMPY"/>
    <s v="Momentum Capital Investment S.A."/>
    <s v="18/09/2026"/>
    <s v="18/09/2026"/>
    <n v="35"/>
    <s v="No"/>
    <s v=""/>
    <m/>
    <m/>
    <s v="*MAV241101444"/>
    <s v="*MAV241101444"/>
    <n v="1.5746447192685492E-5"/>
  </r>
  <r>
    <x v="35"/>
    <s v="Pesos"/>
    <d v="2026-11-26T00:00:00"/>
    <s v="29/09/2026"/>
    <n v="0.94731388000000005"/>
    <m/>
    <n v="3841101.28"/>
    <n v="3638728.55"/>
    <n v="3841101.28"/>
    <n v="3638728.55"/>
    <n v="3362"/>
    <s v="AMOMPY"/>
    <s v="Momentum Capital Investment S.A."/>
    <s v="01/09/2026"/>
    <s v="01/09/2026"/>
    <n v="35"/>
    <s v="No"/>
    <s v=""/>
    <m/>
    <m/>
    <s v="*MAV241101355"/>
    <s v="*MAV241101355"/>
    <n v="4.8375327120049727E-5"/>
  </r>
  <r>
    <x v="53"/>
    <s v="Pesos"/>
    <d v="2026-11-26T00:00:00"/>
    <s v="29/09/2026"/>
    <n v="0.94447037"/>
    <m/>
    <n v="25000000"/>
    <n v="23611759.25"/>
    <n v="25000000"/>
    <n v="23611759.25"/>
    <n v="2664"/>
    <s v="AMOMPY"/>
    <s v="Momentum Capital Investment S.A."/>
    <s v="24/08/2026"/>
    <s v="24/08/2026"/>
    <n v="37"/>
    <s v="No"/>
    <s v=""/>
    <m/>
    <m/>
    <s v="*MAV241101321"/>
    <s v="*MAV241101321"/>
    <n v="3.1390815827649744E-4"/>
  </r>
  <r>
    <x v="314"/>
    <s v="Pesos"/>
    <d v="2026-11-26T00:00:00"/>
    <s v="29/09/2026"/>
    <n v="0.95017448000000004"/>
    <m/>
    <n v="6590432.0999999996"/>
    <n v="6262060.4000000004"/>
    <n v="6590432.0999999996"/>
    <n v="6262060.4000000004"/>
    <n v="14100645"/>
    <s v="AMOMPY"/>
    <s v="Momentum Capital Investment S.A."/>
    <s v="15/09/2026"/>
    <s v="15/09/2026"/>
    <n v="33"/>
    <s v="No"/>
    <s v=""/>
    <m/>
    <m/>
    <s v="*MAV241101428"/>
    <s v="*MAV241101428"/>
    <n v="8.3251392933806362E-5"/>
  </r>
  <r>
    <x v="329"/>
    <s v="Pesos"/>
    <d v="2026-11-26T00:00:00"/>
    <s v="29/09/2026"/>
    <n v="0.95161129"/>
    <m/>
    <n v="1620000"/>
    <n v="1541610.29"/>
    <n v="1620000"/>
    <n v="1541610.29"/>
    <n v="3410387"/>
    <s v="AMOMPY"/>
    <s v="Momentum Capital Investment S.A."/>
    <s v="15/09/2026"/>
    <s v="15/09/2026"/>
    <n v="32"/>
    <s v="No"/>
    <s v=""/>
    <m/>
    <m/>
    <s v="*MAV231100998"/>
    <s v="*MAV231100998"/>
    <n v="2.0495044091811886E-5"/>
  </r>
  <r>
    <x v="6"/>
    <s v="Pesos"/>
    <d v="2026-11-26T00:00:00"/>
    <s v="29/09/2026"/>
    <n v="0.96032423"/>
    <m/>
    <n v="15000000"/>
    <n v="14404863.449999999"/>
    <n v="15000000"/>
    <n v="14404863.449999999"/>
    <n v="20411017"/>
    <s v="AMOMPY"/>
    <s v="Momentum Capital Investment S.A."/>
    <s v="17/07/2026"/>
    <s v="17/07/2026"/>
    <n v="26"/>
    <s v="No"/>
    <s v=""/>
    <m/>
    <m/>
    <s v="*PRO241100021"/>
    <s v="*PRO241100021"/>
    <n v="1.9150644845804672E-4"/>
  </r>
  <r>
    <x v="6"/>
    <s v="Pesos"/>
    <d v="2026-11-26T00:00:00"/>
    <s v="29/09/2026"/>
    <n v="0.95886092999999994"/>
    <m/>
    <n v="8268850"/>
    <n v="7928677.1900000004"/>
    <n v="8268850"/>
    <n v="7928677.1900000004"/>
    <n v="40830425"/>
    <s v="AMOMPY"/>
    <s v="Momentum Capital Investment S.A."/>
    <s v="25/09/2026"/>
    <s v="25/09/2026"/>
    <n v="27"/>
    <s v="No"/>
    <s v=""/>
    <m/>
    <m/>
    <s v="*PRO211100015"/>
    <s v="*PRO211100015"/>
    <n v="1.0540834454263611E-4"/>
  </r>
  <r>
    <x v="6"/>
    <s v="Pesos"/>
    <d v="2026-11-26T00:00:00"/>
    <s v="29/09/2026"/>
    <n v="0.95886092999999994"/>
    <m/>
    <n v="46583450"/>
    <n v="44667050.130000003"/>
    <n v="46583450"/>
    <n v="44667050.130000003"/>
    <n v="40830424"/>
    <s v="AMOMPY"/>
    <s v="Momentum Capital Investment S.A."/>
    <s v="25/09/2026"/>
    <s v="25/09/2026"/>
    <n v="27"/>
    <s v="No"/>
    <s v=""/>
    <m/>
    <m/>
    <s v="*PRO211100016"/>
    <s v="*PRO211100016"/>
    <n v="5.9382917187554703E-4"/>
  </r>
  <r>
    <x v="6"/>
    <s v="Pesos"/>
    <d v="2026-11-26T00:00:00"/>
    <s v="29/09/2026"/>
    <n v="0.95886099999999996"/>
    <m/>
    <n v="25000000"/>
    <n v="23971525.120000001"/>
    <n v="25000000"/>
    <n v="23971525.120000001"/>
    <n v="9508923"/>
    <s v="AMOMPY"/>
    <s v="Momentum Capital Investment S.A."/>
    <s v="13/07/2026"/>
    <s v="13/07/2026"/>
    <n v="27"/>
    <s v="No"/>
    <s v=""/>
    <m/>
    <m/>
    <s v="*PRO241100022"/>
    <s v="*PRO241100022"/>
    <n v="3.1869109039378313E-4"/>
  </r>
  <r>
    <x v="55"/>
    <s v="Pesos"/>
    <d v="2026-11-26T00:00:00"/>
    <s v="29/09/2026"/>
    <n v="0.95740221000000003"/>
    <m/>
    <n v="97351912.840000004"/>
    <n v="93204936.019999996"/>
    <n v="97351912.840000004"/>
    <n v="93204936.019999996"/>
    <n v="40296547"/>
    <s v="AMOMPY"/>
    <s v="Momentum Capital Investment S.A."/>
    <s v="22/09/2026"/>
    <s v="22/09/2026"/>
    <n v="28"/>
    <s v="No"/>
    <s v=""/>
    <m/>
    <m/>
    <s v="*MAV241101459"/>
    <s v="*MAV241101459"/>
    <n v="1.2391194361477736E-3"/>
  </r>
  <r>
    <x v="55"/>
    <s v="Pesos"/>
    <d v="2026-11-26T00:00:00"/>
    <s v="29/09/2026"/>
    <n v="0.95740221000000003"/>
    <m/>
    <n v="38458308.5"/>
    <n v="36820069.359999999"/>
    <n v="38458308.5"/>
    <n v="36820069.359999999"/>
    <n v="40296559"/>
    <s v="AMOMPY"/>
    <s v="Momentum Capital Investment S.A."/>
    <s v="22/09/2026"/>
    <s v="22/09/2026"/>
    <n v="28"/>
    <s v="No"/>
    <s v=""/>
    <m/>
    <m/>
    <s v="*MAV241101460"/>
    <s v="*MAV241101460"/>
    <n v="4.8950694601083121E-4"/>
  </r>
  <r>
    <x v="55"/>
    <s v="Pesos"/>
    <d v="2026-11-26T00:00:00"/>
    <s v="29/09/2026"/>
    <n v="0.95740221000000003"/>
    <m/>
    <n v="75590913.420000002"/>
    <n v="72370907.189999998"/>
    <n v="75590913.420000002"/>
    <n v="72370907.189999998"/>
    <n v="40296506"/>
    <s v="AMOMPY"/>
    <s v="Momentum Capital Investment S.A."/>
    <s v="22/09/2026"/>
    <s v="22/09/2026"/>
    <n v="28"/>
    <s v="No"/>
    <s v=""/>
    <m/>
    <m/>
    <s v="*MAV241101461"/>
    <s v="*MAV241101461"/>
    <n v="9.6214000609938575E-4"/>
  </r>
  <r>
    <x v="34"/>
    <s v="Pesos"/>
    <d v="2026-11-26T00:00:00"/>
    <s v="29/09/2026"/>
    <n v="0.95017441999999996"/>
    <m/>
    <n v="2170000"/>
    <n v="2061878.5"/>
    <n v="2170000"/>
    <n v="2061878.5"/>
    <n v="260738"/>
    <s v="AMOMPY"/>
    <s v="Momentum Capital Investment S.A."/>
    <s v="27/08/2026"/>
    <s v="27/08/2026"/>
    <n v="33"/>
    <s v="No"/>
    <s v=""/>
    <m/>
    <m/>
    <s v="*MAV241101343"/>
    <s v="*MAV241101343"/>
    <n v="2.7411785613768154E-5"/>
  </r>
  <r>
    <x v="8"/>
    <s v="Pesos"/>
    <d v="2026-11-26T00:00:00"/>
    <s v="29/09/2026"/>
    <n v="0.96032421000000001"/>
    <m/>
    <n v="5000000"/>
    <n v="4801621.07"/>
    <n v="5000000"/>
    <n v="4801621.07"/>
    <n v="491505"/>
    <s v="AMOMPY"/>
    <s v="Momentum Capital Investment S.A."/>
    <s v="20/07/2026"/>
    <s v="20/07/2026"/>
    <n v="26"/>
    <s v="No"/>
    <s v=""/>
    <m/>
    <m/>
    <s v="*MIL241100023"/>
    <s v="*MIL241100023"/>
    <n v="6.3835481755783406E-5"/>
  </r>
  <r>
    <x v="8"/>
    <s v="Pesos"/>
    <d v="2026-11-26T00:00:00"/>
    <s v="29/09/2026"/>
    <n v="0.95305245999999999"/>
    <m/>
    <n v="15000000"/>
    <n v="14295786.869999999"/>
    <n v="15000000"/>
    <n v="14295786.869999999"/>
    <n v="2441"/>
    <s v="AMOMPY"/>
    <s v="Momentum Capital Investment S.A."/>
    <s v="14/08/2026"/>
    <s v="14/08/2026"/>
    <n v="31"/>
    <s v="No"/>
    <s v=""/>
    <m/>
    <m/>
    <s v="*MIL241100025"/>
    <s v="*MIL241100025"/>
    <n v="1.9005632235874308E-4"/>
  </r>
  <r>
    <x v="301"/>
    <s v="Pesos"/>
    <d v="2026-11-26T00:00:00"/>
    <s v="29/09/2026"/>
    <n v="0.94731383999999996"/>
    <m/>
    <n v="3087576.27"/>
    <n v="2924903.72"/>
    <n v="3087576.27"/>
    <n v="2924903.72"/>
    <n v="1508"/>
    <s v="AMOMPY"/>
    <s v="Momentum Capital Investment S.A."/>
    <s v="24/08/2026"/>
    <s v="24/08/2026"/>
    <n v="35"/>
    <s v="No"/>
    <s v=""/>
    <m/>
    <m/>
    <s v="*MAV231100923"/>
    <s v="*MAV231100923"/>
    <n v="3.888533379321476E-5"/>
  </r>
  <r>
    <x v="37"/>
    <s v="Pesos"/>
    <d v="2026-11-26T00:00:00"/>
    <s v="29/09/2026"/>
    <n v="0.95449803"/>
    <m/>
    <n v="20000000"/>
    <n v="19089960.620000001"/>
    <n v="20000000"/>
    <n v="19089960.620000001"/>
    <n v="10508"/>
    <s v="AMOMPY"/>
    <s v="Momentum Capital Investment S.A."/>
    <s v="16/09/2026"/>
    <s v="16/09/2026"/>
    <n v="30"/>
    <s v="No"/>
    <s v=""/>
    <m/>
    <m/>
    <s v="*AFB211100015"/>
    <s v="*AFB211100015"/>
    <n v="2.5379279520627266E-4"/>
  </r>
  <r>
    <x v="38"/>
    <s v="Pesos"/>
    <d v="2026-11-26T00:00:00"/>
    <s v="29/09/2026"/>
    <n v="0.95886112999999995"/>
    <m/>
    <n v="88000000"/>
    <n v="84379779.469999999"/>
    <n v="88000000"/>
    <n v="84379779.469999999"/>
    <n v="474"/>
    <s v="AMOMPY"/>
    <s v="Momentum Capital Investment S.A."/>
    <s v="28/09/2026"/>
    <s v="28/09/2026"/>
    <n v="27"/>
    <s v="No"/>
    <s v=""/>
    <m/>
    <m/>
    <s v="*FID241100044"/>
    <s v="*FID241100044"/>
    <n v="1.1217927850591951E-3"/>
  </r>
  <r>
    <x v="38"/>
    <s v="Pesos"/>
    <d v="2026-11-26T00:00:00"/>
    <s v="29/09/2026"/>
    <n v="0.95886112999999995"/>
    <m/>
    <n v="92000000"/>
    <n v="88215223.989999995"/>
    <n v="92000000"/>
    <n v="88215223.989999995"/>
    <n v="475"/>
    <s v="AMOMPY"/>
    <s v="Momentum Capital Investment S.A."/>
    <s v="28/09/2026"/>
    <s v="28/09/2026"/>
    <n v="27"/>
    <s v="No"/>
    <s v=""/>
    <m/>
    <m/>
    <s v="*FID241100045"/>
    <s v="*FID241100045"/>
    <n v="1.1727833661801202E-3"/>
  </r>
  <r>
    <x v="8"/>
    <s v="Pesos"/>
    <d v="2026-11-26T00:00:00"/>
    <s v="29/09/2026"/>
    <n v="0.96032417999999997"/>
    <m/>
    <n v="4000000"/>
    <n v="3841296.72"/>
    <n v="4000000"/>
    <n v="3841296.72"/>
    <n v="90002232"/>
    <s v="AMOMPY"/>
    <s v="Momentum Capital Investment S.A."/>
    <s v="22/09/2026"/>
    <s v="22/09/2026"/>
    <n v="26"/>
    <s v="No"/>
    <s v=""/>
    <m/>
    <m/>
    <s v="*MIL241100031"/>
    <s v="*MIL241100031"/>
    <n v="5.1068383596565366E-5"/>
  </r>
  <r>
    <x v="43"/>
    <s v="Pesos"/>
    <d v="2026-11-26T00:00:00"/>
    <s v="29/09/2026"/>
    <n v="0.95017463000000002"/>
    <m/>
    <n v="706225.7"/>
    <n v="671037.74"/>
    <n v="706225.7"/>
    <n v="671037.74"/>
    <n v="124048"/>
    <s v="AMOMPY"/>
    <s v="Momentum Capital Investment S.A."/>
    <s v="24/09/2026"/>
    <s v="24/09/2026"/>
    <n v="33"/>
    <s v="No"/>
    <s v=""/>
    <m/>
    <m/>
    <s v="*MAV231101039"/>
    <s v="*MAV231101039"/>
    <n v="8.9211574142838663E-6"/>
  </r>
  <r>
    <x v="43"/>
    <s v="Pesos"/>
    <d v="2026-11-26T00:00:00"/>
    <s v="29/09/2026"/>
    <n v="0.95017443999999995"/>
    <m/>
    <n v="204483.81"/>
    <n v="194295.29"/>
    <n v="204483.81"/>
    <n v="194295.29"/>
    <n v="124582"/>
    <s v="AMOMPY"/>
    <s v="Momentum Capital Investment S.A."/>
    <s v="29/09/2026"/>
    <s v="29/09/2026"/>
    <n v="33"/>
    <s v="No"/>
    <s v=""/>
    <m/>
    <m/>
    <s v="*MAV241101517"/>
    <s v="*MAV241101517"/>
    <n v="2.5830721040279105E-6"/>
  </r>
  <r>
    <x v="308"/>
    <s v="Pesos"/>
    <d v="2026-11-26T00:00:00"/>
    <s v="29/09/2026"/>
    <n v="0.95017446000000005"/>
    <m/>
    <n v="24730000"/>
    <n v="23497814.289999999"/>
    <n v="24730000"/>
    <n v="23497814.289999999"/>
    <n v="197"/>
    <s v="AMOMPY"/>
    <s v="Momentum Capital Investment S.A."/>
    <s v="11/09/2026"/>
    <s v="11/09/2026"/>
    <n v="33"/>
    <s v="No"/>
    <s v=""/>
    <m/>
    <m/>
    <s v="*MAV211101182"/>
    <s v="*MAV211101182"/>
    <n v="3.1239330916424889E-4"/>
  </r>
  <r>
    <x v="45"/>
    <s v="Pesos"/>
    <d v="2026-11-26T00:00:00"/>
    <s v="29/09/2026"/>
    <n v="0.95886092999999994"/>
    <m/>
    <n v="2959532.92"/>
    <n v="2837780.48"/>
    <n v="2959532.92"/>
    <n v="2837780.48"/>
    <n v="53553936"/>
    <s v="AMOMPY"/>
    <s v="Momentum Capital Investment S.A."/>
    <s v="25/09/2026"/>
    <s v="25/09/2026"/>
    <n v="27"/>
    <s v="No"/>
    <s v=""/>
    <m/>
    <m/>
    <s v="*NEU241100028"/>
    <s v="*NEU241100028"/>
    <n v="3.7727067883338463E-5"/>
  </r>
  <r>
    <x v="330"/>
    <s v="Pesos"/>
    <d v="2026-11-26T00:00:00"/>
    <s v="29/09/2026"/>
    <n v="0.95017454000000001"/>
    <m/>
    <n v="300000000"/>
    <n v="285052362.54000002"/>
    <n v="300000000"/>
    <n v="285052362.54000002"/>
    <n v="231767"/>
    <s v="AMOMPY"/>
    <s v="Momentum Capital Investment S.A."/>
    <s v="21/07/2026"/>
    <s v="21/07/2026"/>
    <n v="33"/>
    <s v="No"/>
    <s v=""/>
    <m/>
    <m/>
    <s v="MAVR241100051"/>
    <s v="MAVR241100051"/>
    <n v="3.7896482506823738E-3"/>
  </r>
  <r>
    <x v="60"/>
    <s v="Pesos"/>
    <d v="2026-11-26T00:00:00"/>
    <s v="29/09/2026"/>
    <n v="0.94305499999999998"/>
    <m/>
    <n v="150000000"/>
    <n v="141458250.18000001"/>
    <n v="150000000"/>
    <n v="141458250.18000001"/>
    <n v="70406570"/>
    <s v="AMOMPY"/>
    <s v="Momentum Capital Investment S.A."/>
    <s v="07/09/2026"/>
    <s v="07/09/2026"/>
    <n v="38"/>
    <s v="No"/>
    <s v=""/>
    <m/>
    <m/>
    <s v="*MAV241101391"/>
    <s v="*MAV241101391"/>
    <n v="1.8806264419716976E-3"/>
  </r>
  <r>
    <x v="60"/>
    <s v="Pesos"/>
    <d v="2026-11-26T00:00:00"/>
    <s v="29/09/2026"/>
    <n v="0.94731385000000001"/>
    <m/>
    <n v="250000000"/>
    <n v="236828462.83000001"/>
    <n v="250000000"/>
    <n v="236828462.83000001"/>
    <n v="70400477"/>
    <s v="AMOMPY"/>
    <s v="Momentum Capital Investment S.A."/>
    <s v="10/08/2026"/>
    <s v="10/08/2026"/>
    <n v="35"/>
    <s v="No"/>
    <s v=""/>
    <m/>
    <m/>
    <s v="*MAV231100890"/>
    <s v="*MAV231100890"/>
    <n v="3.1485322972882352E-3"/>
  </r>
  <r>
    <x v="85"/>
    <s v="Pesos"/>
    <d v="2026-11-26T00:00:00"/>
    <s v="29/09/2026"/>
    <n v="0.95017446000000005"/>
    <m/>
    <n v="5448062.4299999997"/>
    <n v="5176609.79"/>
    <n v="5448062.4299999997"/>
    <n v="5176609.79"/>
    <n v="90000596"/>
    <s v="AMOMPY"/>
    <s v="Momentum Capital Investment S.A."/>
    <s v="02/06/2026"/>
    <s v="02/06/2026"/>
    <n v="33"/>
    <s v="No"/>
    <s v=""/>
    <m/>
    <m/>
    <s v="*MAV231100828"/>
    <s v="*MAV231100828"/>
    <n v="6.882079510000875E-5"/>
  </r>
  <r>
    <x v="296"/>
    <s v="Pesos"/>
    <d v="2026-11-26T00:00:00"/>
    <s v="29/09/2026"/>
    <n v="0.95017446000000005"/>
    <m/>
    <n v="2500000"/>
    <n v="2375436.16"/>
    <n v="2500000"/>
    <n v="2375436.16"/>
    <n v="103"/>
    <s v="AMOMPY"/>
    <s v="Momentum Capital Investment S.A."/>
    <s v="22/09/2026"/>
    <s v="22/09/2026"/>
    <n v="33"/>
    <s v="No"/>
    <s v=""/>
    <m/>
    <m/>
    <s v="*MAV241101455"/>
    <s v="*MAV241101455"/>
    <n v="3.1580399503226147E-5"/>
  </r>
  <r>
    <x v="310"/>
    <s v="Pesos"/>
    <d v="2026-11-26T00:00:00"/>
    <s v="29/09/2026"/>
    <n v="0.94589000999999995"/>
    <m/>
    <n v="30000000"/>
    <n v="28376700.280000001"/>
    <n v="30000000"/>
    <n v="28376700.280000001"/>
    <n v="10978203"/>
    <s v="AMOMPY"/>
    <s v="Momentum Capital Investment S.A."/>
    <s v="01/09/2026"/>
    <s v="01/09/2026"/>
    <n v="36"/>
    <s v="No"/>
    <s v=""/>
    <m/>
    <m/>
    <s v="*MAV241101359"/>
    <s v="*MAV241101359"/>
    <n v="3.7725599471623316E-4"/>
  </r>
  <r>
    <x v="310"/>
    <s v="Pesos"/>
    <d v="2026-11-26T00:00:00"/>
    <s v="29/09/2026"/>
    <n v="0.94589000999999995"/>
    <m/>
    <n v="30000000"/>
    <n v="28376700.280000001"/>
    <n v="30000000"/>
    <n v="28376700.280000001"/>
    <n v="10978202"/>
    <s v="AMOMPY"/>
    <s v="Momentum Capital Investment S.A."/>
    <s v="01/09/2026"/>
    <s v="01/09/2026"/>
    <n v="36"/>
    <s v="No"/>
    <s v=""/>
    <m/>
    <m/>
    <s v="*MAV241101358"/>
    <s v="*MAV241101358"/>
    <n v="3.7725599471623316E-4"/>
  </r>
  <r>
    <x v="213"/>
    <s v="Pesos"/>
    <d v="2026-11-26T00:00:00"/>
    <s v="29/09/2026"/>
    <n v="0.94874201999999996"/>
    <m/>
    <n v="5000300.25"/>
    <n v="4743994.9400000004"/>
    <n v="5000300.25"/>
    <n v="4743994.9400000004"/>
    <n v="363"/>
    <s v="AMOMPY"/>
    <s v="Momentum Capital Investment S.A."/>
    <s v="16/07/2026"/>
    <s v="16/07/2026"/>
    <n v="34"/>
    <s v="No"/>
    <s v=""/>
    <m/>
    <m/>
    <s v="*MAV221101221"/>
    <s v="*MAV221101221"/>
    <n v="6.3069367204750875E-5"/>
  </r>
  <r>
    <x v="213"/>
    <s v="Pesos"/>
    <d v="2026-11-26T00:00:00"/>
    <s v="29/09/2026"/>
    <n v="0.94874201999999996"/>
    <m/>
    <n v="5000300.25"/>
    <n v="4743994.9400000004"/>
    <n v="5000300.25"/>
    <n v="4743994.9400000004"/>
    <n v="364"/>
    <s v="AMOMPY"/>
    <s v="Momentum Capital Investment S.A."/>
    <s v="16/07/2026"/>
    <s v="16/07/2026"/>
    <n v="34"/>
    <s v="No"/>
    <s v=""/>
    <m/>
    <m/>
    <s v="*MAV231100851"/>
    <s v="*MAV231100851"/>
    <n v="6.3069367204750875E-5"/>
  </r>
  <r>
    <x v="213"/>
    <s v="Pesos"/>
    <d v="2026-11-26T00:00:00"/>
    <s v="29/09/2026"/>
    <n v="0.94874201999999996"/>
    <m/>
    <n v="5000300.25"/>
    <n v="4743994.9400000004"/>
    <n v="5000300.25"/>
    <n v="4743994.9400000004"/>
    <n v="365"/>
    <s v="AMOMPY"/>
    <s v="Momentum Capital Investment S.A."/>
    <s v="16/07/2026"/>
    <s v="16/07/2026"/>
    <n v="34"/>
    <s v="No"/>
    <s v=""/>
    <m/>
    <m/>
    <s v="*MAV241101186"/>
    <s v="*MAV241101186"/>
    <n v="6.3069367204750875E-5"/>
  </r>
  <r>
    <x v="213"/>
    <s v="Pesos"/>
    <d v="2026-11-26T00:00:00"/>
    <s v="29/09/2026"/>
    <n v="0.94874201999999996"/>
    <m/>
    <n v="5000300.25"/>
    <n v="4743994.9400000004"/>
    <n v="5000300.25"/>
    <n v="4743994.9400000004"/>
    <n v="362"/>
    <s v="AMOMPY"/>
    <s v="Momentum Capital Investment S.A."/>
    <s v="16/07/2026"/>
    <s v="16/07/2026"/>
    <n v="34"/>
    <s v="No"/>
    <s v=""/>
    <m/>
    <m/>
    <s v="*MAV211101101"/>
    <s v="*MAV211101101"/>
    <n v="6.3069367204750875E-5"/>
  </r>
  <r>
    <x v="210"/>
    <s v="Pesos"/>
    <d v="2026-11-26T00:00:00"/>
    <s v="29/09/2026"/>
    <n v="0.95017465000000001"/>
    <m/>
    <n v="1500000"/>
    <n v="1425261.98"/>
    <n v="1500000"/>
    <n v="1425261.98"/>
    <n v="585"/>
    <s v="AMOMPY"/>
    <s v="Momentum Capital Investment S.A."/>
    <s v="21/09/2026"/>
    <s v="21/09/2026"/>
    <n v="33"/>
    <s v="No"/>
    <s v=""/>
    <m/>
    <m/>
    <s v="*MAV231101016"/>
    <s v="*MAV231101016"/>
    <n v="1.8948243477593232E-5"/>
  </r>
  <r>
    <x v="210"/>
    <s v="Pesos"/>
    <d v="2026-11-26T00:00:00"/>
    <s v="29/09/2026"/>
    <n v="0.95017465000000001"/>
    <m/>
    <n v="1500000"/>
    <n v="1425261.98"/>
    <n v="1500000"/>
    <n v="1425261.98"/>
    <n v="586"/>
    <s v="AMOMPY"/>
    <s v="Momentum Capital Investment S.A."/>
    <s v="21/09/2026"/>
    <s v="21/09/2026"/>
    <n v="33"/>
    <s v="No"/>
    <s v=""/>
    <m/>
    <m/>
    <s v="*MAV241101450"/>
    <s v="*MAV241101450"/>
    <n v="1.8948243477593232E-5"/>
  </r>
  <r>
    <x v="221"/>
    <s v="Pesos"/>
    <d v="2026-11-26T00:00:00"/>
    <s v="29/09/2026"/>
    <n v="0.95017446000000005"/>
    <m/>
    <n v="20000194"/>
    <n v="19003673.559999999"/>
    <n v="20000194"/>
    <n v="19003673.559999999"/>
    <n v="732"/>
    <s v="AMOMPY"/>
    <s v="Momentum Capital Investment S.A."/>
    <s v="24/08/2026"/>
    <s v="24/08/2026"/>
    <n v="33"/>
    <s v="No"/>
    <s v=""/>
    <m/>
    <m/>
    <s v="*MAV241101322"/>
    <s v="*MAV241101322"/>
    <n v="2.5264564594895103E-4"/>
  </r>
  <r>
    <x v="222"/>
    <s v="Pesos"/>
    <d v="2026-11-26T00:00:00"/>
    <s v="29/09/2026"/>
    <n v="0.96179183999999995"/>
    <m/>
    <n v="19922304"/>
    <n v="19161109.399999999"/>
    <n v="19922304"/>
    <n v="19161109.399999999"/>
    <n v="67863958"/>
    <s v="AMOMPY"/>
    <s v="Momentum Capital Investment S.A."/>
    <s v="26/06/2026"/>
    <s v="26/06/2026"/>
    <n v="25"/>
    <s v="No"/>
    <s v=""/>
    <m/>
    <m/>
    <s v="*MAV231100839"/>
    <s v="*MAV231100839"/>
    <n v="2.5473868755833949E-4"/>
  </r>
  <r>
    <x v="75"/>
    <s v="Pesos"/>
    <d v="2026-11-26T00:00:00"/>
    <s v="29/09/2026"/>
    <n v="0.94874203999999995"/>
    <m/>
    <n v="4000000"/>
    <n v="3794968.16"/>
    <n v="4000000"/>
    <n v="3794968.16"/>
    <n v="90000053"/>
    <s v="AMOMPY"/>
    <s v="Momentum Capital Investment S.A."/>
    <s v="11/06/2026"/>
    <s v="11/06/2026"/>
    <n v="34"/>
    <s v="No"/>
    <s v=""/>
    <m/>
    <m/>
    <s v="*MAV231100835"/>
    <s v="*MAV231100835"/>
    <n v="5.0452465367380384E-5"/>
  </r>
  <r>
    <x v="21"/>
    <s v="Pesos"/>
    <d v="2026-11-26T00:00:00"/>
    <s v="29/09/2026"/>
    <n v="0.94874199000000004"/>
    <m/>
    <n v="10000000"/>
    <n v="9487419.8900000006"/>
    <n v="10000000"/>
    <n v="9487419.8900000006"/>
    <n v="14284517"/>
    <s v="AMOMPY"/>
    <s v="Momentum Capital Investment S.A."/>
    <s v="24/08/2026"/>
    <s v="24/08/2026"/>
    <n v="34"/>
    <s v="No"/>
    <s v=""/>
    <m/>
    <m/>
    <s v="*MAV241101320"/>
    <s v="*MAV241101320"/>
    <n v="1.2613115663822087E-4"/>
  </r>
  <r>
    <x v="21"/>
    <s v="Pesos"/>
    <d v="2026-11-26T00:00:00"/>
    <s v="29/09/2026"/>
    <n v="0.95161130999999999"/>
    <m/>
    <n v="10000000"/>
    <n v="9516113.0600000005"/>
    <n v="10000000"/>
    <n v="9516113.0600000005"/>
    <n v="14422579"/>
    <s v="AMOMPY"/>
    <s v="Momentum Capital Investment S.A."/>
    <s v="01/09/2026"/>
    <s v="01/09/2026"/>
    <n v="32"/>
    <s v="No"/>
    <s v=""/>
    <m/>
    <m/>
    <s v="*MAV231100949"/>
    <s v="*MAV231100949"/>
    <n v="1.2651261996140861E-4"/>
  </r>
  <r>
    <x v="172"/>
    <s v="Pesos"/>
    <d v="2026-11-26T00:00:00"/>
    <s v="29/09/2026"/>
    <n v="0.96032415000000004"/>
    <m/>
    <n v="8752704.4100000001"/>
    <n v="8405433.3800000008"/>
    <n v="8752704.4100000001"/>
    <n v="8405433.3800000008"/>
    <n v="69934156"/>
    <s v="AMOMPY"/>
    <s v="Momentum Capital Investment S.A."/>
    <s v="25/09/2026"/>
    <s v="25/09/2026"/>
    <n v="26"/>
    <s v="No"/>
    <s v=""/>
    <m/>
    <m/>
    <s v="*TRD221100028"/>
    <s v="*TRD221100028"/>
    <n v="1.1174661252026764E-4"/>
  </r>
  <r>
    <x v="172"/>
    <s v="Pesos"/>
    <d v="2026-11-26T00:00:00"/>
    <s v="29/09/2026"/>
    <n v="0.96032415000000004"/>
    <m/>
    <n v="1159427.3899999999"/>
    <n v="1113426.1200000001"/>
    <n v="1159427.3899999999"/>
    <n v="1113426.1200000001"/>
    <n v="14587450"/>
    <s v="AMOMPY"/>
    <s v="Momentum Capital Investment S.A."/>
    <s v="25/09/2026"/>
    <s v="25/09/2026"/>
    <n v="26"/>
    <s v="No"/>
    <s v=""/>
    <m/>
    <m/>
    <s v="*TRD231100029"/>
    <s v="*TRD231100029"/>
    <n v="1.4802520176727047E-5"/>
  </r>
  <r>
    <x v="25"/>
    <s v="Pesos"/>
    <d v="2026-11-26T00:00:00"/>
    <s v="29/09/2026"/>
    <n v="0.95522242999999996"/>
    <m/>
    <n v="5633315"/>
    <n v="5381068.8399999999"/>
    <n v="5633315"/>
    <n v="5381068.8399999999"/>
    <n v="69874605"/>
    <s v="AMOMPY"/>
    <s v="Momentum Capital Investment S.A."/>
    <s v="23/09/2026"/>
    <s v="23/09/2026"/>
    <n v="29.5"/>
    <s v="No"/>
    <s v=""/>
    <m/>
    <m/>
    <s v="*CVA211100018"/>
    <s v="*CVA211100018"/>
    <n v="7.1538990010812023E-5"/>
  </r>
  <r>
    <x v="28"/>
    <s v="Pesos"/>
    <d v="2026-11-26T00:00:00"/>
    <s v="29/09/2026"/>
    <n v="0.95017457999999999"/>
    <m/>
    <n v="2500000"/>
    <n v="2375436.44"/>
    <n v="2500000"/>
    <n v="2375436.44"/>
    <n v="1026"/>
    <s v="AMOMPY"/>
    <s v="Momentum Capital Investment S.A."/>
    <s v="19/08/2026"/>
    <s v="19/08/2026"/>
    <n v="33"/>
    <s v="No"/>
    <s v=""/>
    <m/>
    <m/>
    <s v="*MAV241101309"/>
    <s v="*MAV241101309"/>
    <n v="3.1580403225705415E-5"/>
  </r>
  <r>
    <x v="237"/>
    <s v="Pesos"/>
    <d v="2026-11-26T00:00:00"/>
    <s v="29/09/2026"/>
    <n v="0.95017441999999996"/>
    <m/>
    <n v="16500000"/>
    <n v="15677877.93"/>
    <n v="16500000"/>
    <n v="15677877.93"/>
    <n v="70007327"/>
    <s v="AMOMPY"/>
    <s v="Momentum Capital Investment S.A."/>
    <s v="25/09/2026"/>
    <s v="25/09/2026"/>
    <n v="33"/>
    <s v="No"/>
    <s v=""/>
    <m/>
    <m/>
    <s v="*MAV241101502"/>
    <s v="*MAV241101502"/>
    <n v="2.0843062706943558E-4"/>
  </r>
  <r>
    <x v="238"/>
    <s v="Pesos"/>
    <d v="2026-11-26T00:00:00"/>
    <s v="29/09/2026"/>
    <n v="0.95449793999999999"/>
    <m/>
    <n v="3535037.55"/>
    <n v="3374186.05"/>
    <n v="3535037.55"/>
    <n v="3374186.05"/>
    <n v="3658346"/>
    <s v="AMOMPY"/>
    <s v="Momentum Capital Investment S.A."/>
    <s v="29/09/2026"/>
    <s v="29/09/2026"/>
    <n v="30"/>
    <s v="No"/>
    <s v=""/>
    <m/>
    <m/>
    <s v="*MAV231101081"/>
    <s v="*MAV231101081"/>
    <n v="4.4858348648364678E-5"/>
  </r>
  <r>
    <x v="89"/>
    <s v="Pesos"/>
    <d v="2026-11-27T00:00:00"/>
    <s v="29/09/2026"/>
    <n v="0.95228164999999998"/>
    <m/>
    <n v="60000000"/>
    <n v="57136898.840000004"/>
    <n v="60000000"/>
    <n v="57136898.840000004"/>
    <n v="80939923"/>
    <s v="AMOMPY"/>
    <s v="Momentum Capital Investment S.A."/>
    <s v="02/09/2026"/>
    <s v="02/09/2026"/>
    <n v="31"/>
    <s v="No"/>
    <s v=""/>
    <m/>
    <m/>
    <s v="*INP251100098"/>
    <s v="*INP251100098"/>
    <n v="7.5961043370772747E-4"/>
  </r>
  <r>
    <x v="89"/>
    <s v="Pesos"/>
    <d v="2026-11-27T00:00:00"/>
    <s v="29/09/2026"/>
    <n v="0.95374979000000004"/>
    <m/>
    <n v="5000000"/>
    <n v="4768748.96"/>
    <n v="5000000"/>
    <n v="4768748.96"/>
    <n v="40810978"/>
    <s v="AMOMPY"/>
    <s v="Momentum Capital Investment S.A."/>
    <s v="24/09/2026"/>
    <s v="24/09/2026"/>
    <n v="30"/>
    <s v="No"/>
    <s v=""/>
    <m/>
    <m/>
    <s v="*INP251100105"/>
    <s v="*INP251100105"/>
    <n v="6.3398461227176994E-5"/>
  </r>
  <r>
    <x v="89"/>
    <s v="Pesos"/>
    <d v="2026-11-27T00:00:00"/>
    <s v="29/09/2026"/>
    <n v="0.95522249999999997"/>
    <m/>
    <n v="5000000"/>
    <n v="4776112.5"/>
    <n v="5000000"/>
    <n v="4776112.5"/>
    <n v="11485"/>
    <s v="AMOMPY"/>
    <s v="Momentum Capital Investment S.A."/>
    <s v="18/09/2026"/>
    <s v="18/09/2026"/>
    <n v="29"/>
    <s v="No"/>
    <s v=""/>
    <m/>
    <m/>
    <s v="*INP251100104"/>
    <s v="*INP251100104"/>
    <n v="6.349635631645524E-5"/>
  </r>
  <r>
    <x v="89"/>
    <s v="Pesos"/>
    <d v="2026-11-27T00:00:00"/>
    <s v="29/09/2026"/>
    <n v="0.95522249999999997"/>
    <m/>
    <n v="5000000"/>
    <n v="4776112.5"/>
    <n v="5000000"/>
    <n v="4776112.5"/>
    <n v="11486"/>
    <s v="AMOMPY"/>
    <s v="Momentum Capital Investment S.A."/>
    <s v="18/09/2026"/>
    <s v="18/09/2026"/>
    <n v="29"/>
    <s v="No"/>
    <s v=""/>
    <m/>
    <m/>
    <s v="*INP251100102"/>
    <s v="*INP251100102"/>
    <n v="6.349635631645524E-5"/>
  </r>
  <r>
    <x v="89"/>
    <s v="Pesos"/>
    <d v="2026-11-27T00:00:00"/>
    <s v="29/09/2026"/>
    <n v="0.95522249999999997"/>
    <m/>
    <n v="5000000"/>
    <n v="4776112.5"/>
    <n v="5000000"/>
    <n v="4776112.5"/>
    <n v="11484"/>
    <s v="AMOMPY"/>
    <s v="Momentum Capital Investment S.A."/>
    <s v="18/09/2026"/>
    <s v="18/09/2026"/>
    <n v="29"/>
    <s v="No"/>
    <s v=""/>
    <m/>
    <m/>
    <s v="*INP251100103"/>
    <s v="*INP251100103"/>
    <n v="6.349635631645524E-5"/>
  </r>
  <r>
    <x v="89"/>
    <s v="Pesos"/>
    <d v="2026-11-27T00:00:00"/>
    <s v="29/09/2026"/>
    <n v="0.95818146999999998"/>
    <m/>
    <n v="5000000"/>
    <n v="4790907.33"/>
    <n v="5000000"/>
    <n v="4790907.33"/>
    <n v="40740208"/>
    <s v="AMOMPY"/>
    <s v="Momentum Capital Investment S.A."/>
    <s v="18/09/2026"/>
    <s v="18/09/2026"/>
    <n v="27"/>
    <s v="No"/>
    <s v=""/>
    <m/>
    <m/>
    <s v="*INP251100100"/>
    <s v="*INP251100100"/>
    <n v="6.3693047202049196E-5"/>
  </r>
  <r>
    <x v="89"/>
    <s v="Pesos"/>
    <d v="2026-11-27T00:00:00"/>
    <s v="29/09/2026"/>
    <n v="0.95818146999999998"/>
    <m/>
    <n v="5000000"/>
    <n v="4790907.33"/>
    <n v="5000000"/>
    <n v="4790907.33"/>
    <n v="40740201"/>
    <s v="AMOMPY"/>
    <s v="Momentum Capital Investment S.A."/>
    <s v="18/09/2026"/>
    <s v="18/09/2026"/>
    <n v="27"/>
    <s v="No"/>
    <s v=""/>
    <m/>
    <m/>
    <s v="*INP251100101"/>
    <s v="*INP251100101"/>
    <n v="6.3693047202049196E-5"/>
  </r>
  <r>
    <x v="90"/>
    <s v="Pesos"/>
    <d v="2026-11-27T00:00:00"/>
    <s v="29/09/2026"/>
    <n v="0.95374985999999995"/>
    <m/>
    <n v="5577023.0199999996"/>
    <n v="5319084.9400000004"/>
    <n v="5577023.0199999996"/>
    <n v="5319084.9400000004"/>
    <n v="90017211"/>
    <s v="AMOMPY"/>
    <s v="Momentum Capital Investment S.A."/>
    <s v="11/09/2026"/>
    <s v="11/09/2026"/>
    <n v="30"/>
    <s v="No"/>
    <s v=""/>
    <m/>
    <m/>
    <s v="*MAV251101770"/>
    <s v="*MAV251101770"/>
    <n v="7.0714940786619033E-5"/>
  </r>
  <r>
    <x v="28"/>
    <s v="Pesos"/>
    <d v="2026-11-27T00:00:00"/>
    <s v="29/09/2026"/>
    <n v="0.95081800999999999"/>
    <m/>
    <n v="3000000"/>
    <n v="2852454.04"/>
    <n v="3000000"/>
    <n v="2852454.04"/>
    <n v="1063"/>
    <s v="AMOMPY"/>
    <s v="Momentum Capital Investment S.A."/>
    <s v="25/08/2026"/>
    <s v="25/08/2026"/>
    <n v="32"/>
    <s v="No"/>
    <s v=""/>
    <m/>
    <m/>
    <s v="*MAV251101680"/>
    <s v="*MAV251101680"/>
    <n v="3.7922146536571797E-5"/>
  </r>
  <r>
    <x v="331"/>
    <s v="Pesos"/>
    <d v="2026-11-27T00:00:00"/>
    <s v="29/09/2026"/>
    <n v="0.95966768999999996"/>
    <m/>
    <n v="3500000"/>
    <n v="3358836.93"/>
    <n v="3500000"/>
    <n v="3358836.93"/>
    <n v="1734"/>
    <s v="AMOMPY"/>
    <s v="Momentum Capital Investment S.A."/>
    <s v="01/09/2026"/>
    <s v="01/09/2026"/>
    <n v="26"/>
    <s v="No"/>
    <s v=""/>
    <m/>
    <m/>
    <s v="*POT251100099"/>
    <s v="*POT251100099"/>
    <n v="4.465428871622028E-5"/>
  </r>
  <r>
    <x v="226"/>
    <s v="Pesos"/>
    <d v="2026-11-27T00:00:00"/>
    <s v="29/09/2026"/>
    <n v="0.95522249999999997"/>
    <m/>
    <n v="70000000"/>
    <n v="66865575.079999998"/>
    <n v="70000000"/>
    <n v="66865575.079999998"/>
    <n v="83299237"/>
    <s v="AMOMPY"/>
    <s v="Momentum Capital Investment S.A."/>
    <s v="25/09/2026"/>
    <s v="25/09/2026"/>
    <n v="29"/>
    <s v="No"/>
    <s v=""/>
    <m/>
    <m/>
    <s v="*FTR251100020"/>
    <s v="*FTR251100020"/>
    <n v="8.889489894939388E-4"/>
  </r>
  <r>
    <x v="35"/>
    <s v="Pesos"/>
    <d v="2026-11-27T00:00:00"/>
    <s v="29/09/2026"/>
    <n v="0.94645425000000005"/>
    <m/>
    <n v="4150625.28"/>
    <n v="3928376.94"/>
    <n v="4150625.28"/>
    <n v="3928376.94"/>
    <n v="3484"/>
    <s v="AMOMPY"/>
    <s v="Momentum Capital Investment S.A."/>
    <s v="18/09/2026"/>
    <s v="18/09/2026"/>
    <n v="35"/>
    <s v="No"/>
    <s v=""/>
    <m/>
    <m/>
    <s v="*MAV251101809"/>
    <s v="*MAV251101809"/>
    <n v="5.2226077574091083E-5"/>
  </r>
  <r>
    <x v="35"/>
    <s v="Pesos"/>
    <d v="2026-11-27T00:00:00"/>
    <s v="29/09/2026"/>
    <n v="0.94645425000000005"/>
    <m/>
    <n v="3256800.5"/>
    <n v="3082412.69"/>
    <n v="3256800.5"/>
    <n v="3082412.69"/>
    <n v="3596"/>
    <s v="AMOMPY"/>
    <s v="Momentum Capital Investment S.A."/>
    <s v="18/09/2026"/>
    <s v="18/09/2026"/>
    <n v="35"/>
    <s v="No"/>
    <s v=""/>
    <m/>
    <m/>
    <s v="*MAV251101810"/>
    <s v="*MAV251101810"/>
    <n v="4.097934763442094E-5"/>
  </r>
  <r>
    <x v="35"/>
    <s v="Pesos"/>
    <d v="2026-11-27T00:00:00"/>
    <s v="29/09/2026"/>
    <n v="0.94645425000000005"/>
    <m/>
    <n v="3102456.89"/>
    <n v="2936333.52"/>
    <n v="3102456.89"/>
    <n v="2936333.52"/>
    <n v="3516"/>
    <s v="AMOMPY"/>
    <s v="Momentum Capital Investment S.A."/>
    <s v="18/09/2026"/>
    <s v="18/09/2026"/>
    <n v="35"/>
    <s v="No"/>
    <s v=""/>
    <m/>
    <m/>
    <s v="*MAV251101811"/>
    <s v="*MAV251101811"/>
    <n v="3.9037288055897188E-5"/>
  </r>
  <r>
    <x v="35"/>
    <s v="Pesos"/>
    <d v="2026-11-27T00:00:00"/>
    <s v="29/09/2026"/>
    <n v="0.94645407999999998"/>
    <m/>
    <n v="3841101.28"/>
    <n v="3635425.98"/>
    <n v="3841101.28"/>
    <n v="3635425.98"/>
    <n v="3363"/>
    <s v="AMOMPY"/>
    <s v="Momentum Capital Investment S.A."/>
    <s v="01/09/2026"/>
    <s v="01/09/2026"/>
    <n v="35"/>
    <s v="No"/>
    <s v=""/>
    <m/>
    <m/>
    <s v="*MAV251101708"/>
    <s v="*MAV251101708"/>
    <n v="4.8331420875906604E-5"/>
  </r>
  <r>
    <x v="53"/>
    <s v="Pesos"/>
    <d v="2026-11-27T00:00:00"/>
    <s v="29/09/2026"/>
    <n v="0.94356713999999997"/>
    <m/>
    <n v="25000000"/>
    <n v="23589178.510000002"/>
    <n v="25000000"/>
    <n v="23589178.510000002"/>
    <n v="2665"/>
    <s v="AMOMPY"/>
    <s v="Momentum Capital Investment S.A."/>
    <s v="24/08/2026"/>
    <s v="24/08/2026"/>
    <n v="37"/>
    <s v="No"/>
    <s v=""/>
    <m/>
    <m/>
    <s v="*MAV251101655"/>
    <s v="*MAV251101655"/>
    <n v="3.1360795707459339E-4"/>
  </r>
  <r>
    <x v="191"/>
    <s v="Pesos"/>
    <d v="2026-11-27T00:00:00"/>
    <s v="29/09/2026"/>
    <n v="0.94935884999999998"/>
    <m/>
    <n v="5561000"/>
    <n v="5279384.59"/>
    <n v="5561000"/>
    <n v="5279384.59"/>
    <n v="14101159"/>
    <s v="AMOMPY"/>
    <s v="Momentum Capital Investment S.A."/>
    <s v="15/09/2026"/>
    <s v="15/09/2026"/>
    <n v="33"/>
    <s v="No"/>
    <s v=""/>
    <m/>
    <m/>
    <s v="*MAV251101792"/>
    <s v="*MAV251101792"/>
    <n v="7.0187141751422934E-5"/>
  </r>
  <r>
    <x v="34"/>
    <s v="Pesos"/>
    <d v="2026-11-27T00:00:00"/>
    <s v="29/09/2026"/>
    <n v="0.94935901"/>
    <m/>
    <n v="2170000"/>
    <n v="2060109.06"/>
    <n v="2170000"/>
    <n v="2060109.06"/>
    <n v="260739"/>
    <s v="AMOMPY"/>
    <s v="Momentum Capital Investment S.A."/>
    <s v="27/08/2026"/>
    <s v="27/08/2026"/>
    <n v="33"/>
    <s v="No"/>
    <s v=""/>
    <m/>
    <m/>
    <s v="*MAV251101695"/>
    <s v="*MAV251101695"/>
    <n v="2.7388261671917837E-5"/>
  </r>
  <r>
    <x v="5"/>
    <s v="Pesos"/>
    <d v="2026-11-27T00:00:00"/>
    <s v="29/09/2026"/>
    <n v="0.95081795999999996"/>
    <m/>
    <n v="1509475"/>
    <n v="1435235.94"/>
    <n v="1509475"/>
    <n v="1435235.94"/>
    <n v="3848025"/>
    <s v="AMOMPY"/>
    <s v="Momentum Capital Investment S.A."/>
    <s v="15/09/2026"/>
    <s v="15/09/2026"/>
    <n v="32"/>
    <s v="No"/>
    <s v=""/>
    <m/>
    <m/>
    <s v="*MAV251101795"/>
    <s v="*MAV251101795"/>
    <n v="1.9080842975206837E-5"/>
  </r>
  <r>
    <x v="163"/>
    <s v="Pesos"/>
    <d v="2026-11-27T00:00:00"/>
    <s v="29/09/2026"/>
    <n v="0.94645409000000003"/>
    <m/>
    <n v="15000000"/>
    <n v="14196811.32"/>
    <n v="15000000"/>
    <n v="14196811.32"/>
    <n v="188"/>
    <s v="AMOMPY"/>
    <s v="Momentum Capital Investment S.A."/>
    <s v="25/08/2026"/>
    <s v="25/08/2026"/>
    <n v="35"/>
    <s v="No"/>
    <s v=""/>
    <m/>
    <m/>
    <s v="*MAV251101678"/>
    <s v="*MAV251101678"/>
    <n v="1.8874048509791286E-4"/>
  </r>
  <r>
    <x v="8"/>
    <s v="Pesos"/>
    <d v="2026-11-27T00:00:00"/>
    <s v="29/09/2026"/>
    <n v="0.95228159999999995"/>
    <m/>
    <n v="26000000"/>
    <n v="24759321.57"/>
    <n v="26000000"/>
    <n v="24759321.57"/>
    <n v="34571"/>
    <s v="AMOMPY"/>
    <s v="Momentum Capital Investment S.A."/>
    <s v="14/08/2026"/>
    <s v="14/08/2026"/>
    <n v="31"/>
    <s v="No"/>
    <s v=""/>
    <m/>
    <m/>
    <s v="*MIL251100045"/>
    <s v="*MIL251100045"/>
    <n v="3.291645045133288E-4"/>
  </r>
  <r>
    <x v="192"/>
    <s v="Pesos"/>
    <d v="2026-11-27T00:00:00"/>
    <s v="29/09/2026"/>
    <n v="0.95081821"/>
    <m/>
    <n v="50000000"/>
    <n v="47540910.259999998"/>
    <n v="50000000"/>
    <n v="47540910.259999998"/>
    <n v="5406"/>
    <s v="AMOMPY"/>
    <s v="Momentum Capital Investment S.A."/>
    <s v="29/09/2026"/>
    <s v="29/09/2026"/>
    <n v="32"/>
    <s v="No"/>
    <s v=""/>
    <m/>
    <m/>
    <s v="*MAV251101894"/>
    <s v="*MAV251101894"/>
    <n v="6.3203590314876018E-4"/>
  </r>
  <r>
    <x v="180"/>
    <s v="Pesos"/>
    <d v="2026-11-27T00:00:00"/>
    <s v="29/09/2026"/>
    <n v="0.94790426999999999"/>
    <m/>
    <n v="50000000"/>
    <n v="47395213.530000001"/>
    <n v="50000000"/>
    <n v="47395213.530000001"/>
    <n v="2230"/>
    <s v="AMOMPY"/>
    <s v="Momentum Capital Investment S.A."/>
    <s v="25/08/2026"/>
    <s v="25/08/2026"/>
    <n v="34"/>
    <s v="No"/>
    <s v=""/>
    <m/>
    <m/>
    <s v="*MAV251101679"/>
    <s v="*MAV251101679"/>
    <n v="6.3009892794513539E-4"/>
  </r>
  <r>
    <x v="12"/>
    <s v="Pesos"/>
    <d v="2026-11-27T00:00:00"/>
    <s v="29/09/2026"/>
    <n v="0.95228173999999999"/>
    <m/>
    <n v="2500000"/>
    <n v="2380704.34"/>
    <n v="2500000"/>
    <n v="2380704.34"/>
    <n v="364"/>
    <s v="AMOMPY"/>
    <s v="Momentum Capital Investment S.A."/>
    <s v="07/09/2026"/>
    <s v="07/09/2026"/>
    <n v="31"/>
    <s v="No"/>
    <s v=""/>
    <m/>
    <m/>
    <s v="*MAV251101737"/>
    <s v="*MAV251101737"/>
    <n v="3.1650437684784727E-5"/>
  </r>
  <r>
    <x v="82"/>
    <s v="Pesos"/>
    <d v="2026-11-27T00:00:00"/>
    <s v="29/09/2026"/>
    <n v="0.95374985999999995"/>
    <m/>
    <n v="2700000"/>
    <n v="2575124.62"/>
    <n v="2700000"/>
    <n v="2575124.62"/>
    <n v="6915"/>
    <s v="AMOMPY"/>
    <s v="Momentum Capital Investment S.A."/>
    <s v="11/09/2026"/>
    <s v="11/09/2026"/>
    <n v="30"/>
    <s v="No"/>
    <s v=""/>
    <m/>
    <m/>
    <s v="*MAV251101771"/>
    <s v="*MAV251101771"/>
    <n v="3.4235171476969275E-5"/>
  </r>
  <r>
    <x v="148"/>
    <s v="Pesos"/>
    <d v="2026-11-27T00:00:00"/>
    <s v="29/09/2026"/>
    <n v="0.94790423999999995"/>
    <m/>
    <n v="5400000"/>
    <n v="5118682.87"/>
    <n v="5400000"/>
    <n v="5118682.87"/>
    <n v="162800"/>
    <s v="AMOMPY"/>
    <s v="Momentum Capital Investment S.A."/>
    <s v="28/08/2026"/>
    <s v="28/08/2026"/>
    <n v="34"/>
    <s v="No"/>
    <s v=""/>
    <m/>
    <m/>
    <s v="#MAV261160029"/>
    <s v="#MAV261160029"/>
    <n v="6.8050681675621279E-5"/>
  </r>
  <r>
    <x v="43"/>
    <s v="Pesos"/>
    <d v="2026-11-27T00:00:00"/>
    <s v="29/09/2026"/>
    <n v="0.94790450000000004"/>
    <m/>
    <n v="393484.48"/>
    <n v="372985.71"/>
    <n v="393484.48"/>
    <n v="372985.71"/>
    <n v="123113"/>
    <s v="AMOMPY"/>
    <s v="Momentum Capital Investment S.A."/>
    <s v="22/09/2026"/>
    <s v="22/09/2026"/>
    <n v="34"/>
    <s v="No"/>
    <s v=""/>
    <m/>
    <m/>
    <s v="*MAV251101826"/>
    <s v="*MAV251101826"/>
    <n v="4.9586841899360711E-6"/>
  </r>
  <r>
    <x v="149"/>
    <s v="Pesos"/>
    <d v="2026-11-27T00:00:00"/>
    <s v="29/09/2026"/>
    <n v="0.94935886000000003"/>
    <m/>
    <n v="50000000"/>
    <n v="47467942.880000003"/>
    <n v="50000000"/>
    <n v="47467942.880000003"/>
    <n v="90003119"/>
    <s v="AMOMPY"/>
    <s v="Momentum Capital Investment S.A."/>
    <s v="15/09/2026"/>
    <s v="15/09/2026"/>
    <n v="33"/>
    <s v="No"/>
    <s v=""/>
    <m/>
    <m/>
    <s v="*MAV251101796"/>
    <s v="*MAV251101796"/>
    <n v="6.3106583329383984E-4"/>
  </r>
  <r>
    <x v="15"/>
    <s v="Pesos"/>
    <d v="2026-11-27T00:00:00"/>
    <s v="29/09/2026"/>
    <n v="0.95081800000000005"/>
    <m/>
    <n v="5444206"/>
    <n v="5176449.09"/>
    <n v="5444206"/>
    <n v="5176449.09"/>
    <n v="3447"/>
    <s v="AMOMPY"/>
    <s v="Momentum Capital Investment S.A."/>
    <s v="25/08/2026"/>
    <s v="25/08/2026"/>
    <n v="32"/>
    <s v="No"/>
    <s v=""/>
    <m/>
    <m/>
    <s v="*MAV251101681"/>
    <s v="*MAV251101681"/>
    <n v="6.8818658662799599E-5"/>
  </r>
  <r>
    <x v="37"/>
    <s v="Pesos"/>
    <d v="2026-11-27T00:00:00"/>
    <s v="29/09/2026"/>
    <n v="0.95081800000000005"/>
    <m/>
    <n v="25000000"/>
    <n v="23770450.050000001"/>
    <n v="25000000"/>
    <n v="23770450.050000001"/>
    <n v="2714"/>
    <s v="AMOMPY"/>
    <s v="Momentum Capital Investment S.A."/>
    <s v="14/08/2026"/>
    <s v="14/08/2026"/>
    <n v="32"/>
    <s v="No"/>
    <s v=""/>
    <m/>
    <m/>
    <s v="*AFB251100010"/>
    <s v="*AFB251100010"/>
    <n v="3.1601788403797047E-4"/>
  </r>
  <r>
    <x v="37"/>
    <s v="Pesos"/>
    <d v="2026-11-27T00:00:00"/>
    <s v="29/09/2026"/>
    <n v="0.95669972999999997"/>
    <m/>
    <n v="40000000"/>
    <n v="38267989.109999999"/>
    <n v="40000000"/>
    <n v="38267989.109999999"/>
    <n v="42636"/>
    <s v="AMOMPY"/>
    <s v="Momentum Capital Investment S.A."/>
    <s v="22/09/2026"/>
    <s v="22/09/2026"/>
    <n v="28"/>
    <s v="No"/>
    <s v=""/>
    <m/>
    <m/>
    <s v="*AFB251100017"/>
    <s v="*AFB251100017"/>
    <n v="5.0875641477096461E-4"/>
  </r>
  <r>
    <x v="213"/>
    <s v="Pesos"/>
    <d v="2026-11-27T00:00:00"/>
    <s v="29/09/2026"/>
    <n v="0.94790426000000005"/>
    <m/>
    <n v="5000300.25"/>
    <n v="4739805.92"/>
    <n v="5000300.25"/>
    <n v="4739805.92"/>
    <n v="366"/>
    <s v="AMOMPY"/>
    <s v="Momentum Capital Investment S.A."/>
    <s v="16/07/2026"/>
    <s v="16/07/2026"/>
    <n v="34"/>
    <s v="No"/>
    <s v=""/>
    <m/>
    <m/>
    <s v="*MAV251101567"/>
    <s v="*MAV251101567"/>
    <n v="6.3013675990078531E-5"/>
  </r>
  <r>
    <x v="210"/>
    <s v="Pesos"/>
    <d v="2026-11-27T00:00:00"/>
    <s v="29/09/2026"/>
    <n v="0.94935904000000004"/>
    <m/>
    <n v="1500000"/>
    <n v="1424038.56"/>
    <n v="1500000"/>
    <n v="1424038.56"/>
    <n v="587"/>
    <s v="AMOMPY"/>
    <s v="Momentum Capital Investment S.A."/>
    <s v="21/09/2026"/>
    <s v="21/09/2026"/>
    <n v="33"/>
    <s v="No"/>
    <s v=""/>
    <m/>
    <m/>
    <s v="*MAV251101818"/>
    <s v="*MAV251101818"/>
    <n v="1.8931978636209226E-5"/>
  </r>
  <r>
    <x v="242"/>
    <s v="Pesos"/>
    <d v="2026-11-27T00:00:00"/>
    <s v="29/09/2026"/>
    <n v="0.94500839999999997"/>
    <m/>
    <n v="29362361.710000001"/>
    <n v="27747678.43"/>
    <n v="29362361.710000001"/>
    <n v="27747678.43"/>
    <n v="67998146"/>
    <s v="AMOMPY"/>
    <s v="Momentum Capital Investment S.A."/>
    <s v="30/06/2026"/>
    <s v="30/06/2026"/>
    <n v="36"/>
    <s v="No"/>
    <s v=""/>
    <m/>
    <m/>
    <s v="*MAV251101536"/>
    <s v="*MAV251101536"/>
    <n v="3.6889342044302753E-4"/>
  </r>
  <r>
    <x v="21"/>
    <s v="Pesos"/>
    <d v="2026-11-27T00:00:00"/>
    <s v="29/09/2026"/>
    <n v="0.95081800000000005"/>
    <m/>
    <n v="10000000"/>
    <n v="9508179.9600000009"/>
    <n v="10000000"/>
    <n v="9508179.9600000009"/>
    <n v="14422580"/>
    <s v="AMOMPY"/>
    <s v="Momentum Capital Investment S.A."/>
    <s v="01/09/2026"/>
    <s v="01/09/2026"/>
    <n v="32"/>
    <s v="No"/>
    <s v=""/>
    <m/>
    <m/>
    <s v="*MAV251101707"/>
    <s v="*MAV251101707"/>
    <n v="1.2640715281751408E-4"/>
  </r>
  <r>
    <x v="234"/>
    <s v="Pesos"/>
    <d v="2026-11-27T00:00:00"/>
    <s v="29/09/2026"/>
    <n v="0.94935910000000001"/>
    <m/>
    <n v="2500000"/>
    <n v="2373397.75"/>
    <n v="2500000"/>
    <n v="2373397.75"/>
    <n v="677"/>
    <s v="AMOMPY"/>
    <s v="Momentum Capital Investment S.A."/>
    <s v="22/09/2026"/>
    <s v="22/09/2026"/>
    <n v="33"/>
    <s v="No"/>
    <s v=""/>
    <m/>
    <m/>
    <s v="*MAV251101828"/>
    <s v="*MAV251101828"/>
    <n v="3.1553299721200693E-5"/>
  </r>
  <r>
    <x v="102"/>
    <s v="Pesos"/>
    <d v="2026-11-27T00:00:00"/>
    <s v="29/09/2026"/>
    <n v="0.96868365999999995"/>
    <m/>
    <n v="8500000"/>
    <n v="8233811.1399999997"/>
    <n v="8500000"/>
    <n v="8233811.1399999997"/>
    <n v="34603"/>
    <s v="AMOMPY"/>
    <s v="Momentum Capital Investment S.A."/>
    <s v="08/09/2026"/>
    <s v="08/09/2026"/>
    <n v="20"/>
    <s v="No"/>
    <s v=""/>
    <m/>
    <m/>
    <s v="*MAV251101735"/>
    <s v="*MAV251101735"/>
    <n v="1.0946496883979147E-4"/>
  </r>
  <r>
    <x v="28"/>
    <s v="Pesos"/>
    <d v="2026-11-27T00:00:00"/>
    <s v="29/09/2026"/>
    <n v="0.94935895999999997"/>
    <m/>
    <n v="2500000"/>
    <n v="2373397.4"/>
    <n v="2500000"/>
    <n v="2373397.4"/>
    <n v="1027"/>
    <s v="AMOMPY"/>
    <s v="Momentum Capital Investment S.A."/>
    <s v="19/08/2026"/>
    <s v="18/08/2026"/>
    <n v="33"/>
    <s v="No"/>
    <s v=""/>
    <m/>
    <m/>
    <s v="*MAV251101639"/>
    <s v="*MAV251101639"/>
    <n v="3.1553295068101606E-5"/>
  </r>
  <r>
    <x v="28"/>
    <s v="Pesos"/>
    <d v="2026-11-27T00:00:00"/>
    <s v="29/09/2026"/>
    <n v="0.95374968000000004"/>
    <m/>
    <n v="2500000"/>
    <n v="2384374.19"/>
    <n v="2500000"/>
    <n v="2384374.19"/>
    <n v="900"/>
    <s v="AMOMPY"/>
    <s v="Momentum Capital Investment S.A."/>
    <s v="06/08/2026"/>
    <s v="06/08/2026"/>
    <n v="30"/>
    <s v="No"/>
    <s v=""/>
    <m/>
    <m/>
    <s v="*MAV251101611"/>
    <s v="*MAV251101611"/>
    <n v="3.1699226758163539E-5"/>
  </r>
  <r>
    <x v="89"/>
    <s v="Pesos"/>
    <d v="2026-11-30T00:00:00"/>
    <s v="29/09/2026"/>
    <n v="0.95459791999999999"/>
    <m/>
    <n v="8000000"/>
    <n v="7636783.3300000001"/>
    <n v="8000000"/>
    <n v="7636783.3300000001"/>
    <n v="6493"/>
    <s v="AMOMPY"/>
    <s v="Momentum Capital Investment S.A."/>
    <s v="17/09/2026"/>
    <s v="17/09/2026"/>
    <n v="28"/>
    <s v="No"/>
    <s v=""/>
    <m/>
    <m/>
    <s v="*INP261100064"/>
    <s v="*INP261100064"/>
    <n v="1.0152774153314974E-4"/>
  </r>
  <r>
    <x v="89"/>
    <s v="Pesos"/>
    <d v="2026-11-30T00:00:00"/>
    <s v="29/09/2026"/>
    <n v="0.95614816999999996"/>
    <m/>
    <n v="5000000"/>
    <n v="4780740.83"/>
    <n v="5000000"/>
    <n v="4780740.83"/>
    <n v="40740211"/>
    <s v="AMOMPY"/>
    <s v="Momentum Capital Investment S.A."/>
    <s v="18/09/2026"/>
    <s v="18/09/2026"/>
    <n v="27"/>
    <s v="No"/>
    <s v=""/>
    <m/>
    <m/>
    <s v="*INP261100060"/>
    <s v="*INP261100060"/>
    <n v="6.3557887968155265E-5"/>
  </r>
  <r>
    <x v="89"/>
    <s v="Pesos"/>
    <d v="2026-11-30T00:00:00"/>
    <s v="29/09/2026"/>
    <n v="0.95614816999999996"/>
    <m/>
    <n v="5000000"/>
    <n v="4780740.83"/>
    <n v="5000000"/>
    <n v="4780740.83"/>
    <n v="40740209"/>
    <s v="AMOMPY"/>
    <s v="Momentum Capital Investment S.A."/>
    <s v="18/09/2026"/>
    <s v="18/09/2026"/>
    <n v="27"/>
    <s v="No"/>
    <s v=""/>
    <m/>
    <m/>
    <s v="*INP261100061"/>
    <s v="*INP261100061"/>
    <n v="6.3557887968155265E-5"/>
  </r>
  <r>
    <x v="28"/>
    <s v="Pesos"/>
    <d v="2026-11-30T00:00:00"/>
    <s v="29/09/2026"/>
    <n v="0.94844618999999997"/>
    <m/>
    <n v="3000000"/>
    <n v="2845338.57"/>
    <n v="3000000"/>
    <n v="2845338.57"/>
    <n v="1064"/>
    <s v="AMOMPY"/>
    <s v="Momentum Capital Investment S.A."/>
    <s v="25/08/2026"/>
    <s v="25/08/2026"/>
    <n v="32"/>
    <s v="No"/>
    <s v=""/>
    <m/>
    <m/>
    <s v="*MAV261101145"/>
    <s v="*MAV261101145"/>
    <n v="3.7827549430980363E-5"/>
  </r>
  <r>
    <x v="35"/>
    <s v="Pesos"/>
    <d v="2026-11-30T00:00:00"/>
    <s v="29/09/2026"/>
    <n v="0.94388413999999998"/>
    <m/>
    <n v="1250300.6499999999"/>
    <n v="1180138.95"/>
    <n v="1250300.6499999999"/>
    <n v="1180138.95"/>
    <n v="3598"/>
    <s v="AMOMPY"/>
    <s v="Momentum Capital Investment S.A."/>
    <s v="18/09/2026"/>
    <s v="18/09/2026"/>
    <n v="35"/>
    <s v="No"/>
    <s v=""/>
    <m/>
    <m/>
    <s v="*MAV261101268"/>
    <s v="*MAV261101268"/>
    <n v="1.5689438486243227E-5"/>
  </r>
  <r>
    <x v="35"/>
    <s v="Pesos"/>
    <d v="2026-11-30T00:00:00"/>
    <s v="29/09/2026"/>
    <n v="0.94388413999999998"/>
    <m/>
    <n v="3102456.89"/>
    <n v="2928359.87"/>
    <n v="3102456.89"/>
    <n v="2928359.87"/>
    <n v="3517"/>
    <s v="AMOMPY"/>
    <s v="Momentum Capital Investment S.A."/>
    <s v="18/09/2026"/>
    <s v="18/09/2026"/>
    <n v="35"/>
    <s v="No"/>
    <s v=""/>
    <m/>
    <m/>
    <s v="*MAV261101267"/>
    <s v="*MAV261101267"/>
    <n v="3.8931281817237045E-5"/>
  </r>
  <r>
    <x v="35"/>
    <s v="Pesos"/>
    <d v="2026-11-30T00:00:00"/>
    <s v="29/09/2026"/>
    <n v="0.94388415000000003"/>
    <m/>
    <n v="1555000.5"/>
    <n v="1467740.33"/>
    <n v="1555000.5"/>
    <n v="1467740.33"/>
    <n v="3597"/>
    <s v="AMOMPY"/>
    <s v="Momentum Capital Investment S.A."/>
    <s v="18/09/2026"/>
    <s v="18/09/2026"/>
    <n v="35"/>
    <s v="No"/>
    <s v=""/>
    <m/>
    <m/>
    <s v="*MAV261101265"/>
    <s v="*MAV261101265"/>
    <n v="1.9512974824967295E-5"/>
  </r>
  <r>
    <x v="35"/>
    <s v="Pesos"/>
    <d v="2026-11-30T00:00:00"/>
    <s v="29/09/2026"/>
    <n v="0.94388415000000003"/>
    <m/>
    <n v="4150625.28"/>
    <n v="3917709.41"/>
    <n v="4150625.28"/>
    <n v="3917709.41"/>
    <n v="3485"/>
    <s v="AMOMPY"/>
    <s v="Momentum Capital Investment S.A."/>
    <s v="18/09/2026"/>
    <s v="18/09/2026"/>
    <n v="35"/>
    <s v="No"/>
    <s v=""/>
    <m/>
    <m/>
    <s v="*MAV261101266"/>
    <s v="*MAV261101266"/>
    <n v="5.2084257362381987E-5"/>
  </r>
  <r>
    <x v="314"/>
    <s v="Pesos"/>
    <d v="2026-11-30T00:00:00"/>
    <s v="29/09/2026"/>
    <n v="0.94692061000000005"/>
    <m/>
    <n v="6590432.0999999996"/>
    <n v="6240615.9500000002"/>
    <n v="6590432.0999999996"/>
    <n v="6240615.9500000002"/>
    <n v="14100646"/>
    <s v="AMOMPY"/>
    <s v="Momentum Capital Investment S.A."/>
    <s v="15/09/2026"/>
    <s v="15/09/2026"/>
    <n v="33"/>
    <s v="No"/>
    <s v=""/>
    <m/>
    <m/>
    <s v="*MAV261101251"/>
    <s v="*MAV261101251"/>
    <n v="8.2966298217505098E-5"/>
  </r>
  <r>
    <x v="34"/>
    <s v="Pesos"/>
    <d v="2026-11-30T00:00:00"/>
    <s v="29/09/2026"/>
    <n v="0.94692076000000003"/>
    <m/>
    <n v="2170000"/>
    <n v="2054818.04"/>
    <n v="2170000"/>
    <n v="2054818.04"/>
    <n v="260740"/>
    <s v="AMOMPY"/>
    <s v="Momentum Capital Investment S.A."/>
    <s v="27/08/2026"/>
    <s v="27/08/2026"/>
    <n v="33"/>
    <s v="No"/>
    <s v=""/>
    <m/>
    <m/>
    <s v="*MAV261101162"/>
    <s v="*MAV261101162"/>
    <n v="2.7317919842407436E-5"/>
  </r>
  <r>
    <x v="6"/>
    <s v="Pesos"/>
    <d v="2026-11-30T00:00:00"/>
    <s v="29/09/2026"/>
    <n v="0.95614816000000002"/>
    <m/>
    <n v="8000000"/>
    <n v="7649185.3099999996"/>
    <n v="8000000"/>
    <n v="7649185.3099999996"/>
    <n v="69816005"/>
    <s v="AMOMPY"/>
    <s v="Momentum Capital Investment S.A."/>
    <s v="18/09/2026"/>
    <s v="18/09/2026"/>
    <n v="27"/>
    <s v="No"/>
    <s v=""/>
    <m/>
    <m/>
    <s v="*PRO261100013"/>
    <s v="*PRO261100013"/>
    <n v="1.0169262050974618E-4"/>
  </r>
  <r>
    <x v="8"/>
    <s v="Pesos"/>
    <d v="2026-11-30T00:00:00"/>
    <s v="29/09/2026"/>
    <n v="0.95770367999999995"/>
    <m/>
    <n v="5000000"/>
    <n v="4788518.3899999997"/>
    <n v="5000000"/>
    <n v="4788518.3899999997"/>
    <n v="491506"/>
    <s v="AMOMPY"/>
    <s v="Momentum Capital Investment S.A."/>
    <s v="20/07/2026"/>
    <s v="20/07/2026"/>
    <n v="26"/>
    <s v="No"/>
    <s v=""/>
    <m/>
    <m/>
    <s v="*MIL261100032"/>
    <s v="*MIL261100032"/>
    <n v="6.3661287274815778E-5"/>
  </r>
  <r>
    <x v="8"/>
    <s v="Pesos"/>
    <d v="2026-11-30T00:00:00"/>
    <s v="29/09/2026"/>
    <n v="0.94997664000000004"/>
    <m/>
    <n v="15000000"/>
    <n v="14249649.630000001"/>
    <n v="15000000"/>
    <n v="14249649.630000001"/>
    <n v="2442"/>
    <s v="AMOMPY"/>
    <s v="Momentum Capital Investment S.A."/>
    <s v="14/08/2026"/>
    <s v="14/08/2026"/>
    <n v="31"/>
    <s v="No"/>
    <s v=""/>
    <m/>
    <m/>
    <s v="*MIL261100034"/>
    <s v="*MIL261100034"/>
    <n v="1.8944294764646448E-4"/>
  </r>
  <r>
    <x v="241"/>
    <s v="Pesos"/>
    <d v="2026-11-30T00:00:00"/>
    <s v="29/09/2026"/>
    <n v="0.94844614000000005"/>
    <m/>
    <n v="6535955.1799999997"/>
    <n v="6199001.4699999997"/>
    <n v="6535955.1799999997"/>
    <n v="6199001.4699999997"/>
    <n v="30000339"/>
    <s v="AMOMPY"/>
    <s v="Momentum Capital Investment S.A."/>
    <s v="04/09/2026"/>
    <s v="04/09/2026"/>
    <n v="32"/>
    <s v="No"/>
    <s v=""/>
    <m/>
    <m/>
    <s v="*MAV261101203"/>
    <s v="*MAV261101203"/>
    <n v="8.2413051649296329E-5"/>
  </r>
  <r>
    <x v="288"/>
    <s v="Pesos"/>
    <d v="2026-11-30T00:00:00"/>
    <s v="29/09/2026"/>
    <n v="0.94692078000000002"/>
    <m/>
    <n v="5112056"/>
    <n v="4840712.07"/>
    <n v="5112056"/>
    <n v="4840712.07"/>
    <n v="14500667"/>
    <s v="AMOMPY"/>
    <s v="Momentum Capital Investment S.A."/>
    <s v="14/09/2026"/>
    <s v="14/09/2026"/>
    <n v="33"/>
    <s v="No"/>
    <s v=""/>
    <m/>
    <m/>
    <s v="*MAV261101244"/>
    <s v="*MAV261101244"/>
    <n v="6.4355179745469908E-5"/>
  </r>
  <r>
    <x v="15"/>
    <s v="Pesos"/>
    <d v="2026-11-30T00:00:00"/>
    <s v="29/09/2026"/>
    <n v="0.94844618999999997"/>
    <m/>
    <n v="5444206"/>
    <n v="5163536.41"/>
    <n v="5444206"/>
    <n v="5163536.41"/>
    <n v="3448"/>
    <s v="AMOMPY"/>
    <s v="Momentum Capital Investment S.A."/>
    <s v="25/08/2026"/>
    <s v="25/08/2026"/>
    <n v="32"/>
    <s v="No"/>
    <s v=""/>
    <m/>
    <m/>
    <s v="*MAV261101146"/>
    <s v="*MAV261101146"/>
    <n v="6.8646990149907506E-5"/>
  </r>
  <r>
    <x v="45"/>
    <s v="Pesos"/>
    <d v="2026-11-30T00:00:00"/>
    <s v="29/09/2026"/>
    <n v="0.95614834000000004"/>
    <m/>
    <n v="10000000"/>
    <n v="9561483.4399999995"/>
    <n v="10000000"/>
    <n v="9561483.4399999995"/>
    <n v="14199482"/>
    <s v="AMOMPY"/>
    <s v="Momentum Capital Investment S.A."/>
    <s v="21/09/2026"/>
    <s v="21/09/2026"/>
    <n v="27"/>
    <s v="No"/>
    <s v=""/>
    <m/>
    <m/>
    <s v="*NEU261100020"/>
    <s v="*NEU261100020"/>
    <n v="1.2711579960064301E-4"/>
  </r>
  <r>
    <x v="296"/>
    <s v="Pesos"/>
    <d v="2026-11-30T00:00:00"/>
    <s v="29/09/2026"/>
    <n v="0.94692058999999995"/>
    <m/>
    <n v="2500000"/>
    <n v="2367301.4700000002"/>
    <n v="2500000"/>
    <n v="2367301.4700000002"/>
    <n v="105"/>
    <s v="AMOMPY"/>
    <s v="Momentum Capital Investment S.A."/>
    <s v="22/09/2026"/>
    <s v="22/09/2026"/>
    <n v="33"/>
    <s v="No"/>
    <s v=""/>
    <m/>
    <m/>
    <s v="*MAV261101283"/>
    <s v="*MAV261101283"/>
    <n v="3.1472252307203463E-5"/>
  </r>
  <r>
    <x v="310"/>
    <s v="Pesos"/>
    <d v="2026-11-30T00:00:00"/>
    <s v="29/09/2026"/>
    <n v="0.94237331000000002"/>
    <m/>
    <n v="30000000"/>
    <n v="28271199.210000001"/>
    <n v="30000000"/>
    <n v="28271199.210000001"/>
    <n v="10978204"/>
    <s v="AMOMPY"/>
    <s v="Momentum Capital Investment S.A."/>
    <s v="01/09/2026"/>
    <s v="01/09/2026"/>
    <n v="36"/>
    <s v="No"/>
    <s v=""/>
    <m/>
    <m/>
    <s v="*MAV261101184"/>
    <s v="*MAV261101184"/>
    <n v="3.7585340348068603E-4"/>
  </r>
  <r>
    <x v="210"/>
    <s v="Pesos"/>
    <d v="2026-11-30T00:00:00"/>
    <s v="29/09/2026"/>
    <n v="0.94692078999999996"/>
    <m/>
    <n v="1500000"/>
    <n v="1420381.18"/>
    <n v="1500000"/>
    <n v="1420381.18"/>
    <n v="588"/>
    <s v="AMOMPY"/>
    <s v="Momentum Capital Investment S.A."/>
    <s v="21/09/2026"/>
    <s v="21/09/2026"/>
    <n v="33"/>
    <s v="No"/>
    <s v=""/>
    <m/>
    <m/>
    <s v="*MAV261101273"/>
    <s v="*MAV261101273"/>
    <n v="1.8883355346103581E-5"/>
  </r>
  <r>
    <x v="28"/>
    <s v="Pesos"/>
    <d v="2026-11-30T00:00:00"/>
    <s v="29/09/2026"/>
    <n v="0.94692069999999995"/>
    <m/>
    <n v="2500000"/>
    <n v="2367301.7599999998"/>
    <n v="2500000"/>
    <n v="2367301.7599999998"/>
    <n v="1028"/>
    <s v="AMOMPY"/>
    <s v="Momentum Capital Investment S.A."/>
    <s v="19/08/2026"/>
    <s v="18/08/2026"/>
    <n v="33"/>
    <s v="No"/>
    <s v=""/>
    <m/>
    <m/>
    <s v="*MAV261101126"/>
    <s v="*MAV261101126"/>
    <n v="3.1472256162628415E-5"/>
  </r>
  <r>
    <x v="28"/>
    <s v="Pesos"/>
    <d v="2026-11-30T00:00:00"/>
    <s v="29/09/2026"/>
    <n v="0.95151202000000001"/>
    <m/>
    <n v="2500000"/>
    <n v="2378780.04"/>
    <n v="2500000"/>
    <n v="2378780.04"/>
    <n v="901"/>
    <s v="AMOMPY"/>
    <s v="Momentum Capital Investment S.A."/>
    <s v="06/08/2026"/>
    <s v="06/08/2026"/>
    <n v="30"/>
    <s v="No"/>
    <s v=""/>
    <m/>
    <m/>
    <s v="*MAV261101103"/>
    <s v="*MAV261101103"/>
    <n v="3.1624854946007165E-5"/>
  </r>
  <r>
    <x v="89"/>
    <s v="Pesos"/>
    <d v="2026-12-01T00:00:00"/>
    <s v="29/09/2026"/>
    <n v="0.94921078999999997"/>
    <m/>
    <n v="60000000"/>
    <n v="56952647.5"/>
    <n v="60000000"/>
    <n v="56952647.5"/>
    <n v="80939925"/>
    <s v="AMOMPY"/>
    <s v="Momentum Capital Investment S.A."/>
    <s v="02/09/2026"/>
    <s v="02/09/2026"/>
    <n v="31"/>
    <s v="No"/>
    <s v=""/>
    <m/>
    <m/>
    <s v="*INP271100062"/>
    <s v="*INP271100062"/>
    <n v="7.5716089158818468E-4"/>
  </r>
  <r>
    <x v="89"/>
    <s v="Pesos"/>
    <d v="2026-12-01T00:00:00"/>
    <s v="29/09/2026"/>
    <n v="0.95547252000000005"/>
    <m/>
    <n v="5000000"/>
    <n v="4777362.62"/>
    <n v="5000000"/>
    <n v="4777362.62"/>
    <n v="40740200"/>
    <s v="AMOMPY"/>
    <s v="Momentum Capital Investment S.A."/>
    <s v="18/09/2026"/>
    <s v="18/09/2026"/>
    <n v="27"/>
    <s v="No"/>
    <s v=""/>
    <m/>
    <m/>
    <s v="*INP271100063"/>
    <s v="*INP271100063"/>
    <n v="6.3512976122826704E-5"/>
  </r>
  <r>
    <x v="89"/>
    <s v="Pesos"/>
    <d v="2026-12-01T00:00:00"/>
    <s v="29/09/2026"/>
    <n v="0.95547252000000005"/>
    <m/>
    <n v="5000000"/>
    <n v="4777362.62"/>
    <n v="5000000"/>
    <n v="4777362.62"/>
    <n v="40740203"/>
    <s v="AMOMPY"/>
    <s v="Momentum Capital Investment S.A."/>
    <s v="18/09/2026"/>
    <s v="18/09/2026"/>
    <n v="27"/>
    <s v="No"/>
    <s v=""/>
    <m/>
    <m/>
    <s v="*INP271100064"/>
    <s v="*INP271100064"/>
    <n v="6.3512976122826704E-5"/>
  </r>
  <r>
    <x v="206"/>
    <s v="Pesos"/>
    <d v="2026-12-01T00:00:00"/>
    <s v="29/09/2026"/>
    <n v="0.95389924999999998"/>
    <m/>
    <n v="70000000"/>
    <n v="66772947.390000001"/>
    <n v="70000000"/>
    <n v="66772947.390000001"/>
    <n v="11169841"/>
    <s v="AMOMPY"/>
    <s v="Momentum Capital Investment S.A."/>
    <s v="23/09/2026"/>
    <s v="23/09/2026"/>
    <n v="28"/>
    <s v="No"/>
    <s v=""/>
    <m/>
    <m/>
    <s v="*SOL271100007"/>
    <s v="*SOL271100007"/>
    <n v="8.8771754429472919E-4"/>
  </r>
  <r>
    <x v="35"/>
    <s v="Pesos"/>
    <d v="2026-12-01T00:00:00"/>
    <s v="29/09/2026"/>
    <n v="0.94149826999999997"/>
    <m/>
    <n v="3105640.28"/>
    <n v="2923954.95"/>
    <n v="3105640.28"/>
    <n v="2923954.95"/>
    <n v="3387"/>
    <s v="AMOMPY"/>
    <s v="Momentum Capital Investment S.A."/>
    <s v="10/09/2026"/>
    <s v="10/09/2026"/>
    <n v="36"/>
    <s v="No"/>
    <s v=""/>
    <m/>
    <m/>
    <s v="*MAV271101374"/>
    <s v="*MAV271101374"/>
    <n v="3.8872720305156771E-5"/>
  </r>
  <r>
    <x v="35"/>
    <s v="Pesos"/>
    <d v="2026-12-01T00:00:00"/>
    <s v="29/09/2026"/>
    <n v="0.94303079999999995"/>
    <m/>
    <n v="3256800.5"/>
    <n v="3071263.19"/>
    <n v="3256800.5"/>
    <n v="3071263.19"/>
    <n v="3599"/>
    <s v="AMOMPY"/>
    <s v="Momentum Capital Investment S.A."/>
    <s v="25/09/2026"/>
    <s v="25/09/2026"/>
    <n v="35"/>
    <s v="No"/>
    <s v=""/>
    <m/>
    <m/>
    <s v="*MAV271101500"/>
    <s v="*MAV271101500"/>
    <n v="4.0831119839378359E-5"/>
  </r>
  <r>
    <x v="284"/>
    <s v="Pesos"/>
    <d v="2026-12-01T00:00:00"/>
    <s v="29/09/2026"/>
    <n v="0.94765825999999997"/>
    <m/>
    <n v="4000000"/>
    <n v="3790633.04"/>
    <n v="4000000"/>
    <n v="3790633.04"/>
    <n v="724"/>
    <s v="AMOMPY"/>
    <s v="Momentum Capital Investment S.A."/>
    <s v="14/09/2026"/>
    <s v="14/09/2026"/>
    <n v="32"/>
    <s v="No"/>
    <s v=""/>
    <m/>
    <m/>
    <s v="*MAV271101408"/>
    <s v="*MAV271101408"/>
    <n v="5.0394831816203644E-5"/>
  </r>
  <r>
    <x v="34"/>
    <s v="Pesos"/>
    <d v="2026-12-01T00:00:00"/>
    <s v="29/09/2026"/>
    <n v="0.94611071000000002"/>
    <m/>
    <n v="2170000"/>
    <n v="2053060.24"/>
    <n v="2170000"/>
    <n v="2053060.24"/>
    <n v="260741"/>
    <s v="AMOMPY"/>
    <s v="Momentum Capital Investment S.A."/>
    <s v="27/08/2026"/>
    <s v="27/08/2026"/>
    <n v="33"/>
    <s v="No"/>
    <s v=""/>
    <m/>
    <m/>
    <s v="*MAV271101306"/>
    <s v="*MAV271101306"/>
    <n v="2.7294550649338162E-5"/>
  </r>
  <r>
    <x v="6"/>
    <s v="Pesos"/>
    <d v="2026-12-01T00:00:00"/>
    <s v="29/09/2026"/>
    <n v="0.95389941"/>
    <m/>
    <n v="25000000"/>
    <n v="23847485.370000001"/>
    <n v="25000000"/>
    <n v="23847485.370000001"/>
    <n v="69933187"/>
    <s v="AMOMPY"/>
    <s v="Momentum Capital Investment S.A."/>
    <s v="22/09/2026"/>
    <s v="22/09/2026"/>
    <n v="28"/>
    <s v="No"/>
    <s v=""/>
    <m/>
    <m/>
    <s v="*PRO271100012"/>
    <s v="*PRO271100012"/>
    <n v="3.1704203540117062E-4"/>
  </r>
  <r>
    <x v="163"/>
    <s v="Pesos"/>
    <d v="2026-12-01T00:00:00"/>
    <s v="29/09/2026"/>
    <n v="0.94456823000000001"/>
    <m/>
    <n v="15000000"/>
    <n v="14168523.380000001"/>
    <n v="15000000"/>
    <n v="14168523.380000001"/>
    <n v="199"/>
    <s v="AMOMPY"/>
    <s v="Momentum Capital Investment S.A."/>
    <s v="27/08/2026"/>
    <s v="27/08/2026"/>
    <n v="34"/>
    <s v="No"/>
    <s v=""/>
    <m/>
    <m/>
    <s v="*MAV271101304"/>
    <s v="*MAV271101304"/>
    <n v="1.8836440913284745E-4"/>
  </r>
  <r>
    <x v="7"/>
    <s v="Pesos"/>
    <d v="2026-12-01T00:00:00"/>
    <s v="29/09/2026"/>
    <n v="0.95389930999999994"/>
    <m/>
    <n v="150000000"/>
    <n v="143084896.68000001"/>
    <n v="150000000"/>
    <n v="143084896.68000001"/>
    <n v="77"/>
    <s v="AMOMPY"/>
    <s v="Momentum Capital Investment S.A."/>
    <s v="12/08/2026"/>
    <s v="12/08/2026"/>
    <n v="28"/>
    <s v="No"/>
    <s v=""/>
    <m/>
    <m/>
    <s v="*MAV271101263"/>
    <s v="*MAV271101263"/>
    <n v="1.9022520058094242E-3"/>
  </r>
  <r>
    <x v="246"/>
    <s v="Pesos"/>
    <d v="2026-12-01T00:00:00"/>
    <s v="29/09/2026"/>
    <n v="0.94611071000000002"/>
    <m/>
    <n v="80000000"/>
    <n v="75688857.140000001"/>
    <n v="80000000"/>
    <n v="75688857.140000001"/>
    <n v="3035"/>
    <s v="AMOMPY"/>
    <s v="Momentum Capital Investment S.A."/>
    <s v="28/09/2026"/>
    <s v="28/09/2026"/>
    <n v="33"/>
    <s v="No"/>
    <s v=""/>
    <m/>
    <m/>
    <s v="*MAV271101530"/>
    <s v="*MAV271101530"/>
    <n v="1.0062507200462127E-3"/>
  </r>
  <r>
    <x v="323"/>
    <s v="Pesos"/>
    <d v="2026-12-01T00:00:00"/>
    <s v="29/09/2026"/>
    <n v="0.95389928999999996"/>
    <m/>
    <n v="50000000"/>
    <n v="47694964.390000001"/>
    <n v="50000000"/>
    <n v="47694964.390000001"/>
    <n v="29757438"/>
    <s v="AMOMPY"/>
    <s v="Momentum Capital Investment S.A."/>
    <s v="28/07/2026"/>
    <s v="28/07/2026"/>
    <n v="28"/>
    <s v="No"/>
    <s v=""/>
    <m/>
    <m/>
    <s v="*MAV271101232"/>
    <s v="*MAV271101232"/>
    <n v="6.3408398638182921E-4"/>
  </r>
  <r>
    <x v="8"/>
    <s v="Pesos"/>
    <d v="2026-12-01T00:00:00"/>
    <s v="29/09/2026"/>
    <n v="0.95076844999999999"/>
    <m/>
    <n v="25000000"/>
    <n v="23769211.280000001"/>
    <n v="25000000"/>
    <n v="23769211.280000001"/>
    <n v="12742281"/>
    <s v="AMOMPY"/>
    <s v="Momentum Capital Investment S.A."/>
    <s v="14/08/2026"/>
    <s v="14/08/2026"/>
    <n v="30"/>
    <s v="No"/>
    <s v=""/>
    <m/>
    <m/>
    <s v="*MIL271100043"/>
    <s v="*MIL271100043"/>
    <n v="3.1600141512495513E-4"/>
  </r>
  <r>
    <x v="332"/>
    <s v="Pesos"/>
    <d v="2026-12-01T00:00:00"/>
    <s v="29/09/2026"/>
    <n v="0.95233133999999997"/>
    <m/>
    <n v="40000000"/>
    <n v="38093253.700000003"/>
    <n v="40000000"/>
    <n v="38093253.700000003"/>
    <n v="2886"/>
    <s v="AMOMPY"/>
    <s v="Momentum Capital Investment S.A."/>
    <s v="12/08/2026"/>
    <s v="12/08/2026"/>
    <n v="29"/>
    <s v="No"/>
    <s v=""/>
    <m/>
    <m/>
    <s v="*MAV271101262"/>
    <s v="*MAV271101262"/>
    <n v="5.0643338283767967E-4"/>
  </r>
  <r>
    <x v="333"/>
    <s v="Pesos"/>
    <d v="2026-12-01T00:00:00"/>
    <s v="29/09/2026"/>
    <n v="0.94921080999999996"/>
    <m/>
    <n v="985744"/>
    <n v="935678.86"/>
    <n v="985744"/>
    <n v="935678.86"/>
    <n v="10332467"/>
    <s v="AMOMPY"/>
    <s v="Momentum Capital Investment S.A."/>
    <s v="02/09/2026"/>
    <s v="02/09/2026"/>
    <n v="31"/>
    <s v="No"/>
    <s v=""/>
    <m/>
    <m/>
    <s v="*MAV271101333"/>
    <s v="*MAV271101333"/>
    <n v="1.2439446996345802E-5"/>
  </r>
  <r>
    <x v="8"/>
    <s v="Pesos"/>
    <d v="2026-12-01T00:00:00"/>
    <s v="29/09/2026"/>
    <n v="0.94765827000000002"/>
    <m/>
    <n v="10000000"/>
    <n v="9476582.6799999997"/>
    <n v="10000000"/>
    <n v="9476582.6799999997"/>
    <n v="2200"/>
    <s v="AMOMPY"/>
    <s v="Momentum Capital Investment S.A."/>
    <s v="07/09/2026"/>
    <s v="07/09/2026"/>
    <n v="32"/>
    <s v="No"/>
    <s v=""/>
    <m/>
    <m/>
    <s v="*MIL271100048"/>
    <s v="*MIL271100048"/>
    <n v="1.2598708060407461E-4"/>
  </r>
  <r>
    <x v="8"/>
    <s v="Pesos"/>
    <d v="2026-12-01T00:00:00"/>
    <s v="29/09/2026"/>
    <n v="0.95705088000000005"/>
    <m/>
    <n v="4000000"/>
    <n v="3828203.54"/>
    <n v="4000000"/>
    <n v="3828203.54"/>
    <n v="90002231"/>
    <s v="AMOMPY"/>
    <s v="Momentum Capital Investment S.A."/>
    <s v="22/09/2026"/>
    <s v="22/09/2026"/>
    <n v="26"/>
    <s v="No"/>
    <s v=""/>
    <m/>
    <m/>
    <s v="*MIL271100049"/>
    <s v="*MIL271100049"/>
    <n v="5.0894315414001515E-5"/>
  </r>
  <r>
    <x v="334"/>
    <s v="Pesos"/>
    <d v="2026-12-01T00:00:00"/>
    <s v="29/09/2026"/>
    <n v="0.94611062999999995"/>
    <m/>
    <n v="1392835"/>
    <n v="1317776"/>
    <n v="1392835"/>
    <n v="1317776"/>
    <n v="111459"/>
    <s v="AMOMPY"/>
    <s v="Momentum Capital Investment S.A."/>
    <s v="28/07/2026"/>
    <s v="28/07/2026"/>
    <n v="33"/>
    <s v="No"/>
    <s v=""/>
    <m/>
    <m/>
    <s v="*MAV271101235"/>
    <s v="*MAV271101235"/>
    <n v="1.7519263719452403E-5"/>
  </r>
  <r>
    <x v="15"/>
    <s v="Pesos"/>
    <d v="2026-12-01T00:00:00"/>
    <s v="29/09/2026"/>
    <n v="0.94765814000000004"/>
    <m/>
    <n v="5444206"/>
    <n v="5159246.1500000004"/>
    <n v="5444206"/>
    <n v="5159246.1500000004"/>
    <n v="3449"/>
    <s v="AMOMPY"/>
    <s v="Momentum Capital Investment S.A."/>
    <s v="25/08/2026"/>
    <s v="25/08/2026"/>
    <n v="32"/>
    <s v="No"/>
    <s v=""/>
    <m/>
    <m/>
    <s v="*MAV271101291"/>
    <s v="*MAV271101291"/>
    <n v="6.8589952993087984E-5"/>
  </r>
  <r>
    <x v="210"/>
    <s v="Pesos"/>
    <d v="2026-12-01T00:00:00"/>
    <s v="29/09/2026"/>
    <n v="0.94611073000000001"/>
    <m/>
    <n v="1500000"/>
    <n v="1419166.09"/>
    <n v="1500000"/>
    <n v="1419166.09"/>
    <n v="589"/>
    <s v="AMOMPY"/>
    <s v="Momentum Capital Investment S.A."/>
    <s v="21/09/2026"/>
    <s v="21/09/2026"/>
    <n v="33"/>
    <s v="No"/>
    <s v=""/>
    <m/>
    <m/>
    <s v="*MAV271101459"/>
    <s v="*MAV271101459"/>
    <n v="1.8867201248477834E-5"/>
  </r>
  <r>
    <x v="262"/>
    <s v="Pesos"/>
    <d v="2026-12-01T00:00:00"/>
    <s v="29/09/2026"/>
    <n v="0.95076859999999996"/>
    <m/>
    <n v="2500000"/>
    <n v="2376921.4900000002"/>
    <n v="2500000"/>
    <n v="2376921.4900000002"/>
    <n v="363"/>
    <s v="AMOMPY"/>
    <s v="Momentum Capital Investment S.A."/>
    <s v="25/09/2026"/>
    <s v="25/09/2026"/>
    <n v="30"/>
    <s v="No"/>
    <s v=""/>
    <m/>
    <m/>
    <s v="*MAV271101505"/>
    <s v="*MAV271101505"/>
    <n v="3.1600146325129424E-5"/>
  </r>
  <r>
    <x v="102"/>
    <s v="Pesos"/>
    <d v="2026-12-01T00:00:00"/>
    <s v="29/09/2026"/>
    <n v="0.96663149000000004"/>
    <m/>
    <n v="8500000"/>
    <n v="8216367.7000000002"/>
    <n v="8500000"/>
    <n v="8216367.7000000002"/>
    <n v="34604"/>
    <s v="AMOMPY"/>
    <s v="Momentum Capital Investment S.A."/>
    <s v="08/09/2026"/>
    <s v="08/09/2026"/>
    <n v="20"/>
    <s v="No"/>
    <s v=""/>
    <m/>
    <m/>
    <s v="*MAV271101348"/>
    <s v="*MAV271101348"/>
    <n v="1.0923306582627897E-4"/>
  </r>
  <r>
    <x v="21"/>
    <s v="Pesos"/>
    <d v="2026-12-01T00:00:00"/>
    <s v="29/09/2026"/>
    <n v="0.94611065000000005"/>
    <m/>
    <n v="25000000"/>
    <n v="23652766.239999998"/>
    <n v="25000000"/>
    <n v="23652766.239999998"/>
    <n v="14422596"/>
    <s v="AMOMPY"/>
    <s v="Momentum Capital Investment S.A."/>
    <s v="02/09/2026"/>
    <s v="02/09/2026"/>
    <n v="33"/>
    <s v="No"/>
    <s v=""/>
    <m/>
    <m/>
    <s v="*MAV271101327"/>
    <s v="*MAV271101327"/>
    <n v="3.144533285270946E-4"/>
  </r>
  <r>
    <x v="234"/>
    <s v="Pesos"/>
    <d v="2026-12-01T00:00:00"/>
    <s v="29/09/2026"/>
    <n v="0.94611080000000003"/>
    <m/>
    <n v="2500000"/>
    <n v="2365276.9900000002"/>
    <n v="2500000"/>
    <n v="2365276.9900000002"/>
    <n v="678"/>
    <s v="AMOMPY"/>
    <s v="Momentum Capital Investment S.A."/>
    <s v="22/09/2026"/>
    <s v="22/09/2026"/>
    <n v="33"/>
    <s v="No"/>
    <s v=""/>
    <m/>
    <m/>
    <s v="*MAV271101468"/>
    <s v="*MAV271101468"/>
    <n v="3.1445337718521654E-5"/>
  </r>
  <r>
    <x v="28"/>
    <s v="Pesos"/>
    <d v="2026-12-01T00:00:00"/>
    <s v="29/09/2026"/>
    <n v="0.94765814000000004"/>
    <m/>
    <n v="3500000"/>
    <n v="3316803.49"/>
    <n v="3500000"/>
    <n v="3316803.49"/>
    <n v="1065"/>
    <s v="AMOMPY"/>
    <s v="Momentum Capital Investment S.A."/>
    <s v="25/08/2026"/>
    <s v="25/08/2026"/>
    <n v="32"/>
    <s v="No"/>
    <s v=""/>
    <m/>
    <m/>
    <s v="*MAV271101290"/>
    <s v="*MAV271101290"/>
    <n v="4.4095472255459291E-5"/>
  </r>
  <r>
    <x v="28"/>
    <s v="Pesos"/>
    <d v="2026-12-01T00:00:00"/>
    <s v="29/09/2026"/>
    <n v="0.94611067000000004"/>
    <m/>
    <n v="2500000"/>
    <n v="2365276.6800000002"/>
    <n v="2500000"/>
    <n v="2365276.6800000002"/>
    <n v="1029"/>
    <s v="AMOMPY"/>
    <s v="Momentum Capital Investment S.A."/>
    <s v="19/08/2026"/>
    <s v="18/08/2026"/>
    <n v="33"/>
    <s v="No"/>
    <s v=""/>
    <m/>
    <m/>
    <s v="*MAV271101274"/>
    <s v="*MAV271101274"/>
    <n v="3.1445333597205322E-5"/>
  </r>
  <r>
    <x v="205"/>
    <s v="Pesos"/>
    <d v="2026-12-01T00:00:00"/>
    <s v="29/09/2026"/>
    <n v="0.94611071000000002"/>
    <m/>
    <n v="100000000"/>
    <n v="94611071.430000007"/>
    <n v="100000000"/>
    <n v="94611071.430000007"/>
    <n v="20868"/>
    <s v="AMOMPY"/>
    <s v="Momentum Capital Investment S.A."/>
    <s v="28/09/2026"/>
    <s v="28/09/2026"/>
    <n v="33"/>
    <s v="No"/>
    <s v=""/>
    <m/>
    <m/>
    <s v="*MAV271101528"/>
    <s v="*MAV271101528"/>
    <n v="1.2578134001242388E-3"/>
  </r>
  <r>
    <x v="205"/>
    <s v="Pesos"/>
    <d v="2026-12-01T00:00:00"/>
    <s v="29/09/2026"/>
    <n v="0.94611071000000002"/>
    <m/>
    <n v="60000000"/>
    <n v="56766642.859999999"/>
    <n v="60000000"/>
    <n v="56766642.859999999"/>
    <n v="20867"/>
    <s v="AMOMPY"/>
    <s v="Momentum Capital Investment S.A."/>
    <s v="28/09/2026"/>
    <s v="28/09/2026"/>
    <n v="33"/>
    <s v="No"/>
    <s v=""/>
    <m/>
    <m/>
    <s v="*MAV271101527"/>
    <s v="*MAV271101527"/>
    <n v="7.5468804010113237E-4"/>
  </r>
  <r>
    <x v="335"/>
    <s v="Pesos"/>
    <d v="2026-12-01T00:00:00"/>
    <s v="29/09/2026"/>
    <n v="0.94765832999999999"/>
    <m/>
    <n v="11145337.859999999"/>
    <n v="10561972.25"/>
    <n v="11145337.859999999"/>
    <n v="10561972.25"/>
    <n v="16"/>
    <s v="AMOMPY"/>
    <s v="Momentum Capital Investment S.A."/>
    <s v="29/09/2026"/>
    <s v="29/09/2026"/>
    <n v="32"/>
    <s v="No"/>
    <s v=""/>
    <m/>
    <m/>
    <s v="*MAV271101537"/>
    <s v="*MAV271101537"/>
    <n v="1.4041686693739154E-4"/>
  </r>
  <r>
    <x v="176"/>
    <s v="Pesos"/>
    <d v="2026-12-01T00:00:00"/>
    <s v="29/09/2026"/>
    <n v="0.95076863"/>
    <m/>
    <n v="5910000"/>
    <n v="5619042.5999999996"/>
    <n v="5910000"/>
    <n v="5619042.5999999996"/>
    <n v="1027"/>
    <s v="AMOMPY"/>
    <s v="Momentum Capital Investment S.A."/>
    <s v="29/09/2026"/>
    <s v="29/09/2026"/>
    <n v="30"/>
    <s v="No"/>
    <s v=""/>
    <m/>
    <m/>
    <s v="*MAV271101544"/>
    <s v="*MAV271101544"/>
    <n v="7.4702748540144532E-5"/>
  </r>
  <r>
    <x v="89"/>
    <s v="Pesos"/>
    <d v="2026-12-02T00:00:00"/>
    <s v="29/09/2026"/>
    <n v="0.95320190000000005"/>
    <m/>
    <n v="32500000"/>
    <n v="30979061.890000001"/>
    <n v="32500000"/>
    <n v="30979061.890000001"/>
    <n v="1367872"/>
    <s v="AMOMPY"/>
    <s v="Momentum Capital Investment S.A."/>
    <s v="23/09/2026"/>
    <s v="23/09/2026"/>
    <n v="28"/>
    <s v="No"/>
    <s v=""/>
    <m/>
    <m/>
    <s v="*INP281100071"/>
    <s v="*INP281100071"/>
    <n v="4.1185327023116801E-4"/>
  </r>
  <r>
    <x v="89"/>
    <s v="Pesos"/>
    <d v="2026-12-02T00:00:00"/>
    <s v="29/09/2026"/>
    <n v="0.95320174999999996"/>
    <m/>
    <n v="8000000"/>
    <n v="7625614.0099999998"/>
    <n v="8000000"/>
    <n v="7625614.0099999998"/>
    <n v="6494"/>
    <s v="AMOMPY"/>
    <s v="Momentum Capital Investment S.A."/>
    <s v="17/09/2026"/>
    <s v="17/09/2026"/>
    <n v="28"/>
    <s v="No"/>
    <s v=""/>
    <m/>
    <m/>
    <s v="*INP301100125"/>
    <s v="*INP301100125"/>
    <n v="1.0137925023975316E-4"/>
  </r>
  <r>
    <x v="89"/>
    <s v="Pesos"/>
    <d v="2026-12-02T00:00:00"/>
    <s v="29/09/2026"/>
    <n v="0.95479762000000001"/>
    <m/>
    <n v="5000000"/>
    <n v="4773988.12"/>
    <n v="5000000"/>
    <n v="4773988.12"/>
    <n v="40740206"/>
    <s v="AMOMPY"/>
    <s v="Momentum Capital Investment S.A."/>
    <s v="18/09/2026"/>
    <s v="18/09/2026"/>
    <n v="27"/>
    <s v="No"/>
    <s v=""/>
    <m/>
    <m/>
    <s v="*INP301100122"/>
    <s v="*INP301100122"/>
    <n v="6.3468113600348457E-5"/>
  </r>
  <r>
    <x v="89"/>
    <s v="Pesos"/>
    <d v="2026-12-02T00:00:00"/>
    <s v="29/09/2026"/>
    <n v="0.95479762000000001"/>
    <m/>
    <n v="5000000"/>
    <n v="4773988.12"/>
    <n v="5000000"/>
    <n v="4773988.12"/>
    <n v="40740207"/>
    <s v="AMOMPY"/>
    <s v="Momentum Capital Investment S.A."/>
    <s v="18/09/2026"/>
    <s v="18/09/2026"/>
    <n v="27"/>
    <s v="No"/>
    <s v=""/>
    <m/>
    <m/>
    <s v="*INP301100123"/>
    <s v="*INP301100123"/>
    <n v="6.3468113600348457E-5"/>
  </r>
  <r>
    <x v="89"/>
    <s v="Pesos"/>
    <d v="2026-12-02T00:00:00"/>
    <s v="29/09/2026"/>
    <n v="0.95320176000000001"/>
    <m/>
    <n v="30000000"/>
    <n v="28596052.879999999"/>
    <n v="30000000"/>
    <n v="28596052.879999999"/>
    <n v="29600860"/>
    <s v="AMOMPY"/>
    <s v="Momentum Capital Investment S.A."/>
    <s v="07/07/2026"/>
    <s v="07/07/2026"/>
    <n v="28"/>
    <s v="No"/>
    <s v=""/>
    <m/>
    <m/>
    <s v="*INP301100104"/>
    <s v="*INP301100104"/>
    <n v="3.8017219295246419E-4"/>
  </r>
  <r>
    <x v="28"/>
    <s v="Pesos"/>
    <d v="2026-12-02T00:00:00"/>
    <s v="29/09/2026"/>
    <n v="0.94687160000000004"/>
    <m/>
    <n v="3500000"/>
    <n v="3314050.59"/>
    <n v="3500000"/>
    <n v="3314050.59"/>
    <n v="1066"/>
    <s v="AMOMPY"/>
    <s v="Momentum Capital Investment S.A."/>
    <s v="25/08/2026"/>
    <s v="25/08/2026"/>
    <n v="32"/>
    <s v="No"/>
    <s v=""/>
    <m/>
    <m/>
    <s v="*MAV301101831"/>
    <s v="*MAV301101831"/>
    <n v="4.4058873636958658E-5"/>
  </r>
  <r>
    <x v="336"/>
    <s v="Pesos"/>
    <d v="2026-12-02T00:00:00"/>
    <s v="29/09/2026"/>
    <n v="0.94530212000000002"/>
    <m/>
    <n v="16643128.32"/>
    <n v="15732784.560000001"/>
    <n v="16643128.32"/>
    <n v="15732784.560000001"/>
    <n v="70406277"/>
    <s v="AMOMPY"/>
    <s v="Momentum Capital Investment S.A."/>
    <s v="22/09/2026"/>
    <s v="22/09/2026"/>
    <n v="33"/>
    <s v="No"/>
    <s v=""/>
    <m/>
    <m/>
    <s v="*MAV291101340"/>
    <s v="*MAV291101340"/>
    <n v="2.0916058704056604E-4"/>
  </r>
  <r>
    <x v="337"/>
    <s v="Pesos"/>
    <d v="2026-12-02T00:00:00"/>
    <s v="29/09/2026"/>
    <n v="0.94530212000000002"/>
    <m/>
    <n v="27362969"/>
    <n v="25866272.73"/>
    <n v="27362969"/>
    <n v="25866272.73"/>
    <n v="90004137"/>
    <s v="AMOMPY"/>
    <s v="Momentum Capital Investment S.A."/>
    <s v="22/09/2026"/>
    <s v="22/09/2026"/>
    <n v="33"/>
    <s v="No"/>
    <s v=""/>
    <m/>
    <m/>
    <s v="*MAV301102082"/>
    <s v="*MAV301102082"/>
    <n v="3.4388094288873835E-4"/>
  </r>
  <r>
    <x v="338"/>
    <s v="Pesos"/>
    <d v="2026-12-02T00:00:00"/>
    <s v="29/09/2026"/>
    <n v="0.94530210999999997"/>
    <m/>
    <n v="526947.42000000004"/>
    <n v="498124.51"/>
    <n v="526947.42000000004"/>
    <n v="498124.51"/>
    <n v="352926"/>
    <s v="AMOMPY"/>
    <s v="Momentum Capital Investment S.A."/>
    <s v="22/09/2026"/>
    <s v="22/09/2026"/>
    <n v="33"/>
    <s v="No"/>
    <s v=""/>
    <m/>
    <m/>
    <s v="*MAV301102081"/>
    <s v="*MAV301102081"/>
    <n v="6.6223505784086269E-6"/>
  </r>
  <r>
    <x v="339"/>
    <s v="Pesos"/>
    <d v="2026-12-02T00:00:00"/>
    <s v="29/09/2026"/>
    <n v="0.94687164999999995"/>
    <m/>
    <n v="50000000"/>
    <n v="47343582.420000002"/>
    <n v="50000000"/>
    <n v="47343582.420000002"/>
    <n v="4630"/>
    <s v="AMOMPY"/>
    <s v="Momentum Capital Investment S.A."/>
    <s v="23/09/2026"/>
    <s v="23/09/2026"/>
    <n v="32"/>
    <s v="No"/>
    <s v=""/>
    <m/>
    <m/>
    <s v="*MAV281101558"/>
    <s v="*MAV281101558"/>
    <n v="6.2941251460006155E-4"/>
  </r>
  <r>
    <x v="340"/>
    <s v="Pesos"/>
    <d v="2026-12-02T00:00:00"/>
    <s v="29/09/2026"/>
    <n v="0.94844631000000001"/>
    <m/>
    <n v="1112906.01"/>
    <n v="1055531.6000000001"/>
    <n v="1112906.01"/>
    <n v="1055531.6000000001"/>
    <n v="876"/>
    <s v="AMOMPY"/>
    <s v="Momentum Capital Investment S.A."/>
    <s v="23/09/2026"/>
    <s v="23/09/2026"/>
    <n v="31"/>
    <s v="No"/>
    <s v=""/>
    <m/>
    <m/>
    <s v="*MAV281101557"/>
    <s v="*MAV281101557"/>
    <n v="1.4032837496369298E-5"/>
  </r>
  <r>
    <x v="322"/>
    <s v="Pesos"/>
    <d v="2026-12-02T00:00:00"/>
    <s v="29/09/2026"/>
    <n v="0.95002611999999997"/>
    <m/>
    <n v="650000"/>
    <n v="617516.98"/>
    <n v="650000"/>
    <n v="617516.98"/>
    <n v="69995873"/>
    <s v="AMOMPY"/>
    <s v="Momentum Capital Investment S.A."/>
    <s v="25/09/2026"/>
    <s v="25/09/2026"/>
    <n v="30"/>
    <s v="No"/>
    <s v=""/>
    <m/>
    <m/>
    <s v="*MAV281101572"/>
    <s v="*MAV281101572"/>
    <n v="8.2096219872420019E-6"/>
  </r>
  <r>
    <x v="155"/>
    <s v="Pesos"/>
    <d v="2026-12-02T00:00:00"/>
    <s v="29/09/2026"/>
    <n v="0.95002613000000002"/>
    <m/>
    <n v="50000000"/>
    <n v="47501306.630000003"/>
    <n v="50000000"/>
    <n v="47501306.630000003"/>
    <n v="68074"/>
    <s v="AMOMPY"/>
    <s v="Momentum Capital Investment S.A."/>
    <s v="18/09/2026"/>
    <s v="18/09/2026"/>
    <n v="30"/>
    <s v="No"/>
    <s v=""/>
    <m/>
    <m/>
    <s v="*MAV301102058"/>
    <s v="*MAV301102058"/>
    <n v="6.3150938996426025E-4"/>
  </r>
  <r>
    <x v="331"/>
    <s v="Pesos"/>
    <d v="2026-12-02T00:00:00"/>
    <s v="29/09/2026"/>
    <n v="0.95639883000000003"/>
    <m/>
    <n v="7000000"/>
    <n v="6694791.8200000003"/>
    <n v="7000000"/>
    <n v="6694791.8200000003"/>
    <n v="1740"/>
    <s v="AMOMPY"/>
    <s v="Momentum Capital Investment S.A."/>
    <s v="01/09/2026"/>
    <s v="01/09/2026"/>
    <n v="26"/>
    <s v="No"/>
    <s v=""/>
    <m/>
    <m/>
    <s v="*POT301100210"/>
    <s v="*POT301100210"/>
    <n v="8.9004370576951426E-5"/>
  </r>
  <r>
    <x v="331"/>
    <s v="Pesos"/>
    <d v="2026-12-02T00:00:00"/>
    <s v="29/09/2026"/>
    <n v="0.95639883000000003"/>
    <m/>
    <n v="7000000"/>
    <n v="6694791.8200000003"/>
    <n v="7000000"/>
    <n v="6694791.8200000003"/>
    <n v="1738"/>
    <s v="AMOMPY"/>
    <s v="Momentum Capital Investment S.A."/>
    <s v="01/09/2026"/>
    <s v="01/09/2026"/>
    <n v="26"/>
    <s v="No"/>
    <s v=""/>
    <m/>
    <m/>
    <s v="*POT281100071"/>
    <s v="*POT281100071"/>
    <n v="8.9004370576951426E-5"/>
  </r>
  <r>
    <x v="331"/>
    <s v="Pesos"/>
    <d v="2026-12-02T00:00:00"/>
    <s v="29/09/2026"/>
    <n v="0.95639883000000003"/>
    <m/>
    <n v="7000000"/>
    <n v="6694791.8200000003"/>
    <n v="7000000"/>
    <n v="6694791.8200000003"/>
    <n v="1739"/>
    <s v="AMOMPY"/>
    <s v="Momentum Capital Investment S.A."/>
    <s v="01/09/2026"/>
    <s v="01/09/2026"/>
    <n v="26"/>
    <s v="No"/>
    <s v=""/>
    <m/>
    <m/>
    <s v="*POT291100207"/>
    <s v="*POT291100207"/>
    <n v="8.9004370576951426E-5"/>
  </r>
  <r>
    <x v="35"/>
    <s v="Pesos"/>
    <d v="2026-12-02T00:00:00"/>
    <s v="29/09/2026"/>
    <n v="0.94217874000000001"/>
    <m/>
    <n v="3256800.5"/>
    <n v="3068488.18"/>
    <n v="3256800.5"/>
    <n v="3068488.18"/>
    <n v="3600"/>
    <s v="AMOMPY"/>
    <s v="Momentum Capital Investment S.A."/>
    <s v="25/09/2026"/>
    <s v="25/09/2026"/>
    <n v="35"/>
    <s v="No"/>
    <s v=""/>
    <m/>
    <m/>
    <s v="*MAV301102118"/>
    <s v="*MAV301102118"/>
    <n v="4.0794227277961157E-5"/>
  </r>
  <r>
    <x v="341"/>
    <s v="Pesos"/>
    <d v="2026-12-02T00:00:00"/>
    <s v="29/09/2026"/>
    <n v="0.94530210999999997"/>
    <m/>
    <n v="5000000"/>
    <n v="4726510.53"/>
    <n v="5000000"/>
    <n v="4726510.53"/>
    <n v="2874"/>
    <s v="AMOMPY"/>
    <s v="Momentum Capital Investment S.A."/>
    <s v="11/09/2026"/>
    <s v="11/09/2026"/>
    <n v="33"/>
    <s v="No"/>
    <s v=""/>
    <m/>
    <m/>
    <s v="*MAV301102026"/>
    <s v="*MAV301102026"/>
    <n v="6.2836919512753882E-5"/>
  </r>
  <r>
    <x v="54"/>
    <s v="Pesos"/>
    <d v="2026-12-02T00:00:00"/>
    <s v="29/09/2026"/>
    <n v="0.95002613999999996"/>
    <m/>
    <n v="1852533.42"/>
    <n v="1759955.18"/>
    <n v="1852533.42"/>
    <n v="1759955.18"/>
    <n v="20521667"/>
    <s v="AMOMPY"/>
    <s v="Momentum Capital Investment S.A."/>
    <s v="11/09/2026"/>
    <s v="11/09/2026"/>
    <n v="30"/>
    <s v="No"/>
    <s v=""/>
    <m/>
    <m/>
    <s v="*MAV281101527"/>
    <s v="*MAV281101527"/>
    <n v="2.339784525809874E-5"/>
  </r>
  <r>
    <x v="342"/>
    <s v="Pesos"/>
    <d v="2026-12-02T00:00:00"/>
    <s v="29/09/2026"/>
    <n v="0.94530206000000006"/>
    <m/>
    <n v="4883046.87"/>
    <n v="4615954.29"/>
    <n v="4883046.87"/>
    <n v="4615954.29"/>
    <n v="90001644"/>
    <s v="AMOMPY"/>
    <s v="Momentum Capital Investment S.A."/>
    <s v="14/09/2026"/>
    <s v="14/09/2026"/>
    <n v="33"/>
    <s v="No"/>
    <s v=""/>
    <m/>
    <m/>
    <s v="*MAV291101330"/>
    <s v="*MAV291101330"/>
    <n v="6.1367121971752167E-5"/>
  </r>
  <r>
    <x v="267"/>
    <s v="Pesos"/>
    <d v="2026-12-02T00:00:00"/>
    <s v="29/09/2026"/>
    <n v="0.94687158000000005"/>
    <m/>
    <n v="851519.2"/>
    <n v="806279.33"/>
    <n v="851519.2"/>
    <n v="806279.33"/>
    <n v="2000"/>
    <s v="AMOMPY"/>
    <s v="Momentum Capital Investment S.A."/>
    <s v="15/09/2026"/>
    <s v="15/09/2026"/>
    <n v="32"/>
    <s v="No"/>
    <s v=""/>
    <m/>
    <m/>
    <s v="*MAV301102044"/>
    <s v="*MAV301102044"/>
    <n v="1.0719136039670924E-5"/>
  </r>
  <r>
    <x v="163"/>
    <s v="Pesos"/>
    <d v="2026-12-02T00:00:00"/>
    <s v="29/09/2026"/>
    <n v="0.94217879999999998"/>
    <m/>
    <n v="20000000"/>
    <n v="18843575.960000001"/>
    <n v="20000000"/>
    <n v="18843575.960000001"/>
    <n v="224"/>
    <s v="AMOMPY"/>
    <s v="Momentum Capital Investment S.A."/>
    <s v="01/09/2026"/>
    <s v="01/09/2026"/>
    <n v="35"/>
    <s v="No"/>
    <s v=""/>
    <m/>
    <m/>
    <s v="*MAV301101889"/>
    <s v="*MAV301101889"/>
    <n v="2.5051721738806405E-4"/>
  </r>
  <r>
    <x v="317"/>
    <s v="Pesos"/>
    <d v="2026-12-02T00:00:00"/>
    <s v="29/09/2026"/>
    <n v="0.94530212000000002"/>
    <m/>
    <n v="5800000"/>
    <n v="5482752.2999999998"/>
    <n v="5800000"/>
    <n v="5482752.2999999998"/>
    <n v="6580"/>
    <s v="AMOMPY"/>
    <s v="Momentum Capital Investment S.A."/>
    <s v="21/08/2026"/>
    <s v="21/08/2026"/>
    <n v="33"/>
    <s v="No"/>
    <s v=""/>
    <m/>
    <m/>
    <s v="*MAV291101291"/>
    <s v="*MAV291101291"/>
    <n v="7.289082776749176E-5"/>
  </r>
  <r>
    <x v="8"/>
    <s v="Pesos"/>
    <d v="2026-12-02T00:00:00"/>
    <s v="29/09/2026"/>
    <n v="0.95639870000000005"/>
    <m/>
    <n v="5000000"/>
    <n v="4781993.5199999996"/>
    <n v="5000000"/>
    <n v="4781993.5199999996"/>
    <n v="491507"/>
    <s v="AMOMPY"/>
    <s v="Momentum Capital Investment S.A."/>
    <s v="20/07/2026"/>
    <s v="20/07/2026"/>
    <n v="26"/>
    <s v="No"/>
    <s v=""/>
    <m/>
    <m/>
    <s v="*MIL281100045"/>
    <s v="*MIL281100045"/>
    <n v="6.3574541941568592E-5"/>
  </r>
  <r>
    <x v="247"/>
    <s v="Pesos"/>
    <d v="2026-12-02T00:00:00"/>
    <s v="29/09/2026"/>
    <n v="0.94373788999999997"/>
    <m/>
    <n v="13000000"/>
    <n v="12268592.57"/>
    <n v="13000000"/>
    <n v="12268592.57"/>
    <n v="14330929"/>
    <s v="AMOMPY"/>
    <s v="Momentum Capital Investment S.A."/>
    <s v="25/08/2026"/>
    <s v="25/08/2026"/>
    <n v="34"/>
    <s v="No"/>
    <s v=""/>
    <m/>
    <m/>
    <s v="*MAV301101834"/>
    <s v="*MAV301101834"/>
    <n v="1.631056482287918E-4"/>
  </r>
  <r>
    <x v="258"/>
    <s v="Pesos"/>
    <d v="2026-12-02T00:00:00"/>
    <s v="29/09/2026"/>
    <n v="0.94687158999999999"/>
    <m/>
    <n v="1217387.51"/>
    <n v="1152709.6499999999"/>
    <n v="1217387.51"/>
    <n v="1152709.6499999999"/>
    <n v="1809"/>
    <s v="AMOMPY"/>
    <s v="Momentum Capital Investment S.A."/>
    <s v="01/09/2026"/>
    <s v="01/09/2026"/>
    <n v="32"/>
    <s v="No"/>
    <s v=""/>
    <m/>
    <m/>
    <s v="*MAV301101898"/>
    <s v="*MAV301101898"/>
    <n v="1.532477776974818E-5"/>
  </r>
  <r>
    <x v="302"/>
    <s v="Pesos"/>
    <d v="2026-12-02T00:00:00"/>
    <s v="29/09/2026"/>
    <n v="0.94844620000000002"/>
    <m/>
    <n v="5000000"/>
    <n v="4742231"/>
    <n v="5000000"/>
    <n v="4742231"/>
    <n v="90000450"/>
    <s v="AMOMPY"/>
    <s v="Momentum Capital Investment S.A."/>
    <s v="07/09/2026"/>
    <s v="07/09/2026"/>
    <n v="31"/>
    <s v="No"/>
    <s v=""/>
    <m/>
    <m/>
    <s v="*MAV301101972"/>
    <s v="*MAV301101972"/>
    <n v="6.304591638302906E-5"/>
  </r>
  <r>
    <x v="82"/>
    <s v="Pesos"/>
    <d v="2026-12-02T00:00:00"/>
    <s v="29/09/2026"/>
    <n v="0.95002613999999996"/>
    <m/>
    <n v="2934952.58"/>
    <n v="2788281.68"/>
    <n v="2934952.58"/>
    <n v="2788281.68"/>
    <n v="6916"/>
    <s v="AMOMPY"/>
    <s v="Momentum Capital Investment S.A."/>
    <s v="11/09/2026"/>
    <s v="11/09/2026"/>
    <n v="30"/>
    <s v="No"/>
    <s v=""/>
    <m/>
    <m/>
    <s v="*MAV301102029"/>
    <s v="*MAV301102029"/>
    <n v="3.7069002680302114E-5"/>
  </r>
  <r>
    <x v="39"/>
    <s v="Pesos"/>
    <d v="2026-12-02T00:00:00"/>
    <s v="29/09/2026"/>
    <n v="0.95161125999999996"/>
    <m/>
    <n v="4103981.39"/>
    <n v="3905394.92"/>
    <n v="4103981.39"/>
    <n v="3905394.92"/>
    <n v="90000123"/>
    <s v="AMOMPY"/>
    <s v="Momentum Capital Investment S.A."/>
    <s v="03/07/2026"/>
    <s v="03/07/2026"/>
    <n v="29"/>
    <s v="No"/>
    <s v=""/>
    <m/>
    <m/>
    <s v="*FED301100090"/>
    <s v="*FED301100090"/>
    <n v="5.192054152761146E-5"/>
  </r>
  <r>
    <x v="8"/>
    <s v="Pesos"/>
    <d v="2026-12-02T00:00:00"/>
    <s v="29/09/2026"/>
    <n v="0.95320176000000001"/>
    <m/>
    <n v="7000000"/>
    <n v="6672412.3399999999"/>
    <n v="7000000"/>
    <n v="6672412.3399999999"/>
    <n v="67768339"/>
    <s v="AMOMPY"/>
    <s v="Momentum Capital Investment S.A."/>
    <s v="07/07/2026"/>
    <s v="07/07/2026"/>
    <n v="28"/>
    <s v="No"/>
    <s v=""/>
    <m/>
    <m/>
    <s v="*MIL301100029"/>
    <s v="*MIL301100029"/>
    <n v="8.870684503996773E-5"/>
  </r>
  <r>
    <x v="8"/>
    <s v="Pesos"/>
    <d v="2026-12-02T00:00:00"/>
    <s v="29/09/2026"/>
    <n v="0.94844620000000002"/>
    <m/>
    <n v="5000000"/>
    <n v="4742231"/>
    <n v="5000000"/>
    <n v="4742231"/>
    <n v="8808"/>
    <s v="AMOMPY"/>
    <s v="Momentum Capital Investment S.A."/>
    <s v="07/09/2026"/>
    <s v="07/09/2026"/>
    <n v="31"/>
    <s v="No"/>
    <s v=""/>
    <m/>
    <m/>
    <s v="*MIL301100034"/>
    <s v="*MIL301100034"/>
    <n v="6.304591638302906E-5"/>
  </r>
  <r>
    <x v="343"/>
    <s v="Pesos"/>
    <d v="2026-12-02T00:00:00"/>
    <s v="29/09/2026"/>
    <n v="0.94530201999999997"/>
    <m/>
    <n v="3320250"/>
    <n v="3138639.02"/>
    <n v="3320250"/>
    <n v="3138639.02"/>
    <n v="10539964"/>
    <s v="AMOMPY"/>
    <s v="Momentum Capital Investment S.A."/>
    <s v="28/07/2026"/>
    <s v="28/07/2026"/>
    <n v="33"/>
    <s v="No"/>
    <s v=""/>
    <m/>
    <m/>
    <s v="*MAV301101717"/>
    <s v="*MAV301101717"/>
    <n v="4.1726852448021249E-5"/>
  </r>
  <r>
    <x v="15"/>
    <s v="Pesos"/>
    <d v="2026-12-02T00:00:00"/>
    <s v="29/09/2026"/>
    <n v="0.94687158999999999"/>
    <m/>
    <n v="5444208"/>
    <n v="5154965.9000000004"/>
    <n v="5444208"/>
    <n v="5154965.9000000004"/>
    <n v="3450"/>
    <s v="AMOMPY"/>
    <s v="Momentum Capital Investment S.A."/>
    <s v="25/08/2026"/>
    <s v="25/08/2026"/>
    <n v="32"/>
    <s v="No"/>
    <s v=""/>
    <m/>
    <m/>
    <s v="*MAV281101463"/>
    <s v="*MAV281101463"/>
    <n v="6.8533048914902323E-5"/>
  </r>
  <r>
    <x v="37"/>
    <s v="Pesos"/>
    <d v="2026-12-02T00:00:00"/>
    <s v="29/09/2026"/>
    <n v="0.95320181000000004"/>
    <m/>
    <n v="13500000"/>
    <n v="12868224.460000001"/>
    <n v="13500000"/>
    <n v="12868224.460000001"/>
    <n v="168"/>
    <s v="AMOMPY"/>
    <s v="Momentum Capital Investment S.A."/>
    <s v="18/09/2026"/>
    <s v="18/09/2026"/>
    <n v="28"/>
    <s v="No"/>
    <s v=""/>
    <m/>
    <m/>
    <s v="*AFB301100010"/>
    <s v="*AFB301100010"/>
    <n v="1.7107749565620258E-4"/>
  </r>
  <r>
    <x v="296"/>
    <s v="Pesos"/>
    <d v="2026-12-02T00:00:00"/>
    <s v="29/09/2026"/>
    <n v="0.94530212000000002"/>
    <m/>
    <n v="2500000"/>
    <n v="2363255.31"/>
    <n v="2500000"/>
    <n v="2363255.31"/>
    <n v="102"/>
    <s v="AMOMPY"/>
    <s v="Momentum Capital Investment S.A."/>
    <s v="22/09/2026"/>
    <s v="22/09/2026"/>
    <n v="33"/>
    <s v="No"/>
    <s v=""/>
    <m/>
    <m/>
    <s v="*MAV301102080"/>
    <s v="*MAV301102080"/>
    <n v="3.1418460354632537E-5"/>
  </r>
  <r>
    <x v="210"/>
    <s v="Pesos"/>
    <d v="2026-12-02T00:00:00"/>
    <s v="29/09/2026"/>
    <n v="0.94530205"/>
    <m/>
    <n v="1500000"/>
    <n v="1417953.07"/>
    <n v="1500000"/>
    <n v="1417953.07"/>
    <n v="591"/>
    <s v="AMOMPY"/>
    <s v="Momentum Capital Investment S.A."/>
    <s v="21/09/2026"/>
    <s v="21/09/2026"/>
    <n v="33"/>
    <s v="No"/>
    <s v=""/>
    <m/>
    <m/>
    <s v="*MAV291101339"/>
    <s v="*MAV291101339"/>
    <n v="1.8851074670609539E-5"/>
  </r>
  <r>
    <x v="210"/>
    <s v="Pesos"/>
    <d v="2026-12-02T00:00:00"/>
    <s v="29/09/2026"/>
    <n v="0.94530205"/>
    <m/>
    <n v="1500000"/>
    <n v="1417953.07"/>
    <n v="1500000"/>
    <n v="1417953.07"/>
    <n v="592"/>
    <s v="AMOMPY"/>
    <s v="Momentum Capital Investment S.A."/>
    <s v="21/09/2026"/>
    <s v="21/09/2026"/>
    <n v="33"/>
    <s v="No"/>
    <s v=""/>
    <m/>
    <m/>
    <s v="*MAV301102071"/>
    <s v="*MAV301102071"/>
    <n v="1.8851074670609539E-5"/>
  </r>
  <r>
    <x v="210"/>
    <s v="Pesos"/>
    <d v="2026-12-02T00:00:00"/>
    <s v="29/09/2026"/>
    <n v="0.94530205"/>
    <m/>
    <n v="1500000"/>
    <n v="1417953.07"/>
    <n v="1500000"/>
    <n v="1417953.07"/>
    <n v="590"/>
    <s v="AMOMPY"/>
    <s v="Momentum Capital Investment S.A."/>
    <s v="21/09/2026"/>
    <s v="21/09/2026"/>
    <n v="33"/>
    <s v="No"/>
    <s v=""/>
    <m/>
    <m/>
    <s v="*MAV281101550"/>
    <s v="*MAV281101550"/>
    <n v="1.8851074670609539E-5"/>
  </r>
  <r>
    <x v="344"/>
    <s v="Pesos"/>
    <d v="2026-12-02T00:00:00"/>
    <s v="29/09/2026"/>
    <n v="0.94844618000000003"/>
    <m/>
    <n v="50000000"/>
    <n v="47422308.770000003"/>
    <n v="50000000"/>
    <n v="47422308.770000003"/>
    <n v="5791"/>
    <s v="AMOMPY"/>
    <s v="Momentum Capital Investment S.A."/>
    <s v="03/09/2026"/>
    <s v="03/09/2026"/>
    <n v="31"/>
    <s v="No"/>
    <s v=""/>
    <m/>
    <m/>
    <s v="*MAV301101931"/>
    <s v="*MAV301101931"/>
    <n v="6.3045914747797091E-4"/>
  </r>
  <r>
    <x v="344"/>
    <s v="Pesos"/>
    <d v="2026-12-02T00:00:00"/>
    <s v="29/09/2026"/>
    <n v="0.94844618000000003"/>
    <m/>
    <n v="50000000"/>
    <n v="47422308.770000003"/>
    <n v="50000000"/>
    <n v="47422308.770000003"/>
    <n v="5792"/>
    <s v="AMOMPY"/>
    <s v="Momentum Capital Investment S.A."/>
    <s v="03/09/2026"/>
    <s v="03/09/2026"/>
    <n v="31"/>
    <s v="No"/>
    <s v=""/>
    <m/>
    <m/>
    <s v="*MAV301101932"/>
    <s v="*MAV301101932"/>
    <n v="6.3045914747797091E-4"/>
  </r>
  <r>
    <x v="182"/>
    <s v="Pesos"/>
    <d v="2026-12-02T00:00:00"/>
    <s v="29/09/2026"/>
    <n v="0.94530208999999998"/>
    <m/>
    <n v="6512309.3700000001"/>
    <n v="6156099.6399999997"/>
    <n v="6512309.3700000001"/>
    <n v="6156099.6399999997"/>
    <n v="90001933"/>
    <s v="AMOMPY"/>
    <s v="Momentum Capital Investment S.A."/>
    <s v="06/08/2026"/>
    <s v="06/08/2026"/>
    <n v="33"/>
    <s v="No"/>
    <s v=""/>
    <m/>
    <m/>
    <s v="*MAV301101739"/>
    <s v="*MAV301101739"/>
    <n v="8.1842690317918978E-5"/>
  </r>
  <r>
    <x v="102"/>
    <s v="Pesos"/>
    <d v="2026-12-02T00:00:00"/>
    <s v="29/09/2026"/>
    <n v="0.96611974"/>
    <m/>
    <n v="8500000"/>
    <n v="8212017.79"/>
    <n v="8500000"/>
    <n v="8212017.79"/>
    <n v="34605"/>
    <s v="AMOMPY"/>
    <s v="Momentum Capital Investment S.A."/>
    <s v="08/09/2026"/>
    <s v="08/09/2026"/>
    <n v="20"/>
    <s v="No"/>
    <s v=""/>
    <m/>
    <m/>
    <s v="*MAV301101960"/>
    <s v="*MAV301101960"/>
    <n v="1.0917523564842941E-4"/>
  </r>
  <r>
    <x v="75"/>
    <s v="Pesos"/>
    <d v="2026-12-02T00:00:00"/>
    <s v="29/09/2026"/>
    <n v="0.94687153999999996"/>
    <m/>
    <n v="2833000"/>
    <n v="2682487.06"/>
    <n v="2833000"/>
    <n v="2682487.06"/>
    <n v="90000056"/>
    <s v="AMOMPY"/>
    <s v="Momentum Capital Investment S.A."/>
    <s v="25/09/2026"/>
    <s v="25/09/2026"/>
    <n v="32"/>
    <s v="No"/>
    <s v=""/>
    <m/>
    <m/>
    <s v="*MAV281101566"/>
    <s v="*MAV281101566"/>
    <n v="3.5662508824078254E-5"/>
  </r>
  <r>
    <x v="21"/>
    <s v="Pesos"/>
    <d v="2026-12-02T00:00:00"/>
    <s v="29/09/2026"/>
    <n v="0.94530205"/>
    <m/>
    <n v="25000000"/>
    <n v="23632551.27"/>
    <n v="25000000"/>
    <n v="23632551.27"/>
    <n v="14422657"/>
    <s v="AMOMPY"/>
    <s v="Momentum Capital Investment S.A."/>
    <s v="03/09/2026"/>
    <s v="03/09/2026"/>
    <n v="33"/>
    <s v="No"/>
    <s v=""/>
    <m/>
    <m/>
    <s v="*MAV291101308"/>
    <s v="*MAV291101308"/>
    <n v="3.1418457921726444E-4"/>
  </r>
  <r>
    <x v="172"/>
    <s v="Pesos"/>
    <d v="2026-12-02T00:00:00"/>
    <s v="29/09/2026"/>
    <n v="0.95320178"/>
    <m/>
    <n v="5000000"/>
    <n v="4766008.88"/>
    <n v="5000000"/>
    <n v="4766008.88"/>
    <n v="12"/>
    <s v="AMOMPY"/>
    <s v="Momentum Capital Investment S.A."/>
    <s v="21/09/2026"/>
    <s v="21/09/2026"/>
    <n v="28"/>
    <s v="No"/>
    <s v=""/>
    <m/>
    <m/>
    <s v="*TRD281100044"/>
    <s v="*TRD281100044"/>
    <n v="6.3362033045048612E-5"/>
  </r>
  <r>
    <x v="49"/>
    <s v="Pesos"/>
    <d v="2026-12-02T00:00:00"/>
    <s v="29/09/2026"/>
    <n v="0.94530208999999998"/>
    <m/>
    <n v="2600411.64"/>
    <n v="2458174.5699999998"/>
    <n v="2600411.64"/>
    <n v="2458174.5699999998"/>
    <n v="90000275"/>
    <s v="AMOMPY"/>
    <s v="Momentum Capital Investment S.A."/>
    <s v="06/08/2026"/>
    <s v="06/08/2026"/>
    <n v="33"/>
    <s v="No"/>
    <s v=""/>
    <m/>
    <m/>
    <s v="*MAV301101738"/>
    <s v="*MAV301101738"/>
    <n v="3.268037098890973E-5"/>
  </r>
  <r>
    <x v="27"/>
    <s v="Pesos"/>
    <d v="2026-12-02T00:00:00"/>
    <s v="29/09/2026"/>
    <n v="0.95320181000000004"/>
    <m/>
    <n v="5000000"/>
    <n v="4766009.0599999996"/>
    <n v="5000000"/>
    <n v="4766009.0599999996"/>
    <n v="14315891"/>
    <s v="AMOMPY"/>
    <s v="Momentum Capital Investment S.A."/>
    <s v="18/09/2026"/>
    <s v="18/09/2026"/>
    <n v="28"/>
    <s v="No"/>
    <s v=""/>
    <m/>
    <m/>
    <s v="*MOV301100139"/>
    <s v="*MOV301100139"/>
    <n v="6.3362035438070997E-5"/>
  </r>
  <r>
    <x v="28"/>
    <s v="Pesos"/>
    <d v="2026-12-02T00:00:00"/>
    <s v="29/09/2026"/>
    <n v="0.94530201999999997"/>
    <m/>
    <n v="2500000"/>
    <n v="2363255.04"/>
    <n v="2500000"/>
    <n v="2363255.04"/>
    <n v="1030"/>
    <s v="AMOMPY"/>
    <s v="Momentum Capital Investment S.A."/>
    <s v="19/08/2026"/>
    <s v="19/08/2026"/>
    <n v="33"/>
    <s v="No"/>
    <s v=""/>
    <m/>
    <m/>
    <s v="*MAV301101795"/>
    <s v="*MAV301101795"/>
    <n v="3.1418456765098953E-5"/>
  </r>
  <r>
    <x v="76"/>
    <s v="Pesos"/>
    <d v="2026-12-02T00:00:00"/>
    <s v="29/09/2026"/>
    <n v="0.93753226000000001"/>
    <m/>
    <n v="100000000"/>
    <n v="93753226.290000007"/>
    <n v="100000000"/>
    <n v="93753226.290000007"/>
    <n v="70219574"/>
    <s v="AMOMPY"/>
    <s v="Momentum Capital Investment S.A."/>
    <s v="29/09/2026"/>
    <s v="29/09/2026"/>
    <n v="38"/>
    <s v="No"/>
    <s v=""/>
    <m/>
    <m/>
    <s v="*MAV301102135"/>
    <s v="*MAV301102135"/>
    <n v="1.246408718874838E-3"/>
  </r>
  <r>
    <x v="345"/>
    <s v="Pesos"/>
    <d v="2026-12-02T00:00:00"/>
    <s v="29/09/2026"/>
    <n v="0.94687157"/>
    <m/>
    <n v="10386286.039999999"/>
    <n v="9834478.9299999997"/>
    <n v="10386286.039999999"/>
    <n v="9834478.9299999997"/>
    <n v="54595090"/>
    <s v="AMOMPY"/>
    <s v="Momentum Capital Investment S.A."/>
    <s v="29/09/2026"/>
    <s v="29/09/2026"/>
    <n v="32"/>
    <s v="No"/>
    <s v=""/>
    <m/>
    <m/>
    <s v="*MAV291101351"/>
    <s v="*MAV291101351"/>
    <n v="1.3074515692960571E-4"/>
  </r>
  <r>
    <x v="89"/>
    <s v="Pesos"/>
    <d v="2026-12-03T00:00:00"/>
    <s v="29/09/2026"/>
    <n v="0.95412368000000003"/>
    <m/>
    <n v="10000000"/>
    <n v="9541236.8100000005"/>
    <n v="10000000"/>
    <n v="9541236.8100000005"/>
    <n v="40740199"/>
    <s v="AMOMPY"/>
    <s v="Momentum Capital Investment S.A."/>
    <s v="18/09/2026"/>
    <s v="18/09/2026"/>
    <n v="27"/>
    <s v="No"/>
    <s v=""/>
    <m/>
    <m/>
    <s v="*INP011200072"/>
    <s v="*INP011200072"/>
    <n v="1.2684662938476402E-4"/>
  </r>
  <r>
    <x v="89"/>
    <s v="Pesos"/>
    <d v="2026-12-03T00:00:00"/>
    <s v="29/09/2026"/>
    <n v="0.95412368000000003"/>
    <m/>
    <n v="10000000"/>
    <n v="9541236.8100000005"/>
    <n v="10000000"/>
    <n v="9541236.8100000005"/>
    <n v="40740210"/>
    <s v="AMOMPY"/>
    <s v="Momentum Capital Investment S.A."/>
    <s v="18/09/2026"/>
    <s v="18/09/2026"/>
    <n v="27"/>
    <s v="No"/>
    <s v=""/>
    <m/>
    <m/>
    <s v="*INP011200073"/>
    <s v="*INP011200073"/>
    <n v="1.2684662938476402E-4"/>
  </r>
  <r>
    <x v="28"/>
    <s v="Dolar 3500"/>
    <d v="2026-12-03T00:00:00"/>
    <s v="29/09/2026"/>
    <n v="0.98595352999999997"/>
    <s v="1 US3 = 1523,9697583441 $"/>
    <n v="150000"/>
    <n v="147893.03"/>
    <n v="228595463.75"/>
    <n v="225384505.19"/>
    <n v="164929"/>
    <s v="AMOMPY"/>
    <s v="Momentum Capital Investment S.A."/>
    <s v="14/09/2026"/>
    <s v="14/09/2026"/>
    <n v="8"/>
    <s v="No"/>
    <s v=""/>
    <m/>
    <m/>
    <s v="#UMV011260064"/>
    <s v="#UMV011260064"/>
    <n v="2.9963898148865202E-3"/>
  </r>
  <r>
    <x v="28"/>
    <s v="Dolar 3500"/>
    <d v="2026-12-03T00:00:00"/>
    <s v="29/09/2026"/>
    <n v="0.98595356000000001"/>
    <s v="1 US3 = 1523,9697583441 $"/>
    <n v="450000"/>
    <n v="443679.1"/>
    <n v="685786391.25"/>
    <n v="676153530.80999994"/>
    <n v="165877"/>
    <s v="AMOMPY"/>
    <s v="Momentum Capital Investment S.A."/>
    <s v="21/09/2026"/>
    <s v="21/09/2026"/>
    <n v="8"/>
    <s v="No"/>
    <s v=""/>
    <m/>
    <m/>
    <s v="#UMV011260065"/>
    <s v="#UMV011260065"/>
    <n v="8.9891696472687889E-3"/>
  </r>
  <r>
    <x v="331"/>
    <s v="Pesos"/>
    <d v="2026-12-03T00:00:00"/>
    <s v="29/09/2026"/>
    <n v="0.95574766"/>
    <m/>
    <n v="7000000"/>
    <n v="6690233.6500000004"/>
    <n v="7000000"/>
    <n v="6690233.6500000004"/>
    <n v="1741"/>
    <s v="AMOMPY"/>
    <s v="Momentum Capital Investment S.A."/>
    <s v="01/09/2026"/>
    <s v="01/09/2026"/>
    <n v="26"/>
    <s v="No"/>
    <s v=""/>
    <m/>
    <m/>
    <s v="*POT011200055"/>
    <s v="*POT011200055"/>
    <n v="8.894377167219971E-5"/>
  </r>
  <r>
    <x v="264"/>
    <s v="Pesos"/>
    <d v="2026-12-03T00:00:00"/>
    <s v="29/09/2026"/>
    <n v="0.95574758999999998"/>
    <m/>
    <n v="1633163.58"/>
    <n v="1560892.16"/>
    <n v="1633163.58"/>
    <n v="1560892.16"/>
    <n v="40015662"/>
    <s v="AMOMPY"/>
    <s v="Momentum Capital Investment S.A."/>
    <s v="25/09/2026"/>
    <s v="25/09/2026"/>
    <n v="26"/>
    <s v="No"/>
    <s v=""/>
    <m/>
    <m/>
    <s v="*MAV011201603"/>
    <s v="*MAV011201603"/>
    <n v="2.0751388239477495E-5"/>
  </r>
  <r>
    <x v="35"/>
    <s v="Pesos"/>
    <d v="2026-12-03T00:00:00"/>
    <s v="29/09/2026"/>
    <n v="0.93975306999999997"/>
    <m/>
    <n v="2105640.2799999998"/>
    <n v="1978781.92"/>
    <n v="2105640.2799999998"/>
    <n v="1978781.92"/>
    <n v="3414"/>
    <s v="AMOMPY"/>
    <s v="Momentum Capital Investment S.A."/>
    <s v="10/09/2026"/>
    <s v="10/09/2026"/>
    <n v="36"/>
    <s v="No"/>
    <s v=""/>
    <m/>
    <m/>
    <s v="*MAV011201548"/>
    <s v="*MAV011201548"/>
    <n v="2.6307052412370821E-5"/>
  </r>
  <r>
    <x v="35"/>
    <s v="Pesos"/>
    <d v="2026-12-03T00:00:00"/>
    <s v="29/09/2026"/>
    <n v="0.93975308000000002"/>
    <m/>
    <n v="3105640.28"/>
    <n v="2918535.02"/>
    <n v="3105640.28"/>
    <n v="2918535.02"/>
    <n v="3388"/>
    <s v="AMOMPY"/>
    <s v="Momentum Capital Investment S.A."/>
    <s v="10/09/2026"/>
    <s v="10/09/2026"/>
    <n v="36"/>
    <s v="No"/>
    <s v=""/>
    <m/>
    <m/>
    <s v="*MAV011201547"/>
    <s v="*MAV011201547"/>
    <n v="3.8800664672779972E-5"/>
  </r>
  <r>
    <x v="35"/>
    <s v="Pesos"/>
    <d v="2026-12-03T00:00:00"/>
    <s v="29/09/2026"/>
    <n v="0.93975306999999997"/>
    <m/>
    <n v="2874176.47"/>
    <n v="2701016.17"/>
    <n v="2874176.47"/>
    <n v="2701016.17"/>
    <n v="3436"/>
    <s v="AMOMPY"/>
    <s v="Momentum Capital Investment S.A."/>
    <s v="10/09/2026"/>
    <s v="10/09/2026"/>
    <n v="36"/>
    <s v="No"/>
    <s v=""/>
    <m/>
    <m/>
    <s v="*MAV011201546"/>
    <s v="*MAV011201546"/>
    <n v="3.5908845352119999E-5"/>
  </r>
  <r>
    <x v="35"/>
    <s v="Pesos"/>
    <d v="2026-12-03T00:00:00"/>
    <s v="29/09/2026"/>
    <n v="0.93975308000000002"/>
    <m/>
    <n v="3841101.28"/>
    <n v="3609686.75"/>
    <n v="3841101.28"/>
    <n v="3609686.75"/>
    <n v="3366"/>
    <s v="AMOMPY"/>
    <s v="Momentum Capital Investment S.A."/>
    <s v="10/09/2026"/>
    <s v="10/09/2026"/>
    <n v="36"/>
    <s v="No"/>
    <s v=""/>
    <m/>
    <m/>
    <s v="*MAV011201545"/>
    <s v="*MAV011201545"/>
    <n v="4.798922891133475E-5"/>
  </r>
  <r>
    <x v="35"/>
    <s v="Pesos"/>
    <d v="2026-12-03T00:00:00"/>
    <s v="29/09/2026"/>
    <n v="0.94132821"/>
    <m/>
    <n v="1555000.5"/>
    <n v="1463765.83"/>
    <n v="1555000.5"/>
    <n v="1463765.83"/>
    <n v="3601"/>
    <s v="AMOMPY"/>
    <s v="Momentum Capital Investment S.A."/>
    <s v="25/09/2026"/>
    <s v="25/09/2026"/>
    <n v="35"/>
    <s v="No"/>
    <s v=""/>
    <m/>
    <m/>
    <s v="*MAV011201597"/>
    <s v="*MAV011201597"/>
    <n v="1.9460135561197911E-5"/>
  </r>
  <r>
    <x v="34"/>
    <s v="Pesos"/>
    <d v="2026-12-03T00:00:00"/>
    <s v="29/09/2026"/>
    <n v="0.94449479000000003"/>
    <m/>
    <n v="2170000"/>
    <n v="2049553.69"/>
    <n v="2170000"/>
    <n v="2049553.69"/>
    <n v="260742"/>
    <s v="AMOMPY"/>
    <s v="Momentum Capital Investment S.A."/>
    <s v="27/08/2026"/>
    <s v="27/08/2026"/>
    <n v="33"/>
    <s v="No"/>
    <s v=""/>
    <m/>
    <m/>
    <s v="*MAV011201479"/>
    <s v="*MAV011201479"/>
    <n v="2.7247932579047425E-5"/>
  </r>
  <r>
    <x v="6"/>
    <s v="Pesos"/>
    <d v="2026-12-03T00:00:00"/>
    <s v="29/09/2026"/>
    <n v="0.95412374"/>
    <m/>
    <n v="25000000"/>
    <n v="23853093.41"/>
    <n v="25000000"/>
    <n v="23853093.41"/>
    <n v="9508924"/>
    <s v="AMOMPY"/>
    <s v="Momentum Capital Investment S.A."/>
    <s v="13/07/2026"/>
    <s v="13/07/2026"/>
    <n v="27"/>
    <s v="No"/>
    <s v=""/>
    <m/>
    <m/>
    <s v="*PRO011200008"/>
    <s v="*PRO011200008"/>
    <n v="3.1711659187488785E-4"/>
  </r>
  <r>
    <x v="192"/>
    <s v="Pesos"/>
    <d v="2026-12-03T00:00:00"/>
    <s v="29/09/2026"/>
    <n v="0.94608614999999996"/>
    <m/>
    <n v="50000000"/>
    <n v="47304307.530000001"/>
    <n v="50000000"/>
    <n v="47304307.530000001"/>
    <n v="5292"/>
    <s v="AMOMPY"/>
    <s v="Momentum Capital Investment S.A."/>
    <s v="08/09/2026"/>
    <s v="08/09/2026"/>
    <n v="32"/>
    <s v="No"/>
    <s v=""/>
    <m/>
    <m/>
    <s v="*MAV011201533"/>
    <s v="*MAV011201533"/>
    <n v="6.2889037187211503E-4"/>
  </r>
  <r>
    <x v="270"/>
    <s v="Dolar 3500"/>
    <d v="2026-12-03T00:00:00"/>
    <s v="29/09/2026"/>
    <n v="0.98595359999999999"/>
    <s v="1 US3 = 1523,9697583441 $"/>
    <n v="50000"/>
    <n v="49297.68"/>
    <n v="76198487.920000002"/>
    <n v="75128173.480000004"/>
    <n v="158027"/>
    <s v="AMOMPY"/>
    <s v="Momentum Capital Investment S.A."/>
    <s v="23/07/2026"/>
    <s v="23/07/2026"/>
    <n v="8"/>
    <s v="No"/>
    <s v=""/>
    <m/>
    <m/>
    <s v="#UMV011260045"/>
    <s v="#UMV011260045"/>
    <n v="9.9879667254289825E-4"/>
  </r>
  <r>
    <x v="8"/>
    <s v="Pesos"/>
    <d v="2026-12-03T00:00:00"/>
    <s v="29/09/2026"/>
    <n v="0.94768275999999996"/>
    <m/>
    <n v="6000000"/>
    <n v="5686096.54"/>
    <n v="6000000"/>
    <n v="5686096.54"/>
    <n v="12299307"/>
    <s v="AMOMPY"/>
    <s v="Momentum Capital Investment S.A."/>
    <s v="07/09/2026"/>
    <s v="07/09/2026"/>
    <n v="31"/>
    <s v="No"/>
    <s v=""/>
    <m/>
    <m/>
    <s v="*MIL011200029"/>
    <s v="*MIL011200029"/>
    <n v="7.5594201760030417E-5"/>
  </r>
  <r>
    <x v="18"/>
    <s v="Pesos"/>
    <d v="2026-12-03T00:00:00"/>
    <s v="29/09/2026"/>
    <n v="0.94449490999999997"/>
    <m/>
    <n v="25000000"/>
    <n v="23612372.690000001"/>
    <n v="25000000"/>
    <n v="23612372.690000001"/>
    <n v="4292"/>
    <s v="AMOMPY"/>
    <s v="Momentum Capital Investment S.A."/>
    <s v="23/09/2026"/>
    <s v="23/09/2026"/>
    <n v="33"/>
    <s v="No"/>
    <s v=""/>
    <m/>
    <m/>
    <s v="*MAV011201592"/>
    <s v="*MAV011201592"/>
    <n v="3.1391631369679355E-4"/>
  </r>
  <r>
    <x v="19"/>
    <s v="Pesos"/>
    <d v="2026-12-03T00:00:00"/>
    <s v="29/09/2026"/>
    <n v="0.93661797999999996"/>
    <m/>
    <n v="1082000000"/>
    <n v="1013420649.27"/>
    <n v="1082000000"/>
    <n v="1013420649.27"/>
    <n v="70393079"/>
    <s v="AMOMPY"/>
    <s v="Momentum Capital Investment S.A."/>
    <s v="29/09/2026"/>
    <s v="29/09/2026"/>
    <n v="38"/>
    <s v="No"/>
    <s v=""/>
    <m/>
    <m/>
    <s v="*MAV011201611"/>
    <s v="*MAV011201611"/>
    <n v="1.3472990563874141E-2"/>
  </r>
  <r>
    <x v="19"/>
    <s v="Pesos"/>
    <d v="2026-12-03T00:00:00"/>
    <s v="29/09/2026"/>
    <n v="0.93661797999999996"/>
    <m/>
    <n v="100000000"/>
    <n v="93661797.530000001"/>
    <n v="100000000"/>
    <n v="93661797.530000001"/>
    <n v="70393080"/>
    <s v="AMOMPY"/>
    <s v="Momentum Capital Investment S.A."/>
    <s v="29/09/2026"/>
    <s v="29/09/2026"/>
    <n v="38"/>
    <s v="No"/>
    <s v=""/>
    <m/>
    <m/>
    <s v="*MAV011201612"/>
    <s v="*MAV011201612"/>
    <n v="1.2451932129330218E-3"/>
  </r>
  <r>
    <x v="21"/>
    <s v="Pesos"/>
    <d v="2026-12-03T00:00:00"/>
    <s v="29/09/2026"/>
    <n v="0.94608616000000001"/>
    <m/>
    <n v="10000000"/>
    <n v="9460861.5899999999"/>
    <n v="10000000"/>
    <n v="9460861.5899999999"/>
    <n v="14422582"/>
    <s v="AMOMPY"/>
    <s v="Momentum Capital Investment S.A."/>
    <s v="01/09/2026"/>
    <s v="01/09/2026"/>
    <n v="32"/>
    <s v="No"/>
    <s v=""/>
    <m/>
    <m/>
    <s v="*MAV011201492"/>
    <s v="*MAV011201492"/>
    <n v="1.2577807549116679E-4"/>
  </r>
  <r>
    <x v="234"/>
    <s v="Pesos"/>
    <d v="2026-12-03T00:00:00"/>
    <s v="29/09/2026"/>
    <n v="0.94449483000000001"/>
    <m/>
    <n v="2500000"/>
    <n v="2361237.08"/>
    <n v="2500000"/>
    <n v="2361237.08"/>
    <n v="679"/>
    <s v="AMOMPY"/>
    <s v="Momentum Capital Investment S.A."/>
    <s v="22/09/2026"/>
    <s v="22/09/2026"/>
    <n v="33"/>
    <s v="No"/>
    <s v=""/>
    <m/>
    <m/>
    <s v="*MAV011201585"/>
    <s v="*MAV011201585"/>
    <n v="3.1391628857005848E-5"/>
  </r>
  <r>
    <x v="87"/>
    <s v="Dolar 3500"/>
    <d v="2026-12-03T00:00:00"/>
    <s v="29/09/2026"/>
    <n v="0.98422520000000002"/>
    <s v="1 US3 = 1523,9697583441 $"/>
    <n v="100000"/>
    <n v="98422.52"/>
    <n v="152396975.83000001"/>
    <n v="149992944.02000001"/>
    <n v="159253"/>
    <s v="AMOMPY"/>
    <s v="Momentum Capital Investment S.A."/>
    <s v="03/08/2026"/>
    <s v="03/08/2026"/>
    <n v="9"/>
    <s v="No"/>
    <s v=""/>
    <m/>
    <m/>
    <s v="#UMV011260046"/>
    <s v="#UMV011260046"/>
    <n v="1.9940915165729545E-3"/>
  </r>
  <r>
    <x v="25"/>
    <s v="Pesos"/>
    <d v="2026-12-03T00:00:00"/>
    <s v="29/09/2026"/>
    <n v="0.94928482999999997"/>
    <m/>
    <n v="5580000"/>
    <n v="5297009.34"/>
    <n v="5580000"/>
    <n v="5297009.34"/>
    <n v="11415149"/>
    <s v="AMOMPY"/>
    <s v="Momentum Capital Investment S.A."/>
    <s v="18/09/2026"/>
    <s v="18/09/2026"/>
    <n v="30"/>
    <s v="No"/>
    <s v=""/>
    <m/>
    <m/>
    <s v="*CVA011200012"/>
    <s v="*CVA011200012"/>
    <n v="7.0421455203207927E-5"/>
  </r>
  <r>
    <x v="89"/>
    <s v="Pesos"/>
    <d v="2026-12-04T00:00:00"/>
    <s v="29/09/2026"/>
    <n v="0.95345089999999999"/>
    <m/>
    <n v="10000000"/>
    <n v="9534508.9900000002"/>
    <n v="10000000"/>
    <n v="9534508.9900000002"/>
    <n v="40740202"/>
    <s v="AMOMPY"/>
    <s v="Momentum Capital Investment S.A."/>
    <s v="18/09/2026"/>
    <s v="18/09/2026"/>
    <n v="27"/>
    <s v="No"/>
    <s v=""/>
    <m/>
    <m/>
    <s v="*INP021200079"/>
    <s v="*INP021200079"/>
    <n v="1.2675718591877511E-4"/>
  </r>
  <r>
    <x v="89"/>
    <s v="Pesos"/>
    <d v="2026-12-04T00:00:00"/>
    <s v="29/09/2026"/>
    <n v="0.95345089999999999"/>
    <m/>
    <n v="10000000"/>
    <n v="9534508.9900000002"/>
    <n v="10000000"/>
    <n v="9534508.9900000002"/>
    <n v="40740198"/>
    <s v="AMOMPY"/>
    <s v="Momentum Capital Investment S.A."/>
    <s v="18/09/2026"/>
    <s v="18/09/2026"/>
    <n v="27"/>
    <s v="No"/>
    <s v=""/>
    <m/>
    <m/>
    <s v="*INP021200080"/>
    <s v="*INP021200080"/>
    <n v="1.2675718591877511E-4"/>
  </r>
  <r>
    <x v="346"/>
    <s v="Pesos"/>
    <d v="2026-12-04T00:00:00"/>
    <s v="29/09/2026"/>
    <n v="0.94368892000000004"/>
    <m/>
    <n v="436692"/>
    <n v="412101.4"/>
    <n v="436692"/>
    <n v="412101.4"/>
    <n v="507731"/>
    <s v="AMOMPY"/>
    <s v="Momentum Capital Investment S.A."/>
    <s v="22/09/2026"/>
    <s v="22/09/2026"/>
    <n v="33"/>
    <s v="No"/>
    <s v=""/>
    <m/>
    <m/>
    <s v="*MAV021201349"/>
    <s v="*MAV021201349"/>
    <n v="5.4787104225266991E-6"/>
  </r>
  <r>
    <x v="35"/>
    <s v="Pesos"/>
    <d v="2026-12-04T00:00:00"/>
    <s v="29/09/2026"/>
    <n v="0.93888276999999998"/>
    <m/>
    <n v="2874176.47"/>
    <n v="2698514.78"/>
    <n v="2874176.47"/>
    <n v="2698514.78"/>
    <n v="3437"/>
    <s v="AMOMPY"/>
    <s v="Momentum Capital Investment S.A."/>
    <s v="10/09/2026"/>
    <s v="10/09/2026"/>
    <n v="36"/>
    <s v="No"/>
    <s v=""/>
    <m/>
    <m/>
    <s v="*MAV021201317"/>
    <s v="*MAV021201317"/>
    <n v="3.5875590450622929E-5"/>
  </r>
  <r>
    <x v="35"/>
    <s v="Pesos"/>
    <d v="2026-12-04T00:00:00"/>
    <s v="29/09/2026"/>
    <n v="0.93888276999999998"/>
    <m/>
    <n v="3841101.28"/>
    <n v="3606343.83"/>
    <n v="3841101.28"/>
    <n v="3606343.83"/>
    <n v="3367"/>
    <s v="AMOMPY"/>
    <s v="Momentum Capital Investment S.A."/>
    <s v="10/09/2026"/>
    <s v="10/09/2026"/>
    <n v="36"/>
    <s v="No"/>
    <s v=""/>
    <m/>
    <m/>
    <s v="*MAV021201318"/>
    <s v="*MAV021201318"/>
    <n v="4.7944786231339793E-5"/>
  </r>
  <r>
    <x v="35"/>
    <s v="Pesos"/>
    <d v="2026-12-04T00:00:00"/>
    <s v="29/09/2026"/>
    <n v="0.93888276999999998"/>
    <m/>
    <n v="3105640.28"/>
    <n v="2915832.16"/>
    <n v="3105640.28"/>
    <n v="2915832.16"/>
    <n v="3389"/>
    <s v="AMOMPY"/>
    <s v="Momentum Capital Investment S.A."/>
    <s v="10/09/2026"/>
    <s v="10/09/2026"/>
    <n v="36"/>
    <s v="No"/>
    <s v=""/>
    <m/>
    <m/>
    <s v="*MAV021201319"/>
    <s v="*MAV021201319"/>
    <n v="3.8764731314503025E-5"/>
  </r>
  <r>
    <x v="35"/>
    <s v="Pesos"/>
    <d v="2026-12-04T00:00:00"/>
    <s v="29/09/2026"/>
    <n v="0.93888276999999998"/>
    <m/>
    <n v="2105640.2799999998"/>
    <n v="1976949.38"/>
    <n v="2105640.2799999998"/>
    <n v="1976949.38"/>
    <n v="3415"/>
    <s v="AMOMPY"/>
    <s v="Momentum Capital Investment S.A."/>
    <s v="10/09/2026"/>
    <s v="10/09/2026"/>
    <n v="36"/>
    <s v="No"/>
    <s v=""/>
    <m/>
    <m/>
    <s v="*MAV021201316"/>
    <s v="*MAV021201316"/>
    <n v="2.6282689583228047E-5"/>
  </r>
  <r>
    <x v="341"/>
    <s v="Pesos"/>
    <d v="2026-12-04T00:00:00"/>
    <s v="29/09/2026"/>
    <n v="0.94368914999999998"/>
    <m/>
    <n v="5000000"/>
    <n v="4718445.74"/>
    <n v="5000000"/>
    <n v="4718445.74"/>
    <n v="2875"/>
    <s v="AMOMPY"/>
    <s v="Momentum Capital Investment S.A."/>
    <s v="11/09/2026"/>
    <s v="11/09/2026"/>
    <n v="33"/>
    <s v="No"/>
    <s v=""/>
    <m/>
    <m/>
    <s v="*MAV021201329"/>
    <s v="*MAV021201329"/>
    <n v="6.2729701607091613E-5"/>
  </r>
  <r>
    <x v="94"/>
    <s v="Pesos"/>
    <d v="2026-12-04T00:00:00"/>
    <s v="29/09/2026"/>
    <n v="0.94854490999999996"/>
    <m/>
    <n v="6150126.3399999999"/>
    <n v="5833671.0300000003"/>
    <n v="6150126.3399999999"/>
    <n v="5833671.0300000003"/>
    <n v="59"/>
    <s v="AMOMPY"/>
    <s v="Momentum Capital Investment S.A."/>
    <s v="11/09/2026"/>
    <s v="11/09/2026"/>
    <n v="30"/>
    <s v="No"/>
    <s v=""/>
    <m/>
    <m/>
    <s v="*MAV021201333"/>
    <s v="*MAV021201333"/>
    <n v="7.7556140973199952E-5"/>
  </r>
  <r>
    <x v="34"/>
    <s v="Pesos"/>
    <d v="2026-12-04T00:00:00"/>
    <s v="29/09/2026"/>
    <n v="0.94368909000000001"/>
    <m/>
    <n v="2170000"/>
    <n v="2047805.32"/>
    <n v="2170000"/>
    <n v="2047805.32"/>
    <n v="260743"/>
    <s v="AMOMPY"/>
    <s v="Momentum Capital Investment S.A."/>
    <s v="27/08/2026"/>
    <s v="27/08/2026"/>
    <n v="33"/>
    <s v="No"/>
    <s v=""/>
    <m/>
    <m/>
    <s v="*MAV021201259"/>
    <s v="*MAV021201259"/>
    <n v="2.7224688753762112E-5"/>
  </r>
  <r>
    <x v="163"/>
    <s v="Pesos"/>
    <d v="2026-12-04T00:00:00"/>
    <s v="29/09/2026"/>
    <n v="0.94208152999999994"/>
    <m/>
    <n v="20000000"/>
    <n v="18841630.52"/>
    <n v="20000000"/>
    <n v="18841630.52"/>
    <n v="253"/>
    <s v="AMOMPY"/>
    <s v="Momentum Capital Investment S.A."/>
    <s v="03/09/2026"/>
    <s v="03/09/2026"/>
    <n v="34"/>
    <s v="No"/>
    <s v=""/>
    <m/>
    <m/>
    <s v="*MAV021201283"/>
    <s v="*MAV021201283"/>
    <n v="2.5049135360210168E-4"/>
  </r>
  <r>
    <x v="95"/>
    <s v="Pesos"/>
    <d v="2026-12-04T00:00:00"/>
    <s v="29/09/2026"/>
    <n v="0.94692065999999997"/>
    <m/>
    <n v="8523310"/>
    <n v="8070898.3700000001"/>
    <n v="8523310"/>
    <n v="8070898.3700000001"/>
    <n v="13680134"/>
    <s v="AMOMPY"/>
    <s v="Momentum Capital Investment S.A."/>
    <s v="02/09/2026"/>
    <s v="02/09/2026"/>
    <n v="31"/>
    <s v="No"/>
    <s v=""/>
    <m/>
    <m/>
    <s v="*MAV021201277"/>
    <s v="*MAV021201277"/>
    <n v="1.0729911380760354E-4"/>
  </r>
  <r>
    <x v="271"/>
    <s v="Pesos"/>
    <d v="2026-12-04T00:00:00"/>
    <s v="29/09/2026"/>
    <n v="0.94854475999999999"/>
    <m/>
    <n v="18700000"/>
    <n v="17737787.02"/>
    <n v="18700000"/>
    <n v="17737787.02"/>
    <n v="238"/>
    <s v="AMOMPY"/>
    <s v="Momentum Capital Investment S.A."/>
    <s v="02/07/2026"/>
    <s v="02/07/2026"/>
    <n v="30"/>
    <s v="No"/>
    <s v=""/>
    <m/>
    <m/>
    <s v="*MAV021201175"/>
    <s v="*MAV021201175"/>
    <n v="2.3581623022642678E-4"/>
  </r>
  <r>
    <x v="43"/>
    <s v="Pesos"/>
    <d v="2026-12-04T00:00:00"/>
    <s v="29/09/2026"/>
    <n v="0.94368918000000002"/>
    <m/>
    <n v="382772.09"/>
    <n v="361217.88"/>
    <n v="382772.09"/>
    <n v="361217.88"/>
    <n v="30103022"/>
    <s v="AMOMPY"/>
    <s v="Momentum Capital Investment S.A."/>
    <s v="29/09/2026"/>
    <s v="29/09/2026"/>
    <n v="33"/>
    <s v="No"/>
    <s v=""/>
    <m/>
    <m/>
    <s v="*MAV021201381"/>
    <s v="*MAV021201381"/>
    <n v="4.8022359641559057E-6"/>
  </r>
  <r>
    <x v="296"/>
    <s v="Pesos"/>
    <d v="2026-12-04T00:00:00"/>
    <s v="29/09/2026"/>
    <n v="0.94368892000000004"/>
    <m/>
    <n v="2500000"/>
    <n v="2359222.29"/>
    <n v="2500000"/>
    <n v="2359222.29"/>
    <n v="100"/>
    <s v="AMOMPY"/>
    <s v="Momentum Capital Investment S.A."/>
    <s v="22/09/2026"/>
    <s v="22/09/2026"/>
    <n v="33"/>
    <s v="No"/>
    <s v=""/>
    <m/>
    <m/>
    <s v="*MAV021201348"/>
    <s v="*MAV021201348"/>
    <n v="3.136484309269589E-5"/>
  </r>
  <r>
    <x v="89"/>
    <s v="Pesos"/>
    <d v="2026-12-09T00:00:00"/>
    <s v="29/09/2026"/>
    <n v="0.94834759000000002"/>
    <m/>
    <n v="8000000"/>
    <n v="7586780.7400000002"/>
    <n v="8000000"/>
    <n v="7586780.7400000002"/>
    <n v="6495"/>
    <s v="AMOMPY"/>
    <s v="Momentum Capital Investment S.A."/>
    <s v="17/09/2026"/>
    <s v="17/09/2026"/>
    <n v="28"/>
    <s v="No"/>
    <s v=""/>
    <m/>
    <m/>
    <s v="*INP031200058"/>
    <s v="*INP031200058"/>
    <n v="1.0086297865928828E-4"/>
  </r>
  <r>
    <x v="89"/>
    <s v="Pesos"/>
    <d v="2026-12-09T00:00:00"/>
    <s v="29/09/2026"/>
    <n v="0.95010033000000005"/>
    <m/>
    <n v="10000000"/>
    <n v="9501003.2799999993"/>
    <n v="10000000"/>
    <n v="9501003.2799999993"/>
    <n v="40740205"/>
    <s v="AMOMPY"/>
    <s v="Momentum Capital Investment S.A."/>
    <s v="18/09/2026"/>
    <s v="18/09/2026"/>
    <n v="27"/>
    <s v="No"/>
    <s v=""/>
    <m/>
    <m/>
    <s v="*INP031200056"/>
    <s v="*INP031200056"/>
    <n v="1.2631174195136525E-4"/>
  </r>
  <r>
    <x v="347"/>
    <s v="Pesos"/>
    <d v="2026-12-09T00:00:00"/>
    <s v="29/09/2026"/>
    <n v="0.93625767999999998"/>
    <m/>
    <n v="25000000"/>
    <n v="23406441.91"/>
    <n v="25000000"/>
    <n v="23406441.91"/>
    <n v="10685424"/>
    <s v="AMOMPY"/>
    <s v="Momentum Capital Investment S.A."/>
    <s v="18/09/2026"/>
    <s v="18/09/2026"/>
    <n v="35"/>
    <s v="No"/>
    <s v=""/>
    <m/>
    <m/>
    <s v="*MAV031201032"/>
    <s v="*MAV031201032"/>
    <n v="3.1117855277022289E-4"/>
  </r>
  <r>
    <x v="35"/>
    <s v="Pesos"/>
    <d v="2026-12-09T00:00:00"/>
    <s v="29/09/2026"/>
    <n v="0.93455558999999999"/>
    <m/>
    <n v="2874176.47"/>
    <n v="2686077.69"/>
    <n v="2874176.47"/>
    <n v="2686077.69"/>
    <n v="3438"/>
    <s v="AMOMPY"/>
    <s v="Momentum Capital Investment S.A."/>
    <s v="10/09/2026"/>
    <s v="10/09/2026"/>
    <n v="36"/>
    <s v="No"/>
    <s v=""/>
    <m/>
    <m/>
    <s v="*MAV031201000"/>
    <s v="*MAV031201000"/>
    <n v="3.5710244701715253E-5"/>
  </r>
  <r>
    <x v="35"/>
    <s v="Pesos"/>
    <d v="2026-12-09T00:00:00"/>
    <s v="29/09/2026"/>
    <n v="0.93455566999999995"/>
    <m/>
    <n v="3105640.28"/>
    <n v="2902393.72"/>
    <n v="3105640.28"/>
    <n v="2902393.72"/>
    <n v="3390"/>
    <s v="AMOMPY"/>
    <s v="Momentum Capital Investment S.A."/>
    <s v="11/09/2026"/>
    <s v="11/09/2026"/>
    <n v="36"/>
    <s v="No"/>
    <s v=""/>
    <m/>
    <m/>
    <s v="*MAV031201011"/>
    <s v="*MAV031201011"/>
    <n v="3.8586073049108882E-5"/>
  </r>
  <r>
    <x v="35"/>
    <s v="Pesos"/>
    <d v="2026-12-09T00:00:00"/>
    <s v="29/09/2026"/>
    <n v="0.93455566000000001"/>
    <m/>
    <n v="3841101.28"/>
    <n v="3589722.95"/>
    <n v="3841101.28"/>
    <n v="3589722.95"/>
    <n v="3368"/>
    <s v="AMOMPY"/>
    <s v="Momentum Capital Investment S.A."/>
    <s v="11/09/2026"/>
    <s v="11/09/2026"/>
    <n v="36"/>
    <s v="No"/>
    <s v=""/>
    <m/>
    <m/>
    <s v="*MAV031201010"/>
    <s v="*MAV031201010"/>
    <n v="4.7723818798354697E-5"/>
  </r>
  <r>
    <x v="348"/>
    <s v="Pesos"/>
    <d v="2026-12-09T00:00:00"/>
    <s v="29/09/2026"/>
    <n v="0.94312810000000002"/>
    <m/>
    <n v="11820000"/>
    <n v="11147774.119999999"/>
    <n v="11820000"/>
    <n v="11147774.119999999"/>
    <n v="14310295"/>
    <s v="AMOMPY"/>
    <s v="Momentum Capital Investment S.A."/>
    <s v="09/09/2026"/>
    <s v="09/09/2026"/>
    <n v="31"/>
    <s v="No"/>
    <s v=""/>
    <m/>
    <m/>
    <s v="*MAV031200998"/>
    <s v="*MAV031200998"/>
    <n v="1.482048502121502E-4"/>
  </r>
  <r>
    <x v="34"/>
    <s v="Pesos"/>
    <d v="2026-12-09T00:00:00"/>
    <s v="29/09/2026"/>
    <n v="0.93968035000000005"/>
    <m/>
    <n v="2170000"/>
    <n v="2039106.36"/>
    <n v="2170000"/>
    <n v="2039106.36"/>
    <n v="260744"/>
    <s v="AMOMPY"/>
    <s v="Momentum Capital Investment S.A."/>
    <s v="27/08/2026"/>
    <s v="27/08/2026"/>
    <n v="33"/>
    <s v="No"/>
    <s v=""/>
    <m/>
    <m/>
    <s v="*MAV031200955"/>
    <s v="*MAV031200955"/>
    <n v="2.7109039831392176E-5"/>
  </r>
  <r>
    <x v="117"/>
    <s v="Pesos"/>
    <d v="2026-12-09T00:00:00"/>
    <s v="29/09/2026"/>
    <n v="0.94312812000000001"/>
    <m/>
    <n v="1598248"/>
    <n v="1507352.63"/>
    <n v="1598248"/>
    <n v="1507352.63"/>
    <n v="11999347"/>
    <s v="AMOMPY"/>
    <s v="Momentum Capital Investment S.A."/>
    <s v="02/09/2026"/>
    <s v="02/09/2026"/>
    <n v="31"/>
    <s v="No"/>
    <s v=""/>
    <m/>
    <m/>
    <s v="*MAV031200966"/>
    <s v="*MAV031200966"/>
    <n v="2.0039603273378906E-5"/>
  </r>
  <r>
    <x v="39"/>
    <s v="Pesos"/>
    <d v="2026-12-09T00:00:00"/>
    <s v="29/09/2026"/>
    <n v="0.94660135999999995"/>
    <m/>
    <n v="8106418.25"/>
    <n v="7673546.5599999996"/>
    <n v="8106418.25"/>
    <n v="7673546.5599999996"/>
    <n v="90000807"/>
    <s v="AMOMPY"/>
    <s v="Momentum Capital Investment S.A."/>
    <s v="03/07/2026"/>
    <s v="03/07/2026"/>
    <n v="29"/>
    <s v="No"/>
    <s v=""/>
    <m/>
    <m/>
    <s v="*FED031200025"/>
    <s v="*FED031200025"/>
    <n v="1.0201649282437744E-4"/>
  </r>
  <r>
    <x v="18"/>
    <s v="Pesos"/>
    <d v="2026-12-09T00:00:00"/>
    <s v="29/09/2026"/>
    <n v="0.93968048999999998"/>
    <m/>
    <n v="25000000"/>
    <n v="23492012.34"/>
    <n v="25000000"/>
    <n v="23492012.34"/>
    <n v="4293"/>
    <s v="AMOMPY"/>
    <s v="Momentum Capital Investment S.A."/>
    <s v="23/09/2026"/>
    <s v="23/09/2026"/>
    <n v="33"/>
    <s v="No"/>
    <s v=""/>
    <m/>
    <m/>
    <s v="*MAV031201044"/>
    <s v="*MAV031201044"/>
    <n v="3.12316174740692E-4"/>
  </r>
  <r>
    <x v="182"/>
    <s v="Pesos"/>
    <d v="2026-12-09T00:00:00"/>
    <s v="29/09/2026"/>
    <n v="0.93968035999999999"/>
    <m/>
    <n v="10051717.33"/>
    <n v="9445401.3200000003"/>
    <n v="10051717.33"/>
    <n v="9445401.3200000003"/>
    <n v="90002284"/>
    <s v="AMOMPY"/>
    <s v="Momentum Capital Investment S.A."/>
    <s v="14/09/2026"/>
    <s v="14/09/2026"/>
    <n v="33"/>
    <s v="No"/>
    <s v=""/>
    <m/>
    <m/>
    <s v="*MAV031201018"/>
    <s v="*MAV031201018"/>
    <n v="1.255725378676982E-4"/>
  </r>
  <r>
    <x v="242"/>
    <s v="Pesos"/>
    <d v="2026-12-09T00:00:00"/>
    <s v="29/09/2026"/>
    <n v="0.93455564999999996"/>
    <m/>
    <n v="11500000"/>
    <n v="10747389.99"/>
    <n v="11500000"/>
    <n v="10747389.99"/>
    <n v="10468665"/>
    <s v="AMOMPY"/>
    <s v="Momentum Capital Investment S.A."/>
    <s v="30/07/2026"/>
    <s v="30/07/2026"/>
    <n v="36"/>
    <s v="No"/>
    <s v=""/>
    <m/>
    <m/>
    <s v="*MAV031200924"/>
    <s v="*MAV031200924"/>
    <n v="1.4288191584200421E-4"/>
  </r>
  <r>
    <x v="123"/>
    <s v="Pesos"/>
    <d v="2026-12-09T00:00:00"/>
    <s v="29/09/2026"/>
    <n v="0.93968026000000004"/>
    <m/>
    <n v="25000000"/>
    <n v="23492006.41"/>
    <n v="25000000"/>
    <n v="23492006.41"/>
    <n v="475886"/>
    <s v="AMOMPY"/>
    <s v="Momentum Capital Investment S.A."/>
    <s v="07/08/2026"/>
    <s v="07/08/2026"/>
    <n v="33"/>
    <s v="No"/>
    <s v=""/>
    <m/>
    <m/>
    <s v="*MAV031200931"/>
    <s v="*MAV031200931"/>
    <n v="3.1231609590389895E-4"/>
  </r>
  <r>
    <x v="234"/>
    <s v="Pesos"/>
    <d v="2026-12-09T00:00:00"/>
    <s v="29/09/2026"/>
    <n v="0.93968041999999996"/>
    <m/>
    <n v="2500000"/>
    <n v="2349201.04"/>
    <n v="2500000"/>
    <n v="2349201.04"/>
    <n v="680"/>
    <s v="AMOMPY"/>
    <s v="Momentum Capital Investment S.A."/>
    <s v="22/09/2026"/>
    <s v="22/09/2026"/>
    <n v="33"/>
    <s v="No"/>
    <s v=""/>
    <m/>
    <m/>
    <s v="*MAV031201036"/>
    <s v="*MAV031201036"/>
    <n v="3.1231614894922854E-5"/>
  </r>
  <r>
    <x v="349"/>
    <s v="Pesos"/>
    <d v="2026-12-09T00:00:00"/>
    <s v="29/09/2026"/>
    <n v="0.93285978000000003"/>
    <m/>
    <n v="15000000"/>
    <n v="13992896.630000001"/>
    <n v="15000000"/>
    <n v="13992896.630000001"/>
    <n v="90023082"/>
    <s v="AMOMPY"/>
    <s v="Momentum Capital Investment S.A."/>
    <s v="02/06/2026"/>
    <s v="02/06/2026"/>
    <n v="37"/>
    <s v="No"/>
    <s v=""/>
    <m/>
    <m/>
    <s v="*MAV031200912"/>
    <s v="*MAV031200912"/>
    <n v="1.8602952721859164E-4"/>
  </r>
  <r>
    <x v="349"/>
    <s v="Pesos"/>
    <d v="2026-12-09T00:00:00"/>
    <s v="29/09/2026"/>
    <n v="0.93285978000000003"/>
    <m/>
    <n v="15000000"/>
    <n v="13992896.630000001"/>
    <n v="15000000"/>
    <n v="13992896.630000001"/>
    <n v="90023081"/>
    <s v="AMOMPY"/>
    <s v="Momentum Capital Investment S.A."/>
    <s v="02/06/2026"/>
    <s v="02/06/2026"/>
    <n v="37"/>
    <s v="No"/>
    <s v=""/>
    <m/>
    <m/>
    <s v="*MAV031200913"/>
    <s v="*MAV031200913"/>
    <n v="1.8602952721859164E-4"/>
  </r>
  <r>
    <x v="35"/>
    <s v="Pesos"/>
    <d v="2026-12-10T00:00:00"/>
    <s v="29/09/2026"/>
    <n v="0.93369493999999997"/>
    <m/>
    <n v="3105640.28"/>
    <n v="2899720.6"/>
    <n v="3105640.28"/>
    <n v="2899720.6"/>
    <n v="3391"/>
    <s v="AMOMPY"/>
    <s v="Momentum Capital Investment S.A."/>
    <s v="07/09/2026"/>
    <s v="07/09/2026"/>
    <n v="36"/>
    <s v="No"/>
    <s v=""/>
    <m/>
    <m/>
    <s v="*MAV041201015"/>
    <s v="*MAV041201015"/>
    <n v="3.8550535071308599E-5"/>
  </r>
  <r>
    <x v="35"/>
    <s v="Pesos"/>
    <d v="2026-12-10T00:00:00"/>
    <s v="29/09/2026"/>
    <n v="0.93369495999999996"/>
    <m/>
    <n v="2874176.47"/>
    <n v="2683604.08"/>
    <n v="2874176.47"/>
    <n v="2683604.08"/>
    <n v="3439"/>
    <s v="AMOMPY"/>
    <s v="Momentum Capital Investment S.A."/>
    <s v="11/09/2026"/>
    <s v="11/09/2026"/>
    <n v="36"/>
    <s v="No"/>
    <s v=""/>
    <m/>
    <m/>
    <s v="*MAV041201060"/>
    <s v="*MAV041201060"/>
    <n v="3.567735912333997E-5"/>
  </r>
  <r>
    <x v="35"/>
    <s v="Pesos"/>
    <d v="2026-12-10T00:00:00"/>
    <s v="29/09/2026"/>
    <n v="0.93369495999999996"/>
    <m/>
    <n v="3841101.28"/>
    <n v="3586416.89"/>
    <n v="3841101.28"/>
    <n v="3586416.89"/>
    <n v="3369"/>
    <s v="AMOMPY"/>
    <s v="Momentum Capital Investment S.A."/>
    <s v="11/09/2026"/>
    <s v="11/09/2026"/>
    <n v="36"/>
    <s v="No"/>
    <s v=""/>
    <m/>
    <m/>
    <s v="*MAV041201061"/>
    <s v="*MAV041201061"/>
    <n v="4.7679866156166391E-5"/>
  </r>
  <r>
    <x v="341"/>
    <s v="Pesos"/>
    <d v="2026-12-10T00:00:00"/>
    <s v="29/09/2026"/>
    <n v="0.93888267999999997"/>
    <m/>
    <n v="5000000"/>
    <n v="4694413.41"/>
    <n v="5000000"/>
    <n v="4694413.41"/>
    <n v="2876"/>
    <s v="AMOMPY"/>
    <s v="Momentum Capital Investment S.A."/>
    <s v="11/09/2026"/>
    <s v="11/09/2026"/>
    <n v="33"/>
    <s v="No"/>
    <s v=""/>
    <m/>
    <m/>
    <s v="*MAV041201055"/>
    <s v="*MAV041201055"/>
    <n v="6.2410202142036163E-5"/>
  </r>
  <r>
    <x v="164"/>
    <s v="Pesos"/>
    <d v="2026-12-10T00:00:00"/>
    <s v="29/09/2026"/>
    <n v="0.94943314999999995"/>
    <m/>
    <n v="33250000"/>
    <n v="31568652.16"/>
    <n v="33250000"/>
    <n v="31568652.16"/>
    <n v="32242"/>
    <s v="AMOMPY"/>
    <s v="Momentum Capital Investment S.A."/>
    <s v="17/09/2026"/>
    <s v="17/09/2026"/>
    <n v="27"/>
    <s v="No"/>
    <s v=""/>
    <m/>
    <m/>
    <s v="*NIO041200031"/>
    <s v="*NIO041200031"/>
    <n v="4.1969161865043891E-4"/>
  </r>
  <r>
    <x v="118"/>
    <s v="Pesos"/>
    <d v="2026-12-10T00:00:00"/>
    <s v="29/09/2026"/>
    <n v="0.94062477"/>
    <m/>
    <n v="13000000"/>
    <n v="12228121.970000001"/>
    <n v="13000000"/>
    <n v="12228121.970000001"/>
    <n v="1307"/>
    <s v="AMOMPY"/>
    <s v="Momentum Capital Investment S.A."/>
    <s v="04/09/2026"/>
    <s v="04/09/2026"/>
    <n v="32"/>
    <s v="No"/>
    <s v=""/>
    <m/>
    <m/>
    <s v="*MAV041201008"/>
    <s v="*MAV041201008"/>
    <n v="1.625676090519632E-4"/>
  </r>
  <r>
    <x v="8"/>
    <s v="Pesos"/>
    <d v="2026-12-10T00:00:00"/>
    <s v="29/09/2026"/>
    <n v="0.94943295999999999"/>
    <m/>
    <n v="25000000"/>
    <n v="23735823.98"/>
    <n v="25000000"/>
    <n v="23735823.98"/>
    <n v="12742293"/>
    <s v="AMOMPY"/>
    <s v="Momentum Capital Investment S.A."/>
    <s v="21/09/2026"/>
    <s v="21/09/2026"/>
    <n v="27"/>
    <s v="No"/>
    <s v=""/>
    <m/>
    <m/>
    <s v="*MIL041200028"/>
    <s v="*MIL041200028"/>
    <n v="3.1555754536743904E-4"/>
  </r>
  <r>
    <x v="350"/>
    <s v="Pesos"/>
    <d v="2026-12-10T00:00:00"/>
    <s v="29/09/2026"/>
    <n v="0.94765820000000001"/>
    <m/>
    <n v="15000000"/>
    <n v="14214873.02"/>
    <n v="15000000"/>
    <n v="14214873.02"/>
    <n v="2285661"/>
    <s v="AMOMPY"/>
    <s v="Momentum Capital Investment S.A."/>
    <s v="10/08/2026"/>
    <s v="10/08/2026"/>
    <n v="28"/>
    <s v="No"/>
    <s v=""/>
    <m/>
    <m/>
    <s v="*MAV041200946"/>
    <s v="*MAV041200946"/>
    <n v="1.8898060761154311E-4"/>
  </r>
  <r>
    <x v="242"/>
    <s v="Pesos"/>
    <d v="2026-12-10T00:00:00"/>
    <s v="29/09/2026"/>
    <n v="0.93369497000000001"/>
    <m/>
    <n v="11500000"/>
    <n v="10737492.15"/>
    <n v="11500000"/>
    <n v="10737492.15"/>
    <n v="10468668"/>
    <s v="AMOMPY"/>
    <s v="Momentum Capital Investment S.A."/>
    <s v="30/07/2026"/>
    <s v="30/07/2026"/>
    <n v="36"/>
    <s v="No"/>
    <s v=""/>
    <m/>
    <m/>
    <s v="*MAV041200933"/>
    <s v="*MAV041200933"/>
    <n v="1.4275032832696907E-4"/>
  </r>
  <r>
    <x v="349"/>
    <s v="Pesos"/>
    <d v="2026-12-10T00:00:00"/>
    <s v="29/09/2026"/>
    <n v="0.93197843000000002"/>
    <m/>
    <n v="15000000"/>
    <n v="13979676.42"/>
    <n v="15000000"/>
    <n v="13979676.42"/>
    <n v="90023083"/>
    <s v="AMOMPY"/>
    <s v="Momentum Capital Investment S.A."/>
    <s v="02/06/2026"/>
    <s v="02/06/2026"/>
    <n v="37"/>
    <s v="No"/>
    <s v=""/>
    <m/>
    <m/>
    <s v="*MAV041200911"/>
    <s v="*MAV041200911"/>
    <n v="1.8585377022695075E-4"/>
  </r>
  <r>
    <x v="27"/>
    <s v="Pesos"/>
    <d v="2026-12-10T00:00:00"/>
    <s v="29/09/2026"/>
    <n v="0.94765814000000004"/>
    <m/>
    <n v="8400000"/>
    <n v="7960328.3399999999"/>
    <n v="8400000"/>
    <n v="7960328.3399999999"/>
    <n v="2453"/>
    <s v="AMOMPY"/>
    <s v="Momentum Capital Investment S.A."/>
    <s v="21/09/2026"/>
    <s v="21/09/2026"/>
    <n v="28"/>
    <s v="No"/>
    <s v=""/>
    <m/>
    <m/>
    <s v="*MOV041200068"/>
    <s v="*MOV041200068"/>
    <n v="1.0582913293449781E-4"/>
  </r>
  <r>
    <x v="89"/>
    <s v="Pesos"/>
    <d v="2026-12-11T00:00:00"/>
    <s v="29/09/2026"/>
    <n v="0.94161965000000003"/>
    <m/>
    <n v="10000000"/>
    <n v="9416196.5099999998"/>
    <n v="10000000"/>
    <n v="9416196.5099999998"/>
    <n v="179"/>
    <s v="AMOMPY"/>
    <s v="Momentum Capital Investment S.A."/>
    <s v="01/09/2026"/>
    <s v="01/09/2026"/>
    <n v="31"/>
    <s v="No"/>
    <s v=""/>
    <m/>
    <m/>
    <s v="*INP091200078"/>
    <s v="*INP091200078"/>
    <n v="1.251842725113201E-4"/>
  </r>
  <r>
    <x v="89"/>
    <s v="Pesos"/>
    <d v="2026-12-11T00:00:00"/>
    <s v="29/09/2026"/>
    <n v="0.94696977999999998"/>
    <m/>
    <n v="32500000"/>
    <n v="30776517.829999998"/>
    <n v="32500000"/>
    <n v="30776517.829999998"/>
    <n v="1367871"/>
    <s v="AMOMPY"/>
    <s v="Momentum Capital Investment S.A."/>
    <s v="23/09/2026"/>
    <s v="23/09/2026"/>
    <n v="28"/>
    <s v="No"/>
    <s v=""/>
    <m/>
    <m/>
    <s v="*INP051200072"/>
    <s v="*INP051200072"/>
    <n v="4.0916053428670656E-4"/>
  </r>
  <r>
    <x v="89"/>
    <s v="Pesos"/>
    <d v="2026-12-11T00:00:00"/>
    <s v="29/09/2026"/>
    <n v="0.94339638999999997"/>
    <m/>
    <n v="30000000"/>
    <n v="28301891.710000001"/>
    <n v="30000000"/>
    <n v="28301891.710000001"/>
    <n v="705"/>
    <s v="AMOMPY"/>
    <s v="Momentum Capital Investment S.A."/>
    <s v="17/09/2026"/>
    <s v="17/09/2026"/>
    <n v="30"/>
    <s v="No"/>
    <s v=""/>
    <m/>
    <m/>
    <s v="*INP091200082"/>
    <s v="*INP091200082"/>
    <n v="3.7626144703414979E-4"/>
  </r>
  <r>
    <x v="89"/>
    <s v="Pesos"/>
    <d v="2026-12-11T00:00:00"/>
    <s v="29/09/2026"/>
    <n v="0.94696985"/>
    <m/>
    <n v="8000000"/>
    <n v="7575758.8099999996"/>
    <n v="8000000"/>
    <n v="7575758.8099999996"/>
    <n v="6497"/>
    <s v="AMOMPY"/>
    <s v="Momentum Capital Investment S.A."/>
    <s v="17/09/2026"/>
    <s v="17/09/2026"/>
    <n v="28"/>
    <s v="No"/>
    <s v=""/>
    <m/>
    <m/>
    <s v="*INP091200083"/>
    <s v="*INP091200083"/>
    <n v="1.0071644685238986E-4"/>
  </r>
  <r>
    <x v="89"/>
    <s v="Pesos"/>
    <d v="2026-12-11T00:00:00"/>
    <s v="29/09/2026"/>
    <n v="0.94696985"/>
    <m/>
    <n v="8000000"/>
    <n v="7575758.8099999996"/>
    <n v="8000000"/>
    <n v="7575758.8099999996"/>
    <n v="6496"/>
    <s v="AMOMPY"/>
    <s v="Momentum Capital Investment S.A."/>
    <s v="17/09/2026"/>
    <s v="17/09/2026"/>
    <n v="28"/>
    <s v="No"/>
    <s v=""/>
    <m/>
    <m/>
    <s v="*INP061200052"/>
    <s v="*INP061200052"/>
    <n v="1.0071644685238986E-4"/>
  </r>
  <r>
    <x v="351"/>
    <s v="Pesos"/>
    <d v="2026-12-11T00:00:00"/>
    <s v="29/09/2026"/>
    <n v="0.93984973000000005"/>
    <m/>
    <n v="8000000"/>
    <n v="7518797.8300000001"/>
    <n v="8000000"/>
    <n v="7518797.8300000001"/>
    <n v="1786"/>
    <s v="AMOMPY"/>
    <s v="Momentum Capital Investment S.A."/>
    <s v="16/09/2026"/>
    <s v="16/09/2026"/>
    <n v="32"/>
    <s v="No"/>
    <s v=""/>
    <m/>
    <m/>
    <s v="*MAV051201458"/>
    <s v="*MAV051201458"/>
    <n v="9.9959175183807005E-5"/>
  </r>
  <r>
    <x v="351"/>
    <s v="Pesos"/>
    <d v="2026-12-11T00:00:00"/>
    <s v="29/09/2026"/>
    <n v="0.93984973000000005"/>
    <m/>
    <n v="8000000"/>
    <n v="7518797.8300000001"/>
    <n v="8000000"/>
    <n v="7518797.8300000001"/>
    <n v="1790"/>
    <s v="AMOMPY"/>
    <s v="Momentum Capital Investment S.A."/>
    <s v="16/09/2026"/>
    <s v="16/09/2026"/>
    <n v="32"/>
    <s v="No"/>
    <s v=""/>
    <m/>
    <m/>
    <s v="*MAV091201521"/>
    <s v="*MAV091201521"/>
    <n v="9.9959175183807005E-5"/>
  </r>
  <r>
    <x v="351"/>
    <s v="Pesos"/>
    <d v="2026-12-11T00:00:00"/>
    <s v="29/09/2026"/>
    <n v="0.93984973000000005"/>
    <m/>
    <n v="8000000"/>
    <n v="7518797.8300000001"/>
    <n v="8000000"/>
    <n v="7518797.8300000001"/>
    <n v="1789"/>
    <s v="AMOMPY"/>
    <s v="Momentum Capital Investment S.A."/>
    <s v="16/09/2026"/>
    <s v="16/09/2026"/>
    <n v="32"/>
    <s v="No"/>
    <s v=""/>
    <m/>
    <m/>
    <s v="*MAV081200699"/>
    <s v="*MAV081200699"/>
    <n v="9.9959175183807005E-5"/>
  </r>
  <r>
    <x v="351"/>
    <s v="Pesos"/>
    <d v="2026-12-11T00:00:00"/>
    <s v="29/09/2026"/>
    <n v="0.93984973000000005"/>
    <m/>
    <n v="8000000"/>
    <n v="7518797.8300000001"/>
    <n v="8000000"/>
    <n v="7518797.8300000001"/>
    <n v="1788"/>
    <s v="AMOMPY"/>
    <s v="Momentum Capital Investment S.A."/>
    <s v="16/09/2026"/>
    <s v="16/09/2026"/>
    <n v="32"/>
    <s v="No"/>
    <s v=""/>
    <m/>
    <m/>
    <s v="*MAV071200941"/>
    <s v="*MAV071200941"/>
    <n v="9.9959175183807005E-5"/>
  </r>
  <r>
    <x v="351"/>
    <s v="Pesos"/>
    <d v="2026-12-11T00:00:00"/>
    <s v="29/09/2026"/>
    <n v="0.93984973000000005"/>
    <m/>
    <n v="8000000"/>
    <n v="7518797.8300000001"/>
    <n v="8000000"/>
    <n v="7518797.8300000001"/>
    <n v="1787"/>
    <s v="AMOMPY"/>
    <s v="Momentum Capital Investment S.A."/>
    <s v="16/09/2026"/>
    <s v="16/09/2026"/>
    <n v="32"/>
    <s v="No"/>
    <s v=""/>
    <m/>
    <m/>
    <s v="*MAV061201180"/>
    <s v="*MAV061201180"/>
    <n v="9.9959175183807005E-5"/>
  </r>
  <r>
    <x v="352"/>
    <s v="Pesos"/>
    <d v="2026-12-11T00:00:00"/>
    <s v="29/09/2026"/>
    <n v="0.93457970000000001"/>
    <m/>
    <n v="5000000"/>
    <n v="4672898.51"/>
    <n v="5000000"/>
    <n v="4672898.51"/>
    <n v="541"/>
    <s v="AMOMPY"/>
    <s v="Momentum Capital Investment S.A."/>
    <s v="18/09/2026"/>
    <s v="18/09/2026"/>
    <n v="35"/>
    <s v="No"/>
    <s v=""/>
    <m/>
    <m/>
    <s v="*MAV061201182"/>
    <s v="*MAV061201182"/>
    <n v="6.2124170823361631E-5"/>
  </r>
  <r>
    <x v="155"/>
    <s v="Pesos"/>
    <d v="2026-12-11T00:00:00"/>
    <s v="29/09/2026"/>
    <n v="0.94339622999999995"/>
    <m/>
    <n v="50000000"/>
    <n v="47169811.409999996"/>
    <n v="50000000"/>
    <n v="47169811.409999996"/>
    <n v="68017"/>
    <s v="AMOMPY"/>
    <s v="Momentum Capital Investment S.A."/>
    <s v="29/07/2026"/>
    <s v="29/07/2026"/>
    <n v="30"/>
    <s v="No"/>
    <s v=""/>
    <m/>
    <m/>
    <s v="*MAV091201395"/>
    <s v="*MAV091201395"/>
    <n v="6.2710230394894505E-4"/>
  </r>
  <r>
    <x v="331"/>
    <s v="Pesos"/>
    <d v="2026-12-11T00:00:00"/>
    <s v="29/09/2026"/>
    <n v="0.94696972999999995"/>
    <m/>
    <n v="69542230"/>
    <n v="65854387.090000004"/>
    <n v="69542230"/>
    <n v="65854387.090000004"/>
    <n v="155355"/>
    <s v="AMOMPY"/>
    <s v="Momentum Capital Investment S.A."/>
    <s v="01/07/2026"/>
    <s v="01/07/2026"/>
    <n v="28"/>
    <s v="No"/>
    <s v=""/>
    <m/>
    <m/>
    <s v="#POT101260001"/>
    <s v="#POT101260001"/>
    <n v="8.7550568117237822E-4"/>
  </r>
  <r>
    <x v="226"/>
    <s v="Pesos"/>
    <d v="2026-12-11T00:00:00"/>
    <s v="29/09/2026"/>
    <n v="0.94517980999999995"/>
    <m/>
    <n v="70000000"/>
    <n v="66162586.399999999"/>
    <n v="70000000"/>
    <n v="66162586.399999999"/>
    <n v="83299238"/>
    <s v="AMOMPY"/>
    <s v="Momentum Capital Investment S.A."/>
    <s v="25/09/2026"/>
    <s v="25/09/2026"/>
    <n v="29"/>
    <s v="No"/>
    <s v=""/>
    <m/>
    <m/>
    <s v="*FTR051200011"/>
    <s v="*FTR051200011"/>
    <n v="8.7960305810900715E-4"/>
  </r>
  <r>
    <x v="35"/>
    <s v="Pesos"/>
    <d v="2026-12-11T00:00:00"/>
    <s v="29/09/2026"/>
    <n v="0.93283587000000001"/>
    <m/>
    <n v="2954385"/>
    <n v="2755956.29"/>
    <n v="2954385"/>
    <n v="2755956.29"/>
    <n v="3327"/>
    <s v="AMOMPY"/>
    <s v="Momentum Capital Investment S.A."/>
    <s v="28/08/2026"/>
    <s v="28/08/2026"/>
    <n v="36"/>
    <s v="No"/>
    <s v=""/>
    <m/>
    <m/>
    <s v="*MAV091201439"/>
    <s v="*MAV091201439"/>
    <n v="3.6639250558360185E-5"/>
  </r>
  <r>
    <x v="35"/>
    <s v="Pesos"/>
    <d v="2026-12-11T00:00:00"/>
    <s v="29/09/2026"/>
    <n v="0.93283594999999997"/>
    <m/>
    <n v="3841101.28"/>
    <n v="3583117.37"/>
    <n v="3841101.28"/>
    <n v="3583117.37"/>
    <n v="3371"/>
    <s v="AMOMPY"/>
    <s v="Momentum Capital Investment S.A."/>
    <s v="02/09/2026"/>
    <s v="02/09/2026"/>
    <n v="36"/>
    <s v="No"/>
    <s v=""/>
    <m/>
    <m/>
    <s v="*MAV091201447"/>
    <s v="*MAV091201447"/>
    <n v="4.7636000460458165E-5"/>
  </r>
  <r>
    <x v="35"/>
    <s v="Pesos"/>
    <d v="2026-12-11T00:00:00"/>
    <s v="29/09/2026"/>
    <n v="0.93283594999999997"/>
    <m/>
    <n v="3841101.28"/>
    <n v="3583117.37"/>
    <n v="3841101.28"/>
    <n v="3583117.37"/>
    <n v="3370"/>
    <s v="AMOMPY"/>
    <s v="Momentum Capital Investment S.A."/>
    <s v="02/09/2026"/>
    <s v="02/09/2026"/>
    <n v="36"/>
    <s v="No"/>
    <s v=""/>
    <m/>
    <m/>
    <s v="*MAV081200665"/>
    <s v="*MAV081200665"/>
    <n v="4.7636000460458165E-5"/>
  </r>
  <r>
    <x v="35"/>
    <s v="Pesos"/>
    <d v="2026-12-11T00:00:00"/>
    <s v="29/09/2026"/>
    <n v="0.93283605999999997"/>
    <m/>
    <n v="3105640.28"/>
    <n v="2897053.25"/>
    <n v="3105640.28"/>
    <n v="2897053.25"/>
    <n v="3392"/>
    <s v="AMOMPY"/>
    <s v="Momentum Capital Investment S.A."/>
    <s v="07/09/2026"/>
    <s v="07/09/2026"/>
    <n v="36"/>
    <s v="No"/>
    <s v=""/>
    <m/>
    <m/>
    <s v="*MAV081200673"/>
    <s v="*MAV081200673"/>
    <n v="3.8515073803170403E-5"/>
  </r>
  <r>
    <x v="35"/>
    <s v="Pesos"/>
    <d v="2026-12-11T00:00:00"/>
    <s v="29/09/2026"/>
    <n v="0.93283605999999997"/>
    <m/>
    <n v="3105640.28"/>
    <n v="2897053.25"/>
    <n v="3105640.28"/>
    <n v="2897053.25"/>
    <n v="3393"/>
    <s v="AMOMPY"/>
    <s v="Momentum Capital Investment S.A."/>
    <s v="07/09/2026"/>
    <s v="07/09/2026"/>
    <n v="36"/>
    <s v="No"/>
    <s v=""/>
    <m/>
    <m/>
    <s v="*MAV091201462"/>
    <s v="*MAV091201462"/>
    <n v="3.8515073803170403E-5"/>
  </r>
  <r>
    <x v="35"/>
    <s v="Pesos"/>
    <d v="2026-12-11T00:00:00"/>
    <s v="29/09/2026"/>
    <n v="0.93283583999999997"/>
    <m/>
    <n v="2874176.47"/>
    <n v="2681134.81"/>
    <n v="2874176.47"/>
    <n v="2681134.81"/>
    <n v="3440"/>
    <s v="AMOMPY"/>
    <s v="Momentum Capital Investment S.A."/>
    <s v="11/09/2026"/>
    <s v="11/09/2026"/>
    <n v="36"/>
    <s v="No"/>
    <s v=""/>
    <m/>
    <m/>
    <s v="*MAV081200688"/>
    <s v="*MAV081200688"/>
    <n v="3.5644531243393351E-5"/>
  </r>
  <r>
    <x v="35"/>
    <s v="Pesos"/>
    <d v="2026-12-11T00:00:00"/>
    <s v="29/09/2026"/>
    <n v="0.93283583999999997"/>
    <m/>
    <n v="2874176.47"/>
    <n v="2681134.81"/>
    <n v="2874176.47"/>
    <n v="2681134.81"/>
    <n v="3441"/>
    <s v="AMOMPY"/>
    <s v="Momentum Capital Investment S.A."/>
    <s v="11/09/2026"/>
    <s v="11/09/2026"/>
    <n v="36"/>
    <s v="No"/>
    <s v=""/>
    <m/>
    <m/>
    <s v="*MAV091201504"/>
    <s v="*MAV091201504"/>
    <n v="3.5644531243393351E-5"/>
  </r>
  <r>
    <x v="132"/>
    <s v="Pesos"/>
    <d v="2026-12-11T00:00:00"/>
    <s v="29/09/2026"/>
    <n v="0.94161963999999998"/>
    <m/>
    <n v="9990457.7799999993"/>
    <n v="9407211.25"/>
    <n v="9990457.7799999993"/>
    <n v="9407211.25"/>
    <n v="3020"/>
    <s v="AMOMPY"/>
    <s v="Momentum Capital Investment S.A."/>
    <s v="08/09/2026"/>
    <s v="08/09/2026"/>
    <n v="31"/>
    <s v="No"/>
    <s v=""/>
    <m/>
    <m/>
    <s v="*MAV071200907"/>
    <s v="*MAV071200907"/>
    <n v="1.2506481735389741E-4"/>
  </r>
  <r>
    <x v="140"/>
    <s v="Pesos"/>
    <d v="2026-12-11T00:00:00"/>
    <s v="29/09/2026"/>
    <n v="0.94161963999999998"/>
    <m/>
    <n v="18916974.350000001"/>
    <n v="17812594.559999999"/>
    <n v="18916974.350000001"/>
    <n v="17812594.559999999"/>
    <n v="69586446"/>
    <s v="AMOMPY"/>
    <s v="Momentum Capital Investment S.A."/>
    <s v="08/09/2026"/>
    <s v="08/09/2026"/>
    <n v="31"/>
    <s v="No"/>
    <s v=""/>
    <m/>
    <m/>
    <s v="*MAV081200676"/>
    <s v="*MAV081200676"/>
    <n v="2.3681076421510426E-4"/>
  </r>
  <r>
    <x v="140"/>
    <s v="Pesos"/>
    <d v="2026-12-11T00:00:00"/>
    <s v="29/09/2026"/>
    <n v="0.94161963999999998"/>
    <m/>
    <n v="20398741.449999999"/>
    <n v="19207855.559999999"/>
    <n v="20398741.449999999"/>
    <n v="19207855.559999999"/>
    <n v="69586151"/>
    <s v="AMOMPY"/>
    <s v="Momentum Capital Investment S.A."/>
    <s v="08/09/2026"/>
    <s v="08/09/2026"/>
    <n v="31"/>
    <s v="No"/>
    <s v=""/>
    <m/>
    <m/>
    <s v="*MAV081200677"/>
    <s v="*MAV081200677"/>
    <n v="2.5536015759946315E-4"/>
  </r>
  <r>
    <x v="353"/>
    <s v="Pesos"/>
    <d v="2026-12-11T00:00:00"/>
    <s v="29/09/2026"/>
    <n v="0.96153854000000005"/>
    <m/>
    <n v="211135.5"/>
    <n v="203014.92"/>
    <n v="211135.5"/>
    <n v="203014.92"/>
    <n v="69520839"/>
    <s v="AMOMPY"/>
    <s v="Momentum Capital Investment S.A."/>
    <s v="11/09/2026"/>
    <s v="11/09/2026"/>
    <n v="20"/>
    <s v="No"/>
    <s v=""/>
    <m/>
    <m/>
    <s v="*MAV051201431"/>
    <s v="*MAV051201431"/>
    <n v="2.6989958251353282E-6"/>
  </r>
  <r>
    <x v="354"/>
    <s v="Pesos"/>
    <d v="2026-12-11T00:00:00"/>
    <s v="29/09/2026"/>
    <n v="0.96153843999999999"/>
    <m/>
    <n v="126868.5"/>
    <n v="121988.94"/>
    <n v="126868.5"/>
    <n v="121988.94"/>
    <n v="8379007"/>
    <s v="AMOMPY"/>
    <s v="Momentum Capital Investment S.A."/>
    <s v="11/09/2026"/>
    <s v="11/09/2026"/>
    <n v="20"/>
    <s v="No"/>
    <s v=""/>
    <m/>
    <m/>
    <s v="*MAV071200914"/>
    <s v="*MAV071200914"/>
    <n v="1.6217903579337127E-6"/>
  </r>
  <r>
    <x v="355"/>
    <s v="Pesos"/>
    <d v="2026-12-11T00:00:00"/>
    <s v="29/09/2026"/>
    <n v="0.93984966999999997"/>
    <m/>
    <n v="353613.17"/>
    <n v="332343.21999999997"/>
    <n v="353613.17"/>
    <n v="332343.21999999997"/>
    <n v="2862"/>
    <s v="AMOMPY"/>
    <s v="Momentum Capital Investment S.A."/>
    <s v="15/09/2026"/>
    <s v="15/09/2026"/>
    <n v="32"/>
    <s v="No"/>
    <s v=""/>
    <m/>
    <m/>
    <s v="*MAV061201179"/>
    <s v="*MAV061201179"/>
    <n v="4.4183598096732583E-6"/>
  </r>
  <r>
    <x v="207"/>
    <s v="Pesos"/>
    <d v="2026-12-11T00:00:00"/>
    <s v="29/09/2026"/>
    <n v="0.93283594999999997"/>
    <m/>
    <n v="3250000"/>
    <n v="3031716.84"/>
    <n v="3250000"/>
    <n v="3031716.84"/>
    <n v="74"/>
    <s v="AMOMPY"/>
    <s v="Momentum Capital Investment S.A."/>
    <s v="02/09/2026"/>
    <s v="02/09/2026"/>
    <n v="36"/>
    <s v="No"/>
    <s v=""/>
    <m/>
    <m/>
    <s v="*MAV091201446"/>
    <s v="*MAV091201446"/>
    <n v="4.0305368167780328E-5"/>
  </r>
  <r>
    <x v="207"/>
    <s v="Pesos"/>
    <d v="2026-12-11T00:00:00"/>
    <s v="29/09/2026"/>
    <n v="0.93283596000000002"/>
    <m/>
    <n v="5500000"/>
    <n v="5130597.7699999996"/>
    <n v="5500000"/>
    <n v="5130597.7699999996"/>
    <n v="57"/>
    <s v="AMOMPY"/>
    <s v="Momentum Capital Investment S.A."/>
    <s v="02/09/2026"/>
    <s v="02/09/2026"/>
    <n v="36"/>
    <s v="No"/>
    <s v=""/>
    <m/>
    <m/>
    <s v="*MAV071200881"/>
    <s v="*MAV071200881"/>
    <n v="6.820908513363759E-5"/>
  </r>
  <r>
    <x v="207"/>
    <s v="Pesos"/>
    <d v="2026-12-11T00:00:00"/>
    <s v="29/09/2026"/>
    <n v="0.93283594999999997"/>
    <m/>
    <n v="3250000"/>
    <n v="3031716.84"/>
    <n v="3250000"/>
    <n v="3031716.84"/>
    <n v="73"/>
    <s v="AMOMPY"/>
    <s v="Momentum Capital Investment S.A."/>
    <s v="02/09/2026"/>
    <s v="02/09/2026"/>
    <n v="36"/>
    <s v="No"/>
    <s v=""/>
    <m/>
    <m/>
    <s v="*MAV081200666"/>
    <s v="*MAV081200666"/>
    <n v="4.0305368167780328E-5"/>
  </r>
  <r>
    <x v="207"/>
    <s v="Pesos"/>
    <d v="2026-12-11T00:00:00"/>
    <s v="29/09/2026"/>
    <n v="0.93283596000000002"/>
    <m/>
    <n v="5500000"/>
    <n v="5130597.7699999996"/>
    <n v="5500000"/>
    <n v="5130597.7699999996"/>
    <n v="58"/>
    <s v="AMOMPY"/>
    <s v="Momentum Capital Investment S.A."/>
    <s v="02/09/2026"/>
    <s v="02/09/2026"/>
    <n v="36"/>
    <s v="No"/>
    <s v=""/>
    <m/>
    <m/>
    <s v="*MAV081200667"/>
    <s v="*MAV081200667"/>
    <n v="6.820908513363759E-5"/>
  </r>
  <r>
    <x v="39"/>
    <s v="Pesos"/>
    <d v="2026-12-11T00:00:00"/>
    <s v="29/09/2026"/>
    <n v="0.94517969000000002"/>
    <m/>
    <n v="5311841.87"/>
    <n v="5020645.04"/>
    <n v="5311841.87"/>
    <n v="5020645.04"/>
    <n v="90000278"/>
    <s v="AMOMPY"/>
    <s v="Momentum Capital Investment S.A."/>
    <s v="03/07/2026"/>
    <s v="03/07/2026"/>
    <n v="29"/>
    <s v="No"/>
    <s v=""/>
    <m/>
    <m/>
    <s v="*FED071200026"/>
    <s v="*FED071200026"/>
    <n v="6.6747310997863573E-5"/>
  </r>
  <r>
    <x v="43"/>
    <s v="Pesos"/>
    <d v="2026-12-11T00:00:00"/>
    <s v="29/09/2026"/>
    <n v="0.93808617999999999"/>
    <m/>
    <n v="28964.94"/>
    <n v="27171.61"/>
    <n v="28964.94"/>
    <n v="27171.61"/>
    <n v="121297"/>
    <s v="AMOMPY"/>
    <s v="Momentum Capital Investment S.A."/>
    <s v="14/09/2026"/>
    <s v="14/09/2026"/>
    <n v="33"/>
    <s v="No"/>
    <s v=""/>
    <m/>
    <m/>
    <s v="*MAV071200929"/>
    <s v="*MAV071200929"/>
    <n v="3.6123483905619025E-7"/>
  </r>
  <r>
    <x v="43"/>
    <s v="Pesos"/>
    <d v="2026-12-11T00:00:00"/>
    <s v="29/09/2026"/>
    <n v="0.93809001000000003"/>
    <m/>
    <n v="3890.81"/>
    <n v="3649.93"/>
    <n v="3890.81"/>
    <n v="3649.93"/>
    <n v="121965"/>
    <s v="AMOMPY"/>
    <s v="Momentum Capital Investment S.A."/>
    <s v="14/09/2026"/>
    <s v="14/09/2026"/>
    <n v="33"/>
    <s v="No"/>
    <s v=""/>
    <m/>
    <m/>
    <s v="*MAV091201510"/>
    <s v="*MAV091201510"/>
    <n v="4.8524245567942434E-8"/>
  </r>
  <r>
    <x v="18"/>
    <s v="Pesos"/>
    <d v="2026-12-11T00:00:00"/>
    <s v="29/09/2026"/>
    <n v="0.93808639999999999"/>
    <m/>
    <n v="25000000"/>
    <n v="23452159.98"/>
    <n v="25000000"/>
    <n v="23452159.98"/>
    <n v="4294"/>
    <s v="AMOMPY"/>
    <s v="Momentum Capital Investment S.A."/>
    <s v="23/09/2026"/>
    <s v="23/09/2026"/>
    <n v="33"/>
    <s v="No"/>
    <s v=""/>
    <m/>
    <m/>
    <s v="*MAV081200711"/>
    <s v="*MAV081200711"/>
    <n v="3.1178635479808982E-4"/>
  </r>
  <r>
    <x v="37"/>
    <s v="Pesos"/>
    <d v="2026-12-11T00:00:00"/>
    <s v="29/09/2026"/>
    <n v="0.94696988000000004"/>
    <m/>
    <n v="20519816.280000001"/>
    <n v="19431647.960000001"/>
    <n v="20519816.280000001"/>
    <n v="19431647.960000001"/>
    <n v="76906097"/>
    <s v="AMOMPY"/>
    <s v="Momentum Capital Investment S.A."/>
    <s v="21/09/2026"/>
    <s v="21/09/2026"/>
    <n v="28"/>
    <s v="No"/>
    <s v=""/>
    <m/>
    <m/>
    <s v="*AFB091200006"/>
    <s v="*AFB091200006"/>
    <n v="2.5833538106233484E-4"/>
  </r>
  <r>
    <x v="48"/>
    <s v="Pesos"/>
    <d v="2026-12-11T00:00:00"/>
    <s v="29/09/2026"/>
    <n v="0.93984979000000002"/>
    <m/>
    <n v="3000000"/>
    <n v="2819549.38"/>
    <n v="3000000"/>
    <n v="2819549.38"/>
    <n v="40789555"/>
    <s v="AMOMPY"/>
    <s v="Momentum Capital Investment S.A."/>
    <s v="24/09/2026"/>
    <s v="24/09/2026"/>
    <n v="32"/>
    <s v="No"/>
    <s v=""/>
    <m/>
    <m/>
    <s v="*MAV091201557"/>
    <s v="*MAV091201557"/>
    <n v="3.7484693269750339E-5"/>
  </r>
  <r>
    <x v="48"/>
    <s v="Pesos"/>
    <d v="2026-12-11T00:00:00"/>
    <s v="29/09/2026"/>
    <n v="0.93984979000000002"/>
    <m/>
    <n v="3000000"/>
    <n v="2819549.38"/>
    <n v="3000000"/>
    <n v="2819549.38"/>
    <n v="40789556"/>
    <s v="AMOMPY"/>
    <s v="Momentum Capital Investment S.A."/>
    <s v="24/09/2026"/>
    <s v="24/09/2026"/>
    <n v="32"/>
    <s v="No"/>
    <s v=""/>
    <m/>
    <m/>
    <s v="*MAV091201556"/>
    <s v="*MAV091201556"/>
    <n v="3.7484693269750339E-5"/>
  </r>
  <r>
    <x v="21"/>
    <s v="Pesos"/>
    <d v="2026-12-11T00:00:00"/>
    <s v="29/09/2026"/>
    <n v="0.93808643000000003"/>
    <m/>
    <n v="25000000"/>
    <n v="23452160.809999999"/>
    <n v="25000000"/>
    <n v="23452160.809999999"/>
    <n v="14422597"/>
    <s v="AMOMPY"/>
    <s v="Momentum Capital Investment S.A."/>
    <s v="02/09/2026"/>
    <s v="02/09/2026"/>
    <n v="33"/>
    <s v="No"/>
    <s v=""/>
    <m/>
    <m/>
    <s v="*MAV071200882"/>
    <s v="*MAV071200882"/>
    <n v="3.1178636583258193E-4"/>
  </r>
  <r>
    <x v="234"/>
    <s v="Pesos"/>
    <d v="2026-12-11T00:00:00"/>
    <s v="29/09/2026"/>
    <n v="0.93808632000000003"/>
    <m/>
    <n v="2500000"/>
    <n v="2345215.81"/>
    <n v="2500000"/>
    <n v="2345215.81"/>
    <n v="681"/>
    <s v="AMOMPY"/>
    <s v="Momentum Capital Investment S.A."/>
    <s v="22/09/2026"/>
    <s v="22/09/2026"/>
    <n v="33"/>
    <s v="No"/>
    <s v=""/>
    <m/>
    <m/>
    <s v="*MAV091201544"/>
    <s v="*MAV091201544"/>
    <n v="3.1178632980430046E-5"/>
  </r>
  <r>
    <x v="349"/>
    <s v="Pesos"/>
    <d v="2026-12-11T00:00:00"/>
    <s v="29/09/2026"/>
    <n v="0.93109874999999998"/>
    <m/>
    <n v="15000000"/>
    <n v="13966481.18"/>
    <n v="15000000"/>
    <n v="13966481.18"/>
    <n v="90023086"/>
    <s v="AMOMPY"/>
    <s v="Momentum Capital Investment S.A."/>
    <s v="02/06/2026"/>
    <s v="02/06/2026"/>
    <n v="37"/>
    <s v="No"/>
    <s v=""/>
    <m/>
    <m/>
    <s v="*MAV091201366"/>
    <s v="*MAV091201366"/>
    <n v="1.856783452006933E-4"/>
  </r>
  <r>
    <x v="50"/>
    <s v="Pesos"/>
    <d v="2026-12-11T00:00:00"/>
    <s v="29/09/2026"/>
    <n v="0.94339622999999995"/>
    <m/>
    <n v="150000000"/>
    <n v="141509433.96000001"/>
    <n v="150000000"/>
    <n v="141509433.96000001"/>
    <n v="90004274"/>
    <s v="AMOMPY"/>
    <s v="Momentum Capital Investment S.A."/>
    <s v="29/09/2026"/>
    <s v="29/09/2026"/>
    <n v="30"/>
    <s v="No"/>
    <s v=""/>
    <m/>
    <m/>
    <s v="*MAV091201630"/>
    <s v="*MAV091201630"/>
    <n v="1.8813069082573017E-3"/>
  </r>
  <r>
    <x v="27"/>
    <s v="Pesos"/>
    <d v="2026-12-11T00:00:00"/>
    <s v="29/09/2026"/>
    <n v="0.94696988000000004"/>
    <m/>
    <n v="8400000"/>
    <n v="7954546.9900000002"/>
    <n v="8400000"/>
    <n v="7954546.9900000002"/>
    <n v="2454"/>
    <s v="AMOMPY"/>
    <s v="Momentum Capital Investment S.A."/>
    <s v="21/09/2026"/>
    <s v="21/09/2026"/>
    <n v="28"/>
    <s v="No"/>
    <s v=""/>
    <m/>
    <m/>
    <s v="*MOV071200050"/>
    <s v="*MOV071200050"/>
    <n v="1.057522723790586E-4"/>
  </r>
  <r>
    <x v="27"/>
    <s v="Pesos"/>
    <d v="2026-12-11T00:00:00"/>
    <s v="29/09/2026"/>
    <n v="0.94696988000000004"/>
    <m/>
    <n v="8400000"/>
    <n v="7954546.9900000002"/>
    <n v="8400000"/>
    <n v="7954546.9900000002"/>
    <n v="2455"/>
    <s v="AMOMPY"/>
    <s v="Momentum Capital Investment S.A."/>
    <s v="21/09/2026"/>
    <s v="21/09/2026"/>
    <n v="28"/>
    <s v="No"/>
    <s v=""/>
    <m/>
    <m/>
    <s v="*MOV091200075"/>
    <s v="*MOV091200075"/>
    <n v="1.057522723790586E-4"/>
  </r>
  <r>
    <x v="75"/>
    <s v="Pesos"/>
    <d v="2026-12-11T00:00:00"/>
    <s v="29/09/2026"/>
    <n v="0.93632968999999999"/>
    <m/>
    <n v="4000000"/>
    <n v="3745318.77"/>
    <n v="4000000"/>
    <n v="3745318.77"/>
    <n v="90000054"/>
    <s v="AMOMPY"/>
    <s v="Momentum Capital Investment S.A."/>
    <s v="11/06/2026"/>
    <s v="11/06/2026"/>
    <n v="34"/>
    <s v="No"/>
    <s v=""/>
    <m/>
    <m/>
    <s v="*MAV071200853"/>
    <s v="*MAV071200853"/>
    <n v="4.9792398135225641E-5"/>
  </r>
  <r>
    <x v="89"/>
    <s v="Pesos"/>
    <d v="2026-12-14T00:00:00"/>
    <s v="29/09/2026"/>
    <n v="0.93936596000000006"/>
    <m/>
    <n v="10000000"/>
    <n v="9393659.6500000004"/>
    <n v="10000000"/>
    <n v="9393659.6500000004"/>
    <n v="180"/>
    <s v="AMOMPY"/>
    <s v="Momentum Capital Investment S.A."/>
    <s v="01/09/2026"/>
    <s v="01/09/2026"/>
    <n v="31"/>
    <s v="No"/>
    <s v=""/>
    <m/>
    <m/>
    <s v="*INP101200070"/>
    <s v="*INP101200070"/>
    <n v="1.2488465467509576E-4"/>
  </r>
  <r>
    <x v="351"/>
    <s v="Pesos"/>
    <d v="2026-12-14T00:00:00"/>
    <s v="29/09/2026"/>
    <n v="0.93753226000000001"/>
    <m/>
    <n v="8000000"/>
    <n v="7500258.04"/>
    <n v="8000000"/>
    <n v="7500258.04"/>
    <n v="1791"/>
    <s v="AMOMPY"/>
    <s v="Momentum Capital Investment S.A."/>
    <s v="16/09/2026"/>
    <s v="16/09/2026"/>
    <n v="32"/>
    <s v="No"/>
    <s v=""/>
    <m/>
    <m/>
    <s v="*MAV101201566"/>
    <s v="*MAV101201566"/>
    <n v="9.9712696669770277E-5"/>
  </r>
  <r>
    <x v="352"/>
    <s v="Pesos"/>
    <d v="2026-12-14T00:00:00"/>
    <s v="29/09/2026"/>
    <n v="0.93207359000000001"/>
    <m/>
    <n v="5000000"/>
    <n v="4660367.9400000004"/>
    <n v="5000000"/>
    <n v="4660367.9400000004"/>
    <n v="542"/>
    <s v="AMOMPY"/>
    <s v="Momentum Capital Investment S.A."/>
    <s v="18/09/2026"/>
    <s v="18/09/2026"/>
    <n v="35"/>
    <s v="No"/>
    <s v=""/>
    <m/>
    <m/>
    <s v="*MAV101201581"/>
    <s v="*MAV101201581"/>
    <n v="6.1957582298160797E-5"/>
  </r>
  <r>
    <x v="35"/>
    <s v="Pesos"/>
    <d v="2026-12-14T00:00:00"/>
    <s v="29/09/2026"/>
    <n v="0.93026816000000001"/>
    <m/>
    <n v="3105640.28"/>
    <n v="2889078.28"/>
    <n v="3105640.28"/>
    <n v="2889078.28"/>
    <n v="3394"/>
    <s v="AMOMPY"/>
    <s v="Momentum Capital Investment S.A."/>
    <s v="07/09/2026"/>
    <s v="07/09/2026"/>
    <n v="36"/>
    <s v="No"/>
    <s v=""/>
    <m/>
    <m/>
    <s v="*MAV101201503"/>
    <s v="*MAV101201503"/>
    <n v="3.8409050015679408E-5"/>
  </r>
  <r>
    <x v="35"/>
    <s v="Pesos"/>
    <d v="2026-12-14T00:00:00"/>
    <s v="29/09/2026"/>
    <n v="0.93026819000000005"/>
    <m/>
    <n v="2874176.47"/>
    <n v="2673754.9300000002"/>
    <n v="2874176.47"/>
    <n v="2673754.9300000002"/>
    <n v="3442"/>
    <s v="AMOMPY"/>
    <s v="Momentum Capital Investment S.A."/>
    <s v="11/09/2026"/>
    <s v="11/09/2026"/>
    <n v="36"/>
    <s v="No"/>
    <s v=""/>
    <m/>
    <m/>
    <s v="*MAV101201527"/>
    <s v="*MAV101201527"/>
    <n v="3.5546418920860608E-5"/>
  </r>
  <r>
    <x v="341"/>
    <s v="Pesos"/>
    <d v="2026-12-14T00:00:00"/>
    <s v="29/09/2026"/>
    <n v="0.93570555"/>
    <m/>
    <n v="5000000"/>
    <n v="4678527.7699999996"/>
    <n v="5000000"/>
    <n v="4678527.7699999996"/>
    <n v="2877"/>
    <s v="AMOMPY"/>
    <s v="Momentum Capital Investment S.A."/>
    <s v="11/09/2026"/>
    <s v="11/09/2026"/>
    <n v="33"/>
    <s v="No"/>
    <s v=""/>
    <m/>
    <m/>
    <s v="*MAV101201524"/>
    <s v="*MAV101201524"/>
    <n v="6.2199009407829217E-5"/>
  </r>
  <r>
    <x v="160"/>
    <s v="Pesos"/>
    <d v="2026-12-14T00:00:00"/>
    <s v="29/09/2026"/>
    <n v="0.93753218999999999"/>
    <m/>
    <n v="8123170.71"/>
    <n v="7615734.0199999996"/>
    <n v="8123170.71"/>
    <n v="7615734.0199999996"/>
    <n v="11245"/>
    <s v="AMOMPY"/>
    <s v="Momentum Capital Investment S.A."/>
    <s v="15/09/2026"/>
    <s v="15/09/2026"/>
    <n v="32"/>
    <s v="No"/>
    <s v=""/>
    <m/>
    <m/>
    <s v="*MAV101201561"/>
    <s v="*MAV101201561"/>
    <n v="1.0124790003277143E-4"/>
  </r>
  <r>
    <x v="292"/>
    <s v="Pesos"/>
    <d v="2026-12-14T00:00:00"/>
    <s v="29/09/2026"/>
    <n v="0.93753220999999998"/>
    <m/>
    <n v="428767.71"/>
    <n v="401983.54"/>
    <n v="428767.71"/>
    <n v="401983.54"/>
    <n v="1975206"/>
    <s v="AMOMPY"/>
    <s v="Momentum Capital Investment S.A."/>
    <s v="15/09/2026"/>
    <s v="15/09/2026"/>
    <n v="32"/>
    <s v="No"/>
    <s v=""/>
    <m/>
    <m/>
    <s v="*MAV101201559"/>
    <s v="*MAV101201559"/>
    <n v="5.3441978364600996E-6"/>
  </r>
  <r>
    <x v="293"/>
    <s v="Pesos"/>
    <d v="2026-12-14T00:00:00"/>
    <s v="29/09/2026"/>
    <n v="0.93753218999999999"/>
    <m/>
    <n v="17763197.079999998"/>
    <n v="16653569.02"/>
    <n v="17763197.079999998"/>
    <n v="16653569.02"/>
    <n v="1314"/>
    <s v="AMOMPY"/>
    <s v="Momentum Capital Investment S.A."/>
    <s v="15/09/2026"/>
    <s v="15/09/2026"/>
    <n v="32"/>
    <s v="No"/>
    <s v=""/>
    <m/>
    <m/>
    <s v="*MAV101201560"/>
    <s v="*MAV101201560"/>
    <n v="2.2140201941110062E-4"/>
  </r>
  <r>
    <x v="8"/>
    <s v="Pesos"/>
    <d v="2026-12-14T00:00:00"/>
    <s v="29/09/2026"/>
    <n v="0.94864336000000005"/>
    <m/>
    <n v="3729055.13"/>
    <n v="3537543.4"/>
    <n v="3729055.13"/>
    <n v="3537543.4"/>
    <n v="3031"/>
    <s v="AMOMPY"/>
    <s v="Momentum Capital Investment S.A."/>
    <s v="22/09/2026"/>
    <s v="22/09/2026"/>
    <n v="26"/>
    <s v="No"/>
    <s v=""/>
    <m/>
    <m/>
    <s v="*TRD101200047"/>
    <s v="*TRD101200047"/>
    <n v="4.7030114179957978E-5"/>
  </r>
  <r>
    <x v="165"/>
    <s v="Pesos"/>
    <d v="2026-12-14T00:00:00"/>
    <s v="29/09/2026"/>
    <n v="0.94491042999999997"/>
    <m/>
    <n v="850000000"/>
    <n v="803173866.69000006"/>
    <n v="850000000"/>
    <n v="803173866.69000006"/>
    <n v="31"/>
    <s v="AMOMPY"/>
    <s v="Momentum Capital Investment S.A."/>
    <s v="12/08/2026"/>
    <s v="12/08/2026"/>
    <n v="28"/>
    <s v="No"/>
    <s v=""/>
    <m/>
    <m/>
    <s v="*MAV101201390"/>
    <s v="*MAV101201390"/>
    <n v="1.0677850243982604E-2"/>
  </r>
  <r>
    <x v="207"/>
    <s v="Pesos"/>
    <d v="2026-12-14T00:00:00"/>
    <s v="29/09/2026"/>
    <n v="0.93026830000000005"/>
    <m/>
    <n v="3250000"/>
    <n v="3023371.98"/>
    <n v="3250000"/>
    <n v="3023371.98"/>
    <n v="75"/>
    <s v="AMOMPY"/>
    <s v="Momentum Capital Investment S.A."/>
    <s v="02/09/2026"/>
    <s v="02/09/2026"/>
    <n v="36"/>
    <s v="No"/>
    <s v=""/>
    <m/>
    <m/>
    <s v="*MAV101201461"/>
    <s v="*MAV101201461"/>
    <n v="4.0194426852229041E-5"/>
  </r>
  <r>
    <x v="43"/>
    <s v="Pesos"/>
    <d v="2026-12-14T00:00:00"/>
    <s v="29/09/2026"/>
    <n v="0.93570556999999999"/>
    <m/>
    <n v="14698.63"/>
    <n v="13753.59"/>
    <n v="14698.63"/>
    <n v="13753.59"/>
    <n v="122353"/>
    <s v="AMOMPY"/>
    <s v="Momentum Capital Investment S.A."/>
    <s v="14/09/2026"/>
    <s v="14/09/2026"/>
    <n v="33"/>
    <s v="No"/>
    <s v=""/>
    <m/>
    <m/>
    <s v="*MAV101201538"/>
    <s v="*MAV101201538"/>
    <n v="1.8284804875731793E-7"/>
  </r>
  <r>
    <x v="18"/>
    <s v="Pesos"/>
    <d v="2026-12-14T00:00:00"/>
    <s v="29/09/2026"/>
    <n v="0.93570564000000001"/>
    <m/>
    <n v="25000000"/>
    <n v="23392640.960000001"/>
    <n v="25000000"/>
    <n v="23392640.960000001"/>
    <n v="4295"/>
    <s v="AMOMPY"/>
    <s v="Momentum Capital Investment S.A."/>
    <s v="23/09/2026"/>
    <s v="23/09/2026"/>
    <n v="33"/>
    <s v="No"/>
    <s v=""/>
    <m/>
    <m/>
    <s v="*MAV101201604"/>
    <s v="*MAV101201604"/>
    <n v="3.1099507509068633E-4"/>
  </r>
  <r>
    <x v="182"/>
    <s v="Pesos"/>
    <d v="2026-12-14T00:00:00"/>
    <s v="29/09/2026"/>
    <n v="0.93570551000000002"/>
    <m/>
    <n v="10051717.25"/>
    <n v="9405447.2400000002"/>
    <n v="10051717.25"/>
    <n v="9405447.2400000002"/>
    <n v="90002286"/>
    <s v="AMOMPY"/>
    <s v="Momentum Capital Investment S.A."/>
    <s v="14/09/2026"/>
    <s v="14/09/2026"/>
    <n v="33"/>
    <s v="No"/>
    <s v=""/>
    <m/>
    <m/>
    <s v="*MAV101201550"/>
    <s v="*MAV101201550"/>
    <n v="1.2504136560155575E-4"/>
  </r>
  <r>
    <x v="356"/>
    <s v="Pesos"/>
    <d v="2026-12-14T00:00:00"/>
    <s v="29/09/2026"/>
    <n v="0.96002109999999996"/>
    <m/>
    <n v="2409463.31"/>
    <n v="2313135.62"/>
    <n v="2409463.31"/>
    <n v="2313135.62"/>
    <n v="2669"/>
    <s v="AMOMPY"/>
    <s v="Momentum Capital Investment S.A."/>
    <s v="08/09/2026"/>
    <s v="08/09/2026"/>
    <n v="20"/>
    <s v="No"/>
    <s v=""/>
    <m/>
    <m/>
    <s v="*MAV101201488"/>
    <s v="*MAV101201488"/>
    <n v="3.0752140686762431E-5"/>
  </r>
  <r>
    <x v="21"/>
    <s v="Pesos"/>
    <d v="2026-12-14T00:00:00"/>
    <s v="29/09/2026"/>
    <n v="0.93570551000000002"/>
    <m/>
    <n v="36666668"/>
    <n v="34309203.380000003"/>
    <n v="36666668"/>
    <n v="34309203.380000003"/>
    <n v="14537771"/>
    <s v="AMOMPY"/>
    <s v="Momentum Capital Investment S.A."/>
    <s v="14/09/2026"/>
    <s v="14/09/2026"/>
    <n v="33"/>
    <s v="No"/>
    <s v=""/>
    <m/>
    <m/>
    <s v="*MAV101201549"/>
    <s v="*MAV101201549"/>
    <n v="4.5612606544552932E-4"/>
  </r>
  <r>
    <x v="21"/>
    <s v="Pesos"/>
    <d v="2026-12-14T00:00:00"/>
    <s v="29/09/2026"/>
    <n v="0.93570551000000002"/>
    <m/>
    <n v="25000000"/>
    <n v="23392637.68"/>
    <n v="25000000"/>
    <n v="23392637.68"/>
    <n v="14422658"/>
    <s v="AMOMPY"/>
    <s v="Momentum Capital Investment S.A."/>
    <s v="03/09/2026"/>
    <s v="03/09/2026"/>
    <n v="33"/>
    <s v="No"/>
    <s v=""/>
    <m/>
    <m/>
    <s v="*MAV101201470"/>
    <s v="*MAV101201470"/>
    <n v="3.1099503148450061E-4"/>
  </r>
  <r>
    <x v="123"/>
    <s v="Pesos"/>
    <d v="2026-12-14T00:00:00"/>
    <s v="29/09/2026"/>
    <n v="0.93570560999999997"/>
    <m/>
    <n v="25000000"/>
    <n v="23392640.190000001"/>
    <n v="25000000"/>
    <n v="23392640.190000001"/>
    <n v="475887"/>
    <s v="AMOMPY"/>
    <s v="Momentum Capital Investment S.A."/>
    <s v="07/08/2026"/>
    <s v="07/08/2026"/>
    <n v="33"/>
    <s v="No"/>
    <s v=""/>
    <m/>
    <m/>
    <s v="*MAV101201380"/>
    <s v="*MAV101201380"/>
    <n v="3.1099506485386837E-4"/>
  </r>
  <r>
    <x v="50"/>
    <s v="Pesos"/>
    <d v="2026-12-14T00:00:00"/>
    <s v="29/09/2026"/>
    <n v="0.94120685999999998"/>
    <m/>
    <n v="150000000"/>
    <n v="141181028.34"/>
    <n v="150000000"/>
    <n v="141181028.34"/>
    <n v="90004275"/>
    <s v="AMOMPY"/>
    <s v="Momentum Capital Investment S.A."/>
    <s v="29/09/2026"/>
    <s v="29/09/2026"/>
    <n v="30"/>
    <s v="No"/>
    <s v=""/>
    <m/>
    <m/>
    <s v="*MAV101201633"/>
    <s v="*MAV101201633"/>
    <n v="1.8769408971418084E-3"/>
  </r>
  <r>
    <x v="25"/>
    <s v="Pesos"/>
    <d v="2026-12-14T00:00:00"/>
    <s v="29/09/2026"/>
    <n v="0.94491049000000005"/>
    <m/>
    <n v="40400000"/>
    <n v="38174383.68"/>
    <n v="40400000"/>
    <n v="38174383.68"/>
    <n v="82410318"/>
    <s v="AMOMPY"/>
    <s v="Momentum Capital Investment S.A."/>
    <s v="22/09/2026"/>
    <s v="22/09/2026"/>
    <n v="28"/>
    <s v="No"/>
    <s v=""/>
    <m/>
    <m/>
    <s v="*CVA101200027"/>
    <s v="*CVA101200027"/>
    <n v="5.0751197094003832E-4"/>
  </r>
  <r>
    <x v="27"/>
    <s v="Pesos"/>
    <d v="2026-12-14T00:00:00"/>
    <s v="29/09/2026"/>
    <n v="0.94491064999999996"/>
    <m/>
    <n v="8400000"/>
    <n v="7937249.4699999997"/>
    <n v="8400000"/>
    <n v="7937249.4699999997"/>
    <n v="2456"/>
    <s v="AMOMPY"/>
    <s v="Momentum Capital Investment S.A."/>
    <s v="21/09/2026"/>
    <s v="21/09/2026"/>
    <n v="28"/>
    <s v="No"/>
    <s v=""/>
    <m/>
    <m/>
    <s v="*MOV101200086"/>
    <s v="*MOV101200086"/>
    <n v="1.0552230930902811E-4"/>
  </r>
  <r>
    <x v="294"/>
    <s v="Pesos"/>
    <d v="2026-12-14T00:00:00"/>
    <s v="29/09/2026"/>
    <n v="0.93936598000000004"/>
    <m/>
    <n v="694088.77"/>
    <n v="652003.38"/>
    <n v="694088.77"/>
    <n v="652003.38"/>
    <n v="37824"/>
    <s v="AMOMPY"/>
    <s v="Momentum Capital Investment S.A."/>
    <s v="23/09/2026"/>
    <s v="23/09/2026"/>
    <n v="31"/>
    <s v="No"/>
    <s v=""/>
    <m/>
    <m/>
    <s v="*MAV101201603"/>
    <s v="*MAV101201603"/>
    <n v="8.6681038053465383E-6"/>
  </r>
  <r>
    <x v="297"/>
    <s v="Pesos"/>
    <d v="2026-12-14T00:00:00"/>
    <s v="29/09/2026"/>
    <n v="0.93570555"/>
    <m/>
    <n v="65000000"/>
    <n v="60820860.579999998"/>
    <n v="65000000"/>
    <n v="60820860.579999998"/>
    <n v="38498315"/>
    <s v="AMOMPY"/>
    <s v="Momentum Capital Investment S.A."/>
    <s v="29/09/2026"/>
    <s v="29/09/2026"/>
    <n v="33"/>
    <s v="No"/>
    <s v=""/>
    <m/>
    <m/>
    <s v="*MAV101201629"/>
    <s v="*MAV101201629"/>
    <n v="8.085871165851153E-4"/>
  </r>
  <r>
    <x v="89"/>
    <s v="Pesos"/>
    <d v="2026-12-15T00:00:00"/>
    <s v="29/09/2026"/>
    <n v="0.93861707000000005"/>
    <m/>
    <n v="10000000"/>
    <n v="9386170.6500000004"/>
    <n v="10000000"/>
    <n v="9386170.6500000004"/>
    <n v="181"/>
    <s v="AMOMPY"/>
    <s v="Momentum Capital Investment S.A."/>
    <s v="01/09/2026"/>
    <s v="01/09/2026"/>
    <n v="31"/>
    <s v="No"/>
    <s v=""/>
    <m/>
    <m/>
    <s v="*INP111200064"/>
    <s v="*INP111200064"/>
    <n v="1.2478509164921353E-4"/>
  </r>
  <r>
    <x v="357"/>
    <s v="Pesos"/>
    <d v="2026-12-15T00:00:00"/>
    <s v="29/09/2026"/>
    <n v="0.93491444000000001"/>
    <m/>
    <n v="78805.34"/>
    <n v="73676.25"/>
    <n v="78805.34"/>
    <n v="73676.25"/>
    <n v="69702508"/>
    <s v="AMOMPY"/>
    <s v="Momentum Capital Investment S.A."/>
    <s v="16/09/2026"/>
    <s v="16/09/2026"/>
    <n v="33"/>
    <s v="No"/>
    <s v=""/>
    <m/>
    <m/>
    <s v="*MAV111201343"/>
    <s v="*MAV111201343"/>
    <n v="9.7949397591874886E-7"/>
  </r>
  <r>
    <x v="35"/>
    <s v="Pesos"/>
    <d v="2026-12-15T00:00:00"/>
    <s v="29/09/2026"/>
    <n v="0.92941556999999997"/>
    <m/>
    <n v="3105640.28"/>
    <n v="2886430.44"/>
    <n v="3105640.28"/>
    <n v="2886430.44"/>
    <n v="3395"/>
    <s v="AMOMPY"/>
    <s v="Momentum Capital Investment S.A."/>
    <s v="07/09/2026"/>
    <s v="07/09/2026"/>
    <n v="36"/>
    <s v="No"/>
    <s v=""/>
    <m/>
    <m/>
    <s v="*MAV111201293"/>
    <s v="*MAV111201293"/>
    <n v="3.8373848124578868E-5"/>
  </r>
  <r>
    <x v="35"/>
    <s v="Pesos"/>
    <d v="2026-12-15T00:00:00"/>
    <s v="29/09/2026"/>
    <n v="0.92941560000000001"/>
    <m/>
    <n v="2874176.47"/>
    <n v="2671304.4500000002"/>
    <n v="2874176.47"/>
    <n v="2671304.4500000002"/>
    <n v="3443"/>
    <s v="AMOMPY"/>
    <s v="Momentum Capital Investment S.A."/>
    <s v="11/09/2026"/>
    <s v="11/09/2026"/>
    <n v="36"/>
    <s v="No"/>
    <s v=""/>
    <m/>
    <m/>
    <s v="*MAV111201321"/>
    <s v="*MAV111201321"/>
    <n v="3.5513840845862092E-5"/>
  </r>
  <r>
    <x v="284"/>
    <s v="Pesos"/>
    <d v="2026-12-15T00:00:00"/>
    <s v="29/09/2026"/>
    <n v="0.93676230999999999"/>
    <m/>
    <n v="5000000"/>
    <n v="4683811.57"/>
    <n v="5000000"/>
    <n v="4683811.57"/>
    <n v="727"/>
    <s v="AMOMPY"/>
    <s v="Momentum Capital Investment S.A."/>
    <s v="28/09/2026"/>
    <s v="28/09/2026"/>
    <n v="32"/>
    <s v="No"/>
    <s v=""/>
    <m/>
    <m/>
    <s v="*MAV111201399"/>
    <s v="*MAV111201399"/>
    <n v="6.226925525055276E-5"/>
  </r>
  <r>
    <x v="161"/>
    <s v="Pesos"/>
    <d v="2026-12-15T00:00:00"/>
    <s v="29/09/2026"/>
    <n v="0.93676216000000001"/>
    <m/>
    <n v="1129854.56"/>
    <n v="1058405"/>
    <n v="1129854.56"/>
    <n v="1058405"/>
    <n v="1029"/>
    <s v="AMOMPY"/>
    <s v="Momentum Capital Investment S.A."/>
    <s v="15/09/2026"/>
    <s v="15/09/2026"/>
    <n v="32"/>
    <s v="No"/>
    <s v=""/>
    <m/>
    <m/>
    <s v="*MAV111201339"/>
    <s v="*MAV111201339"/>
    <n v="1.4071038110412561E-5"/>
  </r>
  <r>
    <x v="6"/>
    <s v="Pesos"/>
    <d v="2026-12-15T00:00:00"/>
    <s v="29/09/2026"/>
    <n v="0.94422622"/>
    <m/>
    <n v="35000000"/>
    <n v="33047917.670000002"/>
    <n v="35000000"/>
    <n v="33047917.670000002"/>
    <n v="69933224"/>
    <s v="AMOMPY"/>
    <s v="Momentum Capital Investment S.A."/>
    <s v="22/09/2026"/>
    <s v="22/09/2026"/>
    <n v="28"/>
    <s v="No"/>
    <s v=""/>
    <m/>
    <m/>
    <s v="*PRO111200013"/>
    <s v="*PRO111200013"/>
    <n v="4.3935781577406253E-4"/>
  </r>
  <r>
    <x v="358"/>
    <s v="Pesos"/>
    <d v="2026-12-15T00:00:00"/>
    <s v="29/09/2026"/>
    <n v="0.94047932000000001"/>
    <m/>
    <n v="23167422.219999999"/>
    <n v="21788481.530000001"/>
    <n v="23167422.219999999"/>
    <n v="21788481.530000001"/>
    <n v="438"/>
    <s v="AMOMPY"/>
    <s v="Momentum Capital Investment S.A."/>
    <s v="23/09/2026"/>
    <s v="23/09/2026"/>
    <n v="30"/>
    <s v="No"/>
    <s v=""/>
    <m/>
    <m/>
    <s v="*CUY111200026"/>
    <s v="*CUY111200026"/>
    <n v="2.8966846715260244E-4"/>
  </r>
  <r>
    <x v="163"/>
    <s v="Pesos"/>
    <d v="2026-12-15T00:00:00"/>
    <s v="29/09/2026"/>
    <n v="0.93491464999999996"/>
    <m/>
    <n v="22500000"/>
    <n v="21035579.559999999"/>
    <n v="22500000"/>
    <n v="21035579.559999999"/>
    <n v="300"/>
    <s v="AMOMPY"/>
    <s v="Momentum Capital Investment S.A."/>
    <s v="23/09/2026"/>
    <s v="23/09/2026"/>
    <n v="33"/>
    <s v="No"/>
    <s v=""/>
    <m/>
    <m/>
    <s v="*MAV111201384"/>
    <s v="*MAV111201384"/>
    <n v="2.7965896009880478E-4"/>
  </r>
  <r>
    <x v="323"/>
    <s v="Pesos"/>
    <d v="2026-12-15T00:00:00"/>
    <s v="29/09/2026"/>
    <n v="0.94422611999999995"/>
    <m/>
    <n v="50000000"/>
    <n v="47211305.780000001"/>
    <n v="50000000"/>
    <n v="47211305.780000001"/>
    <n v="40665393"/>
    <s v="AMOMPY"/>
    <s v="Momentum Capital Investment S.A."/>
    <s v="05/08/2026"/>
    <s v="05/08/2026"/>
    <n v="28"/>
    <s v="No"/>
    <s v=""/>
    <m/>
    <m/>
    <s v="*MAV111201207"/>
    <s v="*MAV111201207"/>
    <n v="6.2765395370649305E-4"/>
  </r>
  <r>
    <x v="8"/>
    <s v="Pesos"/>
    <d v="2026-12-15T00:00:00"/>
    <s v="29/09/2026"/>
    <n v="0.94422622"/>
    <m/>
    <n v="5000000"/>
    <n v="4721131.0999999996"/>
    <n v="5000000"/>
    <n v="4721131.0999999996"/>
    <n v="40797748"/>
    <s v="AMOMPY"/>
    <s v="Momentum Capital Investment S.A."/>
    <s v="22/09/2026"/>
    <s v="22/09/2026"/>
    <n v="28"/>
    <s v="No"/>
    <s v=""/>
    <m/>
    <m/>
    <s v="*MIL111200039"/>
    <s v="*MIL111200039"/>
    <n v="6.276540231041423E-5"/>
  </r>
  <r>
    <x v="8"/>
    <s v="Pesos"/>
    <d v="2026-12-15T00:00:00"/>
    <s v="29/09/2026"/>
    <n v="0.94800276000000006"/>
    <m/>
    <n v="5000000"/>
    <n v="4740013.78"/>
    <n v="5000000"/>
    <n v="4740013.78"/>
    <n v="491508"/>
    <s v="AMOMPY"/>
    <s v="Momentum Capital Investment S.A."/>
    <s v="20/07/2026"/>
    <s v="20/07/2026"/>
    <n v="26"/>
    <s v="No"/>
    <s v=""/>
    <m/>
    <m/>
    <s v="*MIL111200037"/>
    <s v="*MIL111200037"/>
    <n v="6.3016439399153165E-5"/>
  </r>
  <r>
    <x v="45"/>
    <s v="Pesos"/>
    <d v="2026-12-15T00:00:00"/>
    <s v="29/09/2026"/>
    <n v="0.94234907999999995"/>
    <m/>
    <n v="30000000"/>
    <n v="28270472.440000001"/>
    <n v="30000000"/>
    <n v="28270472.440000001"/>
    <n v="9825620"/>
    <s v="AMOMPY"/>
    <s v="Momentum Capital Investment S.A."/>
    <s v="31/08/2026"/>
    <s v="31/08/2026"/>
    <n v="29"/>
    <s v="No"/>
    <s v=""/>
    <m/>
    <m/>
    <s v="*NEU111200021"/>
    <s v="*NEU111200021"/>
    <n v="3.7584374138690575E-4"/>
  </r>
  <r>
    <x v="27"/>
    <s v="Pesos"/>
    <d v="2026-12-15T00:00:00"/>
    <s v="29/09/2026"/>
    <n v="0.94422616000000004"/>
    <m/>
    <n v="8400000"/>
    <n v="7931499.7000000002"/>
    <n v="8400000"/>
    <n v="7931499.7000000002"/>
    <n v="2457"/>
    <s v="AMOMPY"/>
    <s v="Momentum Capital Investment S.A."/>
    <s v="21/09/2026"/>
    <s v="21/09/2026"/>
    <n v="28"/>
    <s v="No"/>
    <s v=""/>
    <m/>
    <m/>
    <s v="*MOV111200070"/>
    <s v="*MOV111200070"/>
    <n v="1.0544586859607219E-4"/>
  </r>
  <r>
    <x v="175"/>
    <s v="Pesos"/>
    <d v="2026-12-15T00:00:00"/>
    <s v="29/09/2026"/>
    <n v="0.94047950000000002"/>
    <m/>
    <n v="2195601.9"/>
    <n v="2064918.57"/>
    <n v="2195601.9"/>
    <n v="2064918.57"/>
    <n v="230"/>
    <s v="AMOMPY"/>
    <s v="Momentum Capital Investment S.A."/>
    <s v="29/09/2026"/>
    <s v="29/09/2026"/>
    <n v="30"/>
    <s v="No"/>
    <s v=""/>
    <m/>
    <m/>
    <s v="*MAV111201417"/>
    <s v="*MAV111201417"/>
    <n v="2.745220203359641E-5"/>
  </r>
  <r>
    <x v="89"/>
    <s v="Pesos"/>
    <d v="2026-12-16T00:00:00"/>
    <s v="29/09/2026"/>
    <n v="0.94354271000000001"/>
    <m/>
    <n v="8000000"/>
    <n v="7548341.71"/>
    <n v="8000000"/>
    <n v="7548341.71"/>
    <n v="90000332"/>
    <s v="AMOMPY"/>
    <s v="Momentum Capital Investment S.A."/>
    <s v="22/09/2026"/>
    <s v="22/09/2026"/>
    <n v="28"/>
    <s v="No"/>
    <s v=""/>
    <m/>
    <m/>
    <s v="*INP141200060"/>
    <s v="*INP141200060"/>
    <n v="1.0035194832963441E-4"/>
  </r>
  <r>
    <x v="89"/>
    <s v="Pesos"/>
    <d v="2026-12-16T00:00:00"/>
    <s v="29/09/2026"/>
    <n v="0.94354262"/>
    <m/>
    <n v="8000000"/>
    <n v="7548340.9900000002"/>
    <n v="8000000"/>
    <n v="7548340.9900000002"/>
    <n v="6499"/>
    <s v="AMOMPY"/>
    <s v="Momentum Capital Investment S.A."/>
    <s v="17/09/2026"/>
    <s v="17/09/2026"/>
    <n v="28"/>
    <s v="No"/>
    <s v=""/>
    <m/>
    <m/>
    <s v="*INP141200058"/>
    <s v="*INP141200058"/>
    <n v="1.0035193875754487E-4"/>
  </r>
  <r>
    <x v="89"/>
    <s v="Pesos"/>
    <d v="2026-12-16T00:00:00"/>
    <s v="29/09/2026"/>
    <n v="0.94354262"/>
    <m/>
    <n v="8000000"/>
    <n v="7548340.9900000002"/>
    <n v="8000000"/>
    <n v="7548340.9900000002"/>
    <n v="6498"/>
    <s v="AMOMPY"/>
    <s v="Momentum Capital Investment S.A."/>
    <s v="17/09/2026"/>
    <s v="17/09/2026"/>
    <n v="28"/>
    <s v="No"/>
    <s v=""/>
    <m/>
    <m/>
    <s v="*INP121200079"/>
    <s v="*INP121200079"/>
    <n v="1.0035193875754487E-4"/>
  </r>
  <r>
    <x v="89"/>
    <s v="Pesos"/>
    <d v="2026-12-16T00:00:00"/>
    <s v="29/09/2026"/>
    <n v="0.93786952000000001"/>
    <m/>
    <n v="3700000"/>
    <n v="3470117.21"/>
    <n v="3700000"/>
    <n v="3470117.21"/>
    <n v="164534"/>
    <s v="AMOMPY"/>
    <s v="Momentum Capital Investment S.A."/>
    <s v="18/09/2026"/>
    <s v="18/09/2026"/>
    <n v="31"/>
    <s v="No"/>
    <s v=""/>
    <m/>
    <m/>
    <s v="#IGA151260003"/>
    <s v="#IGA151260003"/>
    <n v="4.6133712056829387E-5"/>
  </r>
  <r>
    <x v="359"/>
    <s v="Pesos"/>
    <d v="2026-12-16T00:00:00"/>
    <s v="29/09/2026"/>
    <n v="0.93599346999999999"/>
    <m/>
    <n v="530200000"/>
    <n v="496263737.20999998"/>
    <n v="530200000"/>
    <n v="496263737.20999998"/>
    <n v="182"/>
    <s v="AMOMPY"/>
    <s v="Momentum Capital Investment S.A."/>
    <s v="09/09/2026"/>
    <s v="09/09/2026"/>
    <n v="32"/>
    <s v="No"/>
    <s v=""/>
    <m/>
    <m/>
    <s v="*MAV131201190"/>
    <s v="*MAV131201190"/>
    <n v="6.5976124064962595E-3"/>
  </r>
  <r>
    <x v="352"/>
    <s v="Pesos"/>
    <d v="2026-12-16T00:00:00"/>
    <s v="29/09/2026"/>
    <n v="0.93041056"/>
    <m/>
    <n v="5000000"/>
    <n v="4652052.82"/>
    <n v="5000000"/>
    <n v="4652052.82"/>
    <n v="543"/>
    <s v="AMOMPY"/>
    <s v="Momentum Capital Investment S.A."/>
    <s v="18/09/2026"/>
    <s v="18/09/2026"/>
    <n v="35"/>
    <s v="No"/>
    <s v=""/>
    <m/>
    <m/>
    <s v="*MAV131201210"/>
    <s v="*MAV131201210"/>
    <n v="6.1847036363086173E-5"/>
  </r>
  <r>
    <x v="322"/>
    <s v="Pesos"/>
    <d v="2026-12-16T00:00:00"/>
    <s v="29/09/2026"/>
    <n v="0.93975295999999997"/>
    <m/>
    <n v="700000"/>
    <n v="657827.06999999995"/>
    <n v="700000"/>
    <n v="657827.06999999995"/>
    <n v="69995902"/>
    <s v="AMOMPY"/>
    <s v="Momentum Capital Investment S.A."/>
    <s v="25/09/2026"/>
    <s v="25/09/2026"/>
    <n v="30"/>
    <s v="No"/>
    <s v=""/>
    <m/>
    <m/>
    <s v="*MAV121201683"/>
    <s v="*MAV121201683"/>
    <n v="8.7455272528295228E-6"/>
  </r>
  <r>
    <x v="92"/>
    <s v="Pesos"/>
    <d v="2026-12-16T00:00:00"/>
    <s v="29/09/2026"/>
    <n v="0.94544907"/>
    <m/>
    <n v="2227815.85"/>
    <n v="2106286.4300000002"/>
    <n v="2227815.85"/>
    <n v="2106286.4300000002"/>
    <n v="666087"/>
    <s v="AMOMPY"/>
    <s v="Momentum Capital Investment S.A."/>
    <s v="01/09/2026"/>
    <s v="01/09/2026"/>
    <n v="27"/>
    <s v="No"/>
    <s v=""/>
    <m/>
    <m/>
    <s v="*MAV141201153"/>
    <s v="*MAV141201153"/>
    <n v="2.8002169895243145E-5"/>
  </r>
  <r>
    <x v="92"/>
    <s v="Pesos"/>
    <d v="2026-12-16T00:00:00"/>
    <s v="29/09/2026"/>
    <n v="0.94544905000000001"/>
    <m/>
    <n v="285154.71999999997"/>
    <n v="269599.26"/>
    <n v="285154.71999999997"/>
    <n v="269599.26"/>
    <n v="670018"/>
    <s v="AMOMPY"/>
    <s v="Momentum Capital Investment S.A."/>
    <s v="07/09/2026"/>
    <s v="07/09/2026"/>
    <n v="27"/>
    <s v="No"/>
    <s v=""/>
    <m/>
    <m/>
    <s v="*MAV141201177"/>
    <s v="*MAV141201177"/>
    <n v="3.5842059155040129E-6"/>
  </r>
  <r>
    <x v="92"/>
    <s v="Pesos"/>
    <d v="2026-12-16T00:00:00"/>
    <s v="29/09/2026"/>
    <n v="0.94544905000000001"/>
    <m/>
    <n v="285154.71999999997"/>
    <n v="269599.26"/>
    <n v="285154.71999999997"/>
    <n v="269599.26"/>
    <n v="670010"/>
    <s v="AMOMPY"/>
    <s v="Momentum Capital Investment S.A."/>
    <s v="07/09/2026"/>
    <s v="07/09/2026"/>
    <n v="27"/>
    <s v="No"/>
    <s v=""/>
    <m/>
    <m/>
    <s v="*MAV141201176"/>
    <s v="*MAV141201176"/>
    <n v="3.5842059155040129E-6"/>
  </r>
  <r>
    <x v="92"/>
    <s v="Pesos"/>
    <d v="2026-12-16T00:00:00"/>
    <s v="29/09/2026"/>
    <n v="0.94544905000000001"/>
    <m/>
    <n v="285154.71999999997"/>
    <n v="269599.26"/>
    <n v="285154.71999999997"/>
    <n v="269599.26"/>
    <n v="670032"/>
    <s v="AMOMPY"/>
    <s v="Momentum Capital Investment S.A."/>
    <s v="07/09/2026"/>
    <s v="07/09/2026"/>
    <n v="27"/>
    <s v="No"/>
    <s v=""/>
    <m/>
    <m/>
    <s v="*MAV141201174"/>
    <s v="*MAV141201174"/>
    <n v="3.5842059155040129E-6"/>
  </r>
  <r>
    <x v="92"/>
    <s v="Pesos"/>
    <d v="2026-12-16T00:00:00"/>
    <s v="29/09/2026"/>
    <n v="0.94544905000000001"/>
    <m/>
    <n v="285154.71999999997"/>
    <n v="269599.26"/>
    <n v="285154.71999999997"/>
    <n v="269599.26"/>
    <n v="670000"/>
    <s v="AMOMPY"/>
    <s v="Momentum Capital Investment S.A."/>
    <s v="07/09/2026"/>
    <s v="07/09/2026"/>
    <n v="27"/>
    <s v="No"/>
    <s v=""/>
    <m/>
    <m/>
    <s v="*MAV141201175"/>
    <s v="*MAV141201175"/>
    <n v="3.5842059155040129E-6"/>
  </r>
  <r>
    <x v="92"/>
    <s v="Pesos"/>
    <d v="2026-12-16T00:00:00"/>
    <s v="29/09/2026"/>
    <n v="0.94928491000000004"/>
    <m/>
    <n v="584965.91"/>
    <n v="555299.31000000006"/>
    <n v="584965.91"/>
    <n v="555299.31000000006"/>
    <n v="681549"/>
    <s v="AMOMPY"/>
    <s v="Momentum Capital Investment S.A."/>
    <s v="18/09/2026"/>
    <s v="18/09/2026"/>
    <n v="25"/>
    <s v="No"/>
    <s v=""/>
    <m/>
    <m/>
    <s v="*MAV141201254"/>
    <s v="*MAV141201254"/>
    <n v="7.3824648916962779E-6"/>
  </r>
  <r>
    <x v="92"/>
    <s v="Pesos"/>
    <d v="2026-12-16T00:00:00"/>
    <s v="29/09/2026"/>
    <n v="0.94928489999999999"/>
    <m/>
    <n v="839215.58"/>
    <n v="796654.68"/>
    <n v="839215.58"/>
    <n v="796654.68"/>
    <n v="681521"/>
    <s v="AMOMPY"/>
    <s v="Momentum Capital Investment S.A."/>
    <s v="18/09/2026"/>
    <s v="18/09/2026"/>
    <n v="25"/>
    <s v="No"/>
    <s v=""/>
    <m/>
    <m/>
    <s v="*MAV141201255"/>
    <s v="*MAV141201255"/>
    <n v="1.059118046789133E-5"/>
  </r>
  <r>
    <x v="92"/>
    <s v="Pesos"/>
    <d v="2026-12-16T00:00:00"/>
    <s v="29/09/2026"/>
    <n v="0.94928489999999999"/>
    <m/>
    <n v="1676589.68"/>
    <n v="1591561.26"/>
    <n v="1676589.68"/>
    <n v="1591561.26"/>
    <n v="681500"/>
    <s v="AMOMPY"/>
    <s v="Momentum Capital Investment S.A."/>
    <s v="18/09/2026"/>
    <s v="18/09/2026"/>
    <n v="25"/>
    <s v="No"/>
    <s v=""/>
    <m/>
    <m/>
    <s v="*MAV141201256"/>
    <s v="*MAV141201256"/>
    <n v="2.1159120700030928E-5"/>
  </r>
  <r>
    <x v="92"/>
    <s v="Pesos"/>
    <d v="2026-12-16T00:00:00"/>
    <s v="29/09/2026"/>
    <n v="0.94928491000000004"/>
    <m/>
    <n v="2681816.6"/>
    <n v="2545808.02"/>
    <n v="2681816.6"/>
    <n v="2545808.02"/>
    <n v="681628"/>
    <s v="AMOMPY"/>
    <s v="Momentum Capital Investment S.A."/>
    <s v="18/09/2026"/>
    <s v="18/09/2026"/>
    <n v="25"/>
    <s v="No"/>
    <s v=""/>
    <m/>
    <m/>
    <s v="*MAV141201257"/>
    <s v="*MAV141201257"/>
    <n v="3.3845419920742952E-5"/>
  </r>
  <r>
    <x v="92"/>
    <s v="Pesos"/>
    <d v="2026-12-16T00:00:00"/>
    <s v="29/09/2026"/>
    <n v="0.94928488"/>
    <m/>
    <n v="669474.55000000005"/>
    <n v="635522.06999999995"/>
    <n v="669474.55000000005"/>
    <n v="635522.06999999995"/>
    <n v="681512"/>
    <s v="AMOMPY"/>
    <s v="Momentum Capital Investment S.A."/>
    <s v="18/09/2026"/>
    <s v="18/09/2026"/>
    <n v="25"/>
    <s v="No"/>
    <s v=""/>
    <m/>
    <m/>
    <s v="*MAV141201258"/>
    <s v="*MAV141201258"/>
    <n v="8.4489918953314455E-6"/>
  </r>
  <r>
    <x v="92"/>
    <s v="Pesos"/>
    <d v="2026-12-16T00:00:00"/>
    <s v="29/09/2026"/>
    <n v="0.94354269000000002"/>
    <m/>
    <n v="10746145.48"/>
    <n v="10139447.02"/>
    <n v="10746145.48"/>
    <n v="10139447.02"/>
    <n v="604620"/>
    <s v="AMOMPY"/>
    <s v="Momentum Capital Investment S.A."/>
    <s v="10/08/2026"/>
    <s v="10/08/2026"/>
    <n v="28"/>
    <s v="No"/>
    <s v=""/>
    <m/>
    <m/>
    <s v="*MAV141201102"/>
    <s v="*MAV141201102"/>
    <n v="1.3479957618957683E-4"/>
  </r>
  <r>
    <x v="92"/>
    <s v="Pesos"/>
    <d v="2026-12-16T00:00:00"/>
    <s v="29/09/2026"/>
    <n v="0.94354269000000002"/>
    <m/>
    <n v="8521998.5999999996"/>
    <n v="8040869.4900000002"/>
    <n v="8521998.5999999996"/>
    <n v="8040869.4900000002"/>
    <n v="654243"/>
    <s v="AMOMPY"/>
    <s v="Momentum Capital Investment S.A."/>
    <s v="10/08/2026"/>
    <s v="10/08/2026"/>
    <n v="28"/>
    <s v="No"/>
    <s v=""/>
    <m/>
    <m/>
    <s v="*MAV141201101"/>
    <s v="*MAV141201101"/>
    <n v="1.0689989279589912E-4"/>
  </r>
  <r>
    <x v="155"/>
    <s v="Pesos"/>
    <d v="2026-12-16T00:00:00"/>
    <s v="29/09/2026"/>
    <n v="0.93975297999999996"/>
    <m/>
    <n v="50000000"/>
    <n v="46987648.780000001"/>
    <n v="50000000"/>
    <n v="46987648.780000001"/>
    <n v="68075"/>
    <s v="AMOMPY"/>
    <s v="Momentum Capital Investment S.A."/>
    <s v="18/09/2026"/>
    <s v="18/09/2026"/>
    <n v="30"/>
    <s v="No"/>
    <s v=""/>
    <m/>
    <m/>
    <s v="*MAV141201250"/>
    <s v="*MAV141201250"/>
    <n v="6.246805303282394E-4"/>
  </r>
  <r>
    <x v="226"/>
    <s v="Pesos"/>
    <d v="2026-12-16T00:00:00"/>
    <s v="29/09/2026"/>
    <n v="0.94164400999999998"/>
    <m/>
    <n v="70000000"/>
    <n v="65915080.619999997"/>
    <n v="70000000"/>
    <n v="65915080.619999997"/>
    <n v="83299239"/>
    <s v="AMOMPY"/>
    <s v="Momentum Capital Investment S.A."/>
    <s v="25/09/2026"/>
    <s v="25/09/2026"/>
    <n v="29"/>
    <s v="No"/>
    <s v=""/>
    <m/>
    <m/>
    <s v="*FTR121200016"/>
    <s v="*FTR121200016"/>
    <n v="8.7631257548380467E-4"/>
  </r>
  <r>
    <x v="159"/>
    <s v="Pesos"/>
    <d v="2026-12-16T00:00:00"/>
    <s v="29/09/2026"/>
    <n v="0.93599361999999997"/>
    <m/>
    <n v="1869225"/>
    <n v="1749582.68"/>
    <n v="1869225"/>
    <n v="1749582.68"/>
    <n v="6"/>
    <s v="AMOMPY"/>
    <s v="Momentum Capital Investment S.A."/>
    <s v="15/09/2026"/>
    <s v="15/09/2026"/>
    <n v="32"/>
    <s v="No"/>
    <s v=""/>
    <m/>
    <m/>
    <s v="*MAV141201218"/>
    <s v="*MAV141201218"/>
    <n v="2.325994734302818E-5"/>
  </r>
  <r>
    <x v="177"/>
    <s v="Pesos"/>
    <d v="2026-12-16T00:00:00"/>
    <s v="29/09/2026"/>
    <n v="0.93599363000000002"/>
    <m/>
    <n v="2112204.7400000002"/>
    <n v="1977010.18"/>
    <n v="2112204.7400000002"/>
    <n v="1977010.18"/>
    <n v="214"/>
    <s v="AMOMPY"/>
    <s v="Momentum Capital Investment S.A."/>
    <s v="15/09/2026"/>
    <s v="15/09/2026"/>
    <n v="32"/>
    <s v="No"/>
    <s v=""/>
    <m/>
    <m/>
    <s v="*MAV141201220"/>
    <s v="*MAV141201220"/>
    <n v="2.6283497893012215E-5"/>
  </r>
  <r>
    <x v="178"/>
    <s v="Pesos"/>
    <d v="2026-12-16T00:00:00"/>
    <s v="29/09/2026"/>
    <n v="0.93599363999999996"/>
    <m/>
    <n v="1566916.35"/>
    <n v="1466623.73"/>
    <n v="1566916.35"/>
    <n v="1466623.73"/>
    <n v="1182"/>
    <s v="AMOMPY"/>
    <s v="Momentum Capital Investment S.A."/>
    <s v="15/09/2026"/>
    <s v="15/09/2026"/>
    <n v="32"/>
    <s v="No"/>
    <s v=""/>
    <m/>
    <m/>
    <s v="*MAV141201219"/>
    <s v="*MAV141201219"/>
    <n v="1.9498130109424484E-5"/>
  </r>
  <r>
    <x v="164"/>
    <s v="Pesos"/>
    <d v="2026-12-16T00:00:00"/>
    <s v="29/09/2026"/>
    <n v="0.94354271000000001"/>
    <m/>
    <n v="14700000"/>
    <n v="13870077.859999999"/>
    <n v="14700000"/>
    <n v="13870077.859999999"/>
    <n v="90000383"/>
    <s v="AMOMPY"/>
    <s v="Momentum Capital Investment S.A."/>
    <s v="22/09/2026"/>
    <s v="22/09/2026"/>
    <n v="28"/>
    <s v="No"/>
    <s v=""/>
    <m/>
    <m/>
    <s v="*NIO141200035"/>
    <s v="*NIO141200035"/>
    <n v="1.843967046286152E-4"/>
  </r>
  <r>
    <x v="164"/>
    <s v="Pesos"/>
    <d v="2026-12-16T00:00:00"/>
    <s v="29/09/2026"/>
    <n v="0.94354271000000001"/>
    <m/>
    <n v="14200000"/>
    <n v="13398306.529999999"/>
    <n v="14200000"/>
    <n v="13398306.529999999"/>
    <n v="90000359"/>
    <s v="AMOMPY"/>
    <s v="Momentum Capital Investment S.A."/>
    <s v="22/09/2026"/>
    <s v="22/09/2026"/>
    <n v="28"/>
    <s v="No"/>
    <s v=""/>
    <m/>
    <m/>
    <s v="*NIO141200028"/>
    <s v="*NIO141200028"/>
    <n v="1.7812470821530459E-4"/>
  </r>
  <r>
    <x v="164"/>
    <s v="Pesos"/>
    <d v="2026-12-16T00:00:00"/>
    <s v="29/09/2026"/>
    <n v="0.94354271000000001"/>
    <m/>
    <n v="6500000"/>
    <n v="6133027.6399999997"/>
    <n v="6500000"/>
    <n v="6133027.6399999997"/>
    <n v="90000279"/>
    <s v="AMOMPY"/>
    <s v="Momentum Capital Investment S.A."/>
    <s v="22/09/2026"/>
    <s v="22/09/2026"/>
    <n v="28"/>
    <s v="No"/>
    <s v=""/>
    <m/>
    <m/>
    <s v="*NIO141200039"/>
    <s v="*NIO141200039"/>
    <n v="8.153595802613707E-5"/>
  </r>
  <r>
    <x v="164"/>
    <s v="Pesos"/>
    <d v="2026-12-16T00:00:00"/>
    <s v="29/09/2026"/>
    <n v="0.94354271000000001"/>
    <m/>
    <n v="16500000"/>
    <n v="15568454.77"/>
    <n v="16500000"/>
    <n v="15568454.77"/>
    <n v="90000318"/>
    <s v="AMOMPY"/>
    <s v="Momentum Capital Investment S.A."/>
    <s v="22/09/2026"/>
    <s v="22/09/2026"/>
    <n v="28"/>
    <s v="No"/>
    <s v=""/>
    <m/>
    <m/>
    <s v="*NIO141200038"/>
    <s v="*NIO141200038"/>
    <n v="2.0697589333847083E-4"/>
  </r>
  <r>
    <x v="164"/>
    <s v="Pesos"/>
    <d v="2026-12-16T00:00:00"/>
    <s v="29/09/2026"/>
    <n v="0.94354271000000001"/>
    <m/>
    <n v="16500000"/>
    <n v="15568454.77"/>
    <n v="16500000"/>
    <n v="15568454.77"/>
    <n v="90016966"/>
    <s v="AMOMPY"/>
    <s v="Momentum Capital Investment S.A."/>
    <s v="22/09/2026"/>
    <s v="22/09/2026"/>
    <n v="28"/>
    <s v="No"/>
    <s v=""/>
    <m/>
    <m/>
    <s v="*NIO141200037"/>
    <s v="*NIO141200037"/>
    <n v="2.0697589333847083E-4"/>
  </r>
  <r>
    <x v="164"/>
    <s v="Pesos"/>
    <d v="2026-12-16T00:00:00"/>
    <s v="29/09/2026"/>
    <n v="0.94354271000000001"/>
    <m/>
    <n v="13000000"/>
    <n v="12266055.279999999"/>
    <n v="13000000"/>
    <n v="12266055.279999999"/>
    <n v="90000331"/>
    <s v="AMOMPY"/>
    <s v="Momentum Capital Investment S.A."/>
    <s v="22/09/2026"/>
    <s v="22/09/2026"/>
    <n v="28"/>
    <s v="No"/>
    <s v=""/>
    <m/>
    <m/>
    <s v="*NIO141200036"/>
    <s v="*NIO141200036"/>
    <n v="1.6307191605227414E-4"/>
  </r>
  <r>
    <x v="164"/>
    <s v="Pesos"/>
    <d v="2026-12-16T00:00:00"/>
    <s v="29/09/2026"/>
    <n v="0.94354271000000001"/>
    <m/>
    <n v="13200000"/>
    <n v="12454763.82"/>
    <n v="13200000"/>
    <n v="12454763.82"/>
    <n v="90000288"/>
    <s v="AMOMPY"/>
    <s v="Momentum Capital Investment S.A."/>
    <s v="22/09/2026"/>
    <s v="22/09/2026"/>
    <n v="28"/>
    <s v="No"/>
    <s v=""/>
    <m/>
    <m/>
    <s v="*NIO141200034"/>
    <s v="*NIO141200034"/>
    <n v="1.6558071472395493E-4"/>
  </r>
  <r>
    <x v="164"/>
    <s v="Pesos"/>
    <d v="2026-12-16T00:00:00"/>
    <s v="29/09/2026"/>
    <n v="0.94354271000000001"/>
    <m/>
    <n v="9300000"/>
    <n v="8774947.2400000002"/>
    <n v="9300000"/>
    <n v="8774947.2400000002"/>
    <n v="90000358"/>
    <s v="AMOMPY"/>
    <s v="Momentum Capital Investment S.A."/>
    <s v="22/09/2026"/>
    <s v="22/09/2026"/>
    <n v="28"/>
    <s v="No"/>
    <s v=""/>
    <m/>
    <m/>
    <s v="*NIO141200033"/>
    <s v="*NIO141200033"/>
    <n v="1.1665913996145097E-4"/>
  </r>
  <r>
    <x v="164"/>
    <s v="Pesos"/>
    <d v="2026-12-16T00:00:00"/>
    <s v="29/09/2026"/>
    <n v="0.94354271000000001"/>
    <m/>
    <n v="14600000"/>
    <n v="13775723.619999999"/>
    <n v="14600000"/>
    <n v="13775723.619999999"/>
    <n v="90000325"/>
    <s v="AMOMPY"/>
    <s v="Momentum Capital Investment S.A."/>
    <s v="22/09/2026"/>
    <s v="22/09/2026"/>
    <n v="28"/>
    <s v="No"/>
    <s v=""/>
    <m/>
    <m/>
    <s v="*NIO141200032"/>
    <s v="*NIO141200032"/>
    <n v="1.8314230569161188E-4"/>
  </r>
  <r>
    <x v="164"/>
    <s v="Pesos"/>
    <d v="2026-12-16T00:00:00"/>
    <s v="29/09/2026"/>
    <n v="0.94354271000000001"/>
    <m/>
    <n v="15300000"/>
    <n v="14436203.52"/>
    <n v="15300000"/>
    <n v="14436203.52"/>
    <n v="90000368"/>
    <s v="AMOMPY"/>
    <s v="Momentum Capital Investment S.A."/>
    <s v="22/09/2026"/>
    <s v="22/09/2026"/>
    <n v="28"/>
    <s v="No"/>
    <s v=""/>
    <m/>
    <m/>
    <s v="*NIO141200031"/>
    <s v="*NIO141200031"/>
    <n v="1.9192310117544035E-4"/>
  </r>
  <r>
    <x v="164"/>
    <s v="Pesos"/>
    <d v="2026-12-16T00:00:00"/>
    <s v="29/09/2026"/>
    <n v="0.94354271000000001"/>
    <m/>
    <n v="16500000"/>
    <n v="15568454.77"/>
    <n v="16500000"/>
    <n v="15568454.77"/>
    <n v="90016598"/>
    <s v="AMOMPY"/>
    <s v="Momentum Capital Investment S.A."/>
    <s v="22/09/2026"/>
    <s v="22/09/2026"/>
    <n v="28"/>
    <s v="No"/>
    <s v=""/>
    <m/>
    <m/>
    <s v="*NIO141200030"/>
    <s v="*NIO141200030"/>
    <n v="2.0697589333847083E-4"/>
  </r>
  <r>
    <x v="164"/>
    <s v="Pesos"/>
    <d v="2026-12-16T00:00:00"/>
    <s v="29/09/2026"/>
    <n v="0.94354271000000001"/>
    <m/>
    <n v="13100000"/>
    <n v="12360409.550000001"/>
    <n v="13100000"/>
    <n v="12360409.550000001"/>
    <n v="90000418"/>
    <s v="AMOMPY"/>
    <s v="Momentum Capital Investment S.A."/>
    <s v="22/09/2026"/>
    <s v="22/09/2026"/>
    <n v="28"/>
    <s v="No"/>
    <s v=""/>
    <m/>
    <m/>
    <s v="*NIO141200027"/>
    <s v="*NIO141200027"/>
    <n v="1.6432631538811454E-4"/>
  </r>
  <r>
    <x v="164"/>
    <s v="Pesos"/>
    <d v="2026-12-16T00:00:00"/>
    <s v="29/09/2026"/>
    <n v="0.94354271000000001"/>
    <m/>
    <n v="11000000"/>
    <n v="10378969.83"/>
    <n v="11000000"/>
    <n v="10378969.83"/>
    <n v="90000244"/>
    <s v="AMOMPY"/>
    <s v="Momentum Capital Investment S.A."/>
    <s v="22/09/2026"/>
    <s v="22/09/2026"/>
    <n v="28"/>
    <s v="No"/>
    <s v=""/>
    <m/>
    <m/>
    <s v="*NIO141200026"/>
    <s v="*NIO141200026"/>
    <n v="1.3798392867073775E-4"/>
  </r>
  <r>
    <x v="164"/>
    <s v="Pesos"/>
    <d v="2026-12-16T00:00:00"/>
    <s v="29/09/2026"/>
    <n v="0.94354271000000001"/>
    <m/>
    <n v="16500000"/>
    <n v="15568454.77"/>
    <n v="16500000"/>
    <n v="15568454.77"/>
    <n v="90000275"/>
    <s v="AMOMPY"/>
    <s v="Momentum Capital Investment S.A."/>
    <s v="22/09/2026"/>
    <s v="22/09/2026"/>
    <n v="28"/>
    <s v="No"/>
    <s v=""/>
    <m/>
    <m/>
    <s v="*NIO141200025"/>
    <s v="*NIO141200025"/>
    <n v="2.0697589333847083E-4"/>
  </r>
  <r>
    <x v="164"/>
    <s v="Pesos"/>
    <d v="2026-12-16T00:00:00"/>
    <s v="29/09/2026"/>
    <n v="0.94354271000000001"/>
    <m/>
    <n v="13200000"/>
    <n v="12454763.82"/>
    <n v="13200000"/>
    <n v="12454763.82"/>
    <n v="90000278"/>
    <s v="AMOMPY"/>
    <s v="Momentum Capital Investment S.A."/>
    <s v="22/09/2026"/>
    <s v="22/09/2026"/>
    <n v="28"/>
    <s v="No"/>
    <s v=""/>
    <m/>
    <m/>
    <s v="*NIO141200023"/>
    <s v="*NIO141200023"/>
    <n v="1.6558071472395493E-4"/>
  </r>
  <r>
    <x v="164"/>
    <s v="Pesos"/>
    <d v="2026-12-16T00:00:00"/>
    <s v="29/09/2026"/>
    <n v="0.94354271000000001"/>
    <m/>
    <n v="16500000"/>
    <n v="15568454.77"/>
    <n v="16500000"/>
    <n v="15568454.77"/>
    <n v="90000283"/>
    <s v="AMOMPY"/>
    <s v="Momentum Capital Investment S.A."/>
    <s v="22/09/2026"/>
    <s v="22/09/2026"/>
    <n v="28"/>
    <s v="No"/>
    <s v=""/>
    <m/>
    <m/>
    <s v="*NIO141200022"/>
    <s v="*NIO141200022"/>
    <n v="2.0697589333847083E-4"/>
  </r>
  <r>
    <x v="219"/>
    <s v="Pesos"/>
    <d v="2026-12-16T00:00:00"/>
    <s v="29/09/2026"/>
    <n v="0.93412499999999998"/>
    <m/>
    <n v="150000000"/>
    <n v="140118749.88"/>
    <n v="150000000"/>
    <n v="140118749.88"/>
    <n v="90016070"/>
    <s v="AMOMPY"/>
    <s v="Momentum Capital Investment S.A."/>
    <s v="14/08/2026"/>
    <s v="14/08/2026"/>
    <n v="33"/>
    <s v="No"/>
    <s v=""/>
    <m/>
    <m/>
    <s v="*MAV121201575"/>
    <s v="*MAV121201575"/>
    <n v="1.8628183630508598E-3"/>
  </r>
  <r>
    <x v="38"/>
    <s v="Pesos"/>
    <d v="2026-12-16T00:00:00"/>
    <s v="29/09/2026"/>
    <n v="0.94356174000000004"/>
    <m/>
    <n v="10000000"/>
    <n v="9435617.3699999992"/>
    <n v="10000000"/>
    <n v="9435617.3699999992"/>
    <n v="69881537"/>
    <s v="AMOMPY"/>
    <s v="Momentum Capital Investment S.A."/>
    <s v="22/09/2026"/>
    <s v="22/09/2026"/>
    <n v="27.99"/>
    <s v="No"/>
    <s v=""/>
    <m/>
    <m/>
    <s v="*FID141200022"/>
    <s v="*FID141200022"/>
    <n v="1.2544246447110578E-4"/>
  </r>
  <r>
    <x v="39"/>
    <s v="Pesos"/>
    <d v="2026-12-16T00:00:00"/>
    <s v="29/09/2026"/>
    <n v="0.94164393999999996"/>
    <m/>
    <n v="4396334.17"/>
    <n v="4139781.43"/>
    <n v="4396334.17"/>
    <n v="4139781.43"/>
    <n v="90000109"/>
    <s v="AMOMPY"/>
    <s v="Momentum Capital Investment S.A."/>
    <s v="03/07/2026"/>
    <s v="03/07/2026"/>
    <n v="29"/>
    <s v="No"/>
    <s v=""/>
    <m/>
    <m/>
    <s v="*FED141200032"/>
    <s v="*FED141200032"/>
    <n v="5.503660911494958E-5"/>
  </r>
  <r>
    <x v="43"/>
    <s v="Pesos"/>
    <d v="2026-12-16T00:00:00"/>
    <s v="29/09/2026"/>
    <n v="0.93041107999999995"/>
    <m/>
    <n v="29431.84"/>
    <n v="27383.71"/>
    <n v="29431.84"/>
    <n v="27383.71"/>
    <n v="30099838"/>
    <s v="AMOMPY"/>
    <s v="Momentum Capital Investment S.A."/>
    <s v="16/09/2026"/>
    <s v="16/09/2026"/>
    <n v="35"/>
    <s v="No"/>
    <s v=""/>
    <m/>
    <m/>
    <s v="*MAV141201221"/>
    <s v="*MAV141201221"/>
    <n v="3.6405461710260772E-7"/>
  </r>
  <r>
    <x v="360"/>
    <s v="Pesos"/>
    <d v="2026-12-16T00:00:00"/>
    <s v="29/09/2026"/>
    <n v="0.95901219999999998"/>
    <m/>
    <n v="642000"/>
    <n v="615685.82999999996"/>
    <n v="642000"/>
    <n v="615685.82999999996"/>
    <n v="205"/>
    <s v="AMOMPY"/>
    <s v="Momentum Capital Investment S.A."/>
    <s v="11/09/2026"/>
    <s v="11/09/2026"/>
    <n v="20"/>
    <s v="No"/>
    <s v=""/>
    <m/>
    <m/>
    <s v="*MAV121201626"/>
    <s v="*MAV121201626"/>
    <n v="8.1852776375498865E-6"/>
  </r>
  <r>
    <x v="37"/>
    <s v="Pesos"/>
    <d v="2026-12-16T00:00:00"/>
    <s v="29/09/2026"/>
    <n v="0.93975291000000005"/>
    <m/>
    <n v="20000000"/>
    <n v="18795058.23"/>
    <n v="20000000"/>
    <n v="18795058.23"/>
    <n v="1063"/>
    <s v="AMOMPY"/>
    <s v="Momentum Capital Investment S.A."/>
    <s v="17/09/2026"/>
    <s v="16/09/2026"/>
    <n v="30"/>
    <s v="No"/>
    <s v=""/>
    <m/>
    <m/>
    <s v="*AFB141200006"/>
    <s v="*AFB141200006"/>
    <n v="2.4987219508765853E-4"/>
  </r>
  <r>
    <x v="134"/>
    <s v="Pesos"/>
    <d v="2026-12-16T00:00:00"/>
    <s v="29/09/2026"/>
    <n v="0.93412503000000002"/>
    <m/>
    <n v="40000000"/>
    <n v="37365001.159999996"/>
    <n v="40000000"/>
    <n v="37365001.159999996"/>
    <n v="6"/>
    <s v="AMOMPY"/>
    <s v="Momentum Capital Investment S.A."/>
    <s v="09/09/2026"/>
    <s v="09/09/2026"/>
    <n v="33"/>
    <s v="No"/>
    <s v=""/>
    <m/>
    <m/>
    <s v="*MAV131201193"/>
    <s v="*MAV131201193"/>
    <n v="4.9675157932735532E-4"/>
  </r>
  <r>
    <x v="184"/>
    <s v="Dolar 3500"/>
    <d v="2026-12-16T00:00:00"/>
    <s v="29/09/2026"/>
    <n v="0.98319089000000004"/>
    <s v="1 US3 = 1523,9697583441 $"/>
    <n v="18230"/>
    <n v="17923.57"/>
    <n v="27781968.690000001"/>
    <n v="27314978.640000001"/>
    <n v="146447"/>
    <s v="AMOMPY"/>
    <s v="Momentum Capital Investment S.A."/>
    <s v="17/04/2026"/>
    <s v="17/04/2026"/>
    <n v="8"/>
    <s v="No"/>
    <s v=""/>
    <m/>
    <m/>
    <s v="#UMV131260004"/>
    <s v="#UMV131260004"/>
    <n v="3.6314086330709424E-4"/>
  </r>
  <r>
    <x v="49"/>
    <s v="Pesos"/>
    <d v="2026-12-16T00:00:00"/>
    <s v="29/09/2026"/>
    <n v="0.93412512999999997"/>
    <m/>
    <n v="2600411.64"/>
    <n v="2429109.87"/>
    <n v="2600411.64"/>
    <n v="2429109.87"/>
    <n v="90000276"/>
    <s v="AMOMPY"/>
    <s v="Momentum Capital Investment S.A."/>
    <s v="06/08/2026"/>
    <s v="06/08/2026"/>
    <n v="33"/>
    <s v="No"/>
    <s v=""/>
    <m/>
    <m/>
    <s v="*MAV141201093"/>
    <s v="*MAV141201093"/>
    <n v="3.2293968334568811E-5"/>
  </r>
  <r>
    <x v="27"/>
    <s v="Pesos"/>
    <d v="2026-12-16T00:00:00"/>
    <s v="29/09/2026"/>
    <n v="0.94354265000000004"/>
    <m/>
    <n v="8400000"/>
    <n v="7925758.25"/>
    <n v="8400000"/>
    <n v="7925758.25"/>
    <n v="2458"/>
    <s v="AMOMPY"/>
    <s v="Momentum Capital Investment S.A."/>
    <s v="21/09/2026"/>
    <s v="21/09/2026"/>
    <n v="28"/>
    <s v="No"/>
    <s v=""/>
    <m/>
    <m/>
    <s v="*MOV141200065"/>
    <s v="*MOV141200065"/>
    <n v="1.0536953849392885E-4"/>
  </r>
  <r>
    <x v="205"/>
    <s v="Pesos"/>
    <d v="2026-12-16T00:00:00"/>
    <s v="29/09/2026"/>
    <n v="0.93412508999999999"/>
    <m/>
    <n v="60000000"/>
    <n v="56047505.659999996"/>
    <n v="60000000"/>
    <n v="56047505.659999996"/>
    <n v="20864"/>
    <s v="AMOMPY"/>
    <s v="Momentum Capital Investment S.A."/>
    <s v="28/09/2026"/>
    <s v="28/09/2026"/>
    <n v="33"/>
    <s v="No"/>
    <s v=""/>
    <m/>
    <m/>
    <s v="*MAV121201693"/>
    <s v="*MAV121201693"/>
    <n v="7.4512742110574267E-4"/>
  </r>
  <r>
    <x v="205"/>
    <s v="Pesos"/>
    <d v="2026-12-16T00:00:00"/>
    <s v="29/09/2026"/>
    <n v="0.93412508999999999"/>
    <m/>
    <n v="100000000"/>
    <n v="93412509.430000007"/>
    <n v="100000000"/>
    <n v="93412509.430000007"/>
    <n v="20869"/>
    <s v="AMOMPY"/>
    <s v="Momentum Capital Investment S.A."/>
    <s v="28/09/2026"/>
    <s v="28/09/2026"/>
    <n v="33"/>
    <s v="No"/>
    <s v=""/>
    <m/>
    <m/>
    <s v="*MAV121201694"/>
    <s v="*MAV121201694"/>
    <n v="1.2418790351319227E-3"/>
  </r>
  <r>
    <x v="176"/>
    <s v="Pesos"/>
    <d v="2026-12-16T00:00:00"/>
    <s v="29/09/2026"/>
    <n v="0.93975299999999995"/>
    <m/>
    <n v="5900000"/>
    <n v="5544542.6900000004"/>
    <n v="5900000"/>
    <n v="5544542.6900000004"/>
    <n v="1028"/>
    <s v="AMOMPY"/>
    <s v="Momentum Capital Investment S.A."/>
    <s v="29/09/2026"/>
    <s v="29/09/2026"/>
    <n v="30"/>
    <s v="No"/>
    <s v=""/>
    <m/>
    <m/>
    <s v="*MAV141201312"/>
    <s v="*MAV141201312"/>
    <n v="7.3712304359672693E-5"/>
  </r>
  <r>
    <x v="89"/>
    <s v="Pesos"/>
    <d v="2026-12-17T00:00:00"/>
    <s v="29/09/2026"/>
    <n v="0.94286026000000001"/>
    <m/>
    <n v="32500000"/>
    <n v="30642958.469999999"/>
    <n v="32500000"/>
    <n v="30642958.469999999"/>
    <n v="1367874"/>
    <s v="AMOMPY"/>
    <s v="Momentum Capital Investment S.A."/>
    <s v="23/09/2026"/>
    <s v="23/09/2026"/>
    <n v="28"/>
    <s v="No"/>
    <s v=""/>
    <m/>
    <m/>
    <s v="*INP151200120"/>
    <s v="*INP151200120"/>
    <n v="4.0738492018382313E-4"/>
  </r>
  <r>
    <x v="89"/>
    <s v="Pesos"/>
    <d v="2026-12-17T00:00:00"/>
    <s v="29/09/2026"/>
    <n v="0.94286020000000004"/>
    <m/>
    <n v="5000000"/>
    <n v="4714300.9800000004"/>
    <n v="5000000"/>
    <n v="4714300.9800000004"/>
    <n v="40797746"/>
    <s v="AMOMPY"/>
    <s v="Momentum Capital Investment S.A."/>
    <s v="22/09/2026"/>
    <s v="22/09/2026"/>
    <n v="28"/>
    <s v="No"/>
    <s v=""/>
    <m/>
    <m/>
    <s v="*MIL151200047"/>
    <s v="*MIL151200047"/>
    <n v="6.2674598810035184E-5"/>
  </r>
  <r>
    <x v="89"/>
    <s v="Pesos"/>
    <d v="2026-12-17T00:00:00"/>
    <s v="29/09/2026"/>
    <n v="0.94286013999999996"/>
    <m/>
    <n v="30000000"/>
    <n v="28285804.07"/>
    <n v="30000000"/>
    <n v="28285804.07"/>
    <n v="29600864"/>
    <s v="AMOMPY"/>
    <s v="Momentum Capital Investment S.A."/>
    <s v="07/07/2026"/>
    <s v="07/07/2026"/>
    <n v="28"/>
    <s v="No"/>
    <s v=""/>
    <m/>
    <m/>
    <s v="*INP151200109"/>
    <s v="*INP151200109"/>
    <n v="3.7604756879704149E-4"/>
  </r>
  <r>
    <x v="35"/>
    <s v="Pesos"/>
    <d v="2026-12-17T00:00:00"/>
    <s v="29/09/2026"/>
    <n v="0.92771464999999997"/>
    <m/>
    <n v="2954385"/>
    <n v="2740826.24"/>
    <n v="2954385"/>
    <n v="2740826.24"/>
    <n v="3330"/>
    <s v="AMOMPY"/>
    <s v="Momentum Capital Investment S.A."/>
    <s v="28/08/2026"/>
    <s v="28/08/2026"/>
    <n v="36"/>
    <s v="No"/>
    <s v=""/>
    <m/>
    <m/>
    <s v="*MAV151201848"/>
    <s v="*MAV151201848"/>
    <n v="3.6438103067406869E-5"/>
  </r>
  <r>
    <x v="35"/>
    <s v="Pesos"/>
    <d v="2026-12-17T00:00:00"/>
    <s v="29/09/2026"/>
    <n v="0.92771459000000001"/>
    <m/>
    <n v="3105640.28"/>
    <n v="2881147.81"/>
    <n v="3105640.28"/>
    <n v="2881147.81"/>
    <n v="3396"/>
    <s v="AMOMPY"/>
    <s v="Momentum Capital Investment S.A."/>
    <s v="07/09/2026"/>
    <s v="07/09/2026"/>
    <n v="36"/>
    <s v="No"/>
    <s v=""/>
    <m/>
    <m/>
    <s v="*MAV151201871"/>
    <s v="*MAV151201871"/>
    <n v="3.8303617836500855E-5"/>
  </r>
  <r>
    <x v="35"/>
    <s v="Pesos"/>
    <d v="2026-12-17T00:00:00"/>
    <s v="29/09/2026"/>
    <n v="0.92771462999999998"/>
    <m/>
    <n v="2874176.47"/>
    <n v="2666415.5499999998"/>
    <n v="2874176.47"/>
    <n v="2666415.5499999998"/>
    <n v="3444"/>
    <s v="AMOMPY"/>
    <s v="Momentum Capital Investment S.A."/>
    <s v="11/09/2026"/>
    <s v="11/09/2026"/>
    <n v="36"/>
    <s v="No"/>
    <s v=""/>
    <m/>
    <m/>
    <s v="*MAV151201893"/>
    <s v="*MAV151201893"/>
    <n v="3.5448845028365007E-5"/>
  </r>
  <r>
    <x v="361"/>
    <s v="Pesos"/>
    <d v="2026-12-17T00:00:00"/>
    <s v="29/09/2026"/>
    <n v="0.93522609000000001"/>
    <m/>
    <n v="108911054"/>
    <n v="101856458.98"/>
    <n v="108911054"/>
    <n v="101856458.98"/>
    <n v="90000135"/>
    <s v="AMOMPY"/>
    <s v="Momentum Capital Investment S.A."/>
    <s v="11/09/2026"/>
    <s v="11/09/2026"/>
    <n v="32"/>
    <s v="No"/>
    <s v=""/>
    <m/>
    <m/>
    <s v="*MAV151201896"/>
    <s v="*MAV151201896"/>
    <n v="1.3541377035248829E-3"/>
  </r>
  <r>
    <x v="191"/>
    <s v="Pesos"/>
    <d v="2026-12-17T00:00:00"/>
    <s v="29/09/2026"/>
    <n v="0.93333686999999999"/>
    <m/>
    <n v="5559577.1900000004"/>
    <n v="5188958.37"/>
    <n v="5559577.1900000004"/>
    <n v="5188958.37"/>
    <n v="14101160"/>
    <s v="AMOMPY"/>
    <s v="Momentum Capital Investment S.A."/>
    <s v="15/09/2026"/>
    <s v="15/09/2026"/>
    <n v="33"/>
    <s v="No"/>
    <s v=""/>
    <m/>
    <m/>
    <s v="*MAV151201917"/>
    <s v="*MAV151201917"/>
    <n v="6.8984964146630293E-5"/>
  </r>
  <r>
    <x v="188"/>
    <s v="Pesos"/>
    <d v="2026-12-17T00:00:00"/>
    <s v="29/09/2026"/>
    <n v="0.93522612000000005"/>
    <m/>
    <n v="5000000"/>
    <n v="4676130.58"/>
    <n v="5000000"/>
    <n v="4676130.58"/>
    <n v="1269"/>
    <s v="AMOMPY"/>
    <s v="Momentum Capital Investment S.A."/>
    <s v="15/09/2026"/>
    <s v="15/09/2026"/>
    <n v="32"/>
    <s v="No"/>
    <s v=""/>
    <m/>
    <m/>
    <s v="*MAV151201922"/>
    <s v="*MAV151201922"/>
    <n v="6.2167139800403055E-5"/>
  </r>
  <r>
    <x v="306"/>
    <s v="Pesos"/>
    <d v="2026-12-17T00:00:00"/>
    <s v="29/09/2026"/>
    <n v="0.93333686999999999"/>
    <m/>
    <n v="375000000"/>
    <n v="350001325.91000003"/>
    <n v="375000000"/>
    <n v="350001325.91000003"/>
    <n v="91648904"/>
    <s v="AMOMPY"/>
    <s v="Momentum Capital Investment S.A."/>
    <s v="15/09/2026"/>
    <s v="15/09/2026"/>
    <n v="33"/>
    <s v="No"/>
    <s v=""/>
    <m/>
    <m/>
    <s v="MAVR151200097"/>
    <s v="MAVR151200097"/>
    <n v="4.6531167138992519E-3"/>
  </r>
  <r>
    <x v="307"/>
    <s v="Pesos"/>
    <d v="2026-12-17T00:00:00"/>
    <s v="29/09/2026"/>
    <n v="0.93522618000000002"/>
    <m/>
    <n v="1027513.96"/>
    <n v="960957.95"/>
    <n v="1027513.96"/>
    <n v="960957.95"/>
    <n v="3585516"/>
    <s v="AMOMPY"/>
    <s v="Momentum Capital Investment S.A."/>
    <s v="16/09/2026"/>
    <s v="16/09/2026"/>
    <n v="32"/>
    <s v="No"/>
    <s v=""/>
    <m/>
    <m/>
    <s v="*MAV151201927"/>
    <s v="*MAV151201927"/>
    <n v="1.2775521598021482E-5"/>
  </r>
  <r>
    <x v="6"/>
    <s v="Pesos"/>
    <d v="2026-12-17T00:00:00"/>
    <s v="29/09/2026"/>
    <n v="0.94672409000000002"/>
    <m/>
    <n v="15000000"/>
    <n v="14200861.279999999"/>
    <n v="15000000"/>
    <n v="14200861.279999999"/>
    <n v="20411019"/>
    <s v="AMOMPY"/>
    <s v="Momentum Capital Investment S.A."/>
    <s v="17/07/2026"/>
    <s v="17/07/2026"/>
    <n v="26"/>
    <s v="No"/>
    <s v=""/>
    <m/>
    <m/>
    <s v="*PRO151200025"/>
    <s v="*PRO151200025"/>
    <n v="1.8879432756984527E-4"/>
  </r>
  <r>
    <x v="6"/>
    <s v="Pesos"/>
    <d v="2026-12-17T00:00:00"/>
    <s v="29/09/2026"/>
    <n v="0.94478819000000003"/>
    <m/>
    <n v="26231345.640000001"/>
    <n v="24783065.68"/>
    <n v="26231345.640000001"/>
    <n v="24783065.68"/>
    <n v="14072119"/>
    <s v="AMOMPY"/>
    <s v="Momentum Capital Investment S.A."/>
    <s v="25/09/2026"/>
    <s v="25/09/2026"/>
    <n v="27"/>
    <s v="No"/>
    <s v=""/>
    <m/>
    <m/>
    <s v="*PRO151200029"/>
    <s v="*PRO151200029"/>
    <n v="3.2948017221775931E-4"/>
  </r>
  <r>
    <x v="6"/>
    <s v="Pesos"/>
    <d v="2026-12-17T00:00:00"/>
    <s v="29/09/2026"/>
    <n v="0.94478825"/>
    <m/>
    <n v="25000000"/>
    <n v="23619706.359999999"/>
    <n v="25000000"/>
    <n v="23619706.359999999"/>
    <n v="9508925"/>
    <s v="AMOMPY"/>
    <s v="Momentum Capital Investment S.A."/>
    <s v="13/07/2026"/>
    <s v="13/07/2026"/>
    <n v="27"/>
    <s v="No"/>
    <s v=""/>
    <m/>
    <m/>
    <s v="*PRO151200026"/>
    <s v="*PRO151200026"/>
    <n v="3.1401381167730114E-4"/>
  </r>
  <r>
    <x v="8"/>
    <s v="Pesos"/>
    <d v="2026-12-17T00:00:00"/>
    <s v="29/09/2026"/>
    <n v="0.94672418999999997"/>
    <m/>
    <n v="5000000"/>
    <n v="4733620.93"/>
    <n v="5000000"/>
    <n v="4733620.93"/>
    <n v="491509"/>
    <s v="AMOMPY"/>
    <s v="Momentum Capital Investment S.A."/>
    <s v="20/07/2026"/>
    <s v="20/07/2026"/>
    <n v="26"/>
    <s v="No"/>
    <s v=""/>
    <m/>
    <m/>
    <s v="*MIL151200043"/>
    <s v="*MIL151200043"/>
    <n v="6.2931449214881396E-5"/>
  </r>
  <r>
    <x v="192"/>
    <s v="Pesos"/>
    <d v="2026-12-17T00:00:00"/>
    <s v="29/09/2026"/>
    <n v="0.93522618000000002"/>
    <m/>
    <n v="50000000"/>
    <n v="46761309.140000001"/>
    <n v="50000000"/>
    <n v="46761309.140000001"/>
    <n v="5356"/>
    <s v="AMOMPY"/>
    <s v="Momentum Capital Investment S.A."/>
    <s v="16/09/2026"/>
    <s v="16/09/2026"/>
    <n v="32"/>
    <s v="No"/>
    <s v=""/>
    <m/>
    <m/>
    <s v="*MAV151201931"/>
    <s v="*MAV151201931"/>
    <n v="6.2167144240789034E-4"/>
  </r>
  <r>
    <x v="192"/>
    <s v="Pesos"/>
    <d v="2026-12-17T00:00:00"/>
    <s v="29/09/2026"/>
    <n v="0.93522609000000001"/>
    <m/>
    <n v="50000000"/>
    <n v="46761304.600000001"/>
    <n v="50000000"/>
    <n v="46761304.600000001"/>
    <n v="5407"/>
    <s v="AMOMPY"/>
    <s v="Momentum Capital Investment S.A."/>
    <s v="29/09/2026"/>
    <s v="29/09/2026"/>
    <n v="32"/>
    <s v="No"/>
    <s v=""/>
    <m/>
    <m/>
    <s v="*MAV151202019"/>
    <s v="*MAV151202019"/>
    <n v="6.2167138205054795E-4"/>
  </r>
  <r>
    <x v="96"/>
    <s v="Pesos"/>
    <d v="2026-12-17T00:00:00"/>
    <s v="29/09/2026"/>
    <n v="0.92958116000000002"/>
    <m/>
    <n v="115000000"/>
    <n v="106901833.01000001"/>
    <n v="115000000"/>
    <n v="106901833.01000001"/>
    <n v="1196"/>
    <s v="AMOMPY"/>
    <s v="Momentum Capital Investment S.A."/>
    <s v="11/09/2026"/>
    <s v="11/09/2026"/>
    <n v="35"/>
    <s v="No"/>
    <s v=""/>
    <m/>
    <m/>
    <s v="*MAV151201891"/>
    <s v="*MAV151201891"/>
    <n v="1.4212137757821151E-3"/>
  </r>
  <r>
    <x v="38"/>
    <s v="Pesos"/>
    <d v="2026-12-17T00:00:00"/>
    <s v="29/09/2026"/>
    <n v="0.94286017"/>
    <m/>
    <n v="40000000"/>
    <n v="37714406.799999997"/>
    <n v="40000000"/>
    <n v="37714406.799999997"/>
    <n v="54029681"/>
    <s v="AMOMPY"/>
    <s v="Momentum Capital Investment S.A."/>
    <s v="18/09/2026"/>
    <s v="18/09/2026"/>
    <n v="28"/>
    <s v="No"/>
    <s v=""/>
    <m/>
    <m/>
    <s v="*FID151200043"/>
    <s v="*FID151200043"/>
    <n v="5.0139677665392984E-4"/>
  </r>
  <r>
    <x v="43"/>
    <s v="Pesos"/>
    <d v="2026-12-17T00:00:00"/>
    <s v="29/09/2026"/>
    <n v="0.93333681000000002"/>
    <m/>
    <n v="165489.23000000001"/>
    <n v="154457.19"/>
    <n v="165489.23000000001"/>
    <n v="154457.19"/>
    <n v="30101249"/>
    <s v="AMOMPY"/>
    <s v="Momentum Capital Investment S.A."/>
    <s v="17/09/2026"/>
    <s v="17/09/2026"/>
    <n v="33"/>
    <s v="No"/>
    <s v=""/>
    <m/>
    <m/>
    <s v="*MAV151201950"/>
    <s v="*MAV151201950"/>
    <n v="2.0534417419770633E-6"/>
  </r>
  <r>
    <x v="18"/>
    <s v="Pesos"/>
    <d v="2026-12-17T00:00:00"/>
    <s v="29/09/2026"/>
    <n v="0.93333692999999995"/>
    <m/>
    <n v="25000000"/>
    <n v="23333423.329999998"/>
    <n v="25000000"/>
    <n v="23333423.329999998"/>
    <n v="4296"/>
    <s v="AMOMPY"/>
    <s v="Momentum Capital Investment S.A."/>
    <s v="23/09/2026"/>
    <s v="23/09/2026"/>
    <n v="33"/>
    <s v="No"/>
    <s v=""/>
    <m/>
    <m/>
    <s v="*MAV151201983"/>
    <s v="*MAV151201983"/>
    <n v="3.1020780223337902E-4"/>
  </r>
  <r>
    <x v="37"/>
    <s v="Pesos"/>
    <d v="2026-12-17T00:00:00"/>
    <s v="29/09/2026"/>
    <n v="0.94286017"/>
    <m/>
    <n v="13500000"/>
    <n v="12728612.300000001"/>
    <n v="13500000"/>
    <n v="12728612.300000001"/>
    <n v="164"/>
    <s v="AMOMPY"/>
    <s v="Momentum Capital Investment S.A."/>
    <s v="18/09/2026"/>
    <s v="18/09/2026"/>
    <n v="28"/>
    <s v="No"/>
    <s v=""/>
    <m/>
    <m/>
    <s v="*AFB151200009"/>
    <s v="*AFB151200009"/>
    <n v="1.6922141218717417E-4"/>
  </r>
  <r>
    <x v="75"/>
    <s v="Pesos"/>
    <d v="2026-12-17T00:00:00"/>
    <s v="29/09/2026"/>
    <n v="0.93333681000000002"/>
    <m/>
    <n v="2000000"/>
    <n v="1866673.63"/>
    <n v="2000000"/>
    <n v="1866673.63"/>
    <n v="43"/>
    <s v="AMOMPY"/>
    <s v="Momentum Capital Investment S.A."/>
    <s v="13/08/2026"/>
    <s v="13/08/2026"/>
    <n v="33"/>
    <s v="No"/>
    <s v=""/>
    <m/>
    <m/>
    <s v="*MAV151201807"/>
    <s v="*MAV151201807"/>
    <n v="2.4816621035834254E-5"/>
  </r>
  <r>
    <x v="25"/>
    <s v="Pesos"/>
    <d v="2026-12-17T00:00:00"/>
    <s v="29/09/2026"/>
    <n v="0.94478828999999998"/>
    <m/>
    <n v="2019362"/>
    <n v="1907869.58"/>
    <n v="2019362"/>
    <n v="1907869.58"/>
    <n v="40765638"/>
    <s v="AMOMPY"/>
    <s v="Momentum Capital Investment S.A."/>
    <s v="16/09/2026"/>
    <s v="16/09/2026"/>
    <n v="27"/>
    <s v="No"/>
    <s v=""/>
    <m/>
    <m/>
    <s v="*CVA151200023"/>
    <s v="*CVA151200023"/>
    <n v="2.536430342815539E-5"/>
  </r>
  <r>
    <x v="27"/>
    <s v="Pesos"/>
    <d v="2026-12-17T00:00:00"/>
    <s v="29/09/2026"/>
    <n v="0.94286013000000002"/>
    <m/>
    <n v="8400000"/>
    <n v="7920025.1100000003"/>
    <n v="8400000"/>
    <n v="7920025.1100000003"/>
    <n v="2459"/>
    <s v="AMOMPY"/>
    <s v="Momentum Capital Investment S.A."/>
    <s v="21/09/2026"/>
    <s v="21/09/2026"/>
    <n v="28"/>
    <s v="No"/>
    <s v=""/>
    <m/>
    <m/>
    <s v="*MOV151200132"/>
    <s v="*MOV151200132"/>
    <n v="1.0529331886965239E-4"/>
  </r>
  <r>
    <x v="362"/>
    <s v="Pesos"/>
    <d v="2026-12-18T00:00:00"/>
    <s v="29/09/2026"/>
    <n v="0.93445993000000005"/>
    <m/>
    <n v="21145734.48"/>
    <n v="19759841.559999999"/>
    <n v="21145734.48"/>
    <n v="19759841.559999999"/>
    <n v="1985961"/>
    <s v="AMOMPY"/>
    <s v="Momentum Capital Investment S.A."/>
    <s v="16/09/2026"/>
    <s v="16/09/2026"/>
    <n v="32"/>
    <s v="No"/>
    <s v=""/>
    <m/>
    <m/>
    <s v="*MAV161201370"/>
    <s v="*MAV161201370"/>
    <n v="2.6269857346334719E-4"/>
  </r>
  <r>
    <x v="35"/>
    <s v="Pesos"/>
    <d v="2026-12-18T00:00:00"/>
    <s v="29/09/2026"/>
    <n v="0.92686659000000005"/>
    <m/>
    <n v="2954385"/>
    <n v="2738320.75"/>
    <n v="2954385"/>
    <n v="2738320.75"/>
    <n v="3331"/>
    <s v="AMOMPY"/>
    <s v="Momentum Capital Investment S.A."/>
    <s v="02/09/2026"/>
    <s v="02/09/2026"/>
    <n v="36"/>
    <s v="No"/>
    <s v=""/>
    <m/>
    <m/>
    <s v="*MAV161201320"/>
    <s v="*MAV161201320"/>
    <n v="3.6404793658177643E-5"/>
  </r>
  <r>
    <x v="35"/>
    <s v="Pesos"/>
    <d v="2026-12-18T00:00:00"/>
    <s v="29/09/2026"/>
    <n v="0.92686643999999996"/>
    <m/>
    <n v="3105640.28"/>
    <n v="2878513.75"/>
    <n v="3105640.28"/>
    <n v="2878513.75"/>
    <n v="3397"/>
    <s v="AMOMPY"/>
    <s v="Momentum Capital Investment S.A."/>
    <s v="07/09/2026"/>
    <s v="07/09/2026"/>
    <n v="36"/>
    <s v="No"/>
    <s v=""/>
    <m/>
    <m/>
    <s v="*MAV161201334"/>
    <s v="*MAV161201334"/>
    <n v="3.8268599144558626E-5"/>
  </r>
  <r>
    <x v="35"/>
    <s v="Pesos"/>
    <d v="2026-12-18T00:00:00"/>
    <s v="29/09/2026"/>
    <n v="0.92686645999999995"/>
    <m/>
    <n v="2874176.47"/>
    <n v="2663977.7799999998"/>
    <n v="2874176.47"/>
    <n v="2663977.7799999998"/>
    <n v="3445"/>
    <s v="AMOMPY"/>
    <s v="Momentum Capital Investment S.A."/>
    <s v="11/09/2026"/>
    <s v="11/09/2026"/>
    <n v="36"/>
    <s v="No"/>
    <s v=""/>
    <m/>
    <m/>
    <s v="*MAV161201358"/>
    <s v="*MAV161201358"/>
    <n v="3.5416435927336175E-5"/>
  </r>
  <r>
    <x v="180"/>
    <s v="Pesos"/>
    <d v="2026-12-18T00:00:00"/>
    <s v="29/09/2026"/>
    <n v="0.93254996999999995"/>
    <m/>
    <n v="50000000"/>
    <n v="46627498.399999999"/>
    <n v="50000000"/>
    <n v="46627498.399999999"/>
    <n v="2265"/>
    <s v="AMOMPY"/>
    <s v="Momentum Capital Investment S.A."/>
    <s v="02/09/2026"/>
    <s v="02/09/2026"/>
    <n v="33"/>
    <s v="No"/>
    <s v=""/>
    <m/>
    <m/>
    <s v="*MAV161201319"/>
    <s v="*MAV161201319"/>
    <n v="6.1989248631629727E-4"/>
  </r>
  <r>
    <x v="180"/>
    <s v="Pesos"/>
    <d v="2026-12-18T00:00:00"/>
    <s v="29/09/2026"/>
    <n v="0.93254988000000005"/>
    <m/>
    <n v="55000000"/>
    <n v="51290243.520000003"/>
    <n v="55000000"/>
    <n v="51290243.520000003"/>
    <n v="2328"/>
    <s v="AMOMPY"/>
    <s v="Momentum Capital Investment S.A."/>
    <s v="15/09/2026"/>
    <s v="15/09/2026"/>
    <n v="33"/>
    <s v="No"/>
    <s v=""/>
    <m/>
    <m/>
    <s v="*MAV161201368"/>
    <s v="*MAV161201368"/>
    <n v="6.8188167219756233E-4"/>
  </r>
  <r>
    <x v="43"/>
    <s v="Pesos"/>
    <d v="2026-12-18T00:00:00"/>
    <s v="29/09/2026"/>
    <n v="0.93255049999999995"/>
    <m/>
    <n v="12839.68"/>
    <n v="11973.65"/>
    <n v="12839.68"/>
    <n v="11973.65"/>
    <n v="30101605"/>
    <s v="AMOMPY"/>
    <s v="Momentum Capital Investment S.A."/>
    <s v="21/09/2026"/>
    <s v="21/09/2026"/>
    <n v="33"/>
    <s v="No"/>
    <s v=""/>
    <m/>
    <m/>
    <s v="*MAV161201393"/>
    <s v="*MAV161201393"/>
    <n v="1.5918451393440256E-7"/>
  </r>
  <r>
    <x v="37"/>
    <s v="Pesos"/>
    <d v="2026-12-18T00:00:00"/>
    <s v="29/09/2026"/>
    <n v="0.94217883000000002"/>
    <m/>
    <n v="34000000"/>
    <n v="32034080.120000001"/>
    <n v="34000000"/>
    <n v="32034080.120000001"/>
    <n v="1343"/>
    <s v="AMOMPY"/>
    <s v="Momentum Capital Investment S.A."/>
    <s v="21/09/2026"/>
    <s v="21/09/2026"/>
    <n v="28"/>
    <s v="No"/>
    <s v=""/>
    <m/>
    <m/>
    <s v="*AFB161200017"/>
    <s v="*AFB161200017"/>
    <n v="4.2587928269474293E-4"/>
  </r>
  <r>
    <x v="73"/>
    <s v="Pesos"/>
    <d v="2026-12-18T00:00:00"/>
    <s v="29/09/2026"/>
    <n v="0.93254987"/>
    <m/>
    <n v="6820314.5199999996"/>
    <n v="6360283.4199999999"/>
    <n v="6820314.5199999996"/>
    <n v="6360283.4199999999"/>
    <n v="769"/>
    <s v="AMOMPY"/>
    <s v="Momentum Capital Investment S.A."/>
    <s v="06/08/2026"/>
    <s v="06/08/2026"/>
    <n v="33"/>
    <s v="No"/>
    <s v=""/>
    <m/>
    <m/>
    <s v="*MAV161201272"/>
    <s v="*MAV161201272"/>
    <n v="8.4557225632763582E-5"/>
  </r>
  <r>
    <x v="242"/>
    <s v="Pesos"/>
    <d v="2026-12-18T00:00:00"/>
    <s v="29/09/2026"/>
    <n v="0.92686648999999999"/>
    <m/>
    <n v="22578937.030000001"/>
    <n v="20927660.149999999"/>
    <n v="22578937.030000001"/>
    <n v="20927660.149999999"/>
    <n v="67998226"/>
    <s v="AMOMPY"/>
    <s v="Momentum Capital Investment S.A."/>
    <s v="01/07/2026"/>
    <s v="01/07/2026"/>
    <n v="36"/>
    <s v="No"/>
    <s v=""/>
    <m/>
    <m/>
    <s v="*MAV161201238"/>
    <s v="*MAV161201238"/>
    <n v="2.7822421807570093E-4"/>
  </r>
  <r>
    <x v="21"/>
    <s v="Pesos"/>
    <d v="2026-12-18T00:00:00"/>
    <s v="29/09/2026"/>
    <n v="0.93254996999999995"/>
    <m/>
    <n v="25000000"/>
    <n v="23313749.199999999"/>
    <n v="25000000"/>
    <n v="23313749.199999999"/>
    <n v="14422598"/>
    <s v="AMOMPY"/>
    <s v="Momentum Capital Investment S.A."/>
    <s v="02/09/2026"/>
    <s v="02/09/2026"/>
    <n v="33"/>
    <s v="No"/>
    <s v=""/>
    <m/>
    <m/>
    <s v="*MAV161201321"/>
    <s v="*MAV161201321"/>
    <n v="3.0994624315814864E-4"/>
  </r>
  <r>
    <x v="123"/>
    <s v="Pesos"/>
    <d v="2026-12-18T00:00:00"/>
    <s v="29/09/2026"/>
    <n v="0.93254992000000003"/>
    <m/>
    <n v="25000000"/>
    <n v="23313747.960000001"/>
    <n v="25000000"/>
    <n v="23313747.960000001"/>
    <n v="475888"/>
    <s v="AMOMPY"/>
    <s v="Momentum Capital Investment S.A."/>
    <s v="07/08/2026"/>
    <s v="07/08/2026"/>
    <n v="33"/>
    <s v="No"/>
    <s v=""/>
    <m/>
    <m/>
    <s v="*MAV161201275"/>
    <s v="*MAV161201275"/>
    <n v="3.0994622667288333E-4"/>
  </r>
  <r>
    <x v="185"/>
    <s v="Pesos"/>
    <d v="2026-12-18T00:00:00"/>
    <s v="29/09/2026"/>
    <n v="0.94217863999999996"/>
    <m/>
    <n v="160000000"/>
    <n v="150748582.77000001"/>
    <n v="160000000"/>
    <n v="150748582.77000001"/>
    <n v="39"/>
    <s v="AMOMPY"/>
    <s v="Momentum Capital Investment S.A."/>
    <s v="18/09/2026"/>
    <s v="18/09/2026"/>
    <n v="28"/>
    <s v="No"/>
    <s v=""/>
    <m/>
    <m/>
    <s v="*NOV161200054"/>
    <s v="*NOV161200054"/>
    <n v="2.0041374079368033E-3"/>
  </r>
  <r>
    <x v="25"/>
    <s v="Pesos"/>
    <d v="2026-12-18T00:00:00"/>
    <s v="29/09/2026"/>
    <n v="0.93830336000000003"/>
    <m/>
    <n v="5580000"/>
    <n v="5235732.7300000004"/>
    <n v="5580000"/>
    <n v="5235732.7300000004"/>
    <n v="11415148"/>
    <s v="AMOMPY"/>
    <s v="Momentum Capital Investment S.A."/>
    <s v="18/09/2026"/>
    <s v="18/09/2026"/>
    <n v="30"/>
    <s v="No"/>
    <s v=""/>
    <m/>
    <m/>
    <s v="*CVA161200027"/>
    <s v="*CVA161200027"/>
    <n v="6.960680909459461E-5"/>
  </r>
  <r>
    <x v="27"/>
    <s v="Pesos"/>
    <d v="2026-12-18T00:00:00"/>
    <s v="29/09/2026"/>
    <n v="0.94217883000000002"/>
    <m/>
    <n v="8400000"/>
    <n v="7914302.1500000004"/>
    <n v="8400000"/>
    <n v="7914302.1500000004"/>
    <n v="2460"/>
    <s v="AMOMPY"/>
    <s v="Momentum Capital Investment S.A."/>
    <s v="21/09/2026"/>
    <s v="21/09/2026"/>
    <n v="28"/>
    <s v="No"/>
    <s v=""/>
    <m/>
    <m/>
    <s v="*MOV161200077"/>
    <s v="*MOV161200077"/>
    <n v="1.052172345840865E-4"/>
  </r>
  <r>
    <x v="89"/>
    <s v="Pesos"/>
    <d v="2026-12-21T00:00:00"/>
    <s v="29/09/2026"/>
    <n v="0.93813460999999998"/>
    <m/>
    <n v="11000000"/>
    <n v="10319480.67"/>
    <n v="11000000"/>
    <n v="10319480.67"/>
    <n v="69878769"/>
    <s v="AMOMPY"/>
    <s v="Momentum Capital Investment S.A."/>
    <s v="22/09/2026"/>
    <s v="22/09/2026"/>
    <n v="29"/>
    <s v="No"/>
    <s v=""/>
    <m/>
    <m/>
    <s v="*INP171200068"/>
    <s v="*INP171200068"/>
    <n v="1.3719304593915916E-4"/>
  </r>
  <r>
    <x v="352"/>
    <s v="Pesos"/>
    <d v="2026-12-21T00:00:00"/>
    <s v="29/09/2026"/>
    <n v="0.92627846000000003"/>
    <m/>
    <n v="5000000"/>
    <n v="4631392.29"/>
    <n v="5000000"/>
    <n v="4631392.29"/>
    <n v="544"/>
    <s v="AMOMPY"/>
    <s v="Momentum Capital Investment S.A."/>
    <s v="18/09/2026"/>
    <s v="18/09/2026"/>
    <n v="35"/>
    <s v="No"/>
    <s v=""/>
    <m/>
    <m/>
    <s v="*MAV171201084"/>
    <s v="*MAV171201084"/>
    <n v="6.1572363525173166E-5"/>
  </r>
  <r>
    <x v="35"/>
    <s v="Pesos"/>
    <d v="2026-12-21T00:00:00"/>
    <s v="29/09/2026"/>
    <n v="0.92433149000000003"/>
    <m/>
    <n v="3105640.28"/>
    <n v="2870641.11"/>
    <n v="3105640.28"/>
    <n v="2870641.11"/>
    <n v="3398"/>
    <s v="AMOMPY"/>
    <s v="Momentum Capital Investment S.A."/>
    <s v="07/09/2026"/>
    <s v="07/09/2026"/>
    <n v="36"/>
    <s v="No"/>
    <s v=""/>
    <m/>
    <m/>
    <s v="*MAV171201042"/>
    <s v="*MAV171201042"/>
    <n v="3.8163935790294843E-5"/>
  </r>
  <r>
    <x v="35"/>
    <s v="Pesos"/>
    <d v="2026-12-21T00:00:00"/>
    <s v="29/09/2026"/>
    <n v="0.92433153000000001"/>
    <m/>
    <n v="2874176.47"/>
    <n v="2656691.9300000002"/>
    <n v="2874176.47"/>
    <n v="2656691.9300000002"/>
    <n v="3446"/>
    <s v="AMOMPY"/>
    <s v="Momentum Capital Investment S.A."/>
    <s v="11/09/2026"/>
    <s v="11/09/2026"/>
    <n v="36"/>
    <s v="No"/>
    <s v=""/>
    <m/>
    <m/>
    <s v="*MAV171201053"/>
    <s v="*MAV171201053"/>
    <n v="3.5319573693109442E-5"/>
  </r>
  <r>
    <x v="53"/>
    <s v="Pesos"/>
    <d v="2026-12-21T00:00:00"/>
    <s v="29/09/2026"/>
    <n v="0.92239267999999996"/>
    <m/>
    <n v="20000000"/>
    <n v="18447853.649999999"/>
    <n v="20000000"/>
    <n v="18447853.649999999"/>
    <n v="2638"/>
    <s v="AMOMPY"/>
    <s v="Momentum Capital Investment S.A."/>
    <s v="12/08/2026"/>
    <s v="12/08/2026"/>
    <n v="37"/>
    <s v="No"/>
    <s v=""/>
    <m/>
    <m/>
    <s v="*MAV171201007"/>
    <s v="*MAV171201007"/>
    <n v="2.452562599047278E-4"/>
  </r>
  <r>
    <x v="358"/>
    <s v="Pesos"/>
    <d v="2026-12-21T00:00:00"/>
    <s v="29/09/2026"/>
    <n v="0.93813464999999996"/>
    <m/>
    <n v="14000000"/>
    <n v="13133885.07"/>
    <n v="14000000"/>
    <n v="13133885.07"/>
    <n v="118"/>
    <s v="AMOMPY"/>
    <s v="Momentum Capital Investment S.A."/>
    <s v="06/07/2026"/>
    <s v="06/07/2026"/>
    <n v="29"/>
    <s v="No"/>
    <s v=""/>
    <m/>
    <m/>
    <s v="*CUY171200028"/>
    <s v="*CUY171200028"/>
    <n v="1.7460933891822936E-4"/>
  </r>
  <r>
    <x v="8"/>
    <s v="Pesos"/>
    <d v="2026-12-21T00:00:00"/>
    <s v="29/09/2026"/>
    <n v="0.94417724000000003"/>
    <m/>
    <n v="5000000"/>
    <n v="4720886.22"/>
    <n v="5000000"/>
    <n v="4720886.22"/>
    <n v="491510"/>
    <s v="AMOMPY"/>
    <s v="Momentum Capital Investment S.A."/>
    <s v="20/07/2026"/>
    <s v="20/07/2026"/>
    <n v="26"/>
    <s v="No"/>
    <s v=""/>
    <m/>
    <m/>
    <s v="*MIL171200035"/>
    <s v="*MIL171200035"/>
    <n v="6.2762146736401939E-5"/>
  </r>
  <r>
    <x v="363"/>
    <s v="Pesos"/>
    <d v="2026-12-21T00:00:00"/>
    <s v="29/09/2026"/>
    <n v="0.93613747999999997"/>
    <m/>
    <n v="50000000"/>
    <n v="46806873.759999998"/>
    <n v="50000000"/>
    <n v="46806873.759999998"/>
    <n v="197095"/>
    <s v="AMOMPY"/>
    <s v="Momentum Capital Investment S.A."/>
    <s v="19/08/2026"/>
    <s v="19/08/2026"/>
    <n v="30"/>
    <s v="No"/>
    <s v=""/>
    <m/>
    <m/>
    <s v="*MAV171201010"/>
    <s v="*MAV171201010"/>
    <n v="6.2227720438417209E-4"/>
  </r>
  <r>
    <x v="202"/>
    <s v="Pesos"/>
    <d v="2026-12-21T00:00:00"/>
    <s v="29/09/2026"/>
    <n v="0.93414911"/>
    <m/>
    <n v="482400"/>
    <n v="450633.53"/>
    <n v="482400"/>
    <n v="450633.53"/>
    <n v="3979"/>
    <s v="AMOMPY"/>
    <s v="Momentum Capital Investment S.A."/>
    <s v="02/09/2026"/>
    <s v="02/09/2026"/>
    <n v="31"/>
    <s v="No"/>
    <s v=""/>
    <m/>
    <m/>
    <s v="*MAV171201032"/>
    <s v="*MAV171201032"/>
    <n v="5.9909784765375654E-6"/>
  </r>
  <r>
    <x v="38"/>
    <s v="Pesos"/>
    <d v="2026-12-21T00:00:00"/>
    <s v="29/09/2026"/>
    <n v="0.94014017000000005"/>
    <m/>
    <n v="40000000"/>
    <n v="37605606.950000003"/>
    <n v="40000000"/>
    <n v="37605606.950000003"/>
    <n v="54029682"/>
    <s v="AMOMPY"/>
    <s v="Momentum Capital Investment S.A."/>
    <s v="18/09/2026"/>
    <s v="18/09/2026"/>
    <n v="28"/>
    <s v="No"/>
    <s v=""/>
    <m/>
    <m/>
    <s v="*FID171200036"/>
    <s v="*FID171200036"/>
    <n v="4.9995032956065544E-4"/>
  </r>
  <r>
    <x v="8"/>
    <s v="Pesos"/>
    <d v="2026-12-21T00:00:00"/>
    <s v="29/09/2026"/>
    <n v="0.94215437999999996"/>
    <m/>
    <n v="50000000"/>
    <n v="47107719.079999998"/>
    <n v="50000000"/>
    <n v="47107719.079999998"/>
    <n v="4545"/>
    <s v="AMOMPY"/>
    <s v="Momentum Capital Investment S.A."/>
    <s v="22/09/2026"/>
    <s v="22/09/2026"/>
    <n v="27"/>
    <s v="No"/>
    <s v=""/>
    <m/>
    <m/>
    <s v="*MIL171200040"/>
    <s v="*MIL171200040"/>
    <n v="6.2627681319465511E-4"/>
  </r>
  <r>
    <x v="43"/>
    <s v="Pesos"/>
    <d v="2026-12-21T00:00:00"/>
    <s v="29/09/2026"/>
    <n v="0.93019697999999995"/>
    <m/>
    <n v="204051.5"/>
    <n v="189808.09"/>
    <n v="204051.5"/>
    <n v="189808.09"/>
    <n v="30101907"/>
    <s v="AMOMPY"/>
    <s v="Momentum Capital Investment S.A."/>
    <s v="21/09/2026"/>
    <s v="21/09/2026"/>
    <n v="33"/>
    <s v="No"/>
    <s v=""/>
    <m/>
    <m/>
    <s v="*MAV171201089"/>
    <s v="*MAV171201089"/>
    <n v="2.5234167148252487E-6"/>
  </r>
  <r>
    <x v="18"/>
    <s v="Pesos"/>
    <d v="2026-12-21T00:00:00"/>
    <s v="29/09/2026"/>
    <n v="0.93019715999999997"/>
    <m/>
    <n v="25000000"/>
    <n v="23254929.079999998"/>
    <n v="25000000"/>
    <n v="23254929.079999998"/>
    <n v="4297"/>
    <s v="AMOMPY"/>
    <s v="Momentum Capital Investment S.A."/>
    <s v="23/09/2026"/>
    <s v="23/09/2026"/>
    <n v="33"/>
    <s v="No"/>
    <s v=""/>
    <m/>
    <m/>
    <s v="*MAV171201103"/>
    <s v="*MAV171201103"/>
    <n v="3.0916425502489244E-4"/>
  </r>
  <r>
    <x v="37"/>
    <s v="Pesos"/>
    <d v="2026-12-21T00:00:00"/>
    <s v="29/09/2026"/>
    <n v="0.94417724000000003"/>
    <m/>
    <n v="20000000"/>
    <n v="18883544.890000001"/>
    <n v="20000000"/>
    <n v="18883544.890000001"/>
    <n v="79700360"/>
    <s v="AMOMPY"/>
    <s v="Momentum Capital Investment S.A."/>
    <s v="20/07/2026"/>
    <s v="20/07/2026"/>
    <n v="26"/>
    <s v="No"/>
    <s v=""/>
    <m/>
    <m/>
    <s v="*AFB171200009"/>
    <s v="*AFB171200009"/>
    <n v="2.5104858707855344E-4"/>
  </r>
  <r>
    <x v="37"/>
    <s v="Pesos"/>
    <d v="2026-12-21T00:00:00"/>
    <s v="29/09/2026"/>
    <n v="0.93813473999999997"/>
    <m/>
    <n v="10000000"/>
    <n v="9381347.4000000004"/>
    <n v="10000000"/>
    <n v="9381347.4000000004"/>
    <n v="90002276"/>
    <s v="AMOMPY"/>
    <s v="Momentum Capital Investment S.A."/>
    <s v="24/09/2026"/>
    <s v="24/09/2026"/>
    <n v="29"/>
    <s v="No"/>
    <s v=""/>
    <m/>
    <m/>
    <s v="*AFB171200014"/>
    <s v="*AFB171200014"/>
    <n v="1.2472096862015938E-4"/>
  </r>
  <r>
    <x v="172"/>
    <s v="Pesos"/>
    <d v="2026-12-21T00:00:00"/>
    <s v="29/09/2026"/>
    <n v="0.94014017000000005"/>
    <m/>
    <n v="200000000"/>
    <n v="188028034.75999999"/>
    <n v="200000000"/>
    <n v="188028034.75999999"/>
    <n v="10969394"/>
    <s v="AMOMPY"/>
    <s v="Momentum Capital Investment S.A."/>
    <s v="18/09/2026"/>
    <s v="18/09/2026"/>
    <n v="28"/>
    <s v="No"/>
    <s v=""/>
    <m/>
    <m/>
    <s v="*TRD171200022"/>
    <s v="*TRD171200022"/>
    <n v="2.4997516479362222E-3"/>
  </r>
  <r>
    <x v="27"/>
    <s v="Pesos"/>
    <d v="2026-12-21T00:00:00"/>
    <s v="29/09/2026"/>
    <n v="0.94014014000000001"/>
    <m/>
    <n v="8400000"/>
    <n v="7897177.1399999997"/>
    <n v="8400000"/>
    <n v="7897177.1399999997"/>
    <n v="2461"/>
    <s v="AMOMPY"/>
    <s v="Momentum Capital Investment S.A."/>
    <s v="21/09/2026"/>
    <s v="21/09/2026"/>
    <n v="28"/>
    <s v="No"/>
    <s v=""/>
    <m/>
    <m/>
    <s v="*MOV171200057"/>
    <s v="*MOV171200057"/>
    <n v="1.0498956496012288E-4"/>
  </r>
  <r>
    <x v="347"/>
    <s v="Pesos"/>
    <d v="2026-12-22T00:00:00"/>
    <s v="29/09/2026"/>
    <n v="0.92545664999999999"/>
    <m/>
    <n v="25000000"/>
    <n v="23136416.190000001"/>
    <n v="25000000"/>
    <n v="23136416.190000001"/>
    <n v="10685425"/>
    <s v="AMOMPY"/>
    <s v="Momentum Capital Investment S.A."/>
    <s v="18/09/2026"/>
    <s v="18/09/2026"/>
    <n v="35"/>
    <s v="No"/>
    <s v=""/>
    <m/>
    <m/>
    <s v="*MAV181201319"/>
    <s v="*MAV181201319"/>
    <n v="3.0758867725290054E-4"/>
  </r>
  <r>
    <x v="35"/>
    <s v="Pesos"/>
    <d v="2026-12-22T00:00:00"/>
    <s v="29/09/2026"/>
    <n v="0.92348976000000005"/>
    <m/>
    <n v="3105640.28"/>
    <n v="2868026.99"/>
    <n v="3105640.28"/>
    <n v="2868026.99"/>
    <n v="3399"/>
    <s v="AMOMPY"/>
    <s v="Momentum Capital Investment S.A."/>
    <s v="07/09/2026"/>
    <s v="07/09/2026"/>
    <n v="36"/>
    <s v="No"/>
    <s v=""/>
    <m/>
    <m/>
    <s v="*MAV181201268"/>
    <s v="*MAV181201268"/>
    <n v="3.8129182192054859E-5"/>
  </r>
  <r>
    <x v="358"/>
    <s v="Pesos"/>
    <d v="2026-12-22T00:00:00"/>
    <s v="29/09/2026"/>
    <n v="0.93541781999999996"/>
    <m/>
    <n v="23167422.219999999"/>
    <n v="21671219.57"/>
    <n v="23167422.219999999"/>
    <n v="21671219.57"/>
    <n v="439"/>
    <s v="AMOMPY"/>
    <s v="Momentum Capital Investment S.A."/>
    <s v="23/09/2026"/>
    <s v="23/09/2026"/>
    <n v="30"/>
    <s v="No"/>
    <s v=""/>
    <m/>
    <m/>
    <s v="*CUY181200043"/>
    <s v="*CUY181200043"/>
    <n v="2.881095199555827E-4"/>
  </r>
  <r>
    <x v="34"/>
    <s v="Pesos"/>
    <d v="2026-12-22T00:00:00"/>
    <s v="29/09/2026"/>
    <n v="0.92941554999999998"/>
    <m/>
    <n v="2170000"/>
    <n v="2016831.74"/>
    <n v="2170000"/>
    <n v="2016831.74"/>
    <n v="260745"/>
    <s v="AMOMPY"/>
    <s v="Momentum Capital Investment S.A."/>
    <s v="27/08/2026"/>
    <s v="27/08/2026"/>
    <n v="33"/>
    <s v="No"/>
    <s v=""/>
    <m/>
    <m/>
    <s v="*MAV181201247"/>
    <s v="*MAV181201247"/>
    <n v="2.6812908362894804E-5"/>
  </r>
  <r>
    <x v="363"/>
    <s v="Pesos"/>
    <d v="2026-12-22T00:00:00"/>
    <s v="29/09/2026"/>
    <n v="0.93541786999999998"/>
    <m/>
    <n v="50000000"/>
    <n v="46770893.369999997"/>
    <n v="50000000"/>
    <n v="46770893.369999997"/>
    <n v="197096"/>
    <s v="AMOMPY"/>
    <s v="Momentum Capital Investment S.A."/>
    <s v="19/08/2026"/>
    <s v="19/08/2026"/>
    <n v="30"/>
    <s v="No"/>
    <s v=""/>
    <m/>
    <m/>
    <s v="*MAV181201233"/>
    <s v="*MAV181201233"/>
    <n v="6.2179886061319823E-4"/>
  </r>
  <r>
    <x v="8"/>
    <s v="Pesos"/>
    <d v="2026-12-22T00:00:00"/>
    <s v="29/09/2026"/>
    <n v="0.93946258999999999"/>
    <m/>
    <n v="5000000"/>
    <n v="4697312.95"/>
    <n v="5000000"/>
    <n v="4697312.95"/>
    <n v="40797747"/>
    <s v="AMOMPY"/>
    <s v="Momentum Capital Investment S.A."/>
    <s v="22/09/2026"/>
    <s v="22/09/2026"/>
    <n v="28"/>
    <s v="No"/>
    <s v=""/>
    <m/>
    <m/>
    <s v="*MIL181200042"/>
    <s v="*MIL181200042"/>
    <n v="6.244875027610834E-5"/>
  </r>
  <r>
    <x v="37"/>
    <s v="Pesos"/>
    <d v="2026-12-22T00:00:00"/>
    <s v="29/09/2026"/>
    <n v="0.94354262"/>
    <m/>
    <n v="20000000"/>
    <n v="18870852.350000001"/>
    <n v="20000000"/>
    <n v="18870852.350000001"/>
    <n v="79700361"/>
    <s v="AMOMPY"/>
    <s v="Momentum Capital Investment S.A."/>
    <s v="20/07/2026"/>
    <s v="20/07/2026"/>
    <n v="26"/>
    <s v="No"/>
    <s v=""/>
    <m/>
    <m/>
    <s v="*AFB181200007"/>
    <s v="*AFB181200007"/>
    <n v="2.5087984523204106E-4"/>
  </r>
  <r>
    <x v="349"/>
    <s v="Pesos"/>
    <d v="2026-12-22T00:00:00"/>
    <s v="29/09/2026"/>
    <n v="0.92153109"/>
    <m/>
    <n v="15000000"/>
    <n v="13822966.35"/>
    <n v="15000000"/>
    <n v="13822966.35"/>
    <n v="90023099"/>
    <s v="AMOMPY"/>
    <s v="Momentum Capital Investment S.A."/>
    <s v="03/06/2026"/>
    <s v="03/06/2026"/>
    <n v="37"/>
    <s v="No"/>
    <s v=""/>
    <m/>
    <m/>
    <s v="*MAV181201190"/>
    <s v="*MAV181201190"/>
    <n v="1.8377037741677373E-4"/>
  </r>
  <r>
    <x v="25"/>
    <s v="Pesos"/>
    <d v="2026-12-22T00:00:00"/>
    <s v="29/09/2026"/>
    <n v="0.93946258999999999"/>
    <m/>
    <n v="10000000"/>
    <n v="9394625.9199999999"/>
    <n v="10000000"/>
    <n v="9394625.9199999999"/>
    <n v="12794378"/>
    <s v="AMOMPY"/>
    <s v="Momentum Capital Investment S.A."/>
    <s v="22/09/2026"/>
    <s v="22/09/2026"/>
    <n v="28"/>
    <s v="No"/>
    <s v=""/>
    <m/>
    <m/>
    <s v="*INP181200068"/>
    <s v="*INP181200068"/>
    <n v="1.2489750081810805E-4"/>
  </r>
  <r>
    <x v="27"/>
    <s v="Pesos"/>
    <d v="2026-12-22T00:00:00"/>
    <s v="29/09/2026"/>
    <n v="0.93946275000000001"/>
    <m/>
    <n v="8400000"/>
    <n v="7891487.1399999997"/>
    <n v="8400000"/>
    <n v="7891487.1399999997"/>
    <n v="2462"/>
    <s v="AMOMPY"/>
    <s v="Momentum Capital Investment S.A."/>
    <s v="21/09/2026"/>
    <s v="21/09/2026"/>
    <n v="28"/>
    <s v="No"/>
    <s v=""/>
    <m/>
    <m/>
    <s v="*MOV181200070"/>
    <s v="*MOV181200070"/>
    <n v="1.0491391886354526E-4"/>
  </r>
  <r>
    <x v="315"/>
    <s v="Pesos"/>
    <d v="2026-12-22T00:00:00"/>
    <s v="29/09/2026"/>
    <n v="0.92941556000000003"/>
    <m/>
    <n v="6355928.2300000004"/>
    <n v="5907298.5999999996"/>
    <n v="6355928.2300000004"/>
    <n v="5907298.5999999996"/>
    <n v="11545"/>
    <s v="AMOMPY"/>
    <s v="Momentum Capital Investment S.A."/>
    <s v="28/09/2026"/>
    <s v="28/09/2026"/>
    <n v="33"/>
    <s v="No"/>
    <s v=""/>
    <m/>
    <m/>
    <s v="*MAV181201367"/>
    <s v="*MAV181201367"/>
    <n v="7.8534987769508606E-5"/>
  </r>
  <r>
    <x v="315"/>
    <s v="Pesos"/>
    <d v="2026-12-22T00:00:00"/>
    <s v="29/09/2026"/>
    <n v="0.92941556000000003"/>
    <m/>
    <n v="6355928.2400000002"/>
    <n v="5907298.6100000003"/>
    <n v="6355928.2400000002"/>
    <n v="5907298.6100000003"/>
    <n v="11544"/>
    <s v="AMOMPY"/>
    <s v="Momentum Capital Investment S.A."/>
    <s v="28/09/2026"/>
    <s v="28/09/2026"/>
    <n v="33"/>
    <s v="No"/>
    <s v=""/>
    <m/>
    <m/>
    <s v="*MAV181201366"/>
    <s v="*MAV181201366"/>
    <n v="7.8534987902454303E-5"/>
  </r>
  <r>
    <x v="89"/>
    <s v="Pesos"/>
    <d v="2026-12-23T00:00:00"/>
    <s v="29/09/2026"/>
    <n v="0.93673821000000002"/>
    <m/>
    <n v="22000000"/>
    <n v="20608240.59"/>
    <n v="22000000"/>
    <n v="20608240.59"/>
    <n v="90000360"/>
    <s v="AMOMPY"/>
    <s v="Momentum Capital Investment S.A."/>
    <s v="28/09/2026"/>
    <s v="28/09/2026"/>
    <n v="29"/>
    <s v="No"/>
    <s v=""/>
    <m/>
    <m/>
    <s v="*INP211200044"/>
    <s v="*INP211200044"/>
    <n v="2.7397767275328538E-4"/>
  </r>
  <r>
    <x v="89"/>
    <s v="Pesos"/>
    <d v="2026-12-23T00:00:00"/>
    <s v="29/09/2026"/>
    <n v="0.93673821000000002"/>
    <m/>
    <n v="30000000"/>
    <n v="28102146.260000002"/>
    <n v="30000000"/>
    <n v="28102146.260000002"/>
    <n v="90000214"/>
    <s v="AMOMPY"/>
    <s v="Momentum Capital Investment S.A."/>
    <s v="28/09/2026"/>
    <s v="28/09/2026"/>
    <n v="29"/>
    <s v="No"/>
    <s v=""/>
    <m/>
    <m/>
    <s v="*INP211200045"/>
    <s v="*INP211200045"/>
    <n v="3.7360591740292972E-4"/>
  </r>
  <r>
    <x v="89"/>
    <s v="Pesos"/>
    <d v="2026-12-23T00:00:00"/>
    <s v="29/09/2026"/>
    <n v="0.93673821000000002"/>
    <m/>
    <n v="10000000"/>
    <n v="9367382.0899999999"/>
    <n v="10000000"/>
    <n v="9367382.0899999999"/>
    <n v="90000280"/>
    <s v="AMOMPY"/>
    <s v="Momentum Capital Investment S.A."/>
    <s v="28/09/2026"/>
    <s v="28/09/2026"/>
    <n v="29"/>
    <s v="No"/>
    <s v=""/>
    <m/>
    <m/>
    <s v="*INP211200046"/>
    <s v="*INP211200046"/>
    <n v="1.245353058452918E-4"/>
  </r>
  <r>
    <x v="89"/>
    <s v="Pesos"/>
    <d v="2026-12-23T00:00:00"/>
    <s v="29/09/2026"/>
    <n v="0.93673821000000002"/>
    <m/>
    <n v="18000000"/>
    <n v="16861287.75"/>
    <n v="18000000"/>
    <n v="16861287.75"/>
    <n v="90000356"/>
    <s v="AMOMPY"/>
    <s v="Momentum Capital Investment S.A."/>
    <s v="28/09/2026"/>
    <s v="28/09/2026"/>
    <n v="29"/>
    <s v="No"/>
    <s v=""/>
    <m/>
    <m/>
    <s v="*INP211200048"/>
    <s v="*INP211200048"/>
    <n v="2.241635503619904E-4"/>
  </r>
  <r>
    <x v="89"/>
    <s v="Pesos"/>
    <d v="2026-12-23T00:00:00"/>
    <s v="29/09/2026"/>
    <n v="0.93673821000000002"/>
    <m/>
    <n v="15000000"/>
    <n v="14051073.130000001"/>
    <n v="15000000"/>
    <n v="14051073.130000001"/>
    <n v="90000247"/>
    <s v="AMOMPY"/>
    <s v="Momentum Capital Investment S.A."/>
    <s v="28/09/2026"/>
    <s v="28/09/2026"/>
    <n v="29"/>
    <s v="No"/>
    <s v=""/>
    <m/>
    <m/>
    <s v="*INP211200047"/>
    <s v="*INP211200047"/>
    <n v="1.8680295870146486E-4"/>
  </r>
  <r>
    <x v="89"/>
    <s v="Pesos"/>
    <d v="2026-12-23T00:00:00"/>
    <s v="29/09/2026"/>
    <n v="0.93673821000000002"/>
    <m/>
    <n v="12000000"/>
    <n v="11240858.5"/>
    <n v="12000000"/>
    <n v="11240858.5"/>
    <n v="90000421"/>
    <s v="AMOMPY"/>
    <s v="Momentum Capital Investment S.A."/>
    <s v="28/09/2026"/>
    <s v="28/09/2026"/>
    <n v="29"/>
    <s v="No"/>
    <s v=""/>
    <m/>
    <m/>
    <s v="*INP211200050"/>
    <s v="*INP211200050"/>
    <n v="1.4944236690799361E-4"/>
  </r>
  <r>
    <x v="89"/>
    <s v="Pesos"/>
    <d v="2026-12-23T00:00:00"/>
    <s v="29/09/2026"/>
    <n v="0.93673821000000002"/>
    <m/>
    <n v="24600000"/>
    <n v="23043759.93"/>
    <n v="24600000"/>
    <n v="23043759.93"/>
    <n v="90000321"/>
    <s v="AMOMPY"/>
    <s v="Momentum Capital Investment S.A."/>
    <s v="28/09/2026"/>
    <s v="28/09/2026"/>
    <n v="29"/>
    <s v="No"/>
    <s v=""/>
    <m/>
    <m/>
    <s v="*INP211200049"/>
    <s v="*INP211200049"/>
    <n v="3.0635685222785971E-4"/>
  </r>
  <r>
    <x v="206"/>
    <s v="Pesos"/>
    <d v="2026-12-23T00:00:00"/>
    <s v="29/09/2026"/>
    <n v="0.93878602"/>
    <m/>
    <n v="70000000"/>
    <n v="65715021.719999999"/>
    <n v="70000000"/>
    <n v="65715021.719999999"/>
    <n v="11169840"/>
    <s v="AMOMPY"/>
    <s v="Momentum Capital Investment S.A."/>
    <s v="23/09/2026"/>
    <s v="23/09/2026"/>
    <n v="28"/>
    <s v="No"/>
    <s v=""/>
    <m/>
    <m/>
    <s v="*SOL201200012"/>
    <s v="*SOL201200012"/>
    <n v="8.7365287866998848E-4"/>
  </r>
  <r>
    <x v="352"/>
    <s v="Pesos"/>
    <d v="2026-12-23T00:00:00"/>
    <s v="29/09/2026"/>
    <n v="0.92463603000000005"/>
    <m/>
    <n v="5000000"/>
    <n v="4623180.1500000004"/>
    <n v="5000000"/>
    <n v="4623180.1500000004"/>
    <n v="545"/>
    <s v="AMOMPY"/>
    <s v="Momentum Capital Investment S.A."/>
    <s v="18/09/2026"/>
    <s v="18/09/2026"/>
    <n v="35"/>
    <s v="No"/>
    <s v=""/>
    <m/>
    <m/>
    <s v="*MAV201201677"/>
    <s v="*MAV201201677"/>
    <n v="6.1463186664795482E-5"/>
  </r>
  <r>
    <x v="321"/>
    <s v="Pesos"/>
    <d v="2026-12-23T00:00:00"/>
    <s v="29/09/2026"/>
    <n v="0.93266899000000003"/>
    <m/>
    <n v="619400"/>
    <n v="577695.17000000004"/>
    <n v="619400"/>
    <n v="577695.17000000004"/>
    <n v="605"/>
    <s v="AMOMPY"/>
    <s v="Momentum Capital Investment S.A."/>
    <s v="23/09/2026"/>
    <s v="23/09/2026"/>
    <n v="31"/>
    <s v="No"/>
    <s v=""/>
    <m/>
    <m/>
    <s v="*MAV201201689"/>
    <s v="*MAV201201689"/>
    <n v="7.6802081937172092E-6"/>
  </r>
  <r>
    <x v="92"/>
    <s v="Pesos"/>
    <d v="2026-12-23T00:00:00"/>
    <s v="29/09/2026"/>
    <n v="0.94290894999999997"/>
    <m/>
    <n v="712621.85"/>
    <n v="671937.52"/>
    <n v="712621.85"/>
    <n v="671937.52"/>
    <n v="682191"/>
    <s v="AMOMPY"/>
    <s v="Momentum Capital Investment S.A."/>
    <s v="25/09/2026"/>
    <s v="25/09/2026"/>
    <n v="26"/>
    <s v="No"/>
    <s v=""/>
    <m/>
    <m/>
    <s v="*MAV211201095"/>
    <s v="*MAV211201095"/>
    <n v="8.9331196014154336E-6"/>
  </r>
  <r>
    <x v="34"/>
    <s v="Pesos"/>
    <d v="2026-12-23T00:00:00"/>
    <s v="29/09/2026"/>
    <n v="0.92863516999999995"/>
    <m/>
    <n v="2170000"/>
    <n v="2015138.33"/>
    <n v="2170000"/>
    <n v="2015138.33"/>
    <n v="260747"/>
    <s v="AMOMPY"/>
    <s v="Momentum Capital Investment S.A."/>
    <s v="27/08/2026"/>
    <s v="27/08/2026"/>
    <n v="33"/>
    <s v="No"/>
    <s v=""/>
    <m/>
    <m/>
    <s v="*MAV211200992"/>
    <s v="*MAV211200992"/>
    <n v="2.6790395207111759E-5"/>
  </r>
  <r>
    <x v="317"/>
    <s v="Pesos"/>
    <d v="2026-12-23T00:00:00"/>
    <s v="29/09/2026"/>
    <n v="0.92863503999999997"/>
    <m/>
    <n v="5800000"/>
    <n v="5386083.2199999997"/>
    <n v="5800000"/>
    <n v="5386083.2199999997"/>
    <n v="6578"/>
    <s v="AMOMPY"/>
    <s v="Momentum Capital Investment S.A."/>
    <s v="21/08/2026"/>
    <s v="21/08/2026"/>
    <n v="33"/>
    <s v="No"/>
    <s v=""/>
    <m/>
    <m/>
    <s v="*MAV191201280"/>
    <s v="*MAV191201280"/>
    <n v="7.1605654030804466E-5"/>
  </r>
  <r>
    <x v="246"/>
    <s v="Pesos"/>
    <d v="2026-12-23T00:00:00"/>
    <s v="29/09/2026"/>
    <n v="0.92863516000000002"/>
    <m/>
    <n v="80000000"/>
    <n v="74290812.5"/>
    <n v="80000000"/>
    <n v="74290812.5"/>
    <n v="3037"/>
    <s v="AMOMPY"/>
    <s v="Momentum Capital Investment S.A."/>
    <s v="28/09/2026"/>
    <s v="28/09/2026"/>
    <n v="33"/>
    <s v="No"/>
    <s v=""/>
    <m/>
    <m/>
    <s v="*MAV201201708"/>
    <s v="*MAV201201708"/>
    <n v="9.876643193683077E-4"/>
  </r>
  <r>
    <x v="164"/>
    <s v="Pesos"/>
    <d v="2026-12-23T00:00:00"/>
    <s v="29/09/2026"/>
    <n v="0.93878616000000004"/>
    <m/>
    <n v="50000000"/>
    <n v="46939308.009999998"/>
    <n v="50000000"/>
    <n v="46939308.009999998"/>
    <n v="580"/>
    <s v="AMOMPY"/>
    <s v="Momentum Capital Investment S.A."/>
    <s v="18/09/2026"/>
    <s v="18/09/2026"/>
    <n v="28"/>
    <s v="No"/>
    <s v=""/>
    <m/>
    <m/>
    <s v="*NIO191200030"/>
    <s v="*NIO191200030"/>
    <n v="6.2403786063473202E-4"/>
  </r>
  <r>
    <x v="164"/>
    <s v="Pesos"/>
    <d v="2026-12-23T00:00:00"/>
    <s v="29/09/2026"/>
    <n v="0.93469915000000003"/>
    <m/>
    <n v="83000000"/>
    <n v="77580029.489999995"/>
    <n v="83000000"/>
    <n v="77580029.489999995"/>
    <n v="68158784"/>
    <s v="AMOMPY"/>
    <s v="Momentum Capital Investment S.A."/>
    <s v="13/07/2026"/>
    <s v="13/07/2026"/>
    <n v="30"/>
    <s v="No"/>
    <s v=""/>
    <m/>
    <m/>
    <s v="*NIO201200029"/>
    <s v="*NIO201200029"/>
    <n v="1.0313930410010537E-3"/>
  </r>
  <r>
    <x v="363"/>
    <s v="Pesos"/>
    <d v="2026-12-23T00:00:00"/>
    <s v="29/09/2026"/>
    <n v="0.93469919000000001"/>
    <m/>
    <n v="50000000"/>
    <n v="46734959.460000001"/>
    <n v="50000000"/>
    <n v="46734959.460000001"/>
    <n v="163597"/>
    <s v="AMOMPY"/>
    <s v="Momentum Capital Investment S.A."/>
    <s v="19/08/2026"/>
    <s v="19/08/2026"/>
    <n v="30"/>
    <s v="No"/>
    <s v=""/>
    <m/>
    <m/>
    <s v="*MAV201201630"/>
    <s v="*MAV201201630"/>
    <n v="6.2132113477378326E-4"/>
  </r>
  <r>
    <x v="363"/>
    <s v="Pesos"/>
    <d v="2026-12-23T00:00:00"/>
    <s v="29/09/2026"/>
    <n v="0.93469919000000001"/>
    <m/>
    <n v="50000000"/>
    <n v="46734959.460000001"/>
    <n v="50000000"/>
    <n v="46734959.460000001"/>
    <n v="197097"/>
    <s v="AMOMPY"/>
    <s v="Momentum Capital Investment S.A."/>
    <s v="19/08/2026"/>
    <s v="19/08/2026"/>
    <n v="30"/>
    <s v="No"/>
    <s v=""/>
    <m/>
    <m/>
    <s v="*MAV211200976"/>
    <s v="*MAV211200976"/>
    <n v="6.2132113477378326E-4"/>
  </r>
  <r>
    <x v="364"/>
    <s v="Pesos"/>
    <d v="2026-12-23T00:00:00"/>
    <s v="29/09/2026"/>
    <n v="0.93469919000000001"/>
    <m/>
    <n v="50000000"/>
    <n v="46734959.460000001"/>
    <n v="50000000"/>
    <n v="46734959.460000001"/>
    <n v="196470"/>
    <s v="AMOMPY"/>
    <s v="Momentum Capital Investment S.A."/>
    <s v="19/08/2026"/>
    <s v="19/08/2026"/>
    <n v="30"/>
    <s v="No"/>
    <s v=""/>
    <m/>
    <m/>
    <s v="*MAV211200977"/>
    <s v="*MAV211200977"/>
    <n v="6.2132113477378326E-4"/>
  </r>
  <r>
    <x v="365"/>
    <s v="Pesos"/>
    <d v="2026-12-23T00:00:00"/>
    <s v="29/09/2026"/>
    <n v="0.92463603999999999"/>
    <m/>
    <n v="15000000"/>
    <n v="13869540.67"/>
    <n v="15000000"/>
    <n v="13869540.67"/>
    <n v="50535"/>
    <s v="AMOMPY"/>
    <s v="Momentum Capital Investment S.A."/>
    <s v="04/09/2026"/>
    <s v="04/09/2026"/>
    <n v="35"/>
    <s v="No"/>
    <s v=""/>
    <m/>
    <m/>
    <s v="*MAV211201021"/>
    <s v="*MAV211201021"/>
    <n v="1.8438956291919157E-4"/>
  </r>
  <r>
    <x v="312"/>
    <s v="Pesos"/>
    <d v="2026-12-23T00:00:00"/>
    <s v="29/09/2026"/>
    <n v="0.92863523999999997"/>
    <m/>
    <n v="11666666.66"/>
    <n v="10834077.82"/>
    <n v="11666666.66"/>
    <n v="10834077.82"/>
    <n v="69879019"/>
    <s v="AMOMPY"/>
    <s v="Momentum Capital Investment S.A."/>
    <s v="22/09/2026"/>
    <s v="22/09/2026"/>
    <n v="33"/>
    <s v="No"/>
    <s v=""/>
    <m/>
    <m/>
    <s v="*MAV191201317"/>
    <s v="*MAV191201317"/>
    <n v="1.4403439316367121E-4"/>
  </r>
  <r>
    <x v="324"/>
    <s v="Pesos"/>
    <d v="2026-12-23T00:00:00"/>
    <s v="29/09/2026"/>
    <n v="0.93878609999999996"/>
    <m/>
    <n v="150000000"/>
    <n v="140817914.47999999"/>
    <n v="150000000"/>
    <n v="140817914.47999999"/>
    <n v="90000174"/>
    <s v="AMOMPY"/>
    <s v="Momentum Capital Investment S.A."/>
    <s v="12/08/2026"/>
    <s v="12/08/2026"/>
    <n v="28"/>
    <s v="No"/>
    <s v=""/>
    <m/>
    <m/>
    <s v="*MAV201201628"/>
    <s v="*MAV201201628"/>
    <n v="1.8721134549410637E-3"/>
  </r>
  <r>
    <x v="37"/>
    <s v="Pesos"/>
    <d v="2026-12-23T00:00:00"/>
    <s v="29/09/2026"/>
    <n v="0.94290883999999997"/>
    <m/>
    <n v="20000000"/>
    <n v="18858176.84"/>
    <n v="20000000"/>
    <n v="18858176.84"/>
    <n v="79700362"/>
    <s v="AMOMPY"/>
    <s v="Momentum Capital Investment S.A."/>
    <s v="20/07/2026"/>
    <s v="20/07/2026"/>
    <n v="26"/>
    <s v="No"/>
    <s v=""/>
    <m/>
    <m/>
    <s v="*AFB211200004"/>
    <s v="*AFB211200004"/>
    <n v="2.5071132979203567E-4"/>
  </r>
  <r>
    <x v="37"/>
    <s v="Pesos"/>
    <d v="2026-12-23T00:00:00"/>
    <s v="29/09/2026"/>
    <n v="0.93673817999999998"/>
    <m/>
    <n v="10000000"/>
    <n v="9367381.8000000007"/>
    <n v="10000000"/>
    <n v="9367381.8000000007"/>
    <n v="90002277"/>
    <s v="AMOMPY"/>
    <s v="Momentum Capital Investment S.A."/>
    <s v="24/09/2026"/>
    <s v="24/09/2026"/>
    <n v="29"/>
    <s v="No"/>
    <s v=""/>
    <m/>
    <m/>
    <s v="*AFB211200007"/>
    <s v="*AFB211200007"/>
    <n v="1.2453530198986684E-4"/>
  </r>
  <r>
    <x v="242"/>
    <s v="Pesos"/>
    <d v="2026-12-23T00:00:00"/>
    <s v="29/09/2026"/>
    <n v="0.92264924999999998"/>
    <m/>
    <n v="20078937.030000001"/>
    <n v="18525816.140000001"/>
    <n v="20078937.030000001"/>
    <n v="18525816.140000001"/>
    <n v="67998257"/>
    <s v="AMOMPY"/>
    <s v="Momentum Capital Investment S.A."/>
    <s v="07/07/2026"/>
    <s v="07/07/2026"/>
    <n v="36"/>
    <s v="No"/>
    <s v=""/>
    <m/>
    <m/>
    <s v="*MAV211200948"/>
    <s v="*MAV211200948"/>
    <n v="2.4629273759329949E-4"/>
  </r>
  <r>
    <x v="123"/>
    <s v="Pesos"/>
    <d v="2026-12-23T00:00:00"/>
    <s v="29/09/2026"/>
    <n v="0.92863507000000001"/>
    <m/>
    <n v="25000000"/>
    <n v="23215876.699999999"/>
    <n v="25000000"/>
    <n v="23215876.699999999"/>
    <n v="475889"/>
    <s v="AMOMPY"/>
    <s v="Momentum Capital Investment S.A."/>
    <s v="07/08/2026"/>
    <s v="07/08/2026"/>
    <n v="33"/>
    <s v="No"/>
    <s v=""/>
    <m/>
    <m/>
    <s v="*MAV201201625"/>
    <s v="*MAV201201625"/>
    <n v="3.0864507047145373E-4"/>
  </r>
  <r>
    <x v="75"/>
    <s v="Pesos"/>
    <d v="2026-12-23T00:00:00"/>
    <s v="29/09/2026"/>
    <n v="0.92663119999999999"/>
    <m/>
    <n v="4000000"/>
    <n v="3706524.79"/>
    <n v="4000000"/>
    <n v="3706524.79"/>
    <n v="90000055"/>
    <s v="AMOMPY"/>
    <s v="Momentum Capital Investment S.A."/>
    <s v="11/06/2026"/>
    <s v="11/06/2026"/>
    <n v="34"/>
    <s v="No"/>
    <s v=""/>
    <m/>
    <m/>
    <s v="*MAV211200942"/>
    <s v="*MAV211200942"/>
    <n v="4.9276648898369635E-5"/>
  </r>
  <r>
    <x v="21"/>
    <s v="Pesos"/>
    <d v="2026-12-23T00:00:00"/>
    <s v="29/09/2026"/>
    <n v="0.92863516000000002"/>
    <m/>
    <n v="25000000"/>
    <n v="23215879.059999999"/>
    <n v="25000000"/>
    <n v="23215879.059999999"/>
    <n v="14422659"/>
    <s v="AMOMPY"/>
    <s v="Momentum Capital Investment S.A."/>
    <s v="03/09/2026"/>
    <s v="03/09/2026"/>
    <n v="33"/>
    <s v="No"/>
    <s v=""/>
    <m/>
    <m/>
    <s v="*MAV191201292"/>
    <s v="*MAV191201292"/>
    <n v="3.0864510184663613E-4"/>
  </r>
  <r>
    <x v="172"/>
    <s v="Pesos"/>
    <d v="2026-12-23T00:00:00"/>
    <s v="29/09/2026"/>
    <n v="0.93878613"/>
    <m/>
    <n v="5000000"/>
    <n v="4693930.63"/>
    <n v="5000000"/>
    <n v="4693930.63"/>
    <n v="17"/>
    <s v="AMOMPY"/>
    <s v="Momentum Capital Investment S.A."/>
    <s v="21/09/2026"/>
    <s v="21/09/2026"/>
    <n v="28"/>
    <s v="No"/>
    <s v=""/>
    <m/>
    <m/>
    <s v="*TRD191200026"/>
    <s v="*TRD191200026"/>
    <n v="6.2403783790101932E-5"/>
  </r>
  <r>
    <x v="25"/>
    <s v="Pesos"/>
    <d v="2026-12-23T00:00:00"/>
    <s v="29/09/2026"/>
    <n v="0.93571751000000003"/>
    <m/>
    <n v="5633315"/>
    <n v="5271191.47"/>
    <n v="5633315"/>
    <n v="5271191.47"/>
    <n v="69874632"/>
    <s v="AMOMPY"/>
    <s v="Momentum Capital Investment S.A."/>
    <s v="23/09/2026"/>
    <s v="23/09/2026"/>
    <n v="29.5"/>
    <s v="No"/>
    <s v=""/>
    <m/>
    <m/>
    <s v="*CVA211200010"/>
    <s v="*CVA211200010"/>
    <n v="7.007821775374417E-5"/>
  </r>
  <r>
    <x v="27"/>
    <s v="Pesos"/>
    <d v="2026-12-23T00:00:00"/>
    <s v="29/09/2026"/>
    <n v="0.94084298"/>
    <m/>
    <n v="265000000"/>
    <n v="249323389.91"/>
    <n v="265000000"/>
    <n v="249323389.91"/>
    <n v="13200"/>
    <s v="AMOMPY"/>
    <s v="Momentum Capital Investment S.A."/>
    <s v="17/09/2026"/>
    <s v="17/09/2026"/>
    <n v="27"/>
    <s v="No"/>
    <s v=""/>
    <m/>
    <m/>
    <s v="*MOV211200055"/>
    <s v="*MOV211200055"/>
    <n v="3.3146469652362378E-3"/>
  </r>
  <r>
    <x v="50"/>
    <s v="Pesos"/>
    <d v="2026-12-28T00:00:00"/>
    <s v="29/09/2026"/>
    <n v="0.93112249000000002"/>
    <m/>
    <n v="15000000"/>
    <n v="13966837.279999999"/>
    <n v="15000000"/>
    <n v="13966837.279999999"/>
    <n v="90004193"/>
    <s v="AMOMPY"/>
    <s v="Momentum Capital Investment S.A."/>
    <s v="21/09/2026"/>
    <s v="21/09/2026"/>
    <n v="30"/>
    <s v="No"/>
    <s v=""/>
    <m/>
    <m/>
    <s v="*MAV221201323"/>
    <s v="*MAV221201323"/>
    <n v="1.8568307939664956E-4"/>
  </r>
  <r>
    <x v="35"/>
    <s v="Pesos"/>
    <d v="2026-12-28T00:00:00"/>
    <s v="29/09/2026"/>
    <n v="0.91847013"/>
    <m/>
    <n v="3105640.28"/>
    <n v="2852437.83"/>
    <n v="3105640.28"/>
    <n v="2852437.83"/>
    <n v="3400"/>
    <s v="AMOMPY"/>
    <s v="Momentum Capital Investment S.A."/>
    <s v="07/09/2026"/>
    <s v="07/09/2026"/>
    <n v="36"/>
    <s v="No"/>
    <s v=""/>
    <m/>
    <m/>
    <s v="*MAV221201291"/>
    <s v="*MAV221201291"/>
    <n v="3.7921931031611248E-5"/>
  </r>
  <r>
    <x v="34"/>
    <s v="Pesos"/>
    <d v="2026-12-28T00:00:00"/>
    <s v="29/09/2026"/>
    <n v="0.92475302999999998"/>
    <m/>
    <n v="2170000"/>
    <n v="2006714.07"/>
    <n v="2170000"/>
    <n v="2006714.07"/>
    <n v="260748"/>
    <s v="AMOMPY"/>
    <s v="Momentum Capital Investment S.A."/>
    <s v="27/08/2026"/>
    <s v="27/08/2026"/>
    <n v="33"/>
    <s v="No"/>
    <s v=""/>
    <m/>
    <m/>
    <s v="*MAV221201255"/>
    <s v="*MAV221201255"/>
    <n v="2.6678398302796281E-5"/>
  </r>
  <r>
    <x v="329"/>
    <s v="Pesos"/>
    <d v="2026-12-28T00:00:00"/>
    <s v="29/09/2026"/>
    <n v="0.92686654999999996"/>
    <m/>
    <n v="1620000"/>
    <n v="1501523.82"/>
    <n v="1620000"/>
    <n v="1501523.82"/>
    <n v="3410388"/>
    <s v="AMOMPY"/>
    <s v="Momentum Capital Investment S.A."/>
    <s v="15/09/2026"/>
    <s v="15/09/2026"/>
    <n v="32"/>
    <s v="No"/>
    <s v=""/>
    <m/>
    <m/>
    <s v="*MAV221201311"/>
    <s v="*MAV221201311"/>
    <n v="1.9962111757703572E-5"/>
  </r>
  <r>
    <x v="6"/>
    <s v="Pesos"/>
    <d v="2026-12-28T00:00:00"/>
    <s v="29/09/2026"/>
    <n v="0.93541785"/>
    <m/>
    <n v="20000000"/>
    <n v="18708357.059999999"/>
    <n v="20000000"/>
    <n v="18708357.059999999"/>
    <n v="20411015"/>
    <s v="AMOMPY"/>
    <s v="Momentum Capital Investment S.A."/>
    <s v="02/07/2026"/>
    <s v="02/07/2026"/>
    <n v="28"/>
    <s v="No"/>
    <s v=""/>
    <m/>
    <m/>
    <s v="*PRO221200015"/>
    <s v="*PRO221200015"/>
    <n v="2.4871954041644348E-4"/>
  </r>
  <r>
    <x v="163"/>
    <s v="Pesos"/>
    <d v="2026-12-28T00:00:00"/>
    <s v="29/09/2026"/>
    <n v="0.92475315999999996"/>
    <m/>
    <n v="33500000"/>
    <n v="30979230.940000001"/>
    <n v="33500000"/>
    <n v="30979230.940000001"/>
    <n v="301"/>
    <s v="AMOMPY"/>
    <s v="Momentum Capital Investment S.A."/>
    <s v="23/09/2026"/>
    <s v="23/09/2026"/>
    <n v="33"/>
    <s v="No"/>
    <s v=""/>
    <m/>
    <m/>
    <s v="*MAV221201335"/>
    <s v="*MAV221201335"/>
    <n v="4.1185551767802678E-4"/>
  </r>
  <r>
    <x v="363"/>
    <s v="Pesos"/>
    <d v="2026-12-28T00:00:00"/>
    <s v="29/09/2026"/>
    <n v="0.93112247000000004"/>
    <m/>
    <n v="50000000"/>
    <n v="46556123.409999996"/>
    <n v="50000000"/>
    <n v="46556123.409999996"/>
    <n v="197098"/>
    <s v="AMOMPY"/>
    <s v="Momentum Capital Investment S.A."/>
    <s v="19/08/2026"/>
    <s v="19/08/2026"/>
    <n v="30"/>
    <s v="No"/>
    <s v=""/>
    <m/>
    <m/>
    <s v="*MAV221201242"/>
    <s v="*MAV221201242"/>
    <n v="6.1894358659981793E-4"/>
  </r>
  <r>
    <x v="364"/>
    <s v="Pesos"/>
    <d v="2026-12-28T00:00:00"/>
    <s v="29/09/2026"/>
    <n v="0.93112247000000004"/>
    <m/>
    <n v="50000000"/>
    <n v="46556123.409999996"/>
    <n v="50000000"/>
    <n v="46556123.409999996"/>
    <n v="196471"/>
    <s v="AMOMPY"/>
    <s v="Momentum Capital Investment S.A."/>
    <s v="19/08/2026"/>
    <s v="19/08/2026"/>
    <n v="30"/>
    <s v="No"/>
    <s v=""/>
    <m/>
    <m/>
    <s v="*MAV221201243"/>
    <s v="*MAV221201243"/>
    <n v="6.1894358659981793E-4"/>
  </r>
  <r>
    <x v="96"/>
    <s v="Pesos"/>
    <d v="2026-12-28T00:00:00"/>
    <s v="29/09/2026"/>
    <n v="0.92055505999999998"/>
    <m/>
    <n v="85000000"/>
    <n v="78247179.900000006"/>
    <n v="85000000"/>
    <n v="78247179.900000006"/>
    <n v="1254"/>
    <s v="AMOMPY"/>
    <s v="Momentum Capital Investment S.A."/>
    <s v="16/09/2026"/>
    <s v="16/09/2026"/>
    <n v="35"/>
    <s v="No"/>
    <s v=""/>
    <m/>
    <m/>
    <s v="*MAV221201313"/>
    <s v="*MAV221201313"/>
    <n v="1.0402625180391321E-3"/>
  </r>
  <r>
    <x v="96"/>
    <s v="Pesos"/>
    <d v="2026-12-28T00:00:00"/>
    <s v="29/09/2026"/>
    <n v="0.92055505000000004"/>
    <m/>
    <n v="115000000"/>
    <n v="105863830.67"/>
    <n v="115000000"/>
    <n v="105863830.67"/>
    <n v="1414"/>
    <s v="AMOMPY"/>
    <s v="Momentum Capital Investment S.A."/>
    <s v="23/09/2026"/>
    <s v="23/09/2026"/>
    <n v="35"/>
    <s v="No"/>
    <s v=""/>
    <m/>
    <m/>
    <s v="*MAV221201342"/>
    <s v="*MAV221201342"/>
    <n v="1.4074139822391543E-3"/>
  </r>
  <r>
    <x v="38"/>
    <s v="Pesos"/>
    <d v="2026-12-28T00:00:00"/>
    <s v="29/09/2026"/>
    <n v="0.93541781000000002"/>
    <m/>
    <n v="40000000"/>
    <n v="37416712.229999997"/>
    <n v="40000000"/>
    <n v="37416712.229999997"/>
    <n v="54029683"/>
    <s v="AMOMPY"/>
    <s v="Momentum Capital Investment S.A."/>
    <s v="18/09/2026"/>
    <s v="18/09/2026"/>
    <n v="28"/>
    <s v="No"/>
    <s v=""/>
    <m/>
    <m/>
    <s v="*FID221200054"/>
    <s v="*FID221200054"/>
    <n v="4.9743905570615184E-4"/>
  </r>
  <r>
    <x v="43"/>
    <s v="Pesos"/>
    <d v="2026-12-28T00:00:00"/>
    <s v="29/09/2026"/>
    <n v="0.92475322999999998"/>
    <m/>
    <n v="706225.7"/>
    <n v="653084.5"/>
    <n v="706225.7"/>
    <n v="653084.5"/>
    <n v="124049"/>
    <s v="AMOMPY"/>
    <s v="Momentum Capital Investment S.A."/>
    <s v="24/09/2026"/>
    <s v="24/09/2026"/>
    <n v="33"/>
    <s v="No"/>
    <s v=""/>
    <m/>
    <m/>
    <s v="*MAV221201349"/>
    <s v="*MAV221201349"/>
    <n v="8.6824768295876647E-6"/>
  </r>
  <r>
    <x v="18"/>
    <s v="Pesos"/>
    <d v="2026-12-28T00:00:00"/>
    <s v="29/09/2026"/>
    <n v="0.92475315999999996"/>
    <m/>
    <n v="25000000"/>
    <n v="23118829.059999999"/>
    <n v="25000000"/>
    <n v="23118829.059999999"/>
    <n v="4298"/>
    <s v="AMOMPY"/>
    <s v="Momentum Capital Investment S.A."/>
    <s v="23/09/2026"/>
    <s v="23/09/2026"/>
    <n v="33"/>
    <s v="No"/>
    <s v=""/>
    <m/>
    <m/>
    <s v="*MAV221201341"/>
    <s v="*MAV221201341"/>
    <n v="3.0735486394279445E-4"/>
  </r>
  <r>
    <x v="37"/>
    <s v="Pesos"/>
    <d v="2026-12-28T00:00:00"/>
    <s v="29/09/2026"/>
    <n v="0.93975295000000003"/>
    <m/>
    <n v="20000000"/>
    <n v="18795058.949999999"/>
    <n v="20000000"/>
    <n v="18795058.949999999"/>
    <n v="79700363"/>
    <s v="AMOMPY"/>
    <s v="Momentum Capital Investment S.A."/>
    <s v="20/07/2026"/>
    <s v="20/07/2026"/>
    <n v="26"/>
    <s v="No"/>
    <s v=""/>
    <m/>
    <m/>
    <s v="*AFB221200006"/>
    <s v="*AFB221200006"/>
    <n v="2.4987220465974807E-4"/>
  </r>
  <r>
    <x v="182"/>
    <s v="Pesos"/>
    <d v="2026-12-28T00:00:00"/>
    <s v="29/09/2026"/>
    <n v="0.92475306999999995"/>
    <m/>
    <n v="9356284.2599999998"/>
    <n v="8652252.6300000008"/>
    <n v="9356284.2599999998"/>
    <n v="8652252.6300000008"/>
    <n v="90002090"/>
    <s v="AMOMPY"/>
    <s v="Momentum Capital Investment S.A."/>
    <s v="06/08/2026"/>
    <s v="06/08/2026"/>
    <n v="33"/>
    <s v="No"/>
    <s v=""/>
    <m/>
    <m/>
    <s v="*MAV221201236"/>
    <s v="*MAV221201236"/>
    <n v="1.1502796802513907E-4"/>
  </r>
  <r>
    <x v="172"/>
    <s v="Pesos"/>
    <d v="2026-12-28T00:00:00"/>
    <s v="29/09/2026"/>
    <n v="0.93975288999999995"/>
    <m/>
    <n v="8752704.4100000001"/>
    <n v="8225379.2300000004"/>
    <n v="8752704.4100000001"/>
    <n v="8225379.2300000004"/>
    <n v="69934207"/>
    <s v="AMOMPY"/>
    <s v="Momentum Capital Investment S.A."/>
    <s v="25/09/2026"/>
    <s v="25/09/2026"/>
    <n v="26"/>
    <s v="No"/>
    <s v=""/>
    <m/>
    <m/>
    <s v="*TRD221200026"/>
    <s v="*TRD221200026"/>
    <n v="1.0935287023202454E-4"/>
  </r>
  <r>
    <x v="27"/>
    <s v="Pesos"/>
    <d v="2026-12-28T00:00:00"/>
    <s v="29/09/2026"/>
    <n v="0.93758028000000004"/>
    <m/>
    <n v="250000000"/>
    <n v="234395070.78"/>
    <n v="250000000"/>
    <n v="234395070.78"/>
    <n v="13199"/>
    <s v="AMOMPY"/>
    <s v="Momentum Capital Investment S.A."/>
    <s v="17/09/2026"/>
    <s v="17/09/2026"/>
    <n v="27"/>
    <s v="No"/>
    <s v=""/>
    <m/>
    <m/>
    <s v="*MOV221200082"/>
    <s v="*MOV221200082"/>
    <n v="3.1161813992169629E-3"/>
  </r>
  <r>
    <x v="205"/>
    <s v="Pesos"/>
    <d v="2026-12-28T00:00:00"/>
    <s v="29/09/2026"/>
    <n v="0.92475300000000005"/>
    <m/>
    <n v="60000000"/>
    <n v="55485179.75"/>
    <n v="60000000"/>
    <n v="55485179.75"/>
    <n v="20865"/>
    <s v="AMOMPY"/>
    <s v="Momentum Capital Investment S.A."/>
    <s v="28/09/2026"/>
    <s v="28/09/2026"/>
    <n v="33"/>
    <s v="No"/>
    <s v=""/>
    <m/>
    <m/>
    <s v="*MAV221201373"/>
    <s v="*MAV221201373"/>
    <n v="7.3765154059678595E-4"/>
  </r>
  <r>
    <x v="89"/>
    <s v="Pesos"/>
    <d v="2026-12-29T00:00:00"/>
    <s v="29/09/2026"/>
    <n v="0.93041057999999999"/>
    <m/>
    <n v="18000000"/>
    <n v="16747390.43"/>
    <n v="18000000"/>
    <n v="16747390.43"/>
    <n v="40200423"/>
    <s v="AMOMPY"/>
    <s v="Momentum Capital Investment S.A."/>
    <s v="17/09/2026"/>
    <s v="17/09/2026"/>
    <n v="30"/>
    <s v="No"/>
    <s v=""/>
    <m/>
    <m/>
    <s v="*INP231200109"/>
    <s v="*INP231200109"/>
    <n v="2.2264933460300037E-4"/>
  </r>
  <r>
    <x v="35"/>
    <s v="Pesos"/>
    <d v="2026-12-29T00:00:00"/>
    <s v="29/09/2026"/>
    <n v="0.91763879000000004"/>
    <m/>
    <n v="3105640.28"/>
    <n v="2849855.98"/>
    <n v="3105640.28"/>
    <n v="2849855.98"/>
    <n v="3401"/>
    <s v="AMOMPY"/>
    <s v="Momentum Capital Investment S.A."/>
    <s v="07/09/2026"/>
    <s v="07/09/2026"/>
    <n v="36"/>
    <s v="No"/>
    <s v=""/>
    <m/>
    <m/>
    <s v="*MAV231201331"/>
    <s v="*MAV231201331"/>
    <n v="3.7887606449107036E-5"/>
  </r>
  <r>
    <x v="34"/>
    <s v="Pesos"/>
    <d v="2026-12-29T00:00:00"/>
    <s v="29/09/2026"/>
    <n v="0.92398046"/>
    <m/>
    <n v="2170000"/>
    <n v="2005037.6"/>
    <n v="2170000"/>
    <n v="2005037.6"/>
    <n v="260749"/>
    <s v="AMOMPY"/>
    <s v="Momentum Capital Investment S.A."/>
    <s v="27/08/2026"/>
    <s v="27/08/2026"/>
    <n v="33"/>
    <s v="No"/>
    <s v=""/>
    <m/>
    <m/>
    <s v="*MAV231201312"/>
    <s v="*MAV231201312"/>
    <n v="2.6656110357009023E-5"/>
  </r>
  <r>
    <x v="364"/>
    <s v="Pesos"/>
    <d v="2026-12-29T00:00:00"/>
    <s v="29/09/2026"/>
    <n v="0.93041054999999995"/>
    <m/>
    <n v="50000000"/>
    <n v="46520527.460000001"/>
    <n v="50000000"/>
    <n v="46520527.460000001"/>
    <n v="196469"/>
    <s v="AMOMPY"/>
    <s v="Momentum Capital Investment S.A."/>
    <s v="19/08/2026"/>
    <s v="19/08/2026"/>
    <n v="30"/>
    <s v="No"/>
    <s v=""/>
    <m/>
    <m/>
    <s v="*MAV231201296"/>
    <s v="*MAV231201296"/>
    <n v="6.1847035379288082E-4"/>
  </r>
  <r>
    <x v="37"/>
    <s v="Pesos"/>
    <d v="2026-12-29T00:00:00"/>
    <s v="29/09/2026"/>
    <n v="0.93912424999999999"/>
    <m/>
    <n v="20000000"/>
    <n v="18782484.989999998"/>
    <n v="20000000"/>
    <n v="18782484.989999998"/>
    <n v="79700364"/>
    <s v="AMOMPY"/>
    <s v="Momentum Capital Investment S.A."/>
    <s v="20/07/2026"/>
    <s v="20/07/2026"/>
    <n v="26"/>
    <s v="No"/>
    <s v=""/>
    <m/>
    <m/>
    <s v="*AFB231200009"/>
    <s v="*AFB231200009"/>
    <n v="2.4970503928320621E-4"/>
  </r>
  <r>
    <x v="221"/>
    <s v="Pesos"/>
    <d v="2026-12-29T00:00:00"/>
    <s v="29/09/2026"/>
    <n v="0.92398049999999998"/>
    <m/>
    <n v="20000194"/>
    <n v="18479789.199999999"/>
    <n v="20000194"/>
    <n v="18479789.199999999"/>
    <n v="733"/>
    <s v="AMOMPY"/>
    <s v="Momentum Capital Investment S.A."/>
    <s v="24/08/2026"/>
    <s v="24/08/2026"/>
    <n v="33"/>
    <s v="No"/>
    <s v=""/>
    <m/>
    <m/>
    <s v="*MAV231201306"/>
    <s v="*MAV231201306"/>
    <n v="2.456808292719615E-4"/>
  </r>
  <r>
    <x v="238"/>
    <s v="Pesos"/>
    <d v="2026-12-29T00:00:00"/>
    <s v="29/09/2026"/>
    <n v="0.93041041999999996"/>
    <m/>
    <n v="3535037.55"/>
    <n v="3289035.76"/>
    <n v="3535037.55"/>
    <n v="3289035.76"/>
    <n v="3658347"/>
    <s v="AMOMPY"/>
    <s v="Momentum Capital Investment S.A."/>
    <s v="29/09/2026"/>
    <s v="29/09/2026"/>
    <n v="30"/>
    <s v="No"/>
    <s v=""/>
    <m/>
    <m/>
    <s v="*MAV231201411"/>
    <s v="*MAV231201411"/>
    <n v="4.3726312258038966E-5"/>
  </r>
  <r>
    <x v="89"/>
    <s v="Pesos"/>
    <d v="2026-12-30T00:00:00"/>
    <s v="29/09/2026"/>
    <n v="0.92969948999999996"/>
    <m/>
    <n v="10000000"/>
    <n v="9296994.9199999999"/>
    <n v="10000000"/>
    <n v="9296994.9199999999"/>
    <n v="1328672"/>
    <s v="AMOMPY"/>
    <s v="Momentum Capital Investment S.A."/>
    <s v="16/09/2026"/>
    <s v="16/09/2026"/>
    <n v="30"/>
    <s v="No"/>
    <s v=""/>
    <m/>
    <m/>
    <s v="*INP281200047"/>
    <s v="*INP281200047"/>
    <n v="1.2359953876978281E-4"/>
  </r>
  <r>
    <x v="50"/>
    <s v="Pesos"/>
    <d v="2026-12-30T00:00:00"/>
    <s v="29/09/2026"/>
    <n v="0.92969957999999997"/>
    <m/>
    <n v="15000000"/>
    <n v="13945493.75"/>
    <n v="15000000"/>
    <n v="13945493.75"/>
    <n v="90004194"/>
    <s v="AMOMPY"/>
    <s v="Momentum Capital Investment S.A."/>
    <s v="21/09/2026"/>
    <s v="21/09/2026"/>
    <n v="30"/>
    <s v="No"/>
    <s v=""/>
    <m/>
    <m/>
    <s v="*MAV261201602"/>
    <s v="*MAV261201602"/>
    <n v="1.8539932636823348E-4"/>
  </r>
  <r>
    <x v="325"/>
    <s v="Pesos"/>
    <d v="2026-12-30T00:00:00"/>
    <s v="29/09/2026"/>
    <n v="0.92752604000000005"/>
    <m/>
    <n v="47373027.109999999"/>
    <n v="43939716.200000003"/>
    <n v="47373027.109999999"/>
    <n v="43939716.200000003"/>
    <n v="11412588"/>
    <s v="AMOMPY"/>
    <s v="Momentum Capital Investment S.A."/>
    <s v="17/09/2026"/>
    <s v="17/09/2026"/>
    <n v="31"/>
    <s v="No"/>
    <s v=""/>
    <m/>
    <m/>
    <s v="*MAV271201293"/>
    <s v="*MAV271201293"/>
    <n v="5.8415958088908521E-4"/>
  </r>
  <r>
    <x v="366"/>
    <s v="Pesos"/>
    <d v="2026-12-30T00:00:00"/>
    <s v="29/09/2026"/>
    <n v="0.92320946000000004"/>
    <m/>
    <n v="5000000"/>
    <n v="4616047.28"/>
    <n v="5000000"/>
    <n v="4616047.28"/>
    <n v="354"/>
    <s v="AMOMPY"/>
    <s v="Momentum Capital Investment S.A."/>
    <s v="22/09/2026"/>
    <s v="22/09/2026"/>
    <n v="33"/>
    <s v="No"/>
    <s v=""/>
    <m/>
    <m/>
    <s v="*MAV281201037"/>
    <s v="*MAV281201037"/>
    <n v="6.1368358233706614E-5"/>
  </r>
  <r>
    <x v="340"/>
    <s v="Pesos"/>
    <d v="2026-12-30T00:00:00"/>
    <s v="29/09/2026"/>
    <n v="0.92752595000000004"/>
    <m/>
    <n v="1112906.07"/>
    <n v="1032249.26"/>
    <n v="1112906.07"/>
    <n v="1032249.26"/>
    <n v="877"/>
    <s v="AMOMPY"/>
    <s v="Momentum Capital Investment S.A."/>
    <s v="23/09/2026"/>
    <s v="23/09/2026"/>
    <n v="31"/>
    <s v="No"/>
    <s v=""/>
    <m/>
    <m/>
    <s v="*MAV271201294"/>
    <s v="*MAV271201294"/>
    <n v="1.3723308824982086E-5"/>
  </r>
  <r>
    <x v="322"/>
    <s v="Pesos"/>
    <d v="2026-12-30T00:00:00"/>
    <s v="29/09/2026"/>
    <n v="0.92969963"/>
    <m/>
    <n v="750000"/>
    <n v="697274.72"/>
    <n v="750000"/>
    <n v="697274.72"/>
    <n v="69995922"/>
    <s v="AMOMPY"/>
    <s v="Momentum Capital Investment S.A."/>
    <s v="25/09/2026"/>
    <s v="25/09/2026"/>
    <n v="30"/>
    <s v="No"/>
    <s v=""/>
    <m/>
    <m/>
    <s v="*MAV261201610"/>
    <s v="*MAV261201610"/>
    <n v="9.2699667504851602E-6"/>
  </r>
  <r>
    <x v="155"/>
    <s v="Pesos"/>
    <d v="2026-12-30T00:00:00"/>
    <s v="29/09/2026"/>
    <n v="0.92969955999999998"/>
    <m/>
    <n v="50000000"/>
    <n v="46484978.189999998"/>
    <n v="50000000"/>
    <n v="46484978.189999998"/>
    <n v="68015"/>
    <s v="AMOMPY"/>
    <s v="Momentum Capital Investment S.A."/>
    <s v="29/07/2026"/>
    <s v="29/07/2026"/>
    <n v="30"/>
    <s v="No"/>
    <s v=""/>
    <m/>
    <m/>
    <s v="*MAV281200955"/>
    <s v="*MAV281200955"/>
    <n v="6.1799774157641606E-4"/>
  </r>
  <r>
    <x v="284"/>
    <s v="Pesos"/>
    <d v="2026-12-30T00:00:00"/>
    <s v="29/09/2026"/>
    <n v="0.92536258999999998"/>
    <m/>
    <n v="4000000"/>
    <n v="3701450.37"/>
    <n v="4000000"/>
    <n v="3701450.37"/>
    <n v="725"/>
    <s v="AMOMPY"/>
    <s v="Momentum Capital Investment S.A."/>
    <s v="16/09/2026"/>
    <s v="16/09/2026"/>
    <n v="32"/>
    <s v="No"/>
    <s v=""/>
    <m/>
    <m/>
    <s v="*MAV251200472"/>
    <s v="*MAV251200472"/>
    <n v="4.9209186672465337E-5"/>
  </r>
  <r>
    <x v="34"/>
    <s v="Pesos"/>
    <d v="2026-12-30T00:00:00"/>
    <s v="29/09/2026"/>
    <n v="0.92320937999999997"/>
    <m/>
    <n v="2170000"/>
    <n v="2003364.36"/>
    <n v="2170000"/>
    <n v="2003364.36"/>
    <n v="260750"/>
    <s v="AMOMPY"/>
    <s v="Momentum Capital Investment S.A."/>
    <s v="27/08/2026"/>
    <s v="27/08/2026"/>
    <n v="33"/>
    <s v="No"/>
    <s v=""/>
    <m/>
    <m/>
    <s v="*MAV281200981"/>
    <s v="*MAV281200981"/>
    <n v="2.6633865352679051E-5"/>
  </r>
  <r>
    <x v="6"/>
    <s v="Pesos"/>
    <d v="2026-12-30T00:00:00"/>
    <s v="29/09/2026"/>
    <n v="0.93628160999999999"/>
    <m/>
    <n v="3400000"/>
    <n v="3183357.46"/>
    <n v="3400000"/>
    <n v="3183357.46"/>
    <n v="68062415"/>
    <s v="AMOMPY"/>
    <s v="Momentum Capital Investment S.A."/>
    <s v="06/07/2026"/>
    <s v="06/07/2026"/>
    <n v="27"/>
    <s v="No"/>
    <s v=""/>
    <m/>
    <m/>
    <s v="*PRO281200007"/>
    <s v="*PRO281200007"/>
    <n v="4.2321364826060085E-5"/>
  </r>
  <r>
    <x v="358"/>
    <s v="Pesos"/>
    <d v="2026-12-30T00:00:00"/>
    <s v="29/09/2026"/>
    <n v="0.93188324"/>
    <m/>
    <n v="14000000"/>
    <n v="13046365.300000001"/>
    <n v="14000000"/>
    <n v="13046365.300000001"/>
    <n v="119"/>
    <s v="AMOMPY"/>
    <s v="Momentum Capital Investment S.A."/>
    <s v="06/07/2026"/>
    <s v="06/07/2026"/>
    <n v="29"/>
    <s v="No"/>
    <s v=""/>
    <m/>
    <m/>
    <s v="*CUY241200018"/>
    <s v="*CUY241200018"/>
    <n v="1.7344580131297945E-4"/>
  </r>
  <r>
    <x v="323"/>
    <s v="Pesos"/>
    <d v="2026-12-30T00:00:00"/>
    <s v="29/09/2026"/>
    <n v="0.93407728999999995"/>
    <m/>
    <n v="50000000"/>
    <n v="46703864.649999999"/>
    <n v="50000000"/>
    <n v="46703864.649999999"/>
    <n v="40665395"/>
    <s v="AMOMPY"/>
    <s v="Momentum Capital Investment S.A."/>
    <s v="05/08/2026"/>
    <s v="05/08/2026"/>
    <n v="28"/>
    <s v="No"/>
    <s v=""/>
    <m/>
    <m/>
    <s v="*MAV251200437"/>
    <s v="*MAV251200437"/>
    <n v="6.2090774268233802E-4"/>
  </r>
  <r>
    <x v="367"/>
    <s v="Pesos"/>
    <d v="2026-12-30T00:00:00"/>
    <s v="29/09/2026"/>
    <n v="0.92536257"/>
    <m/>
    <n v="20000000"/>
    <n v="18507251.48"/>
    <n v="20000000"/>
    <n v="18507251.48"/>
    <n v="53980"/>
    <s v="AMOMPY"/>
    <s v="Momentum Capital Investment S.A."/>
    <s v="14/08/2026"/>
    <s v="14/08/2026"/>
    <n v="32"/>
    <s v="No"/>
    <s v=""/>
    <m/>
    <m/>
    <s v="*MAV281200965"/>
    <s v="*MAV281200965"/>
    <n v="2.4604592844333623E-4"/>
  </r>
  <r>
    <x v="364"/>
    <s v="Pesos"/>
    <d v="2026-12-30T00:00:00"/>
    <s v="29/09/2026"/>
    <n v="0.92969953999999999"/>
    <m/>
    <n v="50000000"/>
    <n v="46484976.990000002"/>
    <n v="50000000"/>
    <n v="46484976.990000002"/>
    <n v="196468"/>
    <s v="AMOMPY"/>
    <s v="Momentum Capital Investment S.A."/>
    <s v="19/08/2026"/>
    <s v="19/08/2026"/>
    <n v="30"/>
    <s v="No"/>
    <s v=""/>
    <m/>
    <m/>
    <s v="*MAV281200966"/>
    <s v="*MAV281200966"/>
    <n v="6.179977256229335E-4"/>
  </r>
  <r>
    <x v="368"/>
    <s v="Pesos"/>
    <d v="2026-12-30T00:00:00"/>
    <s v="29/09/2026"/>
    <n v="0.91469548000000001"/>
    <m/>
    <n v="25000000"/>
    <n v="22867386.879999999"/>
    <n v="25000000"/>
    <n v="22867386.879999999"/>
    <n v="40"/>
    <s v="AMOMPY"/>
    <s v="Momentum Capital Investment S.A."/>
    <s v="24/08/2026"/>
    <s v="24/08/2026"/>
    <n v="37"/>
    <s v="No"/>
    <s v=""/>
    <m/>
    <m/>
    <s v="*MAV271201280"/>
    <s v="*MAV271201280"/>
    <n v="3.0401204857689461E-4"/>
  </r>
  <r>
    <x v="241"/>
    <s v="Pesos"/>
    <d v="2026-12-30T00:00:00"/>
    <s v="29/09/2026"/>
    <n v="0.92536273999999996"/>
    <m/>
    <n v="6535955.1799999997"/>
    <n v="6048129.4100000001"/>
    <n v="6535955.1799999997"/>
    <n v="6048129.4100000001"/>
    <n v="30000340"/>
    <s v="AMOMPY"/>
    <s v="Momentum Capital Investment S.A."/>
    <s v="04/09/2026"/>
    <s v="04/09/2026"/>
    <n v="32"/>
    <s v="No"/>
    <s v=""/>
    <m/>
    <m/>
    <s v="*MAV261201586"/>
    <s v="*MAV261201586"/>
    <n v="8.0407272664827773E-5"/>
  </r>
  <r>
    <x v="369"/>
    <s v="Pesos"/>
    <d v="2026-12-30T00:00:00"/>
    <s v="29/09/2026"/>
    <n v="0.92752599000000002"/>
    <m/>
    <n v="25000000"/>
    <n v="23188149.73"/>
    <n v="25000000"/>
    <n v="23188149.73"/>
    <n v="14384930"/>
    <s v="AMOMPY"/>
    <s v="Momentum Capital Investment S.A."/>
    <s v="09/09/2026"/>
    <s v="09/09/2026"/>
    <n v="31"/>
    <s v="No"/>
    <s v=""/>
    <m/>
    <m/>
    <s v="*MAV281201013"/>
    <s v="*MAV281201013"/>
    <n v="3.0827645236065844E-4"/>
  </r>
  <r>
    <x v="312"/>
    <s v="Pesos"/>
    <d v="2026-12-30T00:00:00"/>
    <s v="29/09/2026"/>
    <n v="0.92320946000000004"/>
    <m/>
    <n v="11666666.67"/>
    <n v="10770777"/>
    <n v="11666666.67"/>
    <n v="10770777"/>
    <n v="69879082"/>
    <s v="AMOMPY"/>
    <s v="Momentum Capital Investment S.A."/>
    <s v="22/09/2026"/>
    <s v="22/09/2026"/>
    <n v="33"/>
    <s v="No"/>
    <s v=""/>
    <m/>
    <m/>
    <s v="*MAV261201603"/>
    <s v="*MAV261201603"/>
    <n v="1.4319283605590966E-4"/>
  </r>
  <r>
    <x v="43"/>
    <s v="Pesos"/>
    <d v="2026-12-30T00:00:00"/>
    <s v="29/09/2026"/>
    <n v="0.92320946999999998"/>
    <m/>
    <n v="204483.81"/>
    <n v="188781.39"/>
    <n v="204483.81"/>
    <n v="188781.39"/>
    <n v="124583"/>
    <s v="AMOMPY"/>
    <s v="Momentum Capital Investment S.A."/>
    <s v="29/09/2026"/>
    <s v="29/09/2026"/>
    <n v="33"/>
    <s v="No"/>
    <s v=""/>
    <m/>
    <m/>
    <s v="*MAV281201088"/>
    <s v="*MAV281201088"/>
    <n v="2.5097671810192289E-6"/>
  </r>
  <r>
    <x v="18"/>
    <s v="Pesos"/>
    <d v="2026-12-30T00:00:00"/>
    <s v="29/09/2026"/>
    <n v="0.92320926999999997"/>
    <m/>
    <n v="25000000"/>
    <n v="23080231.640000001"/>
    <n v="25000000"/>
    <n v="23080231.640000001"/>
    <n v="4299"/>
    <s v="AMOMPY"/>
    <s v="Momentum Capital Investment S.A."/>
    <s v="23/09/2026"/>
    <s v="23/09/2026"/>
    <n v="33"/>
    <s v="No"/>
    <s v=""/>
    <m/>
    <m/>
    <s v="*MAV241200596"/>
    <s v="*MAV241200596"/>
    <n v="3.0684172788638547E-4"/>
  </r>
  <r>
    <x v="37"/>
    <s v="Pesos"/>
    <d v="2026-12-30T00:00:00"/>
    <s v="29/09/2026"/>
    <n v="0.93407731999999999"/>
    <m/>
    <n v="21138534"/>
    <n v="19745025.170000002"/>
    <n v="21138534"/>
    <n v="19745025.170000002"/>
    <n v="69612979"/>
    <s v="AMOMPY"/>
    <s v="Momentum Capital Investment S.A."/>
    <s v="21/09/2026"/>
    <s v="21/09/2026"/>
    <n v="28"/>
    <s v="No"/>
    <s v=""/>
    <m/>
    <m/>
    <s v="*AFB241200007"/>
    <s v="*AFB241200007"/>
    <n v="2.6250159594684954E-4"/>
  </r>
  <r>
    <x v="75"/>
    <s v="Pesos"/>
    <d v="2026-12-30T00:00:00"/>
    <s v="29/09/2026"/>
    <n v="0.92536271999999997"/>
    <m/>
    <n v="2833000"/>
    <n v="2621552.59"/>
    <n v="2833000"/>
    <n v="2621552.59"/>
    <n v="90000057"/>
    <s v="AMOMPY"/>
    <s v="Momentum Capital Investment S.A."/>
    <s v="25/09/2026"/>
    <s v="25/09/2026"/>
    <n v="32"/>
    <s v="No"/>
    <s v=""/>
    <m/>
    <m/>
    <s v="*MAV251200485"/>
    <s v="*MAV251200485"/>
    <n v="3.4852411319240506E-5"/>
  </r>
  <r>
    <x v="21"/>
    <s v="Pesos"/>
    <d v="2026-12-30T00:00:00"/>
    <s v="29/09/2026"/>
    <n v="0.92320930999999995"/>
    <m/>
    <n v="25000000"/>
    <n v="23080232.829999998"/>
    <n v="25000000"/>
    <n v="23080232.829999998"/>
    <n v="14422599"/>
    <s v="AMOMPY"/>
    <s v="Momentum Capital Investment S.A."/>
    <s v="02/09/2026"/>
    <s v="02/09/2026"/>
    <n v="33"/>
    <s v="No"/>
    <s v=""/>
    <m/>
    <m/>
    <s v="*MAV281200989"/>
    <s v="*MAV281200989"/>
    <n v="3.068417437069223E-4"/>
  </r>
  <r>
    <x v="21"/>
    <s v="Pesos"/>
    <d v="2026-12-30T00:00:00"/>
    <s v="29/09/2026"/>
    <n v="0.92536257"/>
    <m/>
    <n v="10000000"/>
    <n v="9253625.6500000004"/>
    <n v="10000000"/>
    <n v="9253625.6500000004"/>
    <n v="14422581"/>
    <s v="AMOMPY"/>
    <s v="Momentum Capital Investment S.A."/>
    <s v="01/09/2026"/>
    <s v="01/09/2026"/>
    <n v="32"/>
    <s v="No"/>
    <s v=""/>
    <m/>
    <m/>
    <s v="*MAV271201284"/>
    <s v="*MAV271201284"/>
    <n v="1.2302296302515691E-4"/>
  </r>
  <r>
    <x v="172"/>
    <s v="Pesos"/>
    <d v="2026-12-30T00:00:00"/>
    <s v="29/09/2026"/>
    <n v="0.93407731999999999"/>
    <m/>
    <n v="5000000"/>
    <n v="4670386.59"/>
    <n v="5000000"/>
    <n v="4670386.59"/>
    <n v="15"/>
    <s v="AMOMPY"/>
    <s v="Momentum Capital Investment S.A."/>
    <s v="21/09/2026"/>
    <s v="21/09/2026"/>
    <n v="28"/>
    <s v="No"/>
    <s v=""/>
    <m/>
    <m/>
    <s v="*TRD261200033"/>
    <s v="*TRD261200033"/>
    <n v="6.2090775930054905E-5"/>
  </r>
  <r>
    <x v="335"/>
    <s v="Pesos"/>
    <d v="2026-12-30T00:00:00"/>
    <s v="29/09/2026"/>
    <n v="0.92536275999999995"/>
    <m/>
    <n v="11145337.859999999"/>
    <n v="10313480.57"/>
    <n v="11145337.859999999"/>
    <n v="10313480.57"/>
    <n v="17"/>
    <s v="AMOMPY"/>
    <s v="Momentum Capital Investment S.A."/>
    <s v="29/09/2026"/>
    <s v="29/09/2026"/>
    <n v="32"/>
    <s v="No"/>
    <s v=""/>
    <m/>
    <m/>
    <s v="*MAV271201306"/>
    <s v="*MAV271201306"/>
    <n v="1.371132771967909E-4"/>
  </r>
  <r>
    <x v="50"/>
    <s v="Pesos"/>
    <d v="2027-01-04T00:00:00"/>
    <s v="29/09/2026"/>
    <n v="0.92616092999999999"/>
    <m/>
    <n v="15000000"/>
    <n v="13892413.91"/>
    <n v="15000000"/>
    <n v="13892413.91"/>
    <n v="90004195"/>
    <s v="AMOMPY"/>
    <s v="Momentum Capital Investment S.A."/>
    <s v="21/09/2026"/>
    <s v="21/09/2026"/>
    <n v="30"/>
    <s v="No"/>
    <s v=""/>
    <m/>
    <m/>
    <s v="*MAV291201297"/>
    <s v="*MAV291201297"/>
    <n v="1.8469365278247512E-4"/>
  </r>
  <r>
    <x v="366"/>
    <s v="Pesos"/>
    <d v="2027-01-04T00:00:00"/>
    <s v="29/09/2026"/>
    <n v="0.91937243999999996"/>
    <m/>
    <n v="7500000"/>
    <n v="6895293.2999999998"/>
    <n v="7500000"/>
    <n v="6895293.2999999998"/>
    <n v="339"/>
    <s v="AMOMPY"/>
    <s v="Momentum Capital Investment S.A."/>
    <s v="22/09/2026"/>
    <s v="22/09/2026"/>
    <n v="33"/>
    <s v="No"/>
    <s v=""/>
    <m/>
    <m/>
    <s v="*MAV291201300"/>
    <s v="*MAV291201300"/>
    <n v="9.1669951301035415E-5"/>
  </r>
  <r>
    <x v="370"/>
    <s v="Pesos"/>
    <d v="2027-01-04T00:00:00"/>
    <s v="29/09/2026"/>
    <n v="0.91047418999999996"/>
    <m/>
    <n v="25000000"/>
    <n v="22761854.870000001"/>
    <n v="25000000"/>
    <n v="22761854.870000001"/>
    <n v="1117"/>
    <s v="AMOMPY"/>
    <s v="Momentum Capital Investment S.A."/>
    <s v="11/08/2026"/>
    <s v="11/08/2026"/>
    <n v="37"/>
    <s v="No"/>
    <s v=""/>
    <m/>
    <m/>
    <s v="*MAV291201229"/>
    <s v="*MAV291201229"/>
    <n v="3.0260904600738824E-4"/>
  </r>
  <r>
    <x v="34"/>
    <s v="Pesos"/>
    <d v="2027-01-04T00:00:00"/>
    <s v="29/09/2026"/>
    <n v="0.91937239000000004"/>
    <m/>
    <n v="2170000"/>
    <n v="1995038.09"/>
    <n v="2170000"/>
    <n v="1995038.09"/>
    <n v="260751"/>
    <s v="AMOMPY"/>
    <s v="Momentum Capital Investment S.A."/>
    <s v="27/08/2026"/>
    <s v="27/08/2026"/>
    <n v="33"/>
    <s v="No"/>
    <s v=""/>
    <m/>
    <m/>
    <s v="*MAV291201238"/>
    <s v="*MAV291201238"/>
    <n v="2.6523171183162101E-5"/>
  </r>
  <r>
    <x v="6"/>
    <s v="Pesos"/>
    <d v="2027-01-04T00:00:00"/>
    <s v="29/09/2026"/>
    <n v="0.93536980999999997"/>
    <m/>
    <n v="25000000"/>
    <n v="23384245.25"/>
    <n v="25000000"/>
    <n v="23384245.25"/>
    <n v="9508926"/>
    <s v="AMOMPY"/>
    <s v="Momentum Capital Investment S.A."/>
    <s v="17/07/2026"/>
    <s v="17/07/2026"/>
    <n v="26"/>
    <s v="No"/>
    <s v=""/>
    <m/>
    <m/>
    <s v="*PRO291200014"/>
    <s v="*PRO291200014"/>
    <n v="3.1088345774631061E-4"/>
  </r>
  <r>
    <x v="364"/>
    <s v="Pesos"/>
    <d v="2027-01-04T00:00:00"/>
    <s v="29/09/2026"/>
    <n v="0.92616091"/>
    <m/>
    <n v="50000000"/>
    <n v="46308045.359999999"/>
    <n v="50000000"/>
    <n v="46308045.359999999"/>
    <n v="196472"/>
    <s v="AMOMPY"/>
    <s v="Momentum Capital Investment S.A."/>
    <s v="19/08/2026"/>
    <s v="19/08/2026"/>
    <n v="30"/>
    <s v="No"/>
    <s v=""/>
    <m/>
    <m/>
    <s v="*MAV291201232"/>
    <s v="*MAV291201232"/>
    <n v="6.1564549589171772E-4"/>
  </r>
  <r>
    <x v="345"/>
    <s v="Pesos"/>
    <d v="2027-01-04T00:00:00"/>
    <s v="29/09/2026"/>
    <n v="0.92162418999999995"/>
    <m/>
    <n v="10386286.039999999"/>
    <n v="9572252.5"/>
    <n v="10386286.039999999"/>
    <n v="9572252.5"/>
    <n v="54595091"/>
    <s v="AMOMPY"/>
    <s v="Momentum Capital Investment S.A."/>
    <s v="29/09/2026"/>
    <s v="29/09/2026"/>
    <n v="32"/>
    <s v="No"/>
    <s v=""/>
    <m/>
    <m/>
    <s v="*MAV291201317"/>
    <s v="*MAV291201317"/>
    <n v="1.2725896960992427E-4"/>
  </r>
  <r>
    <x v="176"/>
    <s v="Pesos"/>
    <d v="2027-01-04T00:00:00"/>
    <s v="29/09/2026"/>
    <n v="0.92616098000000002"/>
    <m/>
    <n v="5890000"/>
    <n v="5455088.1900000004"/>
    <n v="5890000"/>
    <n v="5455088.1900000004"/>
    <n v="1029"/>
    <s v="AMOMPY"/>
    <s v="Momentum Capital Investment S.A."/>
    <s v="29/09/2026"/>
    <s v="29/09/2026"/>
    <n v="30"/>
    <s v="No"/>
    <s v=""/>
    <m/>
    <m/>
    <s v="*MAV291201327"/>
    <s v="*MAV291201327"/>
    <n v="7.2523045353292434E-5"/>
  </r>
  <r>
    <x v="366"/>
    <s v="Pesos"/>
    <d v="2027-01-05T00:00:00"/>
    <s v="29/09/2026"/>
    <n v="0.91860881000000005"/>
    <m/>
    <n v="7500000"/>
    <n v="6889566.0700000003"/>
    <n v="7500000"/>
    <n v="6889566.0700000003"/>
    <n v="340"/>
    <s v="AMOMPY"/>
    <s v="Momentum Capital Investment S.A."/>
    <s v="22/09/2026"/>
    <s v="22/09/2026"/>
    <n v="33"/>
    <s v="No"/>
    <s v=""/>
    <m/>
    <m/>
    <s v="*MAV301201571"/>
    <s v="*MAV301201571"/>
    <n v="9.1593810247660675E-5"/>
  </r>
  <r>
    <x v="34"/>
    <s v="Pesos"/>
    <d v="2027-01-05T00:00:00"/>
    <s v="29/09/2026"/>
    <n v="0.91860876999999996"/>
    <m/>
    <n v="2260000"/>
    <n v="2076055.82"/>
    <n v="2260000"/>
    <n v="2076055.82"/>
    <n v="260752"/>
    <s v="AMOMPY"/>
    <s v="Momentum Capital Investment S.A."/>
    <s v="27/08/2026"/>
    <s v="27/08/2026"/>
    <n v="33"/>
    <s v="No"/>
    <s v=""/>
    <m/>
    <m/>
    <s v="*MAV301201523"/>
    <s v="*MAV301201523"/>
    <n v="2.7600266970170963E-5"/>
  </r>
  <r>
    <x v="164"/>
    <s v="Pesos"/>
    <d v="2027-01-05T00:00:00"/>
    <s v="29/09/2026"/>
    <n v="0.92545650000000002"/>
    <m/>
    <n v="83000000"/>
    <n v="76812889.670000002"/>
    <n v="83000000"/>
    <n v="76812889.670000002"/>
    <n v="68158884"/>
    <s v="AMOMPY"/>
    <s v="Momentum Capital Investment S.A."/>
    <s v="13/07/2026"/>
    <s v="13/07/2026"/>
    <n v="30"/>
    <s v="No"/>
    <s v=""/>
    <m/>
    <m/>
    <s v="*NIO301200031"/>
    <s v="*NIO301200031"/>
    <n v="1.0211942478706027E-3"/>
  </r>
  <r>
    <x v="364"/>
    <s v="Pesos"/>
    <d v="2027-01-05T00:00:00"/>
    <s v="29/09/2026"/>
    <n v="0.92545655999999998"/>
    <m/>
    <n v="50000000"/>
    <n v="46272827.75"/>
    <n v="50000000"/>
    <n v="46272827.75"/>
    <n v="196467"/>
    <s v="AMOMPY"/>
    <s v="Momentum Capital Investment S.A."/>
    <s v="19/08/2026"/>
    <s v="19/08/2026"/>
    <n v="30"/>
    <s v="No"/>
    <s v=""/>
    <m/>
    <m/>
    <s v="*MAV301201510"/>
    <s v="*MAV301201510"/>
    <n v="6.1517729295194738E-4"/>
  </r>
  <r>
    <x v="8"/>
    <s v="Pesos"/>
    <d v="2027-01-05T00:00:00"/>
    <s v="29/09/2026"/>
    <n v="0.93007850000000003"/>
    <m/>
    <n v="7000000"/>
    <n v="6510549.5099999998"/>
    <n v="7000000"/>
    <n v="6510549.5099999998"/>
    <n v="67768341"/>
    <s v="AMOMPY"/>
    <s v="Momentum Capital Investment S.A."/>
    <s v="07/07/2026"/>
    <s v="07/07/2026"/>
    <n v="28"/>
    <s v="No"/>
    <s v=""/>
    <m/>
    <m/>
    <s v="*MIL301200032"/>
    <s v="*MIL301200032"/>
    <n v="8.6554948507365151E-5"/>
  </r>
  <r>
    <x v="24"/>
    <s v="Pesos"/>
    <d v="2027-01-05T00:00:00"/>
    <s v="29/09/2026"/>
    <n v="0.91860881000000005"/>
    <m/>
    <n v="6222591.4500000002"/>
    <n v="5716127.3399999999"/>
    <n v="6222591.4500000002"/>
    <n v="5716127.3399999999"/>
    <n v="90000228"/>
    <s v="AMOMPY"/>
    <s v="Momentum Capital Investment S.A."/>
    <s v="06/08/2026"/>
    <s v="06/08/2026"/>
    <n v="33"/>
    <s v="No"/>
    <s v=""/>
    <m/>
    <m/>
    <s v="*MAV301201485"/>
    <s v="*MAV301201485"/>
    <n v="7.5993448297306953E-5"/>
  </r>
  <r>
    <x v="89"/>
    <s v="Pesos"/>
    <d v="2027-01-06T00:00:00"/>
    <s v="29/09/2026"/>
    <n v="0.92475304999999997"/>
    <m/>
    <n v="10000000"/>
    <n v="9247530.4900000002"/>
    <n v="10000000"/>
    <n v="9247530.4900000002"/>
    <n v="1328673"/>
    <s v="AMOMPY"/>
    <s v="Momentum Capital Investment S.A."/>
    <s v="16/09/2026"/>
    <s v="16/09/2026"/>
    <n v="30"/>
    <s v="No"/>
    <s v=""/>
    <m/>
    <m/>
    <s v="*INP311200049"/>
    <s v="*INP311200049"/>
    <n v="1.2294193050107674E-4"/>
  </r>
  <r>
    <x v="89"/>
    <s v="Pesos"/>
    <d v="2027-01-06T00:00:00"/>
    <s v="29/09/2026"/>
    <n v="0.92475304999999997"/>
    <m/>
    <n v="10000000"/>
    <n v="9247530.4900000002"/>
    <n v="10000000"/>
    <n v="9247530.4900000002"/>
    <n v="1328674"/>
    <s v="AMOMPY"/>
    <s v="Momentum Capital Investment S.A."/>
    <s v="16/09/2026"/>
    <s v="16/09/2026"/>
    <n v="30"/>
    <s v="No"/>
    <s v=""/>
    <m/>
    <m/>
    <s v="*INP030100042"/>
    <s v="*INP030100042"/>
    <n v="1.2294193050107674E-4"/>
  </r>
  <r>
    <x v="50"/>
    <s v="Pesos"/>
    <d v="2027-01-06T00:00:00"/>
    <s v="29/09/2026"/>
    <n v="0.92475313999999997"/>
    <m/>
    <n v="15000000"/>
    <n v="13871297.09"/>
    <n v="15000000"/>
    <n v="13871297.09"/>
    <n v="90004196"/>
    <s v="AMOMPY"/>
    <s v="Momentum Capital Investment S.A."/>
    <s v="21/09/2026"/>
    <s v="21/09/2026"/>
    <n v="30"/>
    <s v="No"/>
    <s v=""/>
    <m/>
    <m/>
    <s v="*MAV040100794"/>
    <s v="*MAV040100794"/>
    <n v="1.8441291376575586E-4"/>
  </r>
  <r>
    <x v="206"/>
    <s v="Pesos"/>
    <d v="2027-01-06T00:00:00"/>
    <s v="29/09/2026"/>
    <n v="0.92707852999999996"/>
    <m/>
    <n v="14617599.810000001"/>
    <n v="13551662.949999999"/>
    <n v="14617599.810000001"/>
    <n v="13551662.949999999"/>
    <n v="14061"/>
    <s v="AMOMPY"/>
    <s v="Momentum Capital Investment S.A."/>
    <s v="22/09/2026"/>
    <s v="22/09/2026"/>
    <n v="29"/>
    <s v="No"/>
    <s v=""/>
    <m/>
    <m/>
    <s v="*SOL040100009"/>
    <s v="*SOL040100009"/>
    <n v="1.8016351569476324E-4"/>
  </r>
  <r>
    <x v="206"/>
    <s v="Pesos"/>
    <d v="2027-01-06T00:00:00"/>
    <s v="29/09/2026"/>
    <n v="0.92707852999999996"/>
    <m/>
    <n v="41084332.299999997"/>
    <n v="38088402.399999999"/>
    <n v="41084332.299999997"/>
    <n v="38088402.399999999"/>
    <n v="14058"/>
    <s v="AMOMPY"/>
    <s v="Momentum Capital Investment S.A."/>
    <s v="22/09/2026"/>
    <s v="22/09/2026"/>
    <n v="29"/>
    <s v="No"/>
    <s v=""/>
    <m/>
    <m/>
    <s v="*SOL040100006"/>
    <s v="*SOL040100006"/>
    <n v="5.0636888689597006E-4"/>
  </r>
  <r>
    <x v="206"/>
    <s v="Pesos"/>
    <d v="2027-01-06T00:00:00"/>
    <s v="29/09/2026"/>
    <n v="0.92707852999999996"/>
    <m/>
    <n v="41084332.299999997"/>
    <n v="38088402.399999999"/>
    <n v="41084332.299999997"/>
    <n v="38088402.399999999"/>
    <n v="14057"/>
    <s v="AMOMPY"/>
    <s v="Momentum Capital Investment S.A."/>
    <s v="22/09/2026"/>
    <s v="22/09/2026"/>
    <n v="29"/>
    <s v="No"/>
    <s v=""/>
    <m/>
    <m/>
    <s v="*SOL040100007"/>
    <s v="*SOL040100007"/>
    <n v="5.0636888689597006E-4"/>
  </r>
  <r>
    <x v="206"/>
    <s v="Pesos"/>
    <d v="2027-01-06T00:00:00"/>
    <s v="29/09/2026"/>
    <n v="0.92707852999999996"/>
    <m/>
    <n v="41084332.299999997"/>
    <n v="38088402.399999999"/>
    <n v="41084332.299999997"/>
    <n v="38088402.399999999"/>
    <n v="14056"/>
    <s v="AMOMPY"/>
    <s v="Momentum Capital Investment S.A."/>
    <s v="22/09/2026"/>
    <s v="22/09/2026"/>
    <n v="29"/>
    <s v="No"/>
    <s v=""/>
    <m/>
    <m/>
    <s v="*SOL040100008"/>
    <s v="*SOL040100008"/>
    <n v="5.0636888689597006E-4"/>
  </r>
  <r>
    <x v="347"/>
    <s v="Pesos"/>
    <d v="2027-01-06T00:00:00"/>
    <s v="29/09/2026"/>
    <n v="0.91329936"/>
    <m/>
    <n v="25000000"/>
    <n v="22832484.079999998"/>
    <n v="25000000"/>
    <n v="22832484.079999998"/>
    <n v="10685426"/>
    <s v="AMOMPY"/>
    <s v="Momentum Capital Investment S.A."/>
    <s v="18/09/2026"/>
    <s v="18/09/2026"/>
    <n v="35"/>
    <s v="No"/>
    <s v=""/>
    <m/>
    <m/>
    <s v="*MAV010100438"/>
    <s v="*MAV010100438"/>
    <n v="3.0354803090033405E-4"/>
  </r>
  <r>
    <x v="331"/>
    <s v="Pesos"/>
    <d v="2027-01-06T00:00:00"/>
    <s v="29/09/2026"/>
    <n v="0.93176439"/>
    <m/>
    <n v="22500000"/>
    <n v="20964698.890000001"/>
    <n v="22500000"/>
    <n v="20964698.890000001"/>
    <n v="80314059"/>
    <s v="AMOMPY"/>
    <s v="Momentum Capital Investment S.A."/>
    <s v="31/08/2026"/>
    <s v="31/08/2026"/>
    <n v="27"/>
    <s v="No"/>
    <s v=""/>
    <m/>
    <m/>
    <s v="*POT311200146"/>
    <s v="*POT311200146"/>
    <n v="2.7871663215358385E-4"/>
  </r>
  <r>
    <x v="370"/>
    <s v="Pesos"/>
    <d v="2027-01-06T00:00:00"/>
    <s v="29/09/2026"/>
    <n v="0.90879675000000004"/>
    <m/>
    <n v="25000000"/>
    <n v="22719918.640000001"/>
    <n v="25000000"/>
    <n v="22719918.640000001"/>
    <n v="1118"/>
    <s v="AMOMPY"/>
    <s v="Momentum Capital Investment S.A."/>
    <s v="11/08/2026"/>
    <s v="11/08/2026"/>
    <n v="37"/>
    <s v="No"/>
    <s v=""/>
    <m/>
    <m/>
    <s v="*MAV311201066"/>
    <s v="*MAV311201066"/>
    <n v="3.0205152191166207E-4"/>
  </r>
  <r>
    <x v="119"/>
    <s v="Pesos"/>
    <d v="2027-01-06T00:00:00"/>
    <s v="29/09/2026"/>
    <n v="0.92243931000000001"/>
    <m/>
    <n v="1756706.4"/>
    <n v="1620455.04"/>
    <n v="1756706.4"/>
    <n v="1620455.04"/>
    <n v="503"/>
    <s v="AMOMPY"/>
    <s v="Momentum Capital Investment S.A."/>
    <s v="08/09/2026"/>
    <s v="08/09/2026"/>
    <n v="31"/>
    <s v="No"/>
    <s v=""/>
    <m/>
    <m/>
    <s v="*MAV040100756"/>
    <s v="*MAV040100756"/>
    <n v="2.1543251046669384E-5"/>
  </r>
  <r>
    <x v="348"/>
    <s v="Pesos"/>
    <d v="2027-01-06T00:00:00"/>
    <s v="29/09/2026"/>
    <n v="0.92243936999999998"/>
    <m/>
    <n v="11820000"/>
    <n v="10903233.369999999"/>
    <n v="11820000"/>
    <n v="10903233.369999999"/>
    <n v="14310296"/>
    <s v="AMOMPY"/>
    <s v="Momentum Capital Investment S.A."/>
    <s v="09/09/2026"/>
    <s v="09/09/2026"/>
    <n v="31"/>
    <s v="No"/>
    <s v=""/>
    <m/>
    <m/>
    <s v="*MAV030100876"/>
    <s v="*MAV030100876"/>
    <n v="1.4495378638233186E-4"/>
  </r>
  <r>
    <x v="284"/>
    <s v="Pesos"/>
    <d v="2027-01-06T00:00:00"/>
    <s v="29/09/2026"/>
    <n v="0.92013721999999998"/>
    <m/>
    <n v="4000000"/>
    <n v="3680548.87"/>
    <n v="4000000"/>
    <n v="3680548.87"/>
    <n v="726"/>
    <s v="AMOMPY"/>
    <s v="Momentum Capital Investment S.A."/>
    <s v="16/09/2026"/>
    <s v="16/09/2026"/>
    <n v="32"/>
    <s v="No"/>
    <s v=""/>
    <m/>
    <m/>
    <s v="*MAV311201148"/>
    <s v="*MAV311201148"/>
    <n v="4.8931310242304113E-5"/>
  </r>
  <r>
    <x v="371"/>
    <s v="Dolar 3500"/>
    <d v="2027-01-06T00:00:00"/>
    <s v="29/09/2026"/>
    <n v="0.97876229000000003"/>
    <s v="1 US3 = 1523,9697583441 $"/>
    <n v="415000"/>
    <n v="406186.35"/>
    <n v="632447449.71000004"/>
    <n v="619015713.64999998"/>
    <n v="163818"/>
    <s v="AMOMPY"/>
    <s v="Momentum Capital Investment S.A."/>
    <s v="07/09/2026"/>
    <s v="07/09/2026"/>
    <n v="8"/>
    <s v="No"/>
    <s v=""/>
    <m/>
    <m/>
    <s v="#UMV040170027"/>
    <s v="#UMV040170027"/>
    <n v="8.2295470048926248E-3"/>
  </r>
  <r>
    <x v="358"/>
    <s v="Pesos"/>
    <d v="2027-01-06T00:00:00"/>
    <s v="29/09/2026"/>
    <n v="0.92707839000000003"/>
    <m/>
    <n v="14000000"/>
    <n v="12979097.4"/>
    <n v="14000000"/>
    <n v="12979097.4"/>
    <n v="120"/>
    <s v="AMOMPY"/>
    <s v="Momentum Capital Investment S.A."/>
    <s v="06/07/2026"/>
    <s v="06/07/2026"/>
    <n v="29"/>
    <s v="No"/>
    <s v=""/>
    <m/>
    <m/>
    <s v="*CUY040100016"/>
    <s v="*CUY040100016"/>
    <n v="1.7255150358714912E-4"/>
  </r>
  <r>
    <x v="255"/>
    <s v="Pesos"/>
    <d v="2027-01-06T00:00:00"/>
    <s v="29/09/2026"/>
    <n v="0.92243931999999995"/>
    <m/>
    <n v="72849722.840000004"/>
    <n v="67199449.150000006"/>
    <n v="72849722.840000004"/>
    <n v="67199449.150000006"/>
    <n v="30416620"/>
    <s v="AMOMPY"/>
    <s v="Momentum Capital Investment S.A."/>
    <s v="01/09/2026"/>
    <s v="01/09/2026"/>
    <n v="31"/>
    <s v="No"/>
    <s v=""/>
    <m/>
    <m/>
    <s v="*MAV311201090"/>
    <s v="*MAV311201090"/>
    <n v="8.9338770129428809E-4"/>
  </r>
  <r>
    <x v="180"/>
    <s v="Pesos"/>
    <d v="2027-01-06T00:00:00"/>
    <s v="29/09/2026"/>
    <n v="0.91784652"/>
    <m/>
    <n v="25000000"/>
    <n v="22946162.93"/>
    <n v="25000000"/>
    <n v="22946162.93"/>
    <n v="2369"/>
    <s v="AMOMPY"/>
    <s v="Momentum Capital Investment S.A."/>
    <s v="23/09/2026"/>
    <s v="23/09/2026"/>
    <n v="33"/>
    <s v="No"/>
    <s v=""/>
    <m/>
    <m/>
    <s v="*MAV040100803"/>
    <s v="*MAV040100803"/>
    <n v="3.0505934219487432E-4"/>
  </r>
  <r>
    <x v="363"/>
    <s v="Pesos"/>
    <d v="2027-01-06T00:00:00"/>
    <s v="29/09/2026"/>
    <n v="0.92475309000000006"/>
    <m/>
    <n v="50000000"/>
    <n v="46237654.649999999"/>
    <n v="50000000"/>
    <n v="46237654.649999999"/>
    <n v="197099"/>
    <s v="AMOMPY"/>
    <s v="Momentum Capital Investment S.A."/>
    <s v="19/08/2026"/>
    <s v="19/08/2026"/>
    <n v="30"/>
    <s v="No"/>
    <s v=""/>
    <m/>
    <m/>
    <s v="*MAV311201075"/>
    <s v="*MAV311201075"/>
    <n v="6.1470968175343513E-4"/>
  </r>
  <r>
    <x v="95"/>
    <s v="Pesos"/>
    <d v="2027-01-06T00:00:00"/>
    <s v="29/09/2026"/>
    <n v="0.92243938000000003"/>
    <m/>
    <n v="8523313"/>
    <n v="7862239.5800000001"/>
    <n v="8523313"/>
    <n v="7862239.5800000001"/>
    <n v="13680135"/>
    <s v="AMOMPY"/>
    <s v="Momentum Capital Investment S.A."/>
    <s v="02/09/2026"/>
    <s v="02/09/2026"/>
    <n v="31"/>
    <s v="No"/>
    <s v=""/>
    <m/>
    <m/>
    <s v="*MAV020101091"/>
    <s v="*MAV020101091"/>
    <n v="1.0452508516435017E-4"/>
  </r>
  <r>
    <x v="372"/>
    <s v="Pesos"/>
    <d v="2027-01-06T00:00:00"/>
    <s v="29/09/2026"/>
    <n v="0.92243944"/>
    <m/>
    <n v="80000000"/>
    <n v="73795155.219999999"/>
    <n v="80000000"/>
    <n v="73795155.219999999"/>
    <n v="3037"/>
    <s v="AMOMPY"/>
    <s v="Momentum Capital Investment S.A."/>
    <s v="03/09/2026"/>
    <s v="03/09/2026"/>
    <n v="31"/>
    <s v="No"/>
    <s v=""/>
    <m/>
    <m/>
    <s v="*MAV311201094"/>
    <s v="*MAV311201094"/>
    <n v="9.8107476954892542E-4"/>
  </r>
  <r>
    <x v="118"/>
    <s v="Pesos"/>
    <d v="2027-01-06T00:00:00"/>
    <s v="29/09/2026"/>
    <n v="0.92013714999999996"/>
    <m/>
    <n v="13000000"/>
    <n v="11961782.890000001"/>
    <n v="13000000"/>
    <n v="11961782.890000001"/>
    <n v="1308"/>
    <s v="AMOMPY"/>
    <s v="Momentum Capital Investment S.A."/>
    <s v="04/09/2026"/>
    <s v="04/09/2026"/>
    <n v="32"/>
    <s v="No"/>
    <s v=""/>
    <m/>
    <m/>
    <s v="*MAV040100750"/>
    <s v="*MAV040100750"/>
    <n v="1.590267458238301E-4"/>
  </r>
  <r>
    <x v="270"/>
    <s v="Dolar 3500"/>
    <d v="2027-01-06T00:00:00"/>
    <s v="29/09/2026"/>
    <n v="0.97876200000000002"/>
    <s v="1 US3 = 1523,9697583441 $"/>
    <n v="20000"/>
    <n v="19575.240000000002"/>
    <n v="30479395.170000002"/>
    <n v="29832073.77"/>
    <n v="159382"/>
    <s v="AMOMPY"/>
    <s v="Momentum Capital Investment S.A."/>
    <s v="03/08/2026"/>
    <s v="03/08/2026"/>
    <n v="8"/>
    <s v="No"/>
    <s v=""/>
    <m/>
    <m/>
    <s v="#UMV040170022"/>
    <s v="#UMV040170022"/>
    <n v="3.9660455773575228E-4"/>
  </r>
  <r>
    <x v="8"/>
    <s v="Pesos"/>
    <d v="2027-01-06T00:00:00"/>
    <s v="29/09/2026"/>
    <n v="0.92013732999999998"/>
    <m/>
    <n v="15000000"/>
    <n v="13802059.9"/>
    <n v="15000000"/>
    <n v="13802059.9"/>
    <n v="2201"/>
    <s v="AMOMPY"/>
    <s v="Momentum Capital Investment S.A."/>
    <s v="07/09/2026"/>
    <s v="07/09/2026"/>
    <n v="32"/>
    <s v="No"/>
    <s v=""/>
    <m/>
    <m/>
    <s v="*MIL010100006"/>
    <s v="*MIL010100006"/>
    <n v="1.8349243517849686E-4"/>
  </r>
  <r>
    <x v="271"/>
    <s v="Pesos"/>
    <d v="2027-01-06T00:00:00"/>
    <s v="29/09/2026"/>
    <n v="0.92475304000000003"/>
    <m/>
    <n v="5600000"/>
    <n v="5178617.05"/>
    <n v="5600000"/>
    <n v="5178617.05"/>
    <n v="239"/>
    <s v="AMOMPY"/>
    <s v="Momentum Capital Investment S.A."/>
    <s v="02/07/2026"/>
    <s v="02/07/2026"/>
    <n v="30"/>
    <s v="No"/>
    <s v=""/>
    <m/>
    <m/>
    <s v="*MAV010100420"/>
    <s v="*MAV010100420"/>
    <n v="6.8847480756215504E-5"/>
  </r>
  <r>
    <x v="369"/>
    <s v="Pesos"/>
    <d v="2027-01-06T00:00:00"/>
    <s v="29/09/2026"/>
    <n v="0.92243936999999998"/>
    <m/>
    <n v="25000000"/>
    <n v="23060984.280000001"/>
    <n v="25000000"/>
    <n v="23060984.280000001"/>
    <n v="14384931"/>
    <s v="AMOMPY"/>
    <s v="Momentum Capital Investment S.A."/>
    <s v="09/09/2026"/>
    <s v="09/09/2026"/>
    <n v="31"/>
    <s v="No"/>
    <s v=""/>
    <m/>
    <m/>
    <s v="*MAV040100757"/>
    <s v="*MAV040100757"/>
    <n v="3.0658584253428979E-4"/>
  </r>
  <r>
    <x v="373"/>
    <s v="Pesos"/>
    <d v="2027-01-06T00:00:00"/>
    <s v="29/09/2026"/>
    <n v="0.91784653999999999"/>
    <m/>
    <n v="20007806.68"/>
    <n v="18364096.140000001"/>
    <n v="20007806.68"/>
    <n v="18364096.140000001"/>
    <n v="29851775"/>
    <s v="AMOMPY"/>
    <s v="Momentum Capital Investment S.A."/>
    <s v="11/08/2026"/>
    <s v="11/08/2026"/>
    <n v="33"/>
    <s v="No"/>
    <s v=""/>
    <m/>
    <m/>
    <s v="*MAV311201065"/>
    <s v="*MAV311201065"/>
    <n v="2.4414273992396122E-4"/>
  </r>
  <r>
    <x v="45"/>
    <s v="Pesos"/>
    <d v="2027-01-06T00:00:00"/>
    <s v="29/09/2026"/>
    <n v="0.92475304999999997"/>
    <m/>
    <n v="7000000"/>
    <n v="6473271.3399999999"/>
    <n v="7000000"/>
    <n v="6473271.3399999999"/>
    <n v="3385318"/>
    <s v="AMOMPY"/>
    <s v="Momentum Capital Investment S.A."/>
    <s v="16/09/2026"/>
    <s v="16/09/2026"/>
    <n v="30"/>
    <s v="No"/>
    <s v=""/>
    <m/>
    <m/>
    <s v="*NEU311200026"/>
    <s v="*NEU311200026"/>
    <n v="8.6059351310870013E-5"/>
  </r>
  <r>
    <x v="21"/>
    <s v="Pesos"/>
    <d v="2027-01-06T00:00:00"/>
    <s v="29/09/2026"/>
    <n v="0.91784655999999998"/>
    <m/>
    <n v="25000000"/>
    <n v="22946164.02"/>
    <n v="25000000"/>
    <n v="22946164.02"/>
    <n v="14422600"/>
    <s v="AMOMPY"/>
    <s v="Momentum Capital Investment S.A."/>
    <s v="02/09/2026"/>
    <s v="02/09/2026"/>
    <n v="33"/>
    <s v="No"/>
    <s v=""/>
    <m/>
    <m/>
    <s v="*MAV020101090"/>
    <s v="*MAV020101090"/>
    <n v="3.0505935668595431E-4"/>
  </r>
  <r>
    <x v="21"/>
    <s v="Pesos"/>
    <d v="2027-01-06T00:00:00"/>
    <s v="29/09/2026"/>
    <n v="0.91784661999999995"/>
    <m/>
    <n v="25000000"/>
    <n v="22946165.559999999"/>
    <n v="25000000"/>
    <n v="22946165.559999999"/>
    <n v="14422660"/>
    <s v="AMOMPY"/>
    <s v="Momentum Capital Investment S.A."/>
    <s v="03/09/2026"/>
    <s v="03/09/2026"/>
    <n v="33"/>
    <s v="No"/>
    <s v=""/>
    <m/>
    <m/>
    <s v="*MAV311201097"/>
    <s v="*MAV311201097"/>
    <n v="3.0505937715959028E-4"/>
  </r>
  <r>
    <x v="88"/>
    <s v="Dolar 3500"/>
    <d v="2027-01-06T00:00:00"/>
    <s v="29/09/2026"/>
    <n v="0.97617080000000001"/>
    <s v="1 US3 = 1523,9697583441 $"/>
    <n v="125000"/>
    <n v="122021.35"/>
    <n v="190496219.78999999"/>
    <n v="185956847.27000001"/>
    <n v="163251"/>
    <s v="AMOMPY"/>
    <s v="Momentum Capital Investment S.A."/>
    <s v="01/09/2026"/>
    <s v="01/09/2026"/>
    <n v="9"/>
    <s v="No"/>
    <s v=""/>
    <m/>
    <m/>
    <s v="#UMV040170023"/>
    <s v="#UMV040170023"/>
    <n v="2.4722161033142683E-3"/>
  </r>
  <r>
    <x v="25"/>
    <s v="Pesos"/>
    <d v="2027-01-06T00:00:00"/>
    <s v="29/09/2026"/>
    <n v="0.92475317999999995"/>
    <m/>
    <n v="5580000"/>
    <n v="5160122.72"/>
    <n v="5580000"/>
    <n v="5160122.72"/>
    <n v="11415147"/>
    <s v="AMOMPY"/>
    <s v="Momentum Capital Investment S.A."/>
    <s v="18/09/2026"/>
    <s v="18/09/2026"/>
    <n v="30"/>
    <s v="No"/>
    <s v=""/>
    <m/>
    <m/>
    <s v="*CVA311200025"/>
    <s v="*CVA311200025"/>
    <n v="6.8601606613277258E-5"/>
  </r>
  <r>
    <x v="89"/>
    <s v="Pesos"/>
    <d v="2027-01-07T00:00:00"/>
    <s v="29/09/2026"/>
    <n v="0.92405068999999995"/>
    <m/>
    <n v="5000000"/>
    <n v="4620253.45"/>
    <n v="5000000"/>
    <n v="4620253.45"/>
    <n v="60078055"/>
    <s v="AMOMPY"/>
    <s v="Momentum Capital Investment S.A."/>
    <s v="24/09/2026"/>
    <s v="24/09/2026"/>
    <n v="30"/>
    <s v="No"/>
    <s v=""/>
    <m/>
    <m/>
    <s v="*INP050100042"/>
    <s v="*INP050100042"/>
    <n v="6.1424277450234188E-5"/>
  </r>
  <r>
    <x v="50"/>
    <s v="Pesos"/>
    <d v="2027-01-07T00:00:00"/>
    <s v="29/09/2026"/>
    <n v="0.92405068999999995"/>
    <m/>
    <n v="25000000"/>
    <n v="23101267.23"/>
    <n v="25000000"/>
    <n v="23101267.23"/>
    <n v="90004233"/>
    <s v="AMOMPY"/>
    <s v="Momentum Capital Investment S.A."/>
    <s v="24/09/2026"/>
    <s v="24/09/2026"/>
    <n v="30"/>
    <s v="No"/>
    <s v=""/>
    <m/>
    <m/>
    <s v="*MAV050101290"/>
    <s v="*MAV050101290"/>
    <n v="3.0712138698527953E-4"/>
  </r>
  <r>
    <x v="37"/>
    <s v="Pesos"/>
    <d v="2027-01-07T00:00:00"/>
    <s v="29/09/2026"/>
    <n v="0.92405064000000003"/>
    <m/>
    <n v="10000000"/>
    <n v="9240506.4199999999"/>
    <n v="10000000"/>
    <n v="9240506.4199999999"/>
    <n v="195811"/>
    <s v="AMOMPY"/>
    <s v="Momentum Capital Investment S.A."/>
    <s v="16/09/2026"/>
    <s v="16/09/2026"/>
    <n v="30"/>
    <s v="No"/>
    <s v=""/>
    <m/>
    <m/>
    <s v="*AFB050100007"/>
    <s v="*AFB050100007"/>
    <n v="1.2284854851907535E-4"/>
  </r>
  <r>
    <x v="355"/>
    <s v="Pesos"/>
    <d v="2027-01-08T00:00:00"/>
    <s v="29/09/2026"/>
    <n v="0.91865507000000002"/>
    <m/>
    <n v="353613.17"/>
    <n v="324848.53000000003"/>
    <n v="353613.17"/>
    <n v="324848.53000000003"/>
    <n v="2861"/>
    <s v="AMOMPY"/>
    <s v="Momentum Capital Investment S.A."/>
    <s v="15/09/2026"/>
    <s v="15/09/2026"/>
    <n v="32"/>
    <s v="No"/>
    <s v=""/>
    <m/>
    <m/>
    <s v="*MAV060101267"/>
    <s v="*MAV060101267"/>
    <n v="4.3187211376944541E-6"/>
  </r>
  <r>
    <x v="37"/>
    <s v="Pesos"/>
    <d v="2027-01-08T00:00:00"/>
    <s v="29/09/2026"/>
    <n v="0.92334936000000001"/>
    <m/>
    <n v="25000000"/>
    <n v="23083734.109999999"/>
    <n v="25000000"/>
    <n v="23083734.109999999"/>
    <n v="69741508"/>
    <s v="AMOMPY"/>
    <s v="Momentum Capital Investment S.A."/>
    <s v="17/09/2026"/>
    <s v="17/09/2026"/>
    <n v="30"/>
    <s v="No"/>
    <s v=""/>
    <m/>
    <m/>
    <s v="*AFB060100005"/>
    <s v="*AFB060100005"/>
    <n v="3.068882917148354E-4"/>
  </r>
  <r>
    <x v="132"/>
    <s v="Pesos"/>
    <d v="2027-01-11T00:00:00"/>
    <s v="29/09/2026"/>
    <n v="0.91884016000000002"/>
    <m/>
    <n v="9990457.7699999996"/>
    <n v="9179633.8100000005"/>
    <n v="9990457.7699999996"/>
    <n v="9179633.8100000005"/>
    <n v="3019"/>
    <s v="AMOMPY"/>
    <s v="Momentum Capital Investment S.A."/>
    <s v="08/09/2026"/>
    <s v="08/09/2026"/>
    <n v="31"/>
    <s v="No"/>
    <s v=""/>
    <m/>
    <m/>
    <s v="*MAV070100943"/>
    <s v="*MAV070100943"/>
    <n v="1.2203927341626471E-4"/>
  </r>
  <r>
    <x v="27"/>
    <s v="Pesos"/>
    <d v="2027-01-11T00:00:00"/>
    <s v="29/09/2026"/>
    <n v="0.92125203"/>
    <m/>
    <n v="4000000"/>
    <n v="3685008.13"/>
    <n v="4000000"/>
    <n v="3685008.13"/>
    <n v="48"/>
    <s v="AMOMPY"/>
    <s v="Momentum Capital Investment S.A."/>
    <s v="22/09/2026"/>
    <s v="22/09/2026"/>
    <n v="30"/>
    <s v="No"/>
    <s v=""/>
    <m/>
    <m/>
    <s v="*MOV070100057"/>
    <s v="*MOV070100057"/>
    <n v="4.899059418125398E-5"/>
  </r>
  <r>
    <x v="89"/>
    <s v="Pesos"/>
    <d v="2027-01-12T00:00:00"/>
    <s v="29/09/2026"/>
    <n v="0.92545659000000002"/>
    <m/>
    <n v="7000000"/>
    <n v="6478196.1600000001"/>
    <n v="7000000"/>
    <n v="6478196.1600000001"/>
    <n v="6484"/>
    <s v="AMOMPY"/>
    <s v="Momentum Capital Investment S.A."/>
    <s v="17/09/2026"/>
    <s v="17/09/2026"/>
    <n v="28"/>
    <s v="No"/>
    <s v=""/>
    <m/>
    <m/>
    <s v="*INP080100053"/>
    <s v="*INP080100053"/>
    <n v="8.6124824669279063E-5"/>
  </r>
  <r>
    <x v="50"/>
    <s v="Pesos"/>
    <d v="2027-01-12T00:00:00"/>
    <s v="29/09/2026"/>
    <n v="0.92055485999999997"/>
    <m/>
    <n v="15000000"/>
    <n v="13808322.970000001"/>
    <n v="15000000"/>
    <n v="13808322.970000001"/>
    <n v="90004197"/>
    <s v="AMOMPY"/>
    <s v="Momentum Capital Investment S.A."/>
    <s v="21/09/2026"/>
    <s v="21/09/2026"/>
    <n v="30"/>
    <s v="No"/>
    <s v=""/>
    <m/>
    <m/>
    <s v="*MAV080101177"/>
    <s v="*MAV080101177"/>
    <n v="1.8357569999362736E-4"/>
  </r>
  <r>
    <x v="331"/>
    <s v="Pesos"/>
    <d v="2027-01-12T00:00:00"/>
    <s v="29/09/2026"/>
    <n v="0.92545646000000004"/>
    <m/>
    <n v="71389290"/>
    <n v="66067679.850000001"/>
    <n v="71389290"/>
    <n v="66067679.850000001"/>
    <n v="155356"/>
    <s v="AMOMPY"/>
    <s v="Momentum Capital Investment S.A."/>
    <s v="01/07/2026"/>
    <s v="01/07/2026"/>
    <n v="28"/>
    <s v="No"/>
    <s v=""/>
    <m/>
    <m/>
    <s v="#POT090170001"/>
    <s v="#POT090170001"/>
    <n v="8.7834131644869964E-4"/>
  </r>
  <r>
    <x v="370"/>
    <s v="Pesos"/>
    <d v="2027-01-12T00:00:00"/>
    <s v="29/09/2026"/>
    <n v="0.90852526"/>
    <m/>
    <n v="25000000"/>
    <n v="22713131.48"/>
    <n v="25000000"/>
    <n v="22713131.48"/>
    <n v="380"/>
    <s v="AMOMPY"/>
    <s v="Momentum Capital Investment S.A."/>
    <s v="18/09/2026"/>
    <s v="18/09/2026"/>
    <n v="35"/>
    <s v="No"/>
    <s v=""/>
    <m/>
    <m/>
    <s v="*MAV080101176"/>
    <s v="*MAV080101176"/>
    <n v="3.0196128954595948E-4"/>
  </r>
  <r>
    <x v="358"/>
    <s v="Pesos"/>
    <d v="2027-01-12T00:00:00"/>
    <s v="29/09/2026"/>
    <n v="0.92055500000000001"/>
    <m/>
    <n v="23167422.219999999"/>
    <n v="21326886.280000001"/>
    <n v="23167422.219999999"/>
    <n v="21326886.280000001"/>
    <n v="440"/>
    <s v="AMOMPY"/>
    <s v="Momentum Capital Investment S.A."/>
    <s v="23/09/2026"/>
    <s v="23/09/2026"/>
    <n v="30"/>
    <s v="No"/>
    <s v=""/>
    <m/>
    <m/>
    <s v="*CUY080100017"/>
    <s v="*CUY080100017"/>
    <n v="2.8353175733515504E-4"/>
  </r>
  <r>
    <x v="8"/>
    <s v="Pesos"/>
    <d v="2027-01-12T00:00:00"/>
    <s v="29/09/2026"/>
    <n v="0.91570501000000004"/>
    <m/>
    <n v="15000000"/>
    <n v="13735575.199999999"/>
    <n v="15000000"/>
    <n v="13735575.199999999"/>
    <n v="2202"/>
    <s v="AMOMPY"/>
    <s v="Momentum Capital Investment S.A."/>
    <s v="07/09/2026"/>
    <s v="07/09/2026"/>
    <n v="32"/>
    <s v="No"/>
    <s v=""/>
    <m/>
    <m/>
    <s v="*MIL080100032"/>
    <s v="*MIL080100032"/>
    <n v="1.8260854975896525E-4"/>
  </r>
  <r>
    <x v="37"/>
    <s v="Pesos"/>
    <d v="2027-01-12T00:00:00"/>
    <s v="29/09/2026"/>
    <n v="0.92055507000000003"/>
    <m/>
    <n v="25000000"/>
    <n v="23013876.739999998"/>
    <n v="25000000"/>
    <n v="23013876.739999998"/>
    <n v="69741520"/>
    <s v="AMOMPY"/>
    <s v="Momentum Capital Investment S.A."/>
    <s v="17/09/2026"/>
    <s v="17/09/2026"/>
    <n v="30"/>
    <s v="No"/>
    <s v=""/>
    <m/>
    <m/>
    <s v="*AFB080100007"/>
    <s v="*AFB080100007"/>
    <n v="3.0595956810188646E-4"/>
  </r>
  <r>
    <x v="89"/>
    <s v="Pesos"/>
    <d v="2027-01-13T00:00:00"/>
    <s v="29/09/2026"/>
    <n v="0.91985890999999997"/>
    <m/>
    <n v="15000000"/>
    <n v="13797883.619999999"/>
    <n v="15000000"/>
    <n v="13797883.619999999"/>
    <n v="90000067"/>
    <s v="AMOMPY"/>
    <s v="Momentum Capital Investment S.A."/>
    <s v="28/08/2026"/>
    <s v="28/08/2026"/>
    <n v="30"/>
    <s v="No"/>
    <s v=""/>
    <m/>
    <m/>
    <s v="*INP110100049"/>
    <s v="*INP110100049"/>
    <n v="1.8343691333663124E-4"/>
  </r>
  <r>
    <x v="92"/>
    <s v="Pesos"/>
    <d v="2027-01-13T00:00:00"/>
    <s v="29/09/2026"/>
    <n v="0.93231182000000001"/>
    <m/>
    <n v="710169.09"/>
    <n v="662099.04"/>
    <n v="710169.09"/>
    <n v="662099.04"/>
    <n v="681501"/>
    <s v="AMOMPY"/>
    <s v="Momentum Capital Investment S.A."/>
    <s v="18/09/2026"/>
    <s v="18/09/2026"/>
    <n v="25"/>
    <s v="No"/>
    <s v=""/>
    <m/>
    <m/>
    <s v="*MAV110100946"/>
    <s v="*MAV110100946"/>
    <n v="8.8023212519853658E-6"/>
  </r>
  <r>
    <x v="92"/>
    <s v="Pesos"/>
    <d v="2027-01-13T00:00:00"/>
    <s v="29/09/2026"/>
    <n v="0.93231182000000001"/>
    <m/>
    <n v="994204.24"/>
    <n v="926908.36"/>
    <n v="994204.24"/>
    <n v="926908.36"/>
    <n v="681633"/>
    <s v="AMOMPY"/>
    <s v="Momentum Capital Investment S.A."/>
    <s v="18/09/2026"/>
    <s v="18/09/2026"/>
    <n v="25"/>
    <s v="No"/>
    <s v=""/>
    <m/>
    <m/>
    <s v="*MAV110100947"/>
    <s v="*MAV110100947"/>
    <n v="1.2322846980522583E-5"/>
  </r>
  <r>
    <x v="155"/>
    <s v="Pesos"/>
    <d v="2027-01-13T00:00:00"/>
    <s v="29/09/2026"/>
    <n v="0.92479990000000001"/>
    <m/>
    <n v="50000000"/>
    <n v="46239994.880000003"/>
    <n v="50000000"/>
    <n v="46239994.880000003"/>
    <n v="68037"/>
    <s v="AMOMPY"/>
    <s v="Momentum Capital Investment S.A."/>
    <s v="14/08/2026"/>
    <s v="14/08/2026"/>
    <n v="28"/>
    <s v="No"/>
    <s v=""/>
    <m/>
    <m/>
    <s v="*MAV110100910"/>
    <s v="*MAV110100910"/>
    <n v="6.1474079410222149E-4"/>
  </r>
  <r>
    <x v="374"/>
    <s v="Pesos"/>
    <d v="2027-01-13T00:00:00"/>
    <s v="29/09/2026"/>
    <n v="0.91497044999999999"/>
    <m/>
    <n v="1102078.1599999999"/>
    <n v="1008368.95"/>
    <n v="1102078.1599999999"/>
    <n v="1008368.95"/>
    <n v="717"/>
    <s v="AMOMPY"/>
    <s v="Momentum Capital Investment S.A."/>
    <s v="15/09/2026"/>
    <s v="15/09/2026"/>
    <n v="32"/>
    <s v="No"/>
    <s v=""/>
    <m/>
    <m/>
    <s v="*MAV100101370"/>
    <s v="*MAV100101370"/>
    <n v="1.3405830400278435E-5"/>
  </r>
  <r>
    <x v="160"/>
    <s v="Pesos"/>
    <d v="2027-01-13T00:00:00"/>
    <s v="29/09/2026"/>
    <n v="0.91497044999999999"/>
    <m/>
    <n v="8123170.71"/>
    <n v="7432461.1500000004"/>
    <n v="8123170.71"/>
    <n v="7432461.1500000004"/>
    <n v="11246"/>
    <s v="AMOMPY"/>
    <s v="Momentum Capital Investment S.A."/>
    <s v="15/09/2026"/>
    <s v="15/09/2026"/>
    <n v="32"/>
    <s v="No"/>
    <s v=""/>
    <m/>
    <m/>
    <s v="*MAV090101198"/>
    <s v="*MAV090101198"/>
    <n v="9.8811366249980647E-5"/>
  </r>
  <r>
    <x v="161"/>
    <s v="Pesos"/>
    <d v="2027-01-13T00:00:00"/>
    <s v="29/09/2026"/>
    <n v="0.91497044000000005"/>
    <m/>
    <n v="1129854.56"/>
    <n v="1033783.53"/>
    <n v="1129854.56"/>
    <n v="1033783.53"/>
    <n v="1023"/>
    <s v="AMOMPY"/>
    <s v="Momentum Capital Investment S.A."/>
    <s v="15/09/2026"/>
    <s v="15/09/2026"/>
    <n v="32"/>
    <s v="No"/>
    <s v=""/>
    <m/>
    <m/>
    <s v="*MAV110100936"/>
    <s v="*MAV110100936"/>
    <n v="1.3743706283083344E-5"/>
  </r>
  <r>
    <x v="358"/>
    <s v="Pesos"/>
    <d v="2027-01-13T00:00:00"/>
    <s v="29/09/2026"/>
    <n v="0.92232283000000004"/>
    <m/>
    <n v="14000000"/>
    <n v="12912519.6"/>
    <n v="14000000"/>
    <n v="12912519.6"/>
    <n v="121"/>
    <s v="AMOMPY"/>
    <s v="Momentum Capital Investment S.A."/>
    <s v="06/07/2026"/>
    <s v="06/07/2026"/>
    <n v="29"/>
    <s v="No"/>
    <s v=""/>
    <m/>
    <m/>
    <s v="*CUY110100024"/>
    <s v="*CUY110100024"/>
    <n v="1.7166638044326051E-4"/>
  </r>
  <r>
    <x v="375"/>
    <s v="Pesos"/>
    <d v="2027-01-13T00:00:00"/>
    <s v="29/09/2026"/>
    <n v="0.91740822"/>
    <m/>
    <n v="10000000"/>
    <n v="9174082.1899999995"/>
    <n v="10000000"/>
    <n v="9174082.1899999995"/>
    <n v="141"/>
    <s v="AMOMPY"/>
    <s v="Momentum Capital Investment S.A."/>
    <s v="18/08/2026"/>
    <s v="18/08/2026"/>
    <n v="31"/>
    <s v="No"/>
    <s v=""/>
    <m/>
    <m/>
    <s v="*MAV100101346"/>
    <s v="*MAV100101346"/>
    <n v="1.2196546702212018E-4"/>
  </r>
  <r>
    <x v="373"/>
    <s v="Pesos"/>
    <d v="2027-01-13T00:00:00"/>
    <s v="29/09/2026"/>
    <n v="0.91497052000000001"/>
    <m/>
    <n v="17200000"/>
    <n v="15737492.859999999"/>
    <n v="17200000"/>
    <n v="15737492.859999999"/>
    <n v="40780955"/>
    <s v="AMOMPY"/>
    <s v="Momentum Capital Investment S.A."/>
    <s v="16/09/2026"/>
    <s v="16/09/2026"/>
    <n v="32"/>
    <s v="No"/>
    <s v=""/>
    <m/>
    <m/>
    <s v="*MAV090101203"/>
    <s v="*MAV090101203"/>
    <n v="2.0922318185893449E-4"/>
  </r>
  <r>
    <x v="45"/>
    <s v="Pesos"/>
    <d v="2027-01-13T00:00:00"/>
    <s v="29/09/2026"/>
    <n v="0.91985896"/>
    <m/>
    <n v="7000000"/>
    <n v="6439012.7199999997"/>
    <n v="7000000"/>
    <n v="6439012.7199999997"/>
    <n v="3385319"/>
    <s v="AMOMPY"/>
    <s v="Momentum Capital Investment S.A."/>
    <s v="16/09/2026"/>
    <s v="16/09/2026"/>
    <n v="30"/>
    <s v="No"/>
    <s v=""/>
    <m/>
    <m/>
    <s v="*NEU090100022"/>
    <s v="*NEU090100022"/>
    <n v="8.5603897729650966E-5"/>
  </r>
  <r>
    <x v="123"/>
    <s v="Pesos"/>
    <d v="2027-01-13T00:00:00"/>
    <s v="29/09/2026"/>
    <n v="0.91254568000000003"/>
    <m/>
    <n v="25000000"/>
    <n v="22813641.890000001"/>
    <n v="25000000"/>
    <n v="22813641.890000001"/>
    <n v="475890"/>
    <s v="AMOMPY"/>
    <s v="Momentum Capital Investment S.A."/>
    <s v="10/08/2026"/>
    <s v="10/08/2026"/>
    <n v="33"/>
    <s v="No"/>
    <s v=""/>
    <m/>
    <m/>
    <s v="*MAV100101345"/>
    <s v="*MAV100101345"/>
    <n v="3.032975321086866E-4"/>
  </r>
  <r>
    <x v="172"/>
    <s v="Pesos"/>
    <d v="2027-01-13T00:00:00"/>
    <s v="29/09/2026"/>
    <n v="0.92979418000000003"/>
    <m/>
    <n v="3729055.13"/>
    <n v="3467253.7599999998"/>
    <n v="3729055.13"/>
    <n v="3467253.7599999998"/>
    <n v="3032"/>
    <s v="AMOMPY"/>
    <s v="Momentum Capital Investment S.A."/>
    <s v="22/09/2026"/>
    <s v="22/09/2026"/>
    <n v="26"/>
    <s v="No"/>
    <s v=""/>
    <m/>
    <m/>
    <s v="*TRD110100018"/>
    <s v="*TRD110100018"/>
    <n v="4.6095643723745862E-5"/>
  </r>
  <r>
    <x v="50"/>
    <s v="Pesos"/>
    <d v="2027-01-14T00:00:00"/>
    <s v="29/09/2026"/>
    <n v="0.91916401999999997"/>
    <m/>
    <n v="25000000"/>
    <n v="22979100.379999999"/>
    <n v="25000000"/>
    <n v="22979100.379999999"/>
    <n v="90004234"/>
    <s v="AMOMPY"/>
    <s v="Momentum Capital Investment S.A."/>
    <s v="24/09/2026"/>
    <s v="24/09/2026"/>
    <n v="30"/>
    <s v="No"/>
    <s v=""/>
    <m/>
    <m/>
    <s v="*MAV120101571"/>
    <s v="*MAV120101571"/>
    <n v="3.0549723139060731E-4"/>
  </r>
  <r>
    <x v="159"/>
    <s v="Pesos"/>
    <d v="2027-01-14T00:00:00"/>
    <s v="29/09/2026"/>
    <n v="0.91423725"/>
    <m/>
    <n v="1869225"/>
    <n v="1708915.13"/>
    <n v="1869225"/>
    <n v="1708915.13"/>
    <n v="7"/>
    <s v="AMOMPY"/>
    <s v="Momentum Capital Investment S.A."/>
    <s v="15/09/2026"/>
    <s v="15/09/2026"/>
    <n v="32"/>
    <s v="No"/>
    <s v=""/>
    <m/>
    <m/>
    <s v="*MAV120101531"/>
    <s v="*MAV120101531"/>
    <n v="2.2719289800870774E-5"/>
  </r>
  <r>
    <x v="6"/>
    <s v="Pesos"/>
    <d v="2027-01-14T00:00:00"/>
    <s v="29/09/2026"/>
    <n v="0.92917881000000002"/>
    <m/>
    <n v="25000000"/>
    <n v="23229470.359999999"/>
    <n v="25000000"/>
    <n v="23229470.359999999"/>
    <n v="9508927"/>
    <s v="AMOMPY"/>
    <s v="Momentum Capital Investment S.A."/>
    <s v="17/07/2026"/>
    <s v="17/07/2026"/>
    <n v="26"/>
    <s v="No"/>
    <s v=""/>
    <m/>
    <m/>
    <s v="*PRO120100011"/>
    <s v="*PRO120100011"/>
    <n v="3.0882579231981987E-4"/>
  </r>
  <r>
    <x v="376"/>
    <s v="Pesos"/>
    <d v="2027-01-14T00:00:00"/>
    <s v="29/09/2026"/>
    <n v="0.91423723000000001"/>
    <m/>
    <n v="4000000"/>
    <n v="3656948.93"/>
    <n v="4000000"/>
    <n v="3656948.93"/>
    <n v="14390481"/>
    <s v="AMOMPY"/>
    <s v="Momentum Capital Investment S.A."/>
    <s v="04/09/2026"/>
    <s v="04/09/2026"/>
    <n v="32"/>
    <s v="No"/>
    <s v=""/>
    <m/>
    <m/>
    <s v="*MAV120101517"/>
    <s v="*MAV120101517"/>
    <n v="4.8617559215860127E-5"/>
  </r>
  <r>
    <x v="184"/>
    <s v="Dolar 3500"/>
    <d v="2027-01-14T00:00:00"/>
    <s v="29/09/2026"/>
    <n v="0.97708501999999997"/>
    <s v="1 US3 = 1523,9697583441 $"/>
    <n v="18230"/>
    <n v="17812.259999999998"/>
    <n v="27781968.690000001"/>
    <n v="27145345.57"/>
    <n v="146448"/>
    <s v="AMOMPY"/>
    <s v="Momentum Capital Investment S.A."/>
    <s v="17/04/2026"/>
    <s v="17/04/2026"/>
    <n v="8"/>
    <s v="No"/>
    <s v=""/>
    <m/>
    <m/>
    <s v="#UMV120170009"/>
    <s v="#UMV120170009"/>
    <n v="3.6088566478407487E-4"/>
  </r>
  <r>
    <x v="89"/>
    <s v="Pesos"/>
    <d v="2027-01-15T00:00:00"/>
    <s v="29/09/2026"/>
    <n v="0.91598082000000003"/>
    <m/>
    <n v="3700000"/>
    <n v="3389129.04"/>
    <n v="3700000"/>
    <n v="3389129.04"/>
    <n v="164545"/>
    <s v="AMOMPY"/>
    <s v="Momentum Capital Investment S.A."/>
    <s v="18/09/2026"/>
    <s v="18/09/2026"/>
    <n v="31"/>
    <s v="No"/>
    <s v=""/>
    <m/>
    <m/>
    <s v="#IGA140170001"/>
    <s v="#IGA140170001"/>
    <n v="4.5057009257274803E-5"/>
  </r>
  <r>
    <x v="370"/>
    <s v="Pesos"/>
    <d v="2027-01-15T00:00:00"/>
    <s v="29/09/2026"/>
    <n v="0.90615701000000004"/>
    <m/>
    <n v="25000000"/>
    <n v="22653925.16"/>
    <n v="25000000"/>
    <n v="22653925.16"/>
    <n v="381"/>
    <s v="AMOMPY"/>
    <s v="Momentum Capital Investment S.A."/>
    <s v="18/09/2026"/>
    <s v="18/09/2026"/>
    <n v="35"/>
    <s v="No"/>
    <s v=""/>
    <m/>
    <m/>
    <s v="*MAV130101294"/>
    <s v="*MAV130101294"/>
    <n v="3.0117416705022551E-4"/>
  </r>
  <r>
    <x v="377"/>
    <s v="Pesos"/>
    <d v="2027-01-15T00:00:00"/>
    <s v="29/09/2026"/>
    <n v="0.91350492000000005"/>
    <m/>
    <n v="9084444.3200000003"/>
    <n v="8298684.6200000001"/>
    <n v="9084444.3200000003"/>
    <n v="8298684.6200000001"/>
    <n v="2608"/>
    <s v="AMOMPY"/>
    <s v="Momentum Capital Investment S.A."/>
    <s v="14/09/2026"/>
    <s v="14/09/2026"/>
    <n v="32"/>
    <s v="No"/>
    <s v=""/>
    <m/>
    <m/>
    <s v="*MAV130101286"/>
    <s v="*MAV130101286"/>
    <n v="1.1032743378415122E-4"/>
  </r>
  <r>
    <x v="89"/>
    <s v="Pesos"/>
    <d v="2027-01-18T00:00:00"/>
    <s v="29/09/2026"/>
    <n v="0.91639481"/>
    <m/>
    <n v="16000000"/>
    <n v="14662316.960000001"/>
    <n v="16000000"/>
    <n v="14662316.960000001"/>
    <n v="11005432"/>
    <s v="AMOMPY"/>
    <s v="Momentum Capital Investment S.A."/>
    <s v="18/09/2026"/>
    <s v="18/09/2026"/>
    <n v="30"/>
    <s v="No"/>
    <s v=""/>
    <m/>
    <m/>
    <s v="*INP140100063"/>
    <s v="*INP140100063"/>
    <n v="1.9492918186432269E-4"/>
  </r>
  <r>
    <x v="378"/>
    <s v="Pesos"/>
    <d v="2027-01-18T00:00:00"/>
    <s v="29/09/2026"/>
    <n v="0.90879690000000002"/>
    <m/>
    <n v="6006148"/>
    <n v="5458368.6699999999"/>
    <n v="6006148"/>
    <n v="5458368.6699999999"/>
    <n v="1370643"/>
    <s v="AMOMPY"/>
    <s v="Momentum Capital Investment S.A."/>
    <s v="23/09/2026"/>
    <s v="23/09/2026"/>
    <n v="33"/>
    <s v="No"/>
    <s v=""/>
    <m/>
    <m/>
    <s v="*MAV140101244"/>
    <s v="*MAV140101244"/>
    <n v="7.2566657920410354E-5"/>
  </r>
  <r>
    <x v="92"/>
    <s v="Pesos"/>
    <d v="2027-01-18T00:00:00"/>
    <s v="29/09/2026"/>
    <n v="0.92412092999999995"/>
    <m/>
    <n v="2493401.42"/>
    <n v="2304204.44"/>
    <n v="2493401.42"/>
    <n v="2304204.44"/>
    <n v="677251"/>
    <s v="AMOMPY"/>
    <s v="Momentum Capital Investment S.A."/>
    <s v="07/09/2026"/>
    <s v="07/09/2026"/>
    <n v="27"/>
    <s v="No"/>
    <s v=""/>
    <m/>
    <m/>
    <s v="*MAV140101219"/>
    <s v="*MAV140101219"/>
    <n v="3.0633404499621443E-5"/>
  </r>
  <r>
    <x v="92"/>
    <s v="Pesos"/>
    <d v="2027-01-18T00:00:00"/>
    <s v="29/09/2026"/>
    <n v="0.92412092999999995"/>
    <m/>
    <n v="2493401.42"/>
    <n v="2304204.44"/>
    <n v="2493401.42"/>
    <n v="2304204.44"/>
    <n v="677265"/>
    <s v="AMOMPY"/>
    <s v="Momentum Capital Investment S.A."/>
    <s v="07/09/2026"/>
    <s v="07/09/2026"/>
    <n v="27"/>
    <s v="No"/>
    <s v=""/>
    <m/>
    <m/>
    <s v="*MAV140101220"/>
    <s v="*MAV140101220"/>
    <n v="3.0633404499621443E-5"/>
  </r>
  <r>
    <x v="92"/>
    <s v="Pesos"/>
    <d v="2027-01-18T00:00:00"/>
    <s v="29/09/2026"/>
    <n v="0.92412092999999995"/>
    <m/>
    <n v="2493401.42"/>
    <n v="2304204.44"/>
    <n v="2493401.42"/>
    <n v="2304204.44"/>
    <n v="677245"/>
    <s v="AMOMPY"/>
    <s v="Momentum Capital Investment S.A."/>
    <s v="07/09/2026"/>
    <s v="07/09/2026"/>
    <n v="27"/>
    <s v="No"/>
    <s v=""/>
    <m/>
    <m/>
    <s v="*MAV140101221"/>
    <s v="*MAV140101221"/>
    <n v="3.0633404499621443E-5"/>
  </r>
  <r>
    <x v="92"/>
    <s v="Pesos"/>
    <d v="2027-01-18T00:00:00"/>
    <s v="29/09/2026"/>
    <n v="0.92412092999999995"/>
    <m/>
    <n v="2493401.42"/>
    <n v="2304204.44"/>
    <n v="2493401.42"/>
    <n v="2304204.44"/>
    <n v="670019"/>
    <s v="AMOMPY"/>
    <s v="Momentum Capital Investment S.A."/>
    <s v="07/09/2026"/>
    <s v="07/09/2026"/>
    <n v="27"/>
    <s v="No"/>
    <s v=""/>
    <m/>
    <m/>
    <s v="*MAV140101222"/>
    <s v="*MAV140101222"/>
    <n v="3.0633404499621443E-5"/>
  </r>
  <r>
    <x v="178"/>
    <s v="Pesos"/>
    <d v="2027-01-18T00:00:00"/>
    <s v="29/09/2026"/>
    <n v="0.91131547999999996"/>
    <m/>
    <n v="1566916.35"/>
    <n v="1427955.12"/>
    <n v="1566916.35"/>
    <n v="1427955.12"/>
    <n v="1183"/>
    <s v="AMOMPY"/>
    <s v="Momentum Capital Investment S.A."/>
    <s v="15/09/2026"/>
    <s v="15/09/2026"/>
    <n v="32"/>
    <s v="No"/>
    <s v=""/>
    <m/>
    <m/>
    <s v="*MAV140101234"/>
    <s v="*MAV140101234"/>
    <n v="1.898404761266126E-5"/>
  </r>
  <r>
    <x v="37"/>
    <s v="Pesos"/>
    <d v="2027-01-18T00:00:00"/>
    <s v="29/09/2026"/>
    <n v="0.91639484999999998"/>
    <m/>
    <n v="51921649.450000003"/>
    <n v="47580731.950000003"/>
    <n v="51921649.450000003"/>
    <n v="47580731.950000003"/>
    <n v="22963"/>
    <s v="AMOMPY"/>
    <s v="Momentum Capital Investment S.A."/>
    <s v="15/09/2026"/>
    <s v="15/09/2026"/>
    <n v="30"/>
    <s v="No"/>
    <s v=""/>
    <m/>
    <m/>
    <s v="*AFB140100006"/>
    <s v="*AFB140100006"/>
    <n v="6.3256531534693669E-4"/>
  </r>
  <r>
    <x v="89"/>
    <s v="Pesos"/>
    <d v="2027-01-19T00:00:00"/>
    <s v="29/09/2026"/>
    <n v="0.90805062000000003"/>
    <m/>
    <n v="10000000"/>
    <n v="9080506.1799999997"/>
    <n v="10000000"/>
    <n v="9080506.1799999997"/>
    <n v="2285690"/>
    <s v="AMOMPY"/>
    <s v="Momentum Capital Investment S.A."/>
    <s v="07/09/2026"/>
    <s v="07/09/2026"/>
    <n v="33"/>
    <s v="No"/>
    <s v=""/>
    <m/>
    <m/>
    <s v="*INP150100062"/>
    <s v="*INP150100062"/>
    <n v="1.2072141431740853E-4"/>
  </r>
  <r>
    <x v="347"/>
    <s v="Pesos"/>
    <d v="2027-01-19T00:00:00"/>
    <s v="29/09/2026"/>
    <n v="0.90301838999999995"/>
    <m/>
    <n v="25000000"/>
    <n v="22575459.629999999"/>
    <n v="25000000"/>
    <n v="22575459.629999999"/>
    <n v="10685427"/>
    <s v="AMOMPY"/>
    <s v="Momentum Capital Investment S.A."/>
    <s v="18/09/2026"/>
    <s v="18/09/2026"/>
    <n v="35"/>
    <s v="No"/>
    <s v=""/>
    <m/>
    <m/>
    <s v="*MAV150101643"/>
    <s v="*MAV150101643"/>
    <n v="3.001310016617554E-4"/>
  </r>
  <r>
    <x v="155"/>
    <s v="Pesos"/>
    <d v="2027-01-19T00:00:00"/>
    <s v="29/09/2026"/>
    <n v="0.91570503999999997"/>
    <m/>
    <n v="50000000"/>
    <n v="45785251.850000001"/>
    <n v="50000000"/>
    <n v="45785251.850000001"/>
    <n v="68076"/>
    <s v="AMOMPY"/>
    <s v="Momentum Capital Investment S.A."/>
    <s v="18/09/2026"/>
    <s v="18/09/2026"/>
    <n v="30"/>
    <s v="No"/>
    <s v=""/>
    <m/>
    <m/>
    <s v="*MAV150101639"/>
    <s v="*MAV150101639"/>
    <n v="6.0869518159512395E-4"/>
  </r>
  <r>
    <x v="370"/>
    <s v="Pesos"/>
    <d v="2027-01-19T00:00:00"/>
    <s v="29/09/2026"/>
    <n v="0.90301838999999995"/>
    <m/>
    <n v="25000000"/>
    <n v="22575459.629999999"/>
    <n v="25000000"/>
    <n v="22575459.629999999"/>
    <n v="382"/>
    <s v="AMOMPY"/>
    <s v="Momentum Capital Investment S.A."/>
    <s v="18/09/2026"/>
    <s v="18/09/2026"/>
    <n v="35"/>
    <s v="No"/>
    <s v=""/>
    <m/>
    <m/>
    <s v="*MAV150101644"/>
    <s v="*MAV150101644"/>
    <n v="3.001310016617554E-4"/>
  </r>
  <r>
    <x v="361"/>
    <s v="Pesos"/>
    <d v="2027-01-19T00:00:00"/>
    <s v="29/09/2026"/>
    <n v="0.91058784999999998"/>
    <m/>
    <n v="108911054"/>
    <n v="99173082.739999995"/>
    <n v="108911054"/>
    <n v="99173082.739999995"/>
    <n v="90000136"/>
    <s v="AMOMPY"/>
    <s v="Momentum Capital Investment S.A."/>
    <s v="11/09/2026"/>
    <s v="11/09/2026"/>
    <n v="32"/>
    <s v="No"/>
    <s v=""/>
    <m/>
    <m/>
    <s v="*MAV150101625"/>
    <s v="*MAV150101625"/>
    <n v="1.3184633734361025E-3"/>
  </r>
  <r>
    <x v="306"/>
    <s v="Pesos"/>
    <d v="2027-01-19T00:00:00"/>
    <s v="29/09/2026"/>
    <n v="0.90805066999999995"/>
    <m/>
    <n v="520000000"/>
    <n v="472186347.72000003"/>
    <n v="520000000"/>
    <n v="472186347.72000003"/>
    <n v="91310541"/>
    <s v="AMOMPY"/>
    <s v="Momentum Capital Investment S.A."/>
    <s v="15/09/2026"/>
    <s v="15/09/2026"/>
    <n v="33"/>
    <s v="No"/>
    <s v=""/>
    <m/>
    <m/>
    <s v="MAVR150100186"/>
    <s v="MAVR150100186"/>
    <n v="6.2775138949500778E-3"/>
  </r>
  <r>
    <x v="307"/>
    <s v="Pesos"/>
    <d v="2027-01-19T00:00:00"/>
    <s v="29/09/2026"/>
    <n v="0.91058795000000003"/>
    <m/>
    <n v="1027513.96"/>
    <n v="935641.83"/>
    <n v="1027513.96"/>
    <n v="935641.83"/>
    <n v="3585517"/>
    <s v="AMOMPY"/>
    <s v="Momentum Capital Investment S.A."/>
    <s v="16/09/2026"/>
    <s v="16/09/2026"/>
    <n v="32"/>
    <s v="No"/>
    <s v=""/>
    <m/>
    <m/>
    <s v="*MAV150101635"/>
    <s v="*MAV150101635"/>
    <n v="1.243895469846245E-5"/>
  </r>
  <r>
    <x v="6"/>
    <s v="Pesos"/>
    <d v="2027-01-19T00:00:00"/>
    <s v="29/09/2026"/>
    <n v="0.92348954999999999"/>
    <m/>
    <n v="2000000"/>
    <n v="1846979.1"/>
    <n v="2000000"/>
    <n v="1846979.1"/>
    <n v="113"/>
    <s v="AMOMPY"/>
    <s v="Momentum Capital Investment S.A."/>
    <s v="06/07/2026"/>
    <s v="06/07/2026"/>
    <n v="27"/>
    <s v="No"/>
    <s v=""/>
    <m/>
    <m/>
    <s v="*PRO150100020"/>
    <s v="*PRO150100020"/>
    <n v="2.4554790751399977E-5"/>
  </r>
  <r>
    <x v="379"/>
    <s v="Pesos"/>
    <d v="2027-01-19T00:00:00"/>
    <s v="29/09/2026"/>
    <n v="0.91058786999999997"/>
    <m/>
    <n v="2383603"/>
    <n v="2170479.98"/>
    <n v="2383603"/>
    <n v="2170479.98"/>
    <n v="111053"/>
    <s v="AMOMPY"/>
    <s v="Momentum Capital Investment S.A."/>
    <s v="04/09/2026"/>
    <s v="04/09/2026"/>
    <n v="32"/>
    <s v="No"/>
    <s v=""/>
    <m/>
    <m/>
    <s v="*MAV150101611"/>
    <s v="*MAV150101611"/>
    <n v="2.8855595463426089E-5"/>
  </r>
  <r>
    <x v="123"/>
    <s v="Pesos"/>
    <d v="2027-01-19T00:00:00"/>
    <s v="29/09/2026"/>
    <n v="0.90805071000000004"/>
    <m/>
    <n v="25000000"/>
    <n v="22701267.789999999"/>
    <n v="25000000"/>
    <n v="22701267.789999999"/>
    <n v="475892"/>
    <s v="AMOMPY"/>
    <s v="Momentum Capital Investment S.A."/>
    <s v="18/08/2026"/>
    <s v="18/08/2026"/>
    <n v="33"/>
    <s v="No"/>
    <s v=""/>
    <m/>
    <m/>
    <s v="*MAV150101587"/>
    <s v="*MAV150101587"/>
    <n v="3.0180356690281236E-4"/>
  </r>
  <r>
    <x v="172"/>
    <s v="Pesos"/>
    <d v="2027-01-19T00:00:00"/>
    <s v="29/09/2026"/>
    <n v="0.91570499999999999"/>
    <m/>
    <n v="20000000"/>
    <n v="18314099.91"/>
    <n v="20000000"/>
    <n v="18314099.91"/>
    <n v="68586588"/>
    <s v="AMOMPY"/>
    <s v="Momentum Capital Investment S.A."/>
    <s v="21/09/2026"/>
    <s v="21/09/2026"/>
    <n v="30"/>
    <s v="No"/>
    <s v=""/>
    <m/>
    <m/>
    <s v="TRND150100006"/>
    <s v="TRND150100006"/>
    <n v="2.4347806160355748E-4"/>
  </r>
  <r>
    <x v="25"/>
    <s v="Pesos"/>
    <d v="2027-01-19T00:00:00"/>
    <s v="29/09/2026"/>
    <n v="0.91570503999999997"/>
    <m/>
    <n v="5580000"/>
    <n v="5109634.1100000003"/>
    <n v="5580000"/>
    <n v="5109634.1100000003"/>
    <n v="11415146"/>
    <s v="AMOMPY"/>
    <s v="Momentum Capital Investment S.A."/>
    <s v="18/09/2026"/>
    <s v="18/09/2026"/>
    <n v="30"/>
    <s v="No"/>
    <s v=""/>
    <m/>
    <m/>
    <s v="*CVA150100021"/>
    <s v="*CVA150100021"/>
    <n v="6.793038231307861E-5"/>
  </r>
  <r>
    <x v="27"/>
    <s v="Pesos"/>
    <d v="2027-01-19T00:00:00"/>
    <s v="29/09/2026"/>
    <n v="0.91570503999999997"/>
    <m/>
    <n v="25000000"/>
    <n v="22892625.920000002"/>
    <n v="25000000"/>
    <n v="22892625.920000002"/>
    <n v="69808450"/>
    <s v="AMOMPY"/>
    <s v="Momentum Capital Investment S.A."/>
    <s v="18/09/2026"/>
    <s v="18/09/2026"/>
    <n v="30"/>
    <s v="No"/>
    <s v=""/>
    <m/>
    <m/>
    <s v="*MOV150100104"/>
    <s v="*MOV150100104"/>
    <n v="3.0434759073108916E-4"/>
  </r>
  <r>
    <x v="362"/>
    <s v="Pesos"/>
    <d v="2027-01-20T00:00:00"/>
    <s v="29/09/2026"/>
    <n v="0.90986151000000004"/>
    <m/>
    <n v="21145734.48"/>
    <n v="19239690"/>
    <n v="21145734.48"/>
    <n v="19239690"/>
    <n v="1985962"/>
    <s v="AMOMPY"/>
    <s v="Momentum Capital Investment S.A."/>
    <s v="16/09/2026"/>
    <s v="16/09/2026"/>
    <n v="32"/>
    <s v="No"/>
    <s v=""/>
    <m/>
    <m/>
    <s v="*MAV160101295"/>
    <s v="*MAV160101295"/>
    <n v="2.5578338275284362E-4"/>
  </r>
  <r>
    <x v="224"/>
    <s v="Pesos"/>
    <d v="2027-01-20T00:00:00"/>
    <s v="29/09/2026"/>
    <n v="0.90986160999999999"/>
    <m/>
    <n v="45000000"/>
    <n v="40943772.539999999"/>
    <n v="45000000"/>
    <n v="40943772.539999999"/>
    <n v="51177"/>
    <s v="AMOMPY"/>
    <s v="Momentum Capital Investment S.A."/>
    <s v="21/09/2026"/>
    <s v="21/09/2026"/>
    <n v="32"/>
    <s v="No"/>
    <s v=""/>
    <m/>
    <m/>
    <s v="*MAV180100971"/>
    <s v="*MAV180100971"/>
    <n v="5.4432980172467371E-4"/>
  </r>
  <r>
    <x v="224"/>
    <s v="Pesos"/>
    <d v="2027-01-20T00:00:00"/>
    <s v="29/09/2026"/>
    <n v="0.90986157000000001"/>
    <m/>
    <n v="55000000"/>
    <n v="50042386.409999996"/>
    <n v="55000000"/>
    <n v="50042386.409999996"/>
    <n v="51408"/>
    <s v="AMOMPY"/>
    <s v="Momentum Capital Investment S.A."/>
    <s v="24/09/2026"/>
    <s v="24/09/2026"/>
    <n v="32"/>
    <s v="No"/>
    <s v=""/>
    <m/>
    <m/>
    <s v="*MAV180100988"/>
    <s v="*MAV180100988"/>
    <n v="6.6529194997293239E-4"/>
  </r>
  <r>
    <x v="358"/>
    <s v="Pesos"/>
    <d v="2027-01-20T00:00:00"/>
    <s v="29/09/2026"/>
    <n v="0.91761581000000003"/>
    <m/>
    <n v="14000000"/>
    <n v="12846621.369999999"/>
    <n v="14000000"/>
    <n v="12846621.369999999"/>
    <n v="122"/>
    <s v="AMOMPY"/>
    <s v="Momentum Capital Investment S.A."/>
    <s v="06/07/2026"/>
    <s v="06/07/2026"/>
    <n v="29"/>
    <s v="No"/>
    <s v=""/>
    <m/>
    <m/>
    <s v="*CUY180100020"/>
    <s v="*CUY180100020"/>
    <n v="1.7079029188950392E-4"/>
  </r>
  <r>
    <x v="368"/>
    <s v="Pesos"/>
    <d v="2027-01-20T00:00:00"/>
    <s v="29/09/2026"/>
    <n v="0.89722478999999999"/>
    <m/>
    <n v="25000000"/>
    <n v="22430619.710000001"/>
    <n v="25000000"/>
    <n v="22430619.710000001"/>
    <n v="41"/>
    <s v="AMOMPY"/>
    <s v="Momentum Capital Investment S.A."/>
    <s v="24/08/2026"/>
    <s v="24/08/2026"/>
    <n v="37"/>
    <s v="No"/>
    <s v=""/>
    <m/>
    <m/>
    <s v="*MAV160101279"/>
    <s v="*MAV160101279"/>
    <n v="2.9820541737764005E-4"/>
  </r>
  <r>
    <x v="312"/>
    <s v="Pesos"/>
    <d v="2027-01-20T00:00:00"/>
    <s v="29/09/2026"/>
    <n v="0.90730571000000004"/>
    <m/>
    <n v="20858250"/>
    <n v="18924809.23"/>
    <n v="20858250"/>
    <n v="18924809.23"/>
    <n v="69879181"/>
    <s v="AMOMPY"/>
    <s v="Momentum Capital Investment S.A."/>
    <s v="22/09/2026"/>
    <s v="22/09/2026"/>
    <n v="33"/>
    <s v="No"/>
    <s v=""/>
    <m/>
    <m/>
    <s v="*MAV160101299"/>
    <s v="*MAV160101299"/>
    <n v="2.5159717868643609E-4"/>
  </r>
  <r>
    <x v="380"/>
    <s v="Pesos"/>
    <d v="2027-01-20T00:00:00"/>
    <s v="29/09/2026"/>
    <n v="0.92550332999999996"/>
    <m/>
    <n v="3948801"/>
    <n v="3654628.47"/>
    <n v="3948801"/>
    <n v="3654628.47"/>
    <n v="1016"/>
    <s v="AMOMPY"/>
    <s v="Momentum Capital Investment S.A."/>
    <s v="29/07/2026"/>
    <s v="29/07/2026"/>
    <n v="26"/>
    <s v="No"/>
    <s v=""/>
    <m/>
    <m/>
    <s v="*MAV160101270"/>
    <s v="*MAV160101270"/>
    <n v="4.8586709700699398E-5"/>
  </r>
  <r>
    <x v="373"/>
    <s v="Pesos"/>
    <d v="2027-01-20T00:00:00"/>
    <s v="29/09/2026"/>
    <n v="0.90986151000000004"/>
    <m/>
    <n v="18500000"/>
    <n v="16832438.02"/>
    <n v="18500000"/>
    <n v="16832438.02"/>
    <n v="40780954"/>
    <s v="AMOMPY"/>
    <s v="Momentum Capital Investment S.A."/>
    <s v="16/09/2026"/>
    <s v="16/09/2026"/>
    <n v="32"/>
    <s v="No"/>
    <s v=""/>
    <m/>
    <m/>
    <s v="*MAV160101297"/>
    <s v="*MAV160101297"/>
    <n v="2.2378000564110841E-4"/>
  </r>
  <r>
    <x v="50"/>
    <s v="Pesos"/>
    <d v="2027-01-21T00:00:00"/>
    <s v="29/09/2026"/>
    <n v="0.91432875000000002"/>
    <m/>
    <n v="25000000"/>
    <n v="22858218.850000001"/>
    <n v="25000000"/>
    <n v="22858218.850000001"/>
    <n v="90004235"/>
    <s v="AMOMPY"/>
    <s v="Momentum Capital Investment S.A."/>
    <s v="24/09/2026"/>
    <s v="24/09/2026"/>
    <n v="30"/>
    <s v="No"/>
    <s v=""/>
    <m/>
    <m/>
    <s v="*MAV190101280"/>
    <s v="*MAV190101280"/>
    <n v="3.0389016357112899E-4"/>
  </r>
  <r>
    <x v="370"/>
    <s v="Pesos"/>
    <d v="2027-01-22T00:00:00"/>
    <s v="29/09/2026"/>
    <n v="0.90067872000000004"/>
    <m/>
    <n v="25000000"/>
    <n v="22516967.969999999"/>
    <n v="25000000"/>
    <n v="22516967.969999999"/>
    <n v="383"/>
    <s v="AMOMPY"/>
    <s v="Momentum Capital Investment S.A."/>
    <s v="18/09/2026"/>
    <s v="18/09/2026"/>
    <n v="35"/>
    <s v="No"/>
    <s v=""/>
    <m/>
    <m/>
    <s v="*MAV200101768"/>
    <s v="*MAV200101768"/>
    <n v="2.9935338026257331E-4"/>
  </r>
  <r>
    <x v="368"/>
    <s v="Pesos"/>
    <d v="2027-01-22T00:00:00"/>
    <s v="29/09/2026"/>
    <n v="0.89559577000000001"/>
    <m/>
    <n v="25000000"/>
    <n v="22389894.350000001"/>
    <n v="25000000"/>
    <n v="22389894.350000001"/>
    <n v="42"/>
    <s v="AMOMPY"/>
    <s v="Momentum Capital Investment S.A."/>
    <s v="24/08/2026"/>
    <s v="24/08/2026"/>
    <n v="37"/>
    <s v="No"/>
    <s v=""/>
    <m/>
    <m/>
    <s v="*MAV200101722"/>
    <s v="*MAV200101722"/>
    <n v="2.9766399127645929E-4"/>
  </r>
  <r>
    <x v="373"/>
    <s v="Pesos"/>
    <d v="2027-01-22T00:00:00"/>
    <s v="29/09/2026"/>
    <n v="0.90841236999999997"/>
    <m/>
    <n v="19500000"/>
    <n v="17714041.140000001"/>
    <n v="19500000"/>
    <n v="17714041.140000001"/>
    <n v="40780952"/>
    <s v="AMOMPY"/>
    <s v="Momentum Capital Investment S.A."/>
    <s v="16/09/2026"/>
    <s v="16/09/2026"/>
    <n v="32"/>
    <s v="No"/>
    <s v=""/>
    <m/>
    <m/>
    <s v="*MAV200101763"/>
    <s v="*MAV200101763"/>
    <n v="2.3550053899060942E-4"/>
  </r>
  <r>
    <x v="249"/>
    <s v="Pesos"/>
    <d v="2027-01-22T00:00:00"/>
    <s v="29/09/2026"/>
    <n v="0.91364226000000004"/>
    <m/>
    <n v="50000000"/>
    <n v="45682113.149999999"/>
    <n v="50000000"/>
    <n v="45682113.149999999"/>
    <n v="6856"/>
    <s v="AMOMPY"/>
    <s v="Momentum Capital Investment S.A."/>
    <s v="16/09/2026"/>
    <s v="16/09/2026"/>
    <n v="30"/>
    <s v="No"/>
    <s v=""/>
    <m/>
    <m/>
    <s v="*MAV200101762"/>
    <s v="*MAV200101762"/>
    <n v="6.0732399705011673E-4"/>
  </r>
  <r>
    <x v="123"/>
    <s v="Pesos"/>
    <d v="2027-01-22T00:00:00"/>
    <s v="29/09/2026"/>
    <n v="0.90581973000000005"/>
    <m/>
    <n v="25000000"/>
    <n v="22645493.260000002"/>
    <n v="25000000"/>
    <n v="22645493.260000002"/>
    <n v="475891"/>
    <s v="AMOMPY"/>
    <s v="Momentum Capital Investment S.A."/>
    <s v="10/08/2026"/>
    <s v="10/08/2026"/>
    <n v="33"/>
    <s v="No"/>
    <s v=""/>
    <m/>
    <m/>
    <s v="*MAV200101714"/>
    <s v="*MAV200101714"/>
    <n v="3.0106206857540431E-4"/>
  </r>
  <r>
    <x v="25"/>
    <s v="Pesos"/>
    <d v="2027-01-22T00:00:00"/>
    <s v="29/09/2026"/>
    <n v="0.91495915000000005"/>
    <m/>
    <n v="5633315"/>
    <n v="5154253.12"/>
    <n v="5633315"/>
    <n v="5154253.12"/>
    <n v="69874671"/>
    <s v="AMOMPY"/>
    <s v="Momentum Capital Investment S.A."/>
    <s v="23/09/2026"/>
    <s v="23/09/2026"/>
    <n v="29.5"/>
    <s v="No"/>
    <s v=""/>
    <m/>
    <m/>
    <s v="*CVA200100029"/>
    <s v="*CVA200100029"/>
    <n v="6.8523572812139824E-5"/>
  </r>
  <r>
    <x v="378"/>
    <s v="Pesos"/>
    <d v="2027-01-25T00:00:00"/>
    <s v="29/09/2026"/>
    <n v="0.90359955000000003"/>
    <m/>
    <n v="6006148"/>
    <n v="5427152.6399999997"/>
    <n v="6006148"/>
    <n v="5427152.6399999997"/>
    <n v="1370646"/>
    <s v="AMOMPY"/>
    <s v="Momentum Capital Investment S.A."/>
    <s v="23/09/2026"/>
    <s v="23/09/2026"/>
    <n v="33"/>
    <s v="No"/>
    <s v=""/>
    <m/>
    <m/>
    <s v="*MAV210101162"/>
    <s v="*MAV210101162"/>
    <n v="7.2151654261332985E-5"/>
  </r>
  <r>
    <x v="329"/>
    <s v="Pesos"/>
    <d v="2027-01-25T00:00:00"/>
    <s v="29/09/2026"/>
    <n v="0.90624709000000003"/>
    <m/>
    <n v="1648012.48"/>
    <n v="1493506.52"/>
    <n v="1648012.48"/>
    <n v="1493506.52"/>
    <n v="3410389"/>
    <s v="AMOMPY"/>
    <s v="Momentum Capital Investment S.A."/>
    <s v="15/09/2026"/>
    <s v="15/09/2026"/>
    <n v="32"/>
    <s v="No"/>
    <s v=""/>
    <m/>
    <m/>
    <s v="*MAV210101145"/>
    <s v="*MAV210101145"/>
    <n v="1.9855525211114497E-5"/>
  </r>
  <r>
    <x v="224"/>
    <s v="Pesos"/>
    <d v="2027-01-26T00:00:00"/>
    <s v="29/09/2026"/>
    <n v="0.90552748999999999"/>
    <m/>
    <n v="45000000"/>
    <n v="40748737.030000001"/>
    <n v="45000000"/>
    <n v="40748737.030000001"/>
    <n v="51178"/>
    <s v="AMOMPY"/>
    <s v="Momentum Capital Investment S.A."/>
    <s v="21/09/2026"/>
    <s v="21/09/2026"/>
    <n v="32"/>
    <s v="No"/>
    <s v=""/>
    <m/>
    <m/>
    <s v="*MAV220101205"/>
    <s v="*MAV220101205"/>
    <n v="5.4173688871491494E-4"/>
  </r>
  <r>
    <x v="224"/>
    <s v="Pesos"/>
    <d v="2027-01-26T00:00:00"/>
    <s v="29/09/2026"/>
    <n v="0.90552745000000001"/>
    <m/>
    <n v="55000000"/>
    <n v="49804009.57"/>
    <n v="55000000"/>
    <n v="49804009.57"/>
    <n v="51410"/>
    <s v="AMOMPY"/>
    <s v="Momentum Capital Investment S.A."/>
    <s v="24/09/2026"/>
    <s v="24/09/2026"/>
    <n v="32"/>
    <s v="No"/>
    <s v=""/>
    <m/>
    <m/>
    <s v="*MAV220101216"/>
    <s v="*MAV220101216"/>
    <n v="6.6212283266880057E-4"/>
  </r>
  <r>
    <x v="370"/>
    <s v="Pesos"/>
    <d v="2027-01-26T00:00:00"/>
    <s v="29/09/2026"/>
    <n v="0.89757787"/>
    <m/>
    <n v="25000000"/>
    <n v="22439446.739999998"/>
    <n v="25000000"/>
    <n v="22439446.739999998"/>
    <n v="384"/>
    <s v="AMOMPY"/>
    <s v="Momentum Capital Investment S.A."/>
    <s v="18/09/2026"/>
    <s v="18/09/2026"/>
    <n v="35"/>
    <s v="No"/>
    <s v=""/>
    <m/>
    <m/>
    <s v="*MAV220101204"/>
    <s v="*MAV220101204"/>
    <n v="2.9832276893543855E-4"/>
  </r>
  <r>
    <x v="323"/>
    <s v="Pesos"/>
    <d v="2027-01-26T00:00:00"/>
    <s v="29/09/2026"/>
    <n v="0.90552754999999996"/>
    <m/>
    <n v="50000000"/>
    <n v="45276377.289999999"/>
    <n v="50000000"/>
    <n v="45276377.289999999"/>
    <n v="29937729"/>
    <s v="AMOMPY"/>
    <s v="Momentum Capital Investment S.A."/>
    <s v="24/08/2026"/>
    <s v="24/08/2026"/>
    <n v="32"/>
    <s v="No"/>
    <s v=""/>
    <m/>
    <m/>
    <s v="*MAV220101183"/>
    <s v="*MAV220101183"/>
    <n v="6.0192991373718733E-4"/>
  </r>
  <r>
    <x v="323"/>
    <s v="Pesos"/>
    <d v="2027-01-26T00:00:00"/>
    <s v="29/09/2026"/>
    <n v="0.91361923"/>
    <m/>
    <n v="50000000"/>
    <n v="45680961.350000001"/>
    <n v="50000000"/>
    <n v="45680961.350000001"/>
    <n v="29867211"/>
    <s v="AMOMPY"/>
    <s v="Momentum Capital Investment S.A."/>
    <s v="12/08/2026"/>
    <s v="12/08/2026"/>
    <n v="29"/>
    <s v="No"/>
    <s v=""/>
    <m/>
    <m/>
    <s v="*MAV220101179"/>
    <s v="*MAV220101179"/>
    <n v="6.0730868436575155E-4"/>
  </r>
  <r>
    <x v="8"/>
    <s v="Pesos"/>
    <d v="2027-01-26T00:00:00"/>
    <s v="29/09/2026"/>
    <n v="0.90552752000000003"/>
    <m/>
    <n v="15000000"/>
    <n v="13582912.82"/>
    <n v="15000000"/>
    <n v="13582912.82"/>
    <n v="2203"/>
    <s v="AMOMPY"/>
    <s v="Momentum Capital Investment S.A."/>
    <s v="07/09/2026"/>
    <s v="07/09/2026"/>
    <n v="32"/>
    <s v="No"/>
    <s v=""/>
    <m/>
    <m/>
    <s v="*MIL220100031"/>
    <s v="*MIL220100031"/>
    <n v="1.8057896924204944E-4"/>
  </r>
  <r>
    <x v="236"/>
    <s v="Pesos"/>
    <d v="2027-01-26T00:00:00"/>
    <s v="29/09/2026"/>
    <n v="0.91226056"/>
    <m/>
    <n v="50000000"/>
    <n v="45613027.799999997"/>
    <n v="50000000"/>
    <n v="45613027.799999997"/>
    <n v="60074597"/>
    <s v="AMOMPY"/>
    <s v="Momentum Capital Investment S.A."/>
    <s v="17/09/2026"/>
    <s v="17/09/2026"/>
    <n v="29.5"/>
    <s v="No"/>
    <s v=""/>
    <m/>
    <m/>
    <s v="*AAR220100014"/>
    <s v="*AAR220100014"/>
    <n v="6.0640553711018702E-4"/>
  </r>
  <r>
    <x v="238"/>
    <s v="Pesos"/>
    <d v="2027-01-26T00:00:00"/>
    <s v="29/09/2026"/>
    <n v="0.91090601000000004"/>
    <m/>
    <n v="3535037.55"/>
    <n v="3220086.96"/>
    <n v="3535037.55"/>
    <n v="3220086.96"/>
    <n v="3658348"/>
    <s v="AMOMPY"/>
    <s v="Momentum Capital Investment S.A."/>
    <s v="29/09/2026"/>
    <s v="29/09/2026"/>
    <n v="30"/>
    <s v="No"/>
    <s v=""/>
    <m/>
    <m/>
    <s v="*MAV220101235"/>
    <s v="*MAV220101235"/>
    <n v="4.2809667691481548E-5"/>
  </r>
  <r>
    <x v="89"/>
    <s v="Pesos"/>
    <d v="2027-01-27T00:00:00"/>
    <s v="29/09/2026"/>
    <n v="0.91022462000000004"/>
    <m/>
    <n v="5000000"/>
    <n v="4551123.09"/>
    <n v="5000000"/>
    <n v="4551123.09"/>
    <n v="40810976"/>
    <s v="AMOMPY"/>
    <s v="Momentum Capital Investment S.A."/>
    <s v="24/09/2026"/>
    <s v="24/09/2026"/>
    <n v="30"/>
    <s v="No"/>
    <s v=""/>
    <m/>
    <m/>
    <s v="*INP250100058"/>
    <s v="*INP250100058"/>
    <n v="6.050521912176206E-5"/>
  </r>
  <r>
    <x v="224"/>
    <s v="Pesos"/>
    <d v="2027-01-27T00:00:00"/>
    <s v="29/09/2026"/>
    <n v="0.90480934999999996"/>
    <m/>
    <n v="45000000"/>
    <n v="40716420.799999997"/>
    <n v="45000000"/>
    <n v="40716420.799999997"/>
    <n v="51180"/>
    <s v="AMOMPY"/>
    <s v="Momentum Capital Investment S.A."/>
    <s v="21/09/2026"/>
    <s v="21/09/2026"/>
    <n v="32"/>
    <s v="No"/>
    <s v=""/>
    <m/>
    <m/>
    <s v="*MAV250100991"/>
    <s v="*MAV250100991"/>
    <n v="5.4130725837122327E-4"/>
  </r>
  <r>
    <x v="224"/>
    <s v="Pesos"/>
    <d v="2027-01-27T00:00:00"/>
    <s v="29/09/2026"/>
    <n v="0.90480930999999998"/>
    <m/>
    <n v="55000000"/>
    <n v="49764512.100000001"/>
    <n v="55000000"/>
    <n v="49764512.100000001"/>
    <n v="51411"/>
    <s v="AMOMPY"/>
    <s v="Momentum Capital Investment S.A."/>
    <s v="24/09/2026"/>
    <s v="24/09/2026"/>
    <n v="32"/>
    <s v="No"/>
    <s v=""/>
    <m/>
    <m/>
    <s v="*MAV250100997"/>
    <s v="*MAV250100997"/>
    <n v="6.6159773083572645E-4"/>
  </r>
  <r>
    <x v="381"/>
    <s v="Dolar 3500"/>
    <d v="2027-01-27T00:00:00"/>
    <s v="29/09/2026"/>
    <n v="0.96817103000000004"/>
    <s v="1 US3 = 1523,9697583441 $"/>
    <n v="13904"/>
    <n v="13461.45"/>
    <n v="21189275.52"/>
    <n v="20514842.699999999"/>
    <n v="134916"/>
    <s v="AMOMPY"/>
    <s v="Momentum Capital Investment S.A."/>
    <s v="30/12/2025"/>
    <s v="30/12/2025"/>
    <n v="10"/>
    <s v="No"/>
    <s v=""/>
    <m/>
    <m/>
    <s v="#UMV250170065"/>
    <s v="#UMV250170065"/>
    <n v="2.727359880771717E-4"/>
  </r>
  <r>
    <x v="375"/>
    <s v="Pesos"/>
    <d v="2027-01-27T00:00:00"/>
    <s v="29/09/2026"/>
    <n v="0.90750881999999999"/>
    <m/>
    <n v="10000000"/>
    <n v="9075088.1899999995"/>
    <n v="10000000"/>
    <n v="9075088.1899999995"/>
    <n v="142"/>
    <s v="AMOMPY"/>
    <s v="Momentum Capital Investment S.A."/>
    <s v="18/08/2026"/>
    <s v="18/08/2026"/>
    <n v="31"/>
    <s v="No"/>
    <s v=""/>
    <m/>
    <m/>
    <s v="*MAV230101214"/>
    <s v="*MAV230101214"/>
    <n v="1.2064938447649523E-4"/>
  </r>
  <r>
    <x v="37"/>
    <s v="Pesos"/>
    <d v="2027-01-27T00:00:00"/>
    <s v="29/09/2026"/>
    <n v="0.91022449000000005"/>
    <m/>
    <n v="20000000"/>
    <n v="18204489.760000002"/>
    <n v="20000000"/>
    <n v="18204489.760000002"/>
    <n v="40808737"/>
    <s v="AMOMPY"/>
    <s v="Momentum Capital Investment S.A."/>
    <s v="22/09/2026"/>
    <s v="22/09/2026"/>
    <n v="30"/>
    <s v="No"/>
    <s v=""/>
    <m/>
    <m/>
    <s v="*AFB250100004"/>
    <s v="*AFB250100004"/>
    <n v="2.4202084192116933E-4"/>
  </r>
  <r>
    <x v="312"/>
    <s v="Pesos"/>
    <d v="2027-01-27T00:00:00"/>
    <s v="29/09/2026"/>
    <n v="0.89680610000000005"/>
    <m/>
    <n v="20858250"/>
    <n v="18705805.84"/>
    <n v="20858250"/>
    <n v="18705805.84"/>
    <n v="69879215"/>
    <s v="AMOMPY"/>
    <s v="Momentum Capital Investment S.A."/>
    <s v="24/09/2026"/>
    <s v="24/09/2026"/>
    <n v="35"/>
    <s v="No"/>
    <s v=""/>
    <m/>
    <m/>
    <s v="*MAV230101228"/>
    <s v="*MAV230101228"/>
    <n v="2.4868562304658222E-4"/>
  </r>
  <r>
    <x v="350"/>
    <s v="Pesos"/>
    <d v="2027-01-27T00:00:00"/>
    <s v="29/09/2026"/>
    <n v="0.89680599999999999"/>
    <m/>
    <n v="10000000"/>
    <n v="8968060"/>
    <n v="10000000"/>
    <n v="8968060"/>
    <n v="2285694"/>
    <s v="AMOMPY"/>
    <s v="Momentum Capital Investment S.A."/>
    <s v="01/09/2026"/>
    <s v="01/09/2026"/>
    <n v="35"/>
    <s v="No"/>
    <s v=""/>
    <m/>
    <m/>
    <s v="*MAV230101218"/>
    <s v="*MAV230101218"/>
    <n v="1.1922649083901386E-4"/>
  </r>
  <r>
    <x v="324"/>
    <s v="Pesos"/>
    <d v="2027-01-27T00:00:00"/>
    <s v="29/09/2026"/>
    <n v="0.90480914999999995"/>
    <m/>
    <n v="37500000"/>
    <n v="33930343.310000002"/>
    <n v="37500000"/>
    <n v="33930343.310000002"/>
    <n v="90000192"/>
    <s v="AMOMPY"/>
    <s v="Momentum Capital Investment S.A."/>
    <s v="29/09/2026"/>
    <s v="29/09/2026"/>
    <n v="32"/>
    <s v="No"/>
    <s v=""/>
    <m/>
    <m/>
    <s v="*MAV230101233"/>
    <s v="*MAV230101233"/>
    <n v="4.5108928417230825E-4"/>
  </r>
  <r>
    <x v="324"/>
    <s v="Pesos"/>
    <d v="2027-01-27T00:00:00"/>
    <s v="29/09/2026"/>
    <n v="0.90480914999999995"/>
    <m/>
    <n v="37500000"/>
    <n v="33930343.310000002"/>
    <n v="37500000"/>
    <n v="33930343.310000002"/>
    <n v="90000194"/>
    <s v="AMOMPY"/>
    <s v="Momentum Capital Investment S.A."/>
    <s v="29/09/2026"/>
    <s v="29/09/2026"/>
    <n v="32"/>
    <s v="No"/>
    <s v=""/>
    <m/>
    <m/>
    <s v="*MAV240101222"/>
    <s v="*MAV240101222"/>
    <n v="4.5108928417230825E-4"/>
  </r>
  <r>
    <x v="324"/>
    <s v="Pesos"/>
    <d v="2027-01-27T00:00:00"/>
    <s v="29/09/2026"/>
    <n v="0.90480914999999995"/>
    <m/>
    <n v="37500000"/>
    <n v="33930343.310000002"/>
    <n v="37500000"/>
    <n v="33930343.310000002"/>
    <n v="90000191"/>
    <s v="AMOMPY"/>
    <s v="Momentum Capital Investment S.A."/>
    <s v="29/09/2026"/>
    <s v="29/09/2026"/>
    <n v="32"/>
    <s v="No"/>
    <s v=""/>
    <m/>
    <m/>
    <s v="*MAV250101014"/>
    <s v="*MAV250101014"/>
    <n v="4.5108928417230825E-4"/>
  </r>
  <r>
    <x v="249"/>
    <s v="Pesos"/>
    <d v="2027-01-27T00:00:00"/>
    <s v="29/09/2026"/>
    <n v="0.91022455999999996"/>
    <m/>
    <n v="50000000"/>
    <n v="45511228.210000001"/>
    <n v="50000000"/>
    <n v="45511228.210000001"/>
    <n v="6857"/>
    <s v="AMOMPY"/>
    <s v="Momentum Capital Investment S.A."/>
    <s v="16/09/2026"/>
    <s v="16/09/2026"/>
    <n v="30"/>
    <s v="No"/>
    <s v=""/>
    <m/>
    <m/>
    <s v="*MAV230101224"/>
    <s v="*MAV230101224"/>
    <n v="6.0505215545523052E-4"/>
  </r>
  <r>
    <x v="249"/>
    <s v="Pesos"/>
    <d v="2027-01-27T00:00:00"/>
    <s v="29/09/2026"/>
    <n v="0.91022455999999996"/>
    <m/>
    <n v="50000000"/>
    <n v="45511228.210000001"/>
    <n v="50000000"/>
    <n v="45511228.210000001"/>
    <n v="6858"/>
    <s v="AMOMPY"/>
    <s v="Momentum Capital Investment S.A."/>
    <s v="16/09/2026"/>
    <s v="16/09/2026"/>
    <n v="30"/>
    <s v="No"/>
    <s v=""/>
    <m/>
    <m/>
    <s v="*MAV250100985"/>
    <s v="*MAV250100985"/>
    <n v="6.0505215545523052E-4"/>
  </r>
  <r>
    <x v="50"/>
    <s v="Pesos"/>
    <d v="2027-01-28T00:00:00"/>
    <s v="29/09/2026"/>
    <n v="0.90954409999999997"/>
    <m/>
    <n v="25000000"/>
    <n v="22738602.43"/>
    <n v="25000000"/>
    <n v="22738602.43"/>
    <n v="90004236"/>
    <s v="AMOMPY"/>
    <s v="Momentum Capital Investment S.A."/>
    <s v="24/09/2026"/>
    <s v="24/09/2026"/>
    <n v="30"/>
    <s v="No"/>
    <s v=""/>
    <m/>
    <m/>
    <s v="*MAV260101283"/>
    <s v="*MAV260101283"/>
    <n v="3.0229991484360871E-4"/>
  </r>
  <r>
    <x v="6"/>
    <s v="Pesos"/>
    <d v="2027-01-28T00:00:00"/>
    <s v="29/09/2026"/>
    <n v="0.92064780999999996"/>
    <m/>
    <n v="25000000"/>
    <n v="23016195.280000001"/>
    <n v="25000000"/>
    <n v="23016195.280000001"/>
    <n v="9508928"/>
    <s v="AMOMPY"/>
    <s v="Momentum Capital Investment S.A."/>
    <s v="17/07/2026"/>
    <s v="17/07/2026"/>
    <n v="26"/>
    <s v="No"/>
    <s v=""/>
    <m/>
    <m/>
    <s v="*PRO260100013"/>
    <s v="*PRO260100013"/>
    <n v="3.0599039209147508E-4"/>
  </r>
  <r>
    <x v="324"/>
    <s v="Pesos"/>
    <d v="2027-01-28T00:00:00"/>
    <s v="29/09/2026"/>
    <n v="0.90409216999999997"/>
    <m/>
    <n v="37500000"/>
    <n v="33903456.270000003"/>
    <n v="37500000"/>
    <n v="33903456.270000003"/>
    <n v="90000193"/>
    <s v="AMOMPY"/>
    <s v="Momentum Capital Investment S.A."/>
    <s v="29/09/2026"/>
    <s v="29/09/2026"/>
    <n v="32"/>
    <s v="No"/>
    <s v=""/>
    <m/>
    <m/>
    <s v="*MAV260101294"/>
    <s v="*MAV260101294"/>
    <n v="4.5073183256870073E-4"/>
  </r>
  <r>
    <x v="75"/>
    <s v="Pesos"/>
    <d v="2027-01-28T00:00:00"/>
    <s v="29/09/2026"/>
    <n v="0.90139055999999995"/>
    <m/>
    <n v="2000000"/>
    <n v="1802781.12"/>
    <n v="2000000"/>
    <n v="1802781.12"/>
    <n v="44"/>
    <s v="AMOMPY"/>
    <s v="Momentum Capital Investment S.A."/>
    <s v="13/08/2026"/>
    <s v="13/08/2026"/>
    <n v="33"/>
    <s v="No"/>
    <s v=""/>
    <m/>
    <m/>
    <s v="*MAV260101257"/>
    <s v="*MAV260101257"/>
    <n v="2.3967197664648449E-5"/>
  </r>
  <r>
    <x v="27"/>
    <s v="Pesos"/>
    <d v="2027-01-28T00:00:00"/>
    <s v="29/09/2026"/>
    <n v="0.90954420000000002"/>
    <m/>
    <n v="20000000"/>
    <n v="18190884.030000001"/>
    <n v="20000000"/>
    <n v="18190884.030000001"/>
    <n v="40808736"/>
    <s v="AMOMPY"/>
    <s v="Momentum Capital Investment S.A."/>
    <s v="22/09/2026"/>
    <s v="22/09/2026"/>
    <n v="30"/>
    <s v="No"/>
    <s v=""/>
    <m/>
    <m/>
    <s v="*MOV260100076"/>
    <s v="*MOV260100076"/>
    <n v="2.4183995960735751E-4"/>
  </r>
  <r>
    <x v="335"/>
    <s v="Pesos"/>
    <d v="2027-01-28T00:00:00"/>
    <s v="29/09/2026"/>
    <n v="0.90409216999999997"/>
    <m/>
    <n v="11145337.859999999"/>
    <n v="10076412.66"/>
    <n v="11145337.859999999"/>
    <n v="10076412.66"/>
    <n v="18"/>
    <s v="AMOMPY"/>
    <s v="Momentum Capital Investment S.A."/>
    <s v="29/09/2026"/>
    <s v="29/09/2026"/>
    <n v="32"/>
    <s v="No"/>
    <s v=""/>
    <m/>
    <m/>
    <s v="*MAV260101292"/>
    <s v="*MAV260101292"/>
    <n v="1.3396156155262267E-4"/>
  </r>
  <r>
    <x v="351"/>
    <s v="Pesos"/>
    <d v="2027-01-29T00:00:00"/>
    <s v="29/09/2026"/>
    <n v="0.90337604000000005"/>
    <m/>
    <n v="5000000"/>
    <n v="4516880.1900000004"/>
    <n v="5000000"/>
    <n v="4516880.1900000004"/>
    <n v="1826"/>
    <s v="AMOMPY"/>
    <s v="Momentum Capital Investment S.A."/>
    <s v="18/09/2026"/>
    <s v="18/09/2026"/>
    <n v="32"/>
    <s v="No"/>
    <s v=""/>
    <m/>
    <m/>
    <s v="*MAV270101300"/>
    <s v="*MAV270101300"/>
    <n v="6.0049974531164846E-5"/>
  </r>
  <r>
    <x v="249"/>
    <s v="Pesos"/>
    <d v="2027-01-29T00:00:00"/>
    <s v="29/09/2026"/>
    <n v="0.90886454000000005"/>
    <m/>
    <n v="50000000"/>
    <n v="45443227.229999997"/>
    <n v="50000000"/>
    <n v="45443227.229999997"/>
    <n v="6859"/>
    <s v="AMOMPY"/>
    <s v="Momentum Capital Investment S.A."/>
    <s v="16/09/2026"/>
    <s v="16/09/2026"/>
    <n v="30"/>
    <s v="No"/>
    <s v=""/>
    <m/>
    <m/>
    <s v="*MAV270101297"/>
    <s v="*MAV270101297"/>
    <n v="6.0414811174689059E-4"/>
  </r>
  <r>
    <x v="351"/>
    <s v="Pesos"/>
    <d v="2027-02-01T00:00:00"/>
    <s v="29/09/2026"/>
    <n v="0.90123474000000003"/>
    <m/>
    <n v="5000000"/>
    <n v="4506173.72"/>
    <n v="5000000"/>
    <n v="4506173.72"/>
    <n v="1827"/>
    <s v="AMOMPY"/>
    <s v="Momentum Capital Investment S.A."/>
    <s v="18/09/2026"/>
    <s v="18/09/2026"/>
    <n v="32"/>
    <s v="No"/>
    <s v=""/>
    <m/>
    <m/>
    <s v="*MAV280101073"/>
    <s v="*MAV280101073"/>
    <n v="5.9907636628945945E-5"/>
  </r>
  <r>
    <x v="378"/>
    <s v="Pesos"/>
    <d v="2027-02-01T00:00:00"/>
    <s v="29/09/2026"/>
    <n v="0.89846157000000004"/>
    <m/>
    <n v="6006148"/>
    <n v="5396293.1399999997"/>
    <n v="6006148"/>
    <n v="5396293.1399999997"/>
    <n v="1370652"/>
    <s v="AMOMPY"/>
    <s v="Momentum Capital Investment S.A."/>
    <s v="23/09/2026"/>
    <s v="23/09/2026"/>
    <n v="33"/>
    <s v="No"/>
    <s v=""/>
    <m/>
    <m/>
    <s v="*MAV280101078"/>
    <s v="*MAV280101078"/>
    <n v="7.1741390514876488E-5"/>
  </r>
  <r>
    <x v="367"/>
    <s v="Pesos"/>
    <d v="2027-02-01T00:00:00"/>
    <s v="29/09/2026"/>
    <n v="0.9012346"/>
    <m/>
    <n v="20000000"/>
    <n v="18024691.91"/>
    <n v="20000000"/>
    <n v="18024691.91"/>
    <n v="53979"/>
    <s v="AMOMPY"/>
    <s v="Momentum Capital Investment S.A."/>
    <s v="14/08/2026"/>
    <s v="14/08/2026"/>
    <n v="32"/>
    <s v="No"/>
    <s v=""/>
    <m/>
    <m/>
    <s v="*MAV280101052"/>
    <s v="*MAV280101052"/>
    <n v="2.3963050703091441E-4"/>
  </r>
  <r>
    <x v="89"/>
    <s v="Pesos"/>
    <d v="2027-02-02T00:00:00"/>
    <s v="29/09/2026"/>
    <n v="0.89773241000000004"/>
    <m/>
    <n v="10000000"/>
    <n v="8977324.0700000003"/>
    <n v="10000000"/>
    <n v="8977324.0700000003"/>
    <n v="2285691"/>
    <s v="AMOMPY"/>
    <s v="Momentum Capital Investment S.A."/>
    <s v="07/09/2026"/>
    <s v="07/09/2026"/>
    <n v="33"/>
    <s v="No"/>
    <s v=""/>
    <m/>
    <m/>
    <s v="*INP290100056"/>
    <s v="*INP290100056"/>
    <n v="1.1934965265516887E-4"/>
  </r>
  <r>
    <x v="224"/>
    <s v="Pesos"/>
    <d v="2027-02-02T00:00:00"/>
    <s v="29/09/2026"/>
    <n v="0.90052310999999996"/>
    <m/>
    <n v="40000000"/>
    <n v="36020924.539999999"/>
    <n v="40000000"/>
    <n v="36020924.539999999"/>
    <n v="51181"/>
    <s v="AMOMPY"/>
    <s v="Momentum Capital Investment S.A."/>
    <s v="21/09/2026"/>
    <s v="21/09/2026"/>
    <n v="32"/>
    <s v="No"/>
    <s v=""/>
    <m/>
    <m/>
    <s v="*MAV290101085"/>
    <s v="*MAV290101085"/>
    <n v="4.7888266020534203E-4"/>
  </r>
  <r>
    <x v="224"/>
    <s v="Pesos"/>
    <d v="2027-02-02T00:00:00"/>
    <s v="29/09/2026"/>
    <n v="0.90052306999999998"/>
    <m/>
    <n v="55000000"/>
    <n v="49528768.93"/>
    <n v="55000000"/>
    <n v="49528768.93"/>
    <n v="51412"/>
    <s v="AMOMPY"/>
    <s v="Momentum Capital Investment S.A."/>
    <s v="24/09/2026"/>
    <s v="24/09/2026"/>
    <n v="32"/>
    <s v="No"/>
    <s v=""/>
    <m/>
    <m/>
    <s v="*MAV290101094"/>
    <s v="*MAV290101094"/>
    <n v="6.5846362703865491E-4"/>
  </r>
  <r>
    <x v="323"/>
    <s v="Pesos"/>
    <d v="2027-02-02T00:00:00"/>
    <s v="29/09/2026"/>
    <n v="0.90052317000000004"/>
    <m/>
    <n v="50000000"/>
    <n v="45026158.340000004"/>
    <n v="50000000"/>
    <n v="45026158.340000004"/>
    <n v="29937730"/>
    <s v="AMOMPY"/>
    <s v="Momentum Capital Investment S.A."/>
    <s v="24/08/2026"/>
    <s v="24/08/2026"/>
    <n v="32"/>
    <s v="No"/>
    <s v=""/>
    <m/>
    <m/>
    <s v="*MAV290101066"/>
    <s v="*MAV290101066"/>
    <n v="5.9860336068670345E-4"/>
  </r>
  <r>
    <x v="8"/>
    <s v="Pesos"/>
    <d v="2027-02-02T00:00:00"/>
    <s v="29/09/2026"/>
    <n v="0.90052314"/>
    <m/>
    <n v="10000000"/>
    <n v="9005231.4399999995"/>
    <n v="10000000"/>
    <n v="9005231.4399999995"/>
    <n v="2204"/>
    <s v="AMOMPY"/>
    <s v="Momentum Capital Investment S.A."/>
    <s v="07/09/2026"/>
    <s v="07/09/2026"/>
    <n v="32"/>
    <s v="No"/>
    <s v=""/>
    <m/>
    <m/>
    <s v="*MIL290100025"/>
    <s v="*MIL290100025"/>
    <n v="1.1972066910617899E-4"/>
  </r>
  <r>
    <x v="25"/>
    <s v="Pesos"/>
    <d v="2027-02-02T00:00:00"/>
    <s v="29/09/2026"/>
    <n v="0.90615701000000004"/>
    <m/>
    <n v="5580000"/>
    <n v="5056356.0999999996"/>
    <n v="5580000"/>
    <n v="5056356.0999999996"/>
    <n v="11415145"/>
    <s v="AMOMPY"/>
    <s v="Momentum Capital Investment S.A."/>
    <s v="18/09/2026"/>
    <s v="18/09/2026"/>
    <n v="30"/>
    <s v="No"/>
    <s v=""/>
    <m/>
    <m/>
    <s v="*CVA290100009"/>
    <s v="*CVA290100009"/>
    <n v="6.7222074142617448E-5"/>
  </r>
  <r>
    <x v="345"/>
    <s v="Pesos"/>
    <d v="2027-02-02T00:00:00"/>
    <s v="29/09/2026"/>
    <n v="0.90052317000000004"/>
    <m/>
    <n v="10386286.039999999"/>
    <n v="9353091.2200000007"/>
    <n v="10386286.039999999"/>
    <n v="9353091.2200000007"/>
    <n v="54595092"/>
    <s v="AMOMPY"/>
    <s v="Momentum Capital Investment S.A."/>
    <s v="29/09/2026"/>
    <s v="29/09/2026"/>
    <n v="32"/>
    <s v="No"/>
    <s v=""/>
    <m/>
    <m/>
    <s v="*MAV290101099"/>
    <s v="*MAV290101099"/>
    <n v="1.2434531489059964E-4"/>
  </r>
  <r>
    <x v="378"/>
    <s v="Pesos"/>
    <d v="2027-02-03T00:00:00"/>
    <s v="29/09/2026"/>
    <n v="0.89700438999999998"/>
    <m/>
    <n v="6006148"/>
    <n v="5387541.1500000004"/>
    <n v="6006148"/>
    <n v="5387541.1500000004"/>
    <n v="1370653"/>
    <s v="AMOMPY"/>
    <s v="Momentum Capital Investment S.A."/>
    <s v="23/09/2026"/>
    <s v="23/09/2026"/>
    <n v="33"/>
    <s v="No"/>
    <s v=""/>
    <m/>
    <m/>
    <s v="*MAV310101577"/>
    <s v="*MAV310101577"/>
    <n v="7.162503658152212E-5"/>
  </r>
  <r>
    <x v="382"/>
    <s v="Pesos"/>
    <d v="2027-02-03T00:00:00"/>
    <s v="29/09/2026"/>
    <n v="0.89143989999999995"/>
    <m/>
    <n v="32000000"/>
    <n v="28526076.780000001"/>
    <n v="32000000"/>
    <n v="28526076.780000001"/>
    <n v="90000140"/>
    <s v="AMOMPY"/>
    <s v="Momentum Capital Investment S.A."/>
    <s v="16/09/2026"/>
    <s v="16/09/2026"/>
    <n v="35"/>
    <s v="No"/>
    <s v=""/>
    <m/>
    <m/>
    <s v="*MAV300101434"/>
    <s v="*MAV300101434"/>
    <n v="3.7924189087535948E-4"/>
  </r>
  <r>
    <x v="372"/>
    <s v="Pesos"/>
    <d v="2027-02-03T00:00:00"/>
    <s v="29/09/2026"/>
    <n v="0.90263868999999997"/>
    <m/>
    <n v="60000000"/>
    <n v="54158321.369999997"/>
    <n v="60000000"/>
    <n v="54158321.369999997"/>
    <n v="3040"/>
    <s v="AMOMPY"/>
    <s v="Momentum Capital Investment S.A."/>
    <s v="03/09/2026"/>
    <s v="03/09/2026"/>
    <n v="31"/>
    <s v="No"/>
    <s v=""/>
    <m/>
    <m/>
    <s v="*MAV310101565"/>
    <s v="*MAV310101565"/>
    <n v="7.2001153055138722E-4"/>
  </r>
  <r>
    <x v="37"/>
    <s v="Pesos"/>
    <d v="2027-02-03T00:00:00"/>
    <s v="29/09/2026"/>
    <n v="0.90548264999999994"/>
    <m/>
    <n v="14000000"/>
    <n v="12676757.140000001"/>
    <n v="14000000"/>
    <n v="12676757.140000001"/>
    <n v="3385320"/>
    <s v="AMOMPY"/>
    <s v="Momentum Capital Investment S.A."/>
    <s v="16/09/2026"/>
    <s v="16/09/2026"/>
    <n v="30"/>
    <s v="No"/>
    <s v=""/>
    <m/>
    <m/>
    <s v="*NEU300100027"/>
    <s v="*NEU300100027"/>
    <n v="1.685320201939565E-4"/>
  </r>
  <r>
    <x v="37"/>
    <s v="Pesos"/>
    <d v="2027-02-03T00:00:00"/>
    <s v="29/09/2026"/>
    <n v="0.90548255"/>
    <m/>
    <n v="13500000"/>
    <n v="12224014.470000001"/>
    <n v="13500000"/>
    <n v="12224014.470000001"/>
    <n v="166"/>
    <s v="AMOMPY"/>
    <s v="Momentum Capital Investment S.A."/>
    <s v="18/09/2026"/>
    <s v="18/09/2026"/>
    <n v="30"/>
    <s v="No"/>
    <s v=""/>
    <m/>
    <m/>
    <s v="*AFB300100012"/>
    <s v="*AFB300100012"/>
    <n v="1.6251300161054095E-4"/>
  </r>
  <r>
    <x v="75"/>
    <s v="Pesos"/>
    <d v="2027-02-03T00:00:00"/>
    <s v="29/09/2026"/>
    <n v="0.89700431999999997"/>
    <m/>
    <n v="2000000"/>
    <n v="1794008.64"/>
    <n v="2000000"/>
    <n v="1794008.64"/>
    <n v="45"/>
    <s v="AMOMPY"/>
    <s v="Momentum Capital Investment S.A."/>
    <s v="13/08/2026"/>
    <s v="13/08/2026"/>
    <n v="33"/>
    <s v="No"/>
    <s v=""/>
    <m/>
    <m/>
    <s v="*MAV300101407"/>
    <s v="*MAV300101407"/>
    <n v="2.3850571325578966E-5"/>
  </r>
  <r>
    <x v="27"/>
    <s v="Pesos"/>
    <d v="2027-02-03T00:00:00"/>
    <s v="29/09/2026"/>
    <n v="0.90548255"/>
    <m/>
    <n v="6441003"/>
    <n v="5832215.8399999999"/>
    <n v="6441003"/>
    <n v="5832215.8399999999"/>
    <n v="14097860"/>
    <s v="AMOMPY"/>
    <s v="Momentum Capital Investment S.A."/>
    <s v="18/09/2026"/>
    <s v="18/09/2026"/>
    <n v="30"/>
    <s v="No"/>
    <s v=""/>
    <m/>
    <m/>
    <s v="*MOV010200049"/>
    <s v="*MOV010200049"/>
    <n v="7.7536794849600863E-5"/>
  </r>
  <r>
    <x v="27"/>
    <s v="Pesos"/>
    <d v="2027-02-03T00:00:00"/>
    <s v="29/09/2026"/>
    <n v="0.90548253999999995"/>
    <m/>
    <n v="961486.87"/>
    <n v="870609.57"/>
    <n v="961486.87"/>
    <n v="870609.57"/>
    <n v="285"/>
    <s v="AMOMPY"/>
    <s v="Momentum Capital Investment S.A."/>
    <s v="18/09/2026"/>
    <s v="18/09/2026"/>
    <n v="30"/>
    <s v="No"/>
    <s v=""/>
    <m/>
    <m/>
    <s v="*MOV310100091"/>
    <s v="*MOV310100091"/>
    <n v="1.1574378842465683E-5"/>
  </r>
  <r>
    <x v="378"/>
    <s v="Pesos"/>
    <d v="2027-02-05T00:00:00"/>
    <s v="29/09/2026"/>
    <n v="0.89555169000000001"/>
    <m/>
    <n v="6006148"/>
    <n v="5378815.9699999997"/>
    <n v="6006148"/>
    <n v="5378815.9699999997"/>
    <n v="1370657"/>
    <s v="AMOMPY"/>
    <s v="Momentum Capital Investment S.A."/>
    <s v="23/09/2026"/>
    <s v="23/09/2026"/>
    <n v="33"/>
    <s v="No"/>
    <s v=""/>
    <m/>
    <m/>
    <s v="*MAV030201141"/>
    <s v="*MAV030201141"/>
    <n v="7.1509039075557754E-5"/>
  </r>
  <r>
    <x v="370"/>
    <s v="Pesos"/>
    <d v="2027-02-05T00:00:00"/>
    <s v="29/09/2026"/>
    <n v="0.88991849000000001"/>
    <m/>
    <n v="25000000"/>
    <n v="22247962.190000001"/>
    <n v="25000000"/>
    <n v="22247962.190000001"/>
    <n v="1149"/>
    <s v="AMOMPY"/>
    <s v="Momentum Capital Investment S.A."/>
    <s v="18/09/2026"/>
    <s v="18/09/2026"/>
    <n v="35"/>
    <s v="No"/>
    <s v=""/>
    <m/>
    <m/>
    <s v="*MAV030201133"/>
    <s v="*MAV030201133"/>
    <n v="2.9577706440777181E-4"/>
  </r>
  <r>
    <x v="348"/>
    <s v="Pesos"/>
    <d v="2027-02-05T00:00:00"/>
    <s v="29/09/2026"/>
    <n v="0.90125686000000005"/>
    <m/>
    <n v="11820000"/>
    <n v="10652856.07"/>
    <n v="11820000"/>
    <n v="10652856.07"/>
    <n v="14310297"/>
    <s v="AMOMPY"/>
    <s v="Momentum Capital Investment S.A."/>
    <s v="09/09/2026"/>
    <s v="09/09/2026"/>
    <n v="31"/>
    <s v="No"/>
    <s v=""/>
    <m/>
    <m/>
    <s v="*MAV030201112"/>
    <s v="*MAV030201112"/>
    <n v="1.4162512813687555E-4"/>
  </r>
  <r>
    <x v="123"/>
    <s v="Pesos"/>
    <d v="2027-02-05T00:00:00"/>
    <s v="29/09/2026"/>
    <n v="0.89555172000000005"/>
    <m/>
    <n v="25000000"/>
    <n v="22388793.100000001"/>
    <n v="25000000"/>
    <n v="22388793.100000001"/>
    <n v="1353268"/>
    <s v="AMOMPY"/>
    <s v="Momentum Capital Investment S.A."/>
    <s v="09/09/2026"/>
    <s v="09/09/2026"/>
    <n v="33"/>
    <s v="No"/>
    <s v=""/>
    <m/>
    <m/>
    <s v="*MAV030201111"/>
    <s v="*MAV030201111"/>
    <n v="2.9764935063254783E-4"/>
  </r>
  <r>
    <x v="172"/>
    <s v="Pesos"/>
    <d v="2027-02-05T00:00:00"/>
    <s v="29/09/2026"/>
    <n v="0.90413690999999996"/>
    <m/>
    <n v="5000000"/>
    <n v="4520684.53"/>
    <n v="5000000"/>
    <n v="4520684.53"/>
    <n v="3897146"/>
    <s v="AMOMPY"/>
    <s v="Momentum Capital Investment S.A."/>
    <s v="22/09/2026"/>
    <s v="22/09/2026"/>
    <n v="30"/>
    <s v="No"/>
    <s v=""/>
    <m/>
    <m/>
    <s v="*TRD030200026"/>
    <s v="*TRD030200026"/>
    <n v="6.0100551591104061E-5"/>
  </r>
  <r>
    <x v="370"/>
    <s v="Pesos"/>
    <d v="2027-02-10T00:00:00"/>
    <s v="29/09/2026"/>
    <n v="0.88613748000000003"/>
    <m/>
    <n v="25000000"/>
    <n v="22153437.030000001"/>
    <n v="25000000"/>
    <n v="22153437.030000001"/>
    <n v="1150"/>
    <s v="AMOMPY"/>
    <s v="Momentum Capital Investment S.A."/>
    <s v="18/09/2026"/>
    <s v="18/09/2026"/>
    <n v="35"/>
    <s v="No"/>
    <s v=""/>
    <m/>
    <m/>
    <s v="*MAV040200879"/>
    <s v="*MAV040200879"/>
    <n v="2.9452039316306601E-4"/>
  </r>
  <r>
    <x v="118"/>
    <s v="Pesos"/>
    <d v="2027-02-10T00:00:00"/>
    <s v="29/09/2026"/>
    <n v="0.89487112999999996"/>
    <m/>
    <n v="13000000"/>
    <n v="11633324.75"/>
    <n v="13000000"/>
    <n v="11633324.75"/>
    <n v="1309"/>
    <s v="AMOMPY"/>
    <s v="Momentum Capital Investment S.A."/>
    <s v="04/09/2026"/>
    <s v="04/09/2026"/>
    <n v="32"/>
    <s v="No"/>
    <s v=""/>
    <m/>
    <m/>
    <s v="*MAV040200872"/>
    <s v="*MAV040200872"/>
    <n v="1.5466003647758247E-4"/>
  </r>
  <r>
    <x v="271"/>
    <s v="Pesos"/>
    <d v="2027-02-10T00:00:00"/>
    <s v="29/09/2026"/>
    <n v="0.90078986000000005"/>
    <m/>
    <n v="12500000"/>
    <n v="11259873.310000001"/>
    <n v="12500000"/>
    <n v="11259873.310000001"/>
    <n v="240"/>
    <s v="AMOMPY"/>
    <s v="Momentum Capital Investment S.A."/>
    <s v="02/07/2026"/>
    <s v="02/07/2026"/>
    <n v="30"/>
    <s v="No"/>
    <s v=""/>
    <m/>
    <m/>
    <s v="*MAV040200868"/>
    <s v="*MAV040200868"/>
    <n v="1.4969516060811053E-4"/>
  </r>
  <r>
    <x v="194"/>
    <s v="Pesos"/>
    <d v="2027-02-10T00:00:00"/>
    <s v="29/09/2026"/>
    <n v="0.89194077000000005"/>
    <m/>
    <n v="27000000"/>
    <n v="24082400.670000002"/>
    <n v="27000000"/>
    <n v="24082400.670000002"/>
    <n v="80314322"/>
    <s v="AMOMPY"/>
    <s v="Momentum Capital Investment S.A."/>
    <s v="17/09/2026"/>
    <s v="17/09/2026"/>
    <n v="33"/>
    <s v="No"/>
    <s v=""/>
    <m/>
    <m/>
    <s v="*MAV040200876"/>
    <s v="*MAV040200876"/>
    <n v="3.2016513302355432E-4"/>
  </r>
  <r>
    <x v="89"/>
    <s v="Pesos"/>
    <d v="2027-02-11T00:00:00"/>
    <s v="29/09/2026"/>
    <n v="0.89122230000000002"/>
    <m/>
    <n v="10000000"/>
    <n v="8912222.9600000009"/>
    <n v="10000000"/>
    <n v="8912222.9600000009"/>
    <n v="2285692"/>
    <s v="AMOMPY"/>
    <s v="Momentum Capital Investment S.A."/>
    <s v="07/09/2026"/>
    <s v="07/09/2026"/>
    <n v="33"/>
    <s v="No"/>
    <s v=""/>
    <m/>
    <m/>
    <s v="*INP050200047"/>
    <s v="*INP050200047"/>
    <n v="1.1848416146810894E-4"/>
  </r>
  <r>
    <x v="89"/>
    <s v="Pesos"/>
    <d v="2027-02-11T00:00:00"/>
    <s v="29/09/2026"/>
    <n v="0.90012345000000005"/>
    <m/>
    <n v="5000000"/>
    <n v="4500617.2699999996"/>
    <n v="5000000"/>
    <n v="4500617.2699999996"/>
    <n v="40810975"/>
    <s v="AMOMPY"/>
    <s v="Momentum Capital Investment S.A."/>
    <s v="24/09/2026"/>
    <s v="24/09/2026"/>
    <n v="30"/>
    <s v="No"/>
    <s v=""/>
    <m/>
    <m/>
    <s v="*INP050200048"/>
    <s v="*INP050200048"/>
    <n v="5.9833766022034034E-5"/>
  </r>
  <r>
    <x v="370"/>
    <s v="Pesos"/>
    <d v="2027-02-11T00:00:00"/>
    <s v="29/09/2026"/>
    <n v="0.88538508000000005"/>
    <m/>
    <n v="25000000"/>
    <n v="22134627.050000001"/>
    <n v="25000000"/>
    <n v="22134627.050000001"/>
    <n v="1151"/>
    <s v="AMOMPY"/>
    <s v="Momentum Capital Investment S.A."/>
    <s v="18/09/2026"/>
    <s v="18/09/2026"/>
    <n v="35"/>
    <s v="No"/>
    <s v=""/>
    <m/>
    <m/>
    <s v="*MAV050201065"/>
    <s v="*MAV050201065"/>
    <n v="2.9427032258948015E-4"/>
  </r>
  <r>
    <x v="331"/>
    <s v="Pesos"/>
    <d v="2027-02-11T00:00:00"/>
    <s v="29/09/2026"/>
    <n v="0.90615694999999996"/>
    <m/>
    <n v="74495580"/>
    <n v="67504687.579999998"/>
    <n v="74495580"/>
    <n v="67504687.579999998"/>
    <n v="155357"/>
    <s v="AMOMPY"/>
    <s v="Momentum Capital Investment S.A."/>
    <s v="01/07/2026"/>
    <s v="01/07/2026"/>
    <n v="28"/>
    <s v="No"/>
    <s v=""/>
    <m/>
    <m/>
    <s v="#POT080270001"/>
    <s v="#POT080270001"/>
    <n v="8.9744571460799352E-4"/>
  </r>
  <r>
    <x v="370"/>
    <s v="Pesos"/>
    <d v="2027-02-11T00:00:00"/>
    <s v="29/09/2026"/>
    <n v="0.88538508000000005"/>
    <m/>
    <n v="25000000"/>
    <n v="22134627.050000001"/>
    <n v="25000000"/>
    <n v="22134627.050000001"/>
    <n v="1152"/>
    <s v="AMOMPY"/>
    <s v="Momentum Capital Investment S.A."/>
    <s v="18/09/2026"/>
    <s v="18/09/2026"/>
    <n v="35"/>
    <s v="No"/>
    <s v=""/>
    <m/>
    <m/>
    <s v="*MAV050201064"/>
    <s v="*MAV050201064"/>
    <n v="2.9427032258948015E-4"/>
  </r>
  <r>
    <x v="37"/>
    <s v="Pesos"/>
    <d v="2027-02-11T00:00:00"/>
    <s v="29/09/2026"/>
    <n v="0.90012347000000004"/>
    <m/>
    <n v="5000000"/>
    <n v="4500617.33"/>
    <n v="5000000"/>
    <n v="4500617.33"/>
    <n v="1035"/>
    <s v="AMOMPY"/>
    <s v="Momentum Capital Investment S.A."/>
    <s v="17/09/2026"/>
    <s v="17/09/2026"/>
    <n v="30"/>
    <s v="No"/>
    <s v=""/>
    <m/>
    <m/>
    <s v="*AFB050200018"/>
    <s v="*AFB050200018"/>
    <n v="5.9833766819708169E-5"/>
  </r>
  <r>
    <x v="378"/>
    <s v="Pesos"/>
    <d v="2027-02-12T00:00:00"/>
    <s v="29/09/2026"/>
    <n v="0.89050456"/>
    <m/>
    <n v="6006148"/>
    <n v="5348502.1900000004"/>
    <n v="6006148"/>
    <n v="5348502.1900000004"/>
    <n v="1370659"/>
    <s v="AMOMPY"/>
    <s v="Momentum Capital Investment S.A."/>
    <s v="23/09/2026"/>
    <s v="23/09/2026"/>
    <n v="33"/>
    <s v="No"/>
    <s v=""/>
    <m/>
    <m/>
    <s v="*MAV100201661"/>
    <s v="*MAV100201661"/>
    <n v="7.1106030441196933E-5"/>
  </r>
  <r>
    <x v="155"/>
    <s v="Pesos"/>
    <d v="2027-02-12T00:00:00"/>
    <s v="29/09/2026"/>
    <n v="0.90552745999999995"/>
    <m/>
    <n v="50000000"/>
    <n v="45276373.159999996"/>
    <n v="50000000"/>
    <n v="45276373.159999996"/>
    <n v="68036"/>
    <s v="AMOMPY"/>
    <s v="Momentum Capital Investment S.A."/>
    <s v="14/08/2026"/>
    <s v="14/08/2026"/>
    <n v="28"/>
    <s v="No"/>
    <s v=""/>
    <m/>
    <m/>
    <s v="*MAV100201605"/>
    <s v="*MAV100201605"/>
    <n v="6.0192985883061802E-4"/>
  </r>
  <r>
    <x v="132"/>
    <s v="Pesos"/>
    <d v="2027-02-12T00:00:00"/>
    <s v="29/09/2026"/>
    <n v="0.89645353999999999"/>
    <m/>
    <n v="9990457.7699999996"/>
    <n v="8955981.2300000004"/>
    <n v="9990457.7699999996"/>
    <n v="8955981.2300000004"/>
    <n v="3018"/>
    <s v="AMOMPY"/>
    <s v="Momentum Capital Investment S.A."/>
    <s v="09/09/2026"/>
    <s v="09/09/2026"/>
    <n v="31"/>
    <s v="No"/>
    <s v=""/>
    <m/>
    <m/>
    <s v="*MAV080200766"/>
    <s v="*MAV080200766"/>
    <n v="1.1906590880000526E-4"/>
  </r>
  <r>
    <x v="355"/>
    <s v="Pesos"/>
    <d v="2027-02-12T00:00:00"/>
    <s v="29/09/2026"/>
    <n v="0.89346932999999995"/>
    <m/>
    <n v="353613.17"/>
    <n v="315942.52"/>
    <n v="353613.17"/>
    <n v="315942.52"/>
    <n v="2860"/>
    <s v="AMOMPY"/>
    <s v="Momentum Capital Investment S.A."/>
    <s v="15/09/2026"/>
    <s v="15/09/2026"/>
    <n v="32"/>
    <s v="No"/>
    <s v=""/>
    <m/>
    <m/>
    <s v="*MAV060201210"/>
    <s v="*MAV060201210"/>
    <n v="4.2003195748506315E-6"/>
  </r>
  <r>
    <x v="160"/>
    <s v="Pesos"/>
    <d v="2027-02-12T00:00:00"/>
    <s v="29/09/2026"/>
    <n v="0.89346932000000001"/>
    <m/>
    <n v="8123170.71"/>
    <n v="7257803.7800000003"/>
    <n v="8123170.71"/>
    <n v="7257803.7800000003"/>
    <n v="11247"/>
    <s v="AMOMPY"/>
    <s v="Momentum Capital Investment S.A."/>
    <s v="15/09/2026"/>
    <s v="15/09/2026"/>
    <n v="32"/>
    <s v="No"/>
    <s v=""/>
    <m/>
    <m/>
    <s v="*MAV080200769"/>
    <s v="*MAV080200769"/>
    <n v="9.6489371824846199E-5"/>
  </r>
  <r>
    <x v="172"/>
    <s v="Pesos"/>
    <d v="2027-02-12T00:00:00"/>
    <s v="29/09/2026"/>
    <n v="0.89945805000000001"/>
    <m/>
    <n v="3000000"/>
    <n v="2698374.16"/>
    <n v="3000000"/>
    <n v="2698374.16"/>
    <n v="3897147"/>
    <s v="AMOMPY"/>
    <s v="Momentum Capital Investment S.A."/>
    <s v="22/09/2026"/>
    <s v="22/09/2026"/>
    <n v="30"/>
    <s v="No"/>
    <s v=""/>
    <m/>
    <m/>
    <s v="*TRD090200018"/>
    <s v="*TRD090200018"/>
    <n v="3.5873720968355668E-5"/>
  </r>
  <r>
    <x v="161"/>
    <s v="Pesos"/>
    <d v="2027-02-15T00:00:00"/>
    <s v="29/09/2026"/>
    <n v="0.89137443999999999"/>
    <m/>
    <n v="1129854.56"/>
    <n v="1007123.48"/>
    <n v="1129854.56"/>
    <n v="1007123.48"/>
    <n v="1027"/>
    <s v="AMOMPY"/>
    <s v="Momentum Capital Investment S.A."/>
    <s v="15/09/2026"/>
    <s v="15/09/2026"/>
    <n v="32"/>
    <s v="No"/>
    <s v=""/>
    <m/>
    <m/>
    <s v="*MAV110201007"/>
    <s v="*MAV110201007"/>
    <n v="1.3389272413651978E-5"/>
  </r>
  <r>
    <x v="184"/>
    <s v="Dolar 3500"/>
    <d v="2027-02-15T00:00:00"/>
    <s v="29/09/2026"/>
    <n v="0.97043279999999998"/>
    <s v="1 US3 = 1523,9697583441 $"/>
    <n v="18230"/>
    <n v="17690.990000000002"/>
    <n v="27781968.690000001"/>
    <n v="26960533.760000002"/>
    <n v="146450"/>
    <s v="AMOMPY"/>
    <s v="Momentum Capital Investment S.A."/>
    <s v="17/04/2026"/>
    <s v="17/04/2026"/>
    <n v="8"/>
    <s v="No"/>
    <s v=""/>
    <m/>
    <m/>
    <s v="#UMV110270012"/>
    <s v="#UMV110270012"/>
    <n v="3.5842867145754646E-4"/>
  </r>
  <r>
    <x v="89"/>
    <s v="Pesos"/>
    <d v="2027-02-16T00:00:00"/>
    <s v="29/09/2026"/>
    <n v="0.89373177999999998"/>
    <m/>
    <n v="3700000"/>
    <n v="3306807.6"/>
    <n v="3700000"/>
    <n v="3306807.6"/>
    <n v="164553"/>
    <s v="AMOMPY"/>
    <s v="Momentum Capital Investment S.A."/>
    <s v="18/09/2026"/>
    <s v="18/09/2026"/>
    <n v="31"/>
    <s v="No"/>
    <s v=""/>
    <m/>
    <m/>
    <s v="#IGA130270001"/>
    <s v="#IGA130270001"/>
    <n v="4.3962581207951487E-5"/>
  </r>
  <r>
    <x v="374"/>
    <s v="Pesos"/>
    <d v="2027-02-16T00:00:00"/>
    <s v="29/09/2026"/>
    <n v="0.89067856000000001"/>
    <m/>
    <n v="1264579.98"/>
    <n v="1126334.28"/>
    <n v="1264579.98"/>
    <n v="1126334.28"/>
    <n v="798"/>
    <s v="AMOMPY"/>
    <s v="Momentum Capital Investment S.A."/>
    <s v="15/09/2026"/>
    <s v="15/09/2026"/>
    <n v="32"/>
    <s v="No"/>
    <s v=""/>
    <m/>
    <m/>
    <s v="*MAV120201173"/>
    <s v="*MAV120201173"/>
    <n v="1.4974128598168085E-5"/>
  </r>
  <r>
    <x v="323"/>
    <s v="Pesos"/>
    <d v="2027-02-16T00:00:00"/>
    <s v="29/09/2026"/>
    <n v="0.89067852999999997"/>
    <m/>
    <n v="50000000"/>
    <n v="44533926.289999999"/>
    <n v="50000000"/>
    <n v="44533926.289999999"/>
    <n v="40679255"/>
    <s v="AMOMPY"/>
    <s v="Momentum Capital Investment S.A."/>
    <s v="31/08/2026"/>
    <s v="31/08/2026"/>
    <n v="32"/>
    <s v="No"/>
    <s v=""/>
    <m/>
    <m/>
    <s v="*MAV120201158"/>
    <s v="*MAV120201158"/>
    <n v="5.9205934782327542E-4"/>
  </r>
  <r>
    <x v="271"/>
    <s v="Pesos"/>
    <d v="2027-02-16T00:00:00"/>
    <s v="29/09/2026"/>
    <n v="0.89680592999999997"/>
    <m/>
    <n v="12500000"/>
    <n v="11210074.17"/>
    <n v="12500000"/>
    <n v="11210074.17"/>
    <n v="241"/>
    <s v="AMOMPY"/>
    <s v="Momentum Capital Investment S.A."/>
    <s v="02/07/2026"/>
    <s v="02/07/2026"/>
    <n v="30"/>
    <s v="No"/>
    <s v=""/>
    <m/>
    <m/>
    <s v="*MAV120201148"/>
    <s v="*MAV120201148"/>
    <n v="1.4903310251427519E-4"/>
  </r>
  <r>
    <x v="89"/>
    <s v="Pesos"/>
    <d v="2027-02-17T00:00:00"/>
    <s v="29/09/2026"/>
    <n v="0.89614552000000003"/>
    <m/>
    <n v="35000000"/>
    <n v="31365093.350000001"/>
    <n v="35000000"/>
    <n v="31365093.350000001"/>
    <n v="509301"/>
    <s v="AMOMPY"/>
    <s v="Momentum Capital Investment S.A."/>
    <s v="16/09/2026"/>
    <s v="16/09/2026"/>
    <n v="30"/>
    <s v="No"/>
    <s v=""/>
    <m/>
    <m/>
    <s v="*AFB140200003"/>
    <s v="*AFB140200003"/>
    <n v="4.1698539204226885E-4"/>
  </r>
  <r>
    <x v="307"/>
    <s v="Pesos"/>
    <d v="2027-02-17T00:00:00"/>
    <s v="29/09/2026"/>
    <n v="0.88998361999999998"/>
    <m/>
    <n v="1027513.96"/>
    <n v="914470.59"/>
    <n v="1027513.96"/>
    <n v="914470.59"/>
    <n v="3585518"/>
    <s v="AMOMPY"/>
    <s v="Momentum Capital Investment S.A."/>
    <s v="16/09/2026"/>
    <s v="16/09/2026"/>
    <n v="32"/>
    <s v="No"/>
    <s v=""/>
    <m/>
    <m/>
    <s v="*MAV150201136"/>
    <s v="*MAV150201136"/>
    <n v="1.2157492191308108E-5"/>
  </r>
  <r>
    <x v="178"/>
    <s v="Pesos"/>
    <d v="2027-02-17T00:00:00"/>
    <s v="29/09/2026"/>
    <n v="0.88998354999999996"/>
    <m/>
    <n v="1566916.35"/>
    <n v="1394529.78"/>
    <n v="1566916.35"/>
    <n v="1394529.78"/>
    <n v="1184"/>
    <s v="AMOMPY"/>
    <s v="Momentum Capital Investment S.A."/>
    <s v="15/09/2026"/>
    <s v="15/09/2026"/>
    <n v="32"/>
    <s v="No"/>
    <s v=""/>
    <m/>
    <m/>
    <s v="*MAV140201268"/>
    <s v="*MAV140201268"/>
    <n v="1.853967212974735E-5"/>
  </r>
  <r>
    <x v="368"/>
    <s v="Pesos"/>
    <d v="2027-02-17T00:00:00"/>
    <s v="29/09/2026"/>
    <n v="0.87494318000000004"/>
    <m/>
    <n v="25000000"/>
    <n v="21873579.600000001"/>
    <n v="25000000"/>
    <n v="21873579.600000001"/>
    <n v="43"/>
    <s v="AMOMPY"/>
    <s v="Momentum Capital Investment S.A."/>
    <s v="24/08/2026"/>
    <s v="24/08/2026"/>
    <n v="37"/>
    <s v="No"/>
    <s v=""/>
    <m/>
    <m/>
    <s v="*MAV140201265"/>
    <s v="*MAV140201265"/>
    <n v="2.9079980930054445E-4"/>
  </r>
  <r>
    <x v="37"/>
    <s v="Pesos"/>
    <d v="2027-02-17T00:00:00"/>
    <s v="29/09/2026"/>
    <n v="0.89614543000000002"/>
    <m/>
    <n v="13500000"/>
    <n v="12097963.279999999"/>
    <n v="13500000"/>
    <n v="12097963.279999999"/>
    <n v="163"/>
    <s v="AMOMPY"/>
    <s v="Momentum Capital Investment S.A."/>
    <s v="18/09/2026"/>
    <s v="18/09/2026"/>
    <n v="30"/>
    <s v="No"/>
    <s v=""/>
    <m/>
    <m/>
    <s v="*AFB150200007"/>
    <s v="*AFB150200007"/>
    <n v="1.6083720539042401E-4"/>
  </r>
  <r>
    <x v="75"/>
    <s v="Pesos"/>
    <d v="2027-02-17T00:00:00"/>
    <s v="29/09/2026"/>
    <n v="0.88998348999999999"/>
    <m/>
    <n v="2833000"/>
    <n v="2521323.2200000002"/>
    <n v="2833000"/>
    <n v="2521323.2200000002"/>
    <n v="90000058"/>
    <s v="AMOMPY"/>
    <s v="Momentum Capital Investment S.A."/>
    <s v="25/09/2026"/>
    <s v="25/09/2026"/>
    <n v="32"/>
    <s v="No"/>
    <s v=""/>
    <m/>
    <m/>
    <s v="*MAV140201270"/>
    <s v="*MAV140201270"/>
    <n v="3.3519905062134167E-5"/>
  </r>
  <r>
    <x v="172"/>
    <s v="Pesos"/>
    <d v="2027-02-17T00:00:00"/>
    <s v="29/09/2026"/>
    <n v="0.89614539000000004"/>
    <m/>
    <n v="20000000"/>
    <n v="17922907.75"/>
    <n v="20000000"/>
    <n v="17922907.75"/>
    <n v="68586589"/>
    <s v="AMOMPY"/>
    <s v="Momentum Capital Investment S.A."/>
    <s v="21/09/2026"/>
    <s v="21/09/2026"/>
    <n v="30"/>
    <s v="No"/>
    <s v=""/>
    <m/>
    <m/>
    <s v="TRND150200008"/>
    <s v="TRND150200008"/>
    <n v="2.3827733051115464E-4"/>
  </r>
  <r>
    <x v="25"/>
    <s v="Pesos"/>
    <d v="2027-02-17T00:00:00"/>
    <s v="29/09/2026"/>
    <n v="0.89614543000000002"/>
    <m/>
    <n v="5580000"/>
    <n v="5000491.49"/>
    <n v="5580000"/>
    <n v="5000491.49"/>
    <n v="11415144"/>
    <s v="AMOMPY"/>
    <s v="Momentum Capital Investment S.A."/>
    <s v="18/09/2026"/>
    <s v="18/09/2026"/>
    <n v="30"/>
    <s v="No"/>
    <s v=""/>
    <m/>
    <m/>
    <s v="*CVA150200010"/>
    <s v="*CVA150200010"/>
    <n v="6.6479378240450203E-5"/>
  </r>
  <r>
    <x v="362"/>
    <s v="Pesos"/>
    <d v="2027-02-18T00:00:00"/>
    <s v="29/09/2026"/>
    <n v="0.88928967000000003"/>
    <m/>
    <n v="21145734.48"/>
    <n v="18804683.149999999"/>
    <n v="21145734.48"/>
    <n v="18804683.149999999"/>
    <n v="1985963"/>
    <s v="AMOMPY"/>
    <s v="Momentum Capital Investment S.A."/>
    <s v="16/09/2026"/>
    <s v="16/09/2026"/>
    <n v="32"/>
    <s v="No"/>
    <s v=""/>
    <m/>
    <m/>
    <s v="*MAV160201172"/>
    <s v="*MAV160201172"/>
    <n v="2.5000015424897167E-4"/>
  </r>
  <r>
    <x v="380"/>
    <s v="Pesos"/>
    <d v="2027-02-18T00:00:00"/>
    <s v="29/09/2026"/>
    <n v="0.90814094000000001"/>
    <m/>
    <n v="3948801"/>
    <n v="3586067.85"/>
    <n v="3948801"/>
    <n v="3586067.85"/>
    <n v="1017"/>
    <s v="AMOMPY"/>
    <s v="Momentum Capital Investment S.A."/>
    <s v="29/07/2026"/>
    <s v="29/07/2026"/>
    <n v="26"/>
    <s v="No"/>
    <s v=""/>
    <m/>
    <m/>
    <s v="*MAV160201157"/>
    <s v="*MAV160201157"/>
    <n v="4.767522581986596E-5"/>
  </r>
  <r>
    <x v="378"/>
    <s v="Pesos"/>
    <d v="2027-02-19T00:00:00"/>
    <s v="29/09/2026"/>
    <n v="0.88551400999999996"/>
    <m/>
    <n v="6006148"/>
    <n v="5318528.17"/>
    <n v="6006148"/>
    <n v="5318528.17"/>
    <n v="1370661"/>
    <s v="AMOMPY"/>
    <s v="Momentum Capital Investment S.A."/>
    <s v="23/09/2026"/>
    <s v="23/09/2026"/>
    <n v="33"/>
    <s v="No"/>
    <s v=""/>
    <m/>
    <m/>
    <s v="*MAV170201155"/>
    <s v="*MAV170201155"/>
    <n v="7.0707538769537907E-5"/>
  </r>
  <r>
    <x v="172"/>
    <s v="Pesos"/>
    <d v="2027-02-19T00:00:00"/>
    <s v="29/09/2026"/>
    <n v="0.89482737000000001"/>
    <m/>
    <n v="5000000"/>
    <n v="4474136.8499999996"/>
    <n v="5000000"/>
    <n v="4474136.8499999996"/>
    <n v="3897148"/>
    <s v="AMOMPY"/>
    <s v="Momentum Capital Investment S.A."/>
    <s v="22/09/2026"/>
    <s v="22/09/2026"/>
    <n v="30"/>
    <s v="No"/>
    <s v=""/>
    <m/>
    <m/>
    <s v="*TRD170200036"/>
    <s v="*TRD170200036"/>
    <n v="5.9481720255999545E-5"/>
  </r>
  <r>
    <x v="236"/>
    <s v="Pesos"/>
    <d v="2027-02-22T00:00:00"/>
    <s v="29/09/2026"/>
    <n v="0.88967973"/>
    <m/>
    <n v="40000000"/>
    <n v="35587189.369999997"/>
    <n v="40000000"/>
    <n v="35587189.369999997"/>
    <n v="14046"/>
    <s v="AMOMPY"/>
    <s v="Momentum Capital Investment S.A."/>
    <s v="22/09/2026"/>
    <s v="22/09/2026"/>
    <n v="31"/>
    <s v="No"/>
    <s v=""/>
    <m/>
    <m/>
    <s v="*AAR180200021"/>
    <s v="*AAR180200021"/>
    <n v="4.7311633813874529E-4"/>
  </r>
  <r>
    <x v="236"/>
    <s v="Pesos"/>
    <d v="2027-02-22T00:00:00"/>
    <s v="29/09/2026"/>
    <n v="0.88967973"/>
    <m/>
    <n v="21076489.489999998"/>
    <n v="18751325.57"/>
    <n v="21076489.489999998"/>
    <n v="18751325.57"/>
    <n v="14049"/>
    <s v="AMOMPY"/>
    <s v="Momentum Capital Investment S.A."/>
    <s v="22/09/2026"/>
    <s v="22/09/2026"/>
    <n v="31"/>
    <s v="No"/>
    <s v=""/>
    <m/>
    <m/>
    <s v="*AAR180200022"/>
    <s v="*AAR180200022"/>
    <n v="2.4929078822966968E-4"/>
  </r>
  <r>
    <x v="236"/>
    <s v="Pesos"/>
    <d v="2027-02-22T00:00:00"/>
    <s v="29/09/2026"/>
    <n v="0.88967973"/>
    <m/>
    <n v="3640499.43"/>
    <n v="3238878.57"/>
    <n v="3640499.43"/>
    <n v="3238878.57"/>
    <n v="14050"/>
    <s v="AMOMPY"/>
    <s v="Momentum Capital Investment S.A."/>
    <s v="22/09/2026"/>
    <s v="22/09/2026"/>
    <n v="31"/>
    <s v="No"/>
    <s v=""/>
    <m/>
    <m/>
    <s v="*AAR180200023"/>
    <s v="*AAR180200023"/>
    <n v="4.3059494043838163E-5"/>
  </r>
  <r>
    <x v="236"/>
    <s v="Pesos"/>
    <d v="2027-02-22T00:00:00"/>
    <s v="29/09/2026"/>
    <n v="0.88967973"/>
    <m/>
    <n v="26701225.219999999"/>
    <n v="23755538.960000001"/>
    <n v="26701225.219999999"/>
    <n v="23755538.960000001"/>
    <n v="14047"/>
    <s v="AMOMPY"/>
    <s v="Momentum Capital Investment S.A."/>
    <s v="22/09/2026"/>
    <s v="22/09/2026"/>
    <n v="31"/>
    <s v="No"/>
    <s v=""/>
    <m/>
    <m/>
    <s v="*AAR180200024"/>
    <s v="*AAR180200024"/>
    <n v="3.1581964752580571E-4"/>
  </r>
  <r>
    <x v="224"/>
    <s v="Pesos"/>
    <d v="2027-02-23T00:00:00"/>
    <s v="29/09/2026"/>
    <n v="0.88583641000000002"/>
    <m/>
    <n v="75000000"/>
    <n v="66437730.890000001"/>
    <n v="75000000"/>
    <n v="66437730.890000001"/>
    <n v="51413"/>
    <s v="AMOMPY"/>
    <s v="Momentum Capital Investment S.A."/>
    <s v="24/09/2026"/>
    <s v="24/09/2026"/>
    <n v="32"/>
    <s v="No"/>
    <s v=""/>
    <m/>
    <m/>
    <s v="*MAV190200967"/>
    <s v="*MAV190200967"/>
    <n v="8.8326098546636094E-4"/>
  </r>
  <r>
    <x v="224"/>
    <s v="Pesos"/>
    <d v="2027-02-23T00:00:00"/>
    <s v="29/09/2026"/>
    <n v="0.88583643999999995"/>
    <m/>
    <n v="55000000"/>
    <n v="48721004.219999999"/>
    <n v="55000000"/>
    <n v="48721004.219999999"/>
    <n v="51556"/>
    <s v="AMOMPY"/>
    <s v="Momentum Capital Investment S.A."/>
    <s v="28/09/2026"/>
    <s v="28/09/2026"/>
    <n v="32"/>
    <s v="No"/>
    <s v=""/>
    <m/>
    <m/>
    <s v="*MAV190200972"/>
    <s v="*MAV190200972"/>
    <n v="6.4772474351235218E-4"/>
  </r>
  <r>
    <x v="25"/>
    <s v="Pesos"/>
    <d v="2027-02-23T00:00:00"/>
    <s v="29/09/2026"/>
    <n v="0.89380824999999997"/>
    <m/>
    <n v="5633315"/>
    <n v="5035103.45"/>
    <n v="5633315"/>
    <n v="5035103.45"/>
    <n v="69874693"/>
    <s v="AMOMPY"/>
    <s v="Momentum Capital Investment S.A."/>
    <s v="23/09/2026"/>
    <s v="23/09/2026"/>
    <n v="29.5"/>
    <s v="No"/>
    <s v=""/>
    <m/>
    <m/>
    <s v="*CVA190200010"/>
    <s v="*CVA190200010"/>
    <n v="6.6939529324615597E-5"/>
  </r>
  <r>
    <x v="89"/>
    <s v="Pesos"/>
    <d v="2027-02-24T00:00:00"/>
    <s v="29/09/2026"/>
    <n v="0.88198346999999999"/>
    <m/>
    <n v="10000000"/>
    <n v="8819834.6999999993"/>
    <n v="10000000"/>
    <n v="8819834.6999999993"/>
    <n v="69401185"/>
    <s v="AMOMPY"/>
    <s v="Momentum Capital Investment S.A."/>
    <s v="07/09/2026"/>
    <s v="07/09/2026"/>
    <n v="33"/>
    <s v="No"/>
    <s v=""/>
    <m/>
    <m/>
    <s v="*INP200200087"/>
    <s v="*INP200200087"/>
    <n v="1.1725589938751152E-4"/>
  </r>
  <r>
    <x v="89"/>
    <s v="Pesos"/>
    <d v="2027-02-26T00:00:00"/>
    <s v="29/09/2026"/>
    <n v="0.88057920999999995"/>
    <m/>
    <n v="10000000"/>
    <n v="8805792.0500000007"/>
    <n v="10000000"/>
    <n v="8805792.0500000007"/>
    <n v="69401363"/>
    <s v="AMOMPY"/>
    <s v="Momentum Capital Investment S.A."/>
    <s v="07/09/2026"/>
    <s v="07/09/2026"/>
    <n v="33"/>
    <s v="No"/>
    <s v=""/>
    <m/>
    <m/>
    <s v="*INP240200080"/>
    <s v="*INP240200080"/>
    <n v="1.1706920841069152E-4"/>
  </r>
  <r>
    <x v="224"/>
    <s v="Pesos"/>
    <d v="2027-02-26T00:00:00"/>
    <s v="29/09/2026"/>
    <n v="0.88377740000000005"/>
    <m/>
    <n v="45000000"/>
    <n v="39769982.869999997"/>
    <n v="45000000"/>
    <n v="39769982.869999997"/>
    <n v="51558"/>
    <s v="AMOMPY"/>
    <s v="Momentum Capital Investment S.A."/>
    <s v="28/09/2026"/>
    <s v="28/09/2026"/>
    <n v="32"/>
    <s v="No"/>
    <s v=""/>
    <m/>
    <m/>
    <s v="*MAV240201211"/>
    <s v="*MAV240201211"/>
    <n v="5.2872477417833879E-4"/>
  </r>
  <r>
    <x v="378"/>
    <s v="Pesos"/>
    <d v="2027-02-26T00:00:00"/>
    <s v="29/09/2026"/>
    <n v="0.88057907000000002"/>
    <m/>
    <n v="6006148"/>
    <n v="5288888.25"/>
    <n v="6006148"/>
    <n v="5288888.25"/>
    <n v="1370662"/>
    <s v="AMOMPY"/>
    <s v="Momentum Capital Investment S.A."/>
    <s v="23/09/2026"/>
    <s v="23/09/2026"/>
    <n v="33"/>
    <s v="No"/>
    <s v=""/>
    <m/>
    <m/>
    <s v="*MAV240201203"/>
    <s v="*MAV240201203"/>
    <n v="7.0313488813321176E-5"/>
  </r>
  <r>
    <x v="172"/>
    <s v="Pesos"/>
    <d v="2027-02-26T00:00:00"/>
    <s v="29/09/2026"/>
    <n v="0.89024413000000002"/>
    <m/>
    <n v="5000000"/>
    <n v="4451220.6399999997"/>
    <n v="5000000"/>
    <n v="4451220.6399999997"/>
    <n v="3897149"/>
    <s v="AMOMPY"/>
    <s v="Momentum Capital Investment S.A."/>
    <s v="22/09/2026"/>
    <s v="22/09/2026"/>
    <n v="30"/>
    <s v="No"/>
    <s v=""/>
    <m/>
    <m/>
    <s v="*TRD240200026"/>
    <s v="*TRD240200026"/>
    <n v="5.9177059125093872E-5"/>
  </r>
  <r>
    <x v="89"/>
    <s v="Pesos"/>
    <d v="2027-03-02T00:00:00"/>
    <s v="29/09/2026"/>
    <n v="0.88433406999999997"/>
    <m/>
    <n v="2000000"/>
    <n v="1768668.13"/>
    <n v="2000000"/>
    <n v="1768668.13"/>
    <n v="69223307"/>
    <s v="AMOMPY"/>
    <s v="Momentum Capital Investment S.A."/>
    <s v="24/09/2026"/>
    <s v="24/09/2026"/>
    <n v="31"/>
    <s v="No"/>
    <s v=""/>
    <m/>
    <m/>
    <s v="*INP260200084"/>
    <s v="*INP260200084"/>
    <n v="2.3513680171486449E-5"/>
  </r>
  <r>
    <x v="89"/>
    <s v="Pesos"/>
    <d v="2027-03-02T00:00:00"/>
    <s v="29/09/2026"/>
    <n v="0.88764600999999999"/>
    <m/>
    <n v="5000000"/>
    <n v="4438230.07"/>
    <n v="5000000"/>
    <n v="4438230.07"/>
    <n v="40810974"/>
    <s v="AMOMPY"/>
    <s v="Momentum Capital Investment S.A."/>
    <s v="24/09/2026"/>
    <s v="24/09/2026"/>
    <n v="30"/>
    <s v="No"/>
    <s v=""/>
    <m/>
    <m/>
    <s v="*INP260200085"/>
    <s v="*INP260200085"/>
    <n v="5.9004355098236507E-5"/>
  </r>
  <r>
    <x v="224"/>
    <s v="Pesos"/>
    <d v="2027-03-02T00:00:00"/>
    <s v="29/09/2026"/>
    <n v="0.88104674000000005"/>
    <m/>
    <n v="75000000"/>
    <n v="66078505.490000002"/>
    <n v="75000000"/>
    <n v="66078505.490000002"/>
    <n v="51414"/>
    <s v="AMOMPY"/>
    <s v="Momentum Capital Investment S.A."/>
    <s v="24/09/2026"/>
    <s v="24/09/2026"/>
    <n v="32"/>
    <s v="No"/>
    <s v=""/>
    <m/>
    <m/>
    <s v="*MAV260201119"/>
    <s v="*MAV260201119"/>
    <n v="8.7848523866468472E-4"/>
  </r>
  <r>
    <x v="383"/>
    <s v="Pesos"/>
    <d v="2027-03-02T00:00:00"/>
    <s v="29/09/2026"/>
    <n v="0.87778376000000002"/>
    <m/>
    <n v="26750000"/>
    <n v="23480715.68"/>
    <n v="26750000"/>
    <n v="23480715.68"/>
    <n v="17"/>
    <s v="AMOMPY"/>
    <s v="Momentum Capital Investment S.A."/>
    <s v="24/09/2026"/>
    <s v="24/09/2026"/>
    <n v="33"/>
    <s v="No"/>
    <s v=""/>
    <m/>
    <m/>
    <s v="*MAV260201117"/>
    <s v="*MAV260201117"/>
    <n v="3.1216599051690211E-4"/>
  </r>
  <r>
    <x v="384"/>
    <s v="Pesos"/>
    <d v="2027-03-02T00:00:00"/>
    <s v="29/09/2026"/>
    <n v="0.90114574000000003"/>
    <m/>
    <n v="25000000"/>
    <n v="22528643.600000001"/>
    <n v="25000000"/>
    <n v="22528643.600000001"/>
    <n v="1163"/>
    <s v="AMOMPY"/>
    <s v="Momentum Capital Investment S.A."/>
    <s v="22/09/2026"/>
    <s v="22/09/2026"/>
    <n v="26"/>
    <s v="No"/>
    <s v=""/>
    <m/>
    <m/>
    <s v="*ACI260200307"/>
    <s v="*ACI260200307"/>
    <n v="2.9950860272910846E-4"/>
  </r>
  <r>
    <x v="89"/>
    <s v="Pesos"/>
    <d v="2027-03-03T00:00:00"/>
    <s v="29/09/2026"/>
    <n v="0.87708770000000003"/>
    <m/>
    <n v="10000000"/>
    <n v="8770877.0299999993"/>
    <n v="10000000"/>
    <n v="8770877.0299999993"/>
    <n v="69401460"/>
    <s v="AMOMPY"/>
    <s v="Momentum Capital Investment S.A."/>
    <s v="07/09/2026"/>
    <s v="07/09/2026"/>
    <n v="33"/>
    <s v="No"/>
    <s v=""/>
    <m/>
    <m/>
    <s v="*INP270200088"/>
    <s v="*INP270200088"/>
    <n v="1.1660502827449996E-4"/>
  </r>
  <r>
    <x v="89"/>
    <s v="Pesos"/>
    <d v="2027-03-03T00:00:00"/>
    <s v="29/09/2026"/>
    <n v="0.88367030000000002"/>
    <m/>
    <n v="1667000"/>
    <n v="1473078.39"/>
    <n v="1667000"/>
    <n v="1473078.39"/>
    <n v="752"/>
    <s v="AMOMPY"/>
    <s v="Momentum Capital Investment S.A."/>
    <s v="24/09/2026"/>
    <s v="24/09/2026"/>
    <n v="31"/>
    <s v="No"/>
    <s v=""/>
    <m/>
    <m/>
    <s v="*INP280200088"/>
    <s v="*INP280200088"/>
    <n v="1.9583942030994916E-5"/>
  </r>
  <r>
    <x v="89"/>
    <s v="Pesos"/>
    <d v="2027-03-03T00:00:00"/>
    <s v="29/09/2026"/>
    <n v="0.89035259"/>
    <m/>
    <n v="4715388"/>
    <n v="4198357.93"/>
    <n v="4715388"/>
    <n v="4198357.93"/>
    <n v="4614"/>
    <s v="AMOMPY"/>
    <s v="Momentum Capital Investment S.A."/>
    <s v="18/09/2026"/>
    <s v="18/09/2026"/>
    <n v="29"/>
    <s v="No"/>
    <s v=""/>
    <m/>
    <m/>
    <s v="*INP280200087"/>
    <s v="*INP280200087"/>
    <n v="5.5815358425350204E-5"/>
  </r>
  <r>
    <x v="378"/>
    <s v="Pesos"/>
    <d v="2027-03-03T00:00:00"/>
    <s v="29/09/2026"/>
    <n v="0.87708779999999997"/>
    <m/>
    <n v="6006148"/>
    <n v="5267919.16"/>
    <n v="6006148"/>
    <n v="5267919.16"/>
    <n v="1370664"/>
    <s v="AMOMPY"/>
    <s v="Momentum Capital Investment S.A."/>
    <s v="23/09/2026"/>
    <s v="23/09/2026"/>
    <n v="33"/>
    <s v="No"/>
    <s v=""/>
    <m/>
    <m/>
    <s v="*MAV280201815"/>
    <s v="*MAV280201815"/>
    <n v="7.0034713803253498E-5"/>
  </r>
  <r>
    <x v="372"/>
    <s v="Pesos"/>
    <d v="2027-03-03T00:00:00"/>
    <s v="29/09/2026"/>
    <n v="0.88367034"/>
    <m/>
    <n v="65000000"/>
    <n v="57438572.369999997"/>
    <n v="65000000"/>
    <n v="57438572.369999997"/>
    <n v="3042"/>
    <s v="AMOMPY"/>
    <s v="Momentum Capital Investment S.A."/>
    <s v="03/09/2026"/>
    <s v="03/09/2026"/>
    <n v="31"/>
    <s v="No"/>
    <s v=""/>
    <m/>
    <m/>
    <s v="*MAV280201801"/>
    <s v="*MAV280201801"/>
    <n v="7.6362105321305161E-4"/>
  </r>
  <r>
    <x v="37"/>
    <s v="Pesos"/>
    <d v="2027-03-03T00:00:00"/>
    <s v="29/09/2026"/>
    <n v="0.8803668"/>
    <m/>
    <n v="25000000"/>
    <n v="22009169.91"/>
    <n v="25000000"/>
    <n v="22009169.91"/>
    <n v="2703"/>
    <s v="AMOMPY"/>
    <s v="Momentum Capital Investment S.A."/>
    <s v="14/08/2026"/>
    <s v="14/08/2026"/>
    <n v="32"/>
    <s v="No"/>
    <s v=""/>
    <m/>
    <m/>
    <s v="*AFB010300005"/>
    <s v="*AFB010300005"/>
    <n v="2.9260242400796989E-4"/>
  </r>
  <r>
    <x v="25"/>
    <s v="Pesos"/>
    <d v="2027-03-03T00:00:00"/>
    <s v="29/09/2026"/>
    <n v="0.88699890000000003"/>
    <m/>
    <n v="5580000"/>
    <n v="4949453.8499999996"/>
    <n v="5580000"/>
    <n v="4949453.8499999996"/>
    <n v="11415143"/>
    <s v="AMOMPY"/>
    <s v="Momentum Capital Investment S.A."/>
    <s v="18/09/2026"/>
    <s v="18/09/2026"/>
    <n v="30"/>
    <s v="No"/>
    <s v=""/>
    <m/>
    <m/>
    <s v="*CVA010300008"/>
    <s v="*CVA010300008"/>
    <n v="6.5800854823133082E-5"/>
  </r>
  <r>
    <x v="27"/>
    <s v="Pesos"/>
    <d v="2027-03-03T00:00:00"/>
    <s v="29/09/2026"/>
    <n v="0.88699890000000003"/>
    <m/>
    <n v="6441003"/>
    <n v="5713162.5700000003"/>
    <n v="6441003"/>
    <n v="5713162.5700000003"/>
    <n v="14097861"/>
    <s v="AMOMPY"/>
    <s v="Momentum Capital Investment S.A."/>
    <s v="18/09/2026"/>
    <s v="18/09/2026"/>
    <n v="30"/>
    <s v="No"/>
    <s v=""/>
    <m/>
    <m/>
    <s v="*MOV010300046"/>
    <s v="*MOV010300046"/>
    <n v="7.5954032958510756E-5"/>
  </r>
  <r>
    <x v="27"/>
    <s v="Pesos"/>
    <d v="2027-03-03T00:00:00"/>
    <s v="29/09/2026"/>
    <n v="0.88699890000000003"/>
    <m/>
    <n v="2122114"/>
    <n v="1882312.78"/>
    <n v="2122114"/>
    <n v="1882312.78"/>
    <n v="10558308"/>
    <s v="AMOMPY"/>
    <s v="Momentum Capital Investment S.A."/>
    <s v="18/09/2026"/>
    <s v="18/09/2026"/>
    <n v="30"/>
    <s v="No"/>
    <s v=""/>
    <m/>
    <m/>
    <s v="*MOV270200077"/>
    <s v="*MOV270200077"/>
    <n v="2.5024536791773106E-5"/>
  </r>
  <r>
    <x v="172"/>
    <s v="Pesos"/>
    <d v="2027-03-04T00:00:00"/>
    <s v="29/09/2026"/>
    <n v="0.88635268"/>
    <m/>
    <n v="6000000"/>
    <n v="5318116.05"/>
    <n v="6000000"/>
    <n v="5318116.05"/>
    <n v="3897150"/>
    <s v="AMOMPY"/>
    <s v="Momentum Capital Investment S.A."/>
    <s v="22/09/2026"/>
    <s v="22/09/2026"/>
    <n v="30"/>
    <s v="No"/>
    <s v=""/>
    <m/>
    <m/>
    <s v="*TRD020300030"/>
    <s v="*TRD020300030"/>
    <n v="7.0702059811836407E-5"/>
  </r>
  <r>
    <x v="89"/>
    <s v="Pesos"/>
    <d v="2027-03-05T00:00:00"/>
    <s v="29/09/2026"/>
    <n v="0.88234597999999997"/>
    <m/>
    <n v="9000000"/>
    <n v="7941113.7800000003"/>
    <n v="9000000"/>
    <n v="7941113.7800000003"/>
    <n v="4970"/>
    <s v="AMOMPY"/>
    <s v="Momentum Capital Investment S.A."/>
    <s v="24/09/2026"/>
    <s v="24/09/2026"/>
    <n v="31"/>
    <s v="No"/>
    <s v=""/>
    <m/>
    <m/>
    <s v="*INP030300058"/>
    <s v="*INP030300058"/>
    <n v="1.0557368364425938E-4"/>
  </r>
  <r>
    <x v="89"/>
    <s v="Pesos"/>
    <d v="2027-03-05T00:00:00"/>
    <s v="29/09/2026"/>
    <n v="0.88234597999999997"/>
    <m/>
    <n v="9000000"/>
    <n v="7941113.7800000003"/>
    <n v="9000000"/>
    <n v="7941113.7800000003"/>
    <n v="4969"/>
    <s v="AMOMPY"/>
    <s v="Momentum Capital Investment S.A."/>
    <s v="24/09/2026"/>
    <s v="24/09/2026"/>
    <n v="31"/>
    <s v="No"/>
    <s v=""/>
    <m/>
    <m/>
    <s v="*INP030300057"/>
    <s v="*INP030300057"/>
    <n v="1.0557368364425938E-4"/>
  </r>
  <r>
    <x v="348"/>
    <s v="Pesos"/>
    <d v="2027-03-05T00:00:00"/>
    <s v="29/09/2026"/>
    <n v="0.87900975999999997"/>
    <m/>
    <n v="11820000"/>
    <n v="10389895.390000001"/>
    <n v="11820000"/>
    <n v="10389895.390000001"/>
    <n v="14310298"/>
    <s v="AMOMPY"/>
    <s v="Momentum Capital Investment S.A."/>
    <s v="15/09/2026"/>
    <s v="15/09/2026"/>
    <n v="32"/>
    <s v="No"/>
    <s v=""/>
    <m/>
    <m/>
    <s v="*MAV030301176"/>
    <s v="*MAV030301176"/>
    <n v="1.381291792800391E-4"/>
  </r>
  <r>
    <x v="378"/>
    <s v="Pesos"/>
    <d v="2027-03-08T00:00:00"/>
    <s v="29/09/2026"/>
    <n v="0.87362386999999997"/>
    <m/>
    <n v="6006148"/>
    <n v="5247114.26"/>
    <n v="6006148"/>
    <n v="5247114.26"/>
    <n v="1370673"/>
    <s v="AMOMPY"/>
    <s v="Momentum Capital Investment S.A."/>
    <s v="23/09/2026"/>
    <s v="23/09/2026"/>
    <n v="33"/>
    <s v="No"/>
    <s v=""/>
    <m/>
    <m/>
    <s v="*MAV040301189"/>
    <s v="*MAV040301189"/>
    <n v="6.9758121628440154E-5"/>
  </r>
  <r>
    <x v="89"/>
    <s v="Pesos"/>
    <d v="2027-03-09T00:00:00"/>
    <s v="29/09/2026"/>
    <n v="0.88313584999999994"/>
    <m/>
    <n v="5000000"/>
    <n v="4415679.2699999996"/>
    <n v="5000000"/>
    <n v="4415679.2699999996"/>
    <n v="40810973"/>
    <s v="AMOMPY"/>
    <s v="Momentum Capital Investment S.A."/>
    <s v="24/09/2026"/>
    <s v="24/09/2026"/>
    <n v="30"/>
    <s v="No"/>
    <s v=""/>
    <m/>
    <m/>
    <s v="*INP050300044"/>
    <s v="*INP050300044"/>
    <n v="5.8704551935722819E-5"/>
  </r>
  <r>
    <x v="355"/>
    <s v="Pesos"/>
    <d v="2027-03-10T00:00:00"/>
    <s v="29/09/2026"/>
    <n v="0.87563594"/>
    <m/>
    <n v="353613.17"/>
    <n v="309636.40000000002"/>
    <n v="353613.17"/>
    <n v="309636.40000000002"/>
    <n v="2863"/>
    <s v="AMOMPY"/>
    <s v="Momentum Capital Investment S.A."/>
    <s v="15/09/2026"/>
    <s v="15/09/2026"/>
    <n v="32"/>
    <s v="No"/>
    <s v=""/>
    <m/>
    <m/>
    <s v="*MAV060301353"/>
    <s v="*MAV060301353"/>
    <n v="4.1164824285325073E-6"/>
  </r>
  <r>
    <x v="160"/>
    <s v="Pesos"/>
    <d v="2027-03-12T00:00:00"/>
    <s v="29/09/2026"/>
    <n v="0.87429343000000004"/>
    <m/>
    <n v="8123170.7400000002"/>
    <n v="7102034.8200000003"/>
    <n v="8123170.7400000002"/>
    <n v="7102034.8200000003"/>
    <n v="11248"/>
    <s v="AMOMPY"/>
    <s v="Momentum Capital Investment S.A."/>
    <s v="15/09/2026"/>
    <s v="15/09/2026"/>
    <n v="32"/>
    <s v="No"/>
    <s v=""/>
    <m/>
    <m/>
    <s v="*MAV100301603"/>
    <s v="*MAV100301603"/>
    <n v="9.4418490666330011E-5"/>
  </r>
  <r>
    <x v="172"/>
    <s v="Pesos"/>
    <d v="2027-03-12T00:00:00"/>
    <s v="29/09/2026"/>
    <n v="0.88121684"/>
    <m/>
    <n v="5000000"/>
    <n v="4406084.1900000004"/>
    <n v="5000000"/>
    <n v="4406084.1900000004"/>
    <n v="3927501"/>
    <s v="AMOMPY"/>
    <s v="Momentum Capital Investment S.A."/>
    <s v="22/09/2026"/>
    <s v="22/09/2026"/>
    <n v="30"/>
    <s v="No"/>
    <s v=""/>
    <m/>
    <m/>
    <s v="*TRD100300038"/>
    <s v="*TRD100300038"/>
    <n v="5.8576989484343199E-5"/>
  </r>
  <r>
    <x v="378"/>
    <s v="Pesos"/>
    <d v="2027-03-15T00:00:00"/>
    <s v="29/09/2026"/>
    <n v="0.86882022000000003"/>
    <m/>
    <n v="6006148"/>
    <n v="5218262.8"/>
    <n v="6006148"/>
    <n v="5218262.8"/>
    <n v="1370676"/>
    <s v="AMOMPY"/>
    <s v="Momentum Capital Investment S.A."/>
    <s v="23/09/2026"/>
    <s v="23/09/2026"/>
    <n v="33"/>
    <s v="No"/>
    <s v=""/>
    <m/>
    <m/>
    <s v="*MAV110301338"/>
    <s v="*MAV110301338"/>
    <n v="6.9374553907954094E-5"/>
  </r>
  <r>
    <x v="161"/>
    <s v="Pesos"/>
    <d v="2027-03-15T00:00:00"/>
    <s v="29/09/2026"/>
    <n v="0.87228764000000003"/>
    <m/>
    <n v="1129854.56"/>
    <n v="985558.17"/>
    <n v="1129854.56"/>
    <n v="985558.17"/>
    <n v="1028"/>
    <s v="AMOMPY"/>
    <s v="Momentum Capital Investment S.A."/>
    <s v="15/09/2026"/>
    <s v="15/09/2026"/>
    <n v="32"/>
    <s v="No"/>
    <s v=""/>
    <m/>
    <m/>
    <s v="*MAV110301337"/>
    <s v="*MAV110301337"/>
    <n v="1.3102570915763305E-5"/>
  </r>
  <r>
    <x v="89"/>
    <s v="Pesos"/>
    <d v="2027-03-16T00:00:00"/>
    <s v="29/09/2026"/>
    <n v="0.87513207999999998"/>
    <m/>
    <n v="3700000"/>
    <n v="3237988.7"/>
    <n v="3700000"/>
    <n v="3237988.7"/>
    <n v="164546"/>
    <s v="AMOMPY"/>
    <s v="Momentum Capital Investment S.A."/>
    <s v="18/09/2026"/>
    <s v="18/09/2026"/>
    <n v="31"/>
    <s v="No"/>
    <s v=""/>
    <m/>
    <m/>
    <s v="#IGA150370001"/>
    <s v="#IGA150370001"/>
    <n v="4.3047663605883592E-5"/>
  </r>
  <r>
    <x v="92"/>
    <s v="Pesos"/>
    <d v="2027-03-17T00:00:00"/>
    <s v="29/09/2026"/>
    <n v="0.88887806999999996"/>
    <m/>
    <n v="13688973.9"/>
    <n v="12167828.689999999"/>
    <n v="13688973.9"/>
    <n v="12167828.689999999"/>
    <n v="606303"/>
    <s v="AMOMPY"/>
    <s v="Momentum Capital Investment S.A."/>
    <s v="01/09/2026"/>
    <s v="01/09/2026"/>
    <n v="27"/>
    <s v="No"/>
    <s v=""/>
    <m/>
    <m/>
    <s v="*MAV150301329"/>
    <s v="*MAV150301329"/>
    <n v="1.6176603589170623E-4"/>
  </r>
  <r>
    <x v="385"/>
    <s v="Pesos"/>
    <d v="2027-03-17T00:00:00"/>
    <s v="29/09/2026"/>
    <n v="0.86745742999999997"/>
    <m/>
    <n v="19588994.07"/>
    <n v="16992618.390000001"/>
    <n v="19588994.07"/>
    <n v="16992618.390000001"/>
    <n v="69546964"/>
    <s v="AMOMPY"/>
    <s v="Momentum Capital Investment S.A."/>
    <s v="07/09/2026"/>
    <s v="07/09/2026"/>
    <n v="33"/>
    <s v="No"/>
    <s v=""/>
    <m/>
    <m/>
    <s v="*MAV150301331"/>
    <s v="*MAV150301331"/>
    <n v="2.2590953459345649E-4"/>
  </r>
  <r>
    <x v="75"/>
    <s v="Pesos"/>
    <d v="2027-03-17T00:00:00"/>
    <s v="29/09/2026"/>
    <n v="0.87095557000000001"/>
    <m/>
    <n v="2833000"/>
    <n v="2467417.13"/>
    <n v="2833000"/>
    <n v="2467417.13"/>
    <n v="90000059"/>
    <s v="AMOMPY"/>
    <s v="Momentum Capital Investment S.A."/>
    <s v="25/09/2026"/>
    <s v="25/09/2026"/>
    <n v="32"/>
    <s v="No"/>
    <s v=""/>
    <m/>
    <m/>
    <s v="*MAV140301241"/>
    <s v="*MAV140301241"/>
    <n v="3.2803246838889441E-5"/>
  </r>
  <r>
    <x v="184"/>
    <s v="Dolar 3500"/>
    <d v="2027-03-17T00:00:00"/>
    <s v="29/09/2026"/>
    <n v="0.96428305000000003"/>
    <s v="1 US3 = 1523,9697583441 $"/>
    <n v="18230"/>
    <n v="17578.88"/>
    <n v="27781968.690000001"/>
    <n v="26789681.510000002"/>
    <n v="146451"/>
    <s v="AMOMPY"/>
    <s v="Momentum Capital Investment S.A."/>
    <s v="17/04/2026"/>
    <s v="17/04/2026"/>
    <n v="8"/>
    <s v="No"/>
    <s v=""/>
    <m/>
    <m/>
    <s v="#UMV130370002"/>
    <s v="#UMV130370002"/>
    <n v="3.5615726446211493E-4"/>
  </r>
  <r>
    <x v="172"/>
    <s v="Pesos"/>
    <d v="2027-03-17T00:00:00"/>
    <s v="29/09/2026"/>
    <n v="0.87803715999999998"/>
    <m/>
    <n v="20000000"/>
    <n v="17560743.129999999"/>
    <n v="20000000"/>
    <n v="17560743.129999999"/>
    <n v="68586590"/>
    <s v="AMOMPY"/>
    <s v="Momentum Capital Investment S.A."/>
    <s v="21/09/2026"/>
    <s v="21/09/2026"/>
    <n v="30"/>
    <s v="No"/>
    <s v=""/>
    <m/>
    <m/>
    <s v="TRND150300005"/>
    <s v="TRND150300005"/>
    <n v="2.3346250804691545E-4"/>
  </r>
  <r>
    <x v="362"/>
    <s v="Pesos"/>
    <d v="2027-03-18T00:00:00"/>
    <s v="29/09/2026"/>
    <n v="0.87029109000000004"/>
    <m/>
    <n v="21145734.48"/>
    <n v="18402944.219999999"/>
    <n v="21145734.48"/>
    <n v="18402944.219999999"/>
    <n v="1985965"/>
    <s v="AMOMPY"/>
    <s v="Momentum Capital Investment S.A."/>
    <s v="16/09/2026"/>
    <s v="16/09/2026"/>
    <n v="32"/>
    <s v="No"/>
    <s v=""/>
    <m/>
    <m/>
    <s v="*MAV160301227"/>
    <s v="*MAV160301227"/>
    <n v="2.446592083969903E-4"/>
  </r>
  <r>
    <x v="380"/>
    <s v="Pesos"/>
    <d v="2027-03-18T00:00:00"/>
    <s v="29/09/2026"/>
    <n v="0.89198443000000005"/>
    <m/>
    <n v="3948801"/>
    <n v="3522268.99"/>
    <n v="3948801"/>
    <n v="3522268.99"/>
    <n v="1018"/>
    <s v="AMOMPY"/>
    <s v="Momentum Capital Investment S.A."/>
    <s v="29/07/2026"/>
    <s v="29/07/2026"/>
    <n v="26"/>
    <s v="No"/>
    <s v=""/>
    <m/>
    <m/>
    <s v="*MAV160301224"/>
    <s v="*MAV160301224"/>
    <n v="4.6827047485050015E-5"/>
  </r>
  <r>
    <x v="25"/>
    <s v="Pesos"/>
    <d v="2027-03-18T00:00:00"/>
    <s v="29/09/2026"/>
    <n v="0.87740393999999999"/>
    <m/>
    <n v="5580000"/>
    <n v="4895913.96"/>
    <n v="5580000"/>
    <n v="4895913.96"/>
    <n v="11415142"/>
    <s v="AMOMPY"/>
    <s v="Momentum Capital Investment S.A."/>
    <s v="18/09/2026"/>
    <s v="18/09/2026"/>
    <n v="30"/>
    <s v="No"/>
    <s v=""/>
    <m/>
    <m/>
    <s v="*CVA160300014"/>
    <s v="*CVA160300014"/>
    <n v="6.508906507098972E-5"/>
  </r>
  <r>
    <x v="89"/>
    <s v="Pesos"/>
    <d v="2027-03-19T00:00:00"/>
    <s v="29/09/2026"/>
    <n v="0.87318503000000003"/>
    <m/>
    <n v="20000000"/>
    <n v="17463700.609999999"/>
    <n v="20000000"/>
    <n v="17463700.609999999"/>
    <n v="69904903"/>
    <s v="AMOMPY"/>
    <s v="Momentum Capital Investment S.A."/>
    <s v="24/09/2026"/>
    <s v="24/09/2026"/>
    <n v="31"/>
    <s v="No"/>
    <s v=""/>
    <m/>
    <m/>
    <s v="*INP170300062"/>
    <s v="*INP170300062"/>
    <n v="2.3217236958644855E-4"/>
  </r>
  <r>
    <x v="384"/>
    <s v="Pesos"/>
    <d v="2027-03-19T00:00:00"/>
    <s v="29/09/2026"/>
    <n v="0.88403427999999995"/>
    <m/>
    <n v="19000000"/>
    <n v="16796651.280000001"/>
    <n v="19000000"/>
    <n v="16796651.280000001"/>
    <n v="1558096"/>
    <s v="AMOMPY"/>
    <s v="Momentum Capital Investment S.A."/>
    <s v="17/09/2026"/>
    <s v="17/09/2026"/>
    <n v="28"/>
    <s v="No"/>
    <s v=""/>
    <m/>
    <m/>
    <s v="*ACI170300249"/>
    <s v="*ACI170300249"/>
    <n v="2.2330423636338634E-4"/>
  </r>
  <r>
    <x v="172"/>
    <s v="Pesos"/>
    <d v="2027-03-19T00:00:00"/>
    <s v="29/09/2026"/>
    <n v="0.87677161000000003"/>
    <m/>
    <n v="5000000"/>
    <n v="4383858.05"/>
    <n v="5000000"/>
    <n v="4383858.05"/>
    <n v="3927502"/>
    <s v="AMOMPY"/>
    <s v="Momentum Capital Investment S.A."/>
    <s v="22/09/2026"/>
    <s v="22/09/2026"/>
    <n v="30"/>
    <s v="No"/>
    <s v=""/>
    <m/>
    <m/>
    <s v="*TRD170300034"/>
    <s v="*TRD170300034"/>
    <n v="5.8281502536542144E-5"/>
  </r>
  <r>
    <x v="378"/>
    <s v="Pesos"/>
    <d v="2027-03-22T00:00:00"/>
    <s v="29/09/2026"/>
    <n v="0.86406910000000003"/>
    <m/>
    <n v="6006148"/>
    <n v="5189726.9000000004"/>
    <n v="6006148"/>
    <n v="5189726.9000000004"/>
    <n v="1370682"/>
    <s v="AMOMPY"/>
    <s v="Momentum Capital Investment S.A."/>
    <s v="23/09/2026"/>
    <s v="23/09/2026"/>
    <n v="33"/>
    <s v="No"/>
    <s v=""/>
    <m/>
    <m/>
    <s v="*MAV180301345"/>
    <s v="*MAV180301345"/>
    <n v="6.8995181421604437E-5"/>
  </r>
  <r>
    <x v="224"/>
    <s v="Pesos"/>
    <d v="2027-03-23T00:00:00"/>
    <s v="29/09/2026"/>
    <n v="0.86698355999999999"/>
    <m/>
    <n v="45000000"/>
    <n v="39014260.210000001"/>
    <n v="45000000"/>
    <n v="39014260.210000001"/>
    <n v="51559"/>
    <s v="AMOMPY"/>
    <s v="Momentum Capital Investment S.A."/>
    <s v="28/09/2026"/>
    <s v="28/09/2026"/>
    <n v="32"/>
    <s v="No"/>
    <s v=""/>
    <m/>
    <m/>
    <s v="*MAV190301060"/>
    <s v="*MAV190301060"/>
    <n v="5.1867776726722029E-4"/>
  </r>
  <r>
    <x v="384"/>
    <s v="Pesos"/>
    <d v="2027-03-23T00:00:00"/>
    <s v="29/09/2026"/>
    <n v="0.88164266999999996"/>
    <m/>
    <n v="19000000"/>
    <n v="16751210.699999999"/>
    <n v="19000000"/>
    <n v="16751210.699999999"/>
    <n v="1558097"/>
    <s v="AMOMPY"/>
    <s v="Momentum Capital Investment S.A."/>
    <s v="17/09/2026"/>
    <s v="17/09/2026"/>
    <n v="28"/>
    <s v="No"/>
    <s v=""/>
    <m/>
    <m/>
    <s v="*ACI190300237"/>
    <s v="*ACI190300237"/>
    <n v="2.2270012344542084E-4"/>
  </r>
  <r>
    <x v="326"/>
    <s v="Pesos"/>
    <d v="2027-03-29T00:00:00"/>
    <s v="29/09/2026"/>
    <n v="0.85936961000000001"/>
    <m/>
    <n v="182156"/>
    <n v="156539.32999999999"/>
    <n v="182156"/>
    <n v="156539.32999999999"/>
    <n v="2232886"/>
    <s v="AMOMPY"/>
    <s v="Momentum Capital Investment S.A."/>
    <s v="22/09/2026"/>
    <s v="22/09/2026"/>
    <n v="33"/>
    <s v="No"/>
    <s v=""/>
    <m/>
    <m/>
    <s v="*MAV220300963"/>
    <s v="*MAV220300963"/>
    <n v="2.0811228954969487E-6"/>
  </r>
  <r>
    <x v="383"/>
    <s v="Pesos"/>
    <d v="2027-03-29T00:00:00"/>
    <s v="29/09/2026"/>
    <n v="0.85936948999999996"/>
    <m/>
    <n v="25000000"/>
    <n v="21484237.32"/>
    <n v="25000000"/>
    <n v="21484237.32"/>
    <n v="20"/>
    <s v="AMOMPY"/>
    <s v="Momentum Capital Investment S.A."/>
    <s v="24/09/2026"/>
    <s v="24/09/2026"/>
    <n v="33"/>
    <s v="No"/>
    <s v=""/>
    <m/>
    <m/>
    <s v="*MAV220300967"/>
    <s v="*MAV220300967"/>
    <n v="2.8562367156510771E-4"/>
  </r>
  <r>
    <x v="386"/>
    <s v="Pesos"/>
    <d v="2027-03-29T00:00:00"/>
    <s v="29/09/2026"/>
    <n v="0.85936966000000004"/>
    <m/>
    <n v="22918216.550000001"/>
    <n v="19695219.989999998"/>
    <n v="22918216.550000001"/>
    <n v="19695219.989999998"/>
    <n v="1368028"/>
    <s v="AMOMPY"/>
    <s v="Momentum Capital Investment S.A."/>
    <s v="23/09/2026"/>
    <s v="23/09/2026"/>
    <n v="33"/>
    <s v="No"/>
    <s v=""/>
    <m/>
    <m/>
    <s v="*MAV200301774"/>
    <s v="*MAV200301774"/>
    <n v="2.6183945755381849E-4"/>
  </r>
  <r>
    <x v="386"/>
    <s v="Pesos"/>
    <d v="2027-03-29T00:00:00"/>
    <s v="29/09/2026"/>
    <n v="0.85936966000000004"/>
    <m/>
    <n v="24000000"/>
    <n v="20624871.870000001"/>
    <n v="24000000"/>
    <n v="20624871.870000001"/>
    <n v="40811462"/>
    <s v="AMOMPY"/>
    <s v="Momentum Capital Investment S.A."/>
    <s v="23/09/2026"/>
    <s v="23/09/2026"/>
    <n v="33"/>
    <s v="No"/>
    <s v=""/>
    <m/>
    <m/>
    <s v="*MAV200301775"/>
    <s v="*MAV200301775"/>
    <n v="2.7419877844978621E-4"/>
  </r>
  <r>
    <x v="386"/>
    <s v="Pesos"/>
    <d v="2027-03-29T00:00:00"/>
    <s v="29/09/2026"/>
    <n v="0.85936966000000004"/>
    <m/>
    <n v="24000000"/>
    <n v="20624871.870000001"/>
    <n v="24000000"/>
    <n v="20624871.870000001"/>
    <n v="10718061"/>
    <s v="AMOMPY"/>
    <s v="Momentum Capital Investment S.A."/>
    <s v="23/09/2026"/>
    <s v="23/09/2026"/>
    <n v="33"/>
    <s v="No"/>
    <s v=""/>
    <m/>
    <m/>
    <s v="*MAV200301776"/>
    <s v="*MAV200301776"/>
    <n v="2.7419877844978621E-4"/>
  </r>
  <r>
    <x v="25"/>
    <s v="Pesos"/>
    <d v="2027-03-29T00:00:00"/>
    <s v="29/09/2026"/>
    <n v="0.87238152999999996"/>
    <m/>
    <n v="5633315"/>
    <n v="4914399.95"/>
    <n v="5633315"/>
    <n v="4914399.95"/>
    <n v="69874720"/>
    <s v="AMOMPY"/>
    <s v="Momentum Capital Investment S.A."/>
    <s v="23/09/2026"/>
    <s v="23/09/2026"/>
    <n v="29.5"/>
    <s v="No"/>
    <s v=""/>
    <m/>
    <m/>
    <s v="*CVA210300008"/>
    <s v="*CVA210300008"/>
    <n v="6.5334828337224016E-5"/>
  </r>
  <r>
    <x v="224"/>
    <s v="Pesos"/>
    <d v="2027-03-31T00:00:00"/>
    <s v="29/09/2026"/>
    <n v="0.86174346000000002"/>
    <m/>
    <n v="45000000"/>
    <n v="38778455.530000001"/>
    <n v="45000000"/>
    <n v="38778455.530000001"/>
    <n v="51560"/>
    <s v="AMOMPY"/>
    <s v="Momentum Capital Investment S.A."/>
    <s v="28/09/2026"/>
    <s v="28/09/2026"/>
    <n v="32"/>
    <s v="No"/>
    <s v=""/>
    <m/>
    <m/>
    <s v="*MAV260301224"/>
    <s v="*MAV260301224"/>
    <n v="5.1554284572122083E-4"/>
  </r>
  <r>
    <x v="378"/>
    <s v="Pesos"/>
    <d v="2027-03-31T00:00:00"/>
    <s v="29/09/2026"/>
    <n v="0.85803620999999997"/>
    <m/>
    <n v="6006148"/>
    <n v="5153492.45"/>
    <n v="6006148"/>
    <n v="5153492.45"/>
    <n v="1370685"/>
    <s v="AMOMPY"/>
    <s v="Momentum Capital Investment S.A."/>
    <s v="23/09/2026"/>
    <s v="23/09/2026"/>
    <n v="33"/>
    <s v="No"/>
    <s v=""/>
    <m/>
    <m/>
    <s v="*MAV250301643"/>
    <s v="*MAV250301643"/>
    <n v="6.8513460032476603E-5"/>
  </r>
  <r>
    <x v="387"/>
    <s v="Pesos"/>
    <d v="2027-03-31T00:00:00"/>
    <s v="29/09/2026"/>
    <n v="0.90886467999999998"/>
    <m/>
    <n v="5000000"/>
    <n v="4544323.41"/>
    <n v="5000000"/>
    <n v="4544323.41"/>
    <n v="100"/>
    <s v="AMOMPY"/>
    <s v="Momentum Capital Investment S.A."/>
    <s v="11/09/2026"/>
    <s v="11/09/2026"/>
    <n v="20"/>
    <s v="No"/>
    <s v=""/>
    <m/>
    <m/>
    <s v="*MAV260301221"/>
    <s v="*MAV260301221"/>
    <n v="6.0414820308057844E-5"/>
  </r>
  <r>
    <x v="384"/>
    <s v="Pesos"/>
    <d v="2027-03-31T00:00:00"/>
    <s v="29/09/2026"/>
    <n v="0.87689806000000003"/>
    <m/>
    <n v="19000000"/>
    <n v="16661063.119999999"/>
    <n v="19000000"/>
    <n v="16661063.119999999"/>
    <n v="1558098"/>
    <s v="AMOMPY"/>
    <s v="Momentum Capital Investment S.A."/>
    <s v="17/09/2026"/>
    <s v="17/09/2026"/>
    <n v="28"/>
    <s v="No"/>
    <s v=""/>
    <m/>
    <m/>
    <s v="*ACI240300132"/>
    <s v="*ACI240300132"/>
    <n v="2.2150165023928381E-4"/>
  </r>
  <r>
    <x v="172"/>
    <s v="Pesos"/>
    <d v="2027-03-31T00:00:00"/>
    <s v="29/09/2026"/>
    <n v="0.86925479000000005"/>
    <m/>
    <n v="6000000"/>
    <n v="5215528.7300000004"/>
    <n v="6000000"/>
    <n v="5215528.7300000004"/>
    <n v="3927503"/>
    <s v="AMOMPY"/>
    <s v="Momentum Capital Investment S.A."/>
    <s v="22/09/2026"/>
    <s v="22/09/2026"/>
    <n v="30"/>
    <s v="No"/>
    <s v=""/>
    <m/>
    <m/>
    <s v="*TRD240300020"/>
    <s v="*TRD240300020"/>
    <n v="6.9338205626184326E-5"/>
  </r>
  <r>
    <x v="224"/>
    <s v="Pesos"/>
    <d v="2027-04-01T00:00:00"/>
    <s v="29/09/2026"/>
    <n v="0.86109283999999997"/>
    <m/>
    <n v="45000000"/>
    <n v="38749177.659999996"/>
    <n v="45000000"/>
    <n v="38749177.659999996"/>
    <n v="51561"/>
    <s v="AMOMPY"/>
    <s v="Momentum Capital Investment S.A."/>
    <s v="28/09/2026"/>
    <s v="28/09/2026"/>
    <n v="32"/>
    <s v="No"/>
    <s v=""/>
    <m/>
    <m/>
    <s v="*MAV300301219"/>
    <s v="*MAV300301219"/>
    <n v="5.1515360906364475E-4"/>
  </r>
  <r>
    <x v="378"/>
    <s v="Pesos"/>
    <d v="2027-04-05T00:00:00"/>
    <s v="29/09/2026"/>
    <n v="0.85472106999999997"/>
    <m/>
    <n v="6006148"/>
    <n v="5133581.24"/>
    <n v="6006148"/>
    <n v="5133581.24"/>
    <n v="1370687"/>
    <s v="AMOMPY"/>
    <s v="Momentum Capital Investment S.A."/>
    <s v="23/09/2026"/>
    <s v="23/09/2026"/>
    <n v="33"/>
    <s v="No"/>
    <s v=""/>
    <m/>
    <m/>
    <s v="*MAV310301582"/>
    <s v="*MAV310301582"/>
    <n v="6.8248749080870711E-5"/>
  </r>
  <r>
    <x v="383"/>
    <s v="Pesos"/>
    <d v="2027-04-05T00:00:00"/>
    <s v="29/09/2026"/>
    <n v="0.85472090000000001"/>
    <m/>
    <n v="25000000"/>
    <n v="21368022.48"/>
    <n v="25000000"/>
    <n v="21368022.48"/>
    <n v="69974642"/>
    <s v="AMOMPY"/>
    <s v="Momentum Capital Investment S.A."/>
    <s v="24/09/2026"/>
    <s v="24/09/2026"/>
    <n v="33"/>
    <s v="No"/>
    <s v=""/>
    <m/>
    <m/>
    <s v="*MAV310301583"/>
    <s v="*MAV310301583"/>
    <n v="2.8407864537698926E-4"/>
  </r>
  <r>
    <x v="172"/>
    <s v="Pesos"/>
    <d v="2027-04-05T00:00:00"/>
    <s v="29/09/2026"/>
    <n v="0.86616053999999998"/>
    <m/>
    <n v="4000000"/>
    <n v="3464642.17"/>
    <n v="4000000"/>
    <n v="3464642.17"/>
    <n v="3927504"/>
    <s v="AMOMPY"/>
    <s v="Momentum Capital Investment S.A."/>
    <s v="22/09/2026"/>
    <s v="22/09/2026"/>
    <n v="30"/>
    <s v="No"/>
    <s v=""/>
    <m/>
    <m/>
    <s v="*TRD310300036"/>
    <s v="*TRD310300036"/>
    <n v="4.6060923760764994E-5"/>
  </r>
  <r>
    <x v="25"/>
    <s v="Pesos"/>
    <d v="2027-04-05T00:00:00"/>
    <s v="29/09/2026"/>
    <n v="0.86616051999999999"/>
    <m/>
    <n v="5580000"/>
    <n v="4833175.6900000004"/>
    <n v="5580000"/>
    <n v="4833175.6900000004"/>
    <n v="11415141"/>
    <s v="AMOMPY"/>
    <s v="Momentum Capital Investment S.A."/>
    <s v="18/09/2026"/>
    <s v="18/09/2026"/>
    <n v="30"/>
    <s v="No"/>
    <s v=""/>
    <m/>
    <m/>
    <s v="*CVA310300029"/>
    <s v="*CVA310300029"/>
    <n v="6.4254986822917054E-5"/>
  </r>
  <r>
    <x v="337"/>
    <s v="Pesos"/>
    <d v="2027-04-07T00:00:00"/>
    <s v="29/09/2026"/>
    <n v="0.85340192000000004"/>
    <m/>
    <n v="27362969"/>
    <n v="23351610.41"/>
    <n v="27362969"/>
    <n v="23351610.41"/>
    <n v="90004141"/>
    <s v="AMOMPY"/>
    <s v="Momentum Capital Investment S.A."/>
    <s v="22/09/2026"/>
    <s v="22/09/2026"/>
    <n v="33"/>
    <s v="No"/>
    <s v=""/>
    <m/>
    <m/>
    <s v="*MAV020400539"/>
    <s v="*MAV020400539"/>
    <n v="3.1044959162004779E-4"/>
  </r>
  <r>
    <x v="184"/>
    <s v="Dolar 3500"/>
    <d v="2027-04-14T00:00:00"/>
    <s v="29/09/2026"/>
    <n v="0.95861107999999995"/>
    <s v="1 US3 = 1523,9697583441 $"/>
    <n v="18230"/>
    <n v="17475.48"/>
    <n v="27781968.690000001"/>
    <n v="26632103.030000001"/>
    <n v="146452"/>
    <s v="AMOMPY"/>
    <s v="Momentum Capital Investment S.A."/>
    <s v="17/04/2026"/>
    <s v="17/04/2026"/>
    <n v="8"/>
    <s v="No"/>
    <s v=""/>
    <m/>
    <m/>
    <s v="#UMV120470004"/>
    <s v="#UMV120470004"/>
    <n v="3.5406232651543013E-4"/>
  </r>
  <r>
    <x v="89"/>
    <s v="Pesos"/>
    <d v="2027-04-15T00:00:00"/>
    <s v="29/09/2026"/>
    <n v="0.85604406"/>
    <m/>
    <n v="3700000"/>
    <n v="3167363.03"/>
    <n v="3700000"/>
    <n v="3167363.03"/>
    <n v="164548"/>
    <s v="AMOMPY"/>
    <s v="Momentum Capital Investment S.A."/>
    <s v="18/09/2026"/>
    <s v="18/09/2026"/>
    <n v="31"/>
    <s v="No"/>
    <s v=""/>
    <m/>
    <m/>
    <s v="#IGA140470001"/>
    <s v="#IGA140470001"/>
    <n v="4.2108725775711378E-5"/>
  </r>
  <r>
    <x v="380"/>
    <s v="Pesos"/>
    <d v="2027-04-19T00:00:00"/>
    <s v="29/09/2026"/>
    <n v="0.87420971999999997"/>
    <m/>
    <n v="3948801"/>
    <n v="3452080.22"/>
    <n v="3948801"/>
    <n v="3452080.22"/>
    <n v="1019"/>
    <s v="AMOMPY"/>
    <s v="Momentum Capital Investment S.A."/>
    <s v="29/07/2026"/>
    <s v="29/07/2026"/>
    <n v="26"/>
    <s v="No"/>
    <s v=""/>
    <m/>
    <m/>
    <s v="*MAV150401628"/>
    <s v="*MAV150401628"/>
    <n v="4.589391805199463E-5"/>
  </r>
  <r>
    <x v="75"/>
    <s v="Pesos"/>
    <d v="2027-04-19T00:00:00"/>
    <s v="29/09/2026"/>
    <n v="0.84954858"/>
    <m/>
    <n v="2833000"/>
    <n v="2406771.14"/>
    <n v="2833000"/>
    <n v="2406771.14"/>
    <n v="90000060"/>
    <s v="AMOMPY"/>
    <s v="Momentum Capital Investment S.A."/>
    <s v="25/09/2026"/>
    <s v="25/09/2026"/>
    <n v="32"/>
    <s v="No"/>
    <s v=""/>
    <m/>
    <m/>
    <s v="*MAV150401636"/>
    <s v="*MAV150401636"/>
    <n v="3.199698455126448E-5"/>
  </r>
  <r>
    <x v="184"/>
    <s v="Dolar 3500"/>
    <d v="2027-05-14T00:00:00"/>
    <s v="29/09/2026"/>
    <n v="0.95260449999999997"/>
    <s v="1 US3 = 1523,9697583441 $"/>
    <n v="18230"/>
    <n v="17365.98"/>
    <n v="27781968.690000001"/>
    <n v="26465228.34"/>
    <n v="146453"/>
    <s v="AMOMPY"/>
    <s v="Momentum Capital Investment S.A."/>
    <s v="17/04/2026"/>
    <s v="17/04/2026"/>
    <n v="8"/>
    <s v="No"/>
    <s v=""/>
    <m/>
    <m/>
    <s v="#UMV120570002"/>
    <s v="#UMV120570002"/>
    <n v="3.5184379946514855E-4"/>
  </r>
  <r>
    <x v="89"/>
    <s v="Pesos"/>
    <d v="2027-05-17T00:00:00"/>
    <s v="29/09/2026"/>
    <n v="0.83658052999999999"/>
    <m/>
    <n v="3700000"/>
    <n v="3095347.97"/>
    <n v="3700000"/>
    <n v="3095347.97"/>
    <n v="164551"/>
    <s v="AMOMPY"/>
    <s v="Momentum Capital Investment S.A."/>
    <s v="18/09/2026"/>
    <s v="18/09/2026"/>
    <n v="31"/>
    <s v="No"/>
    <s v=""/>
    <m/>
    <m/>
    <s v="#IGA140570001"/>
    <s v="#IGA140570001"/>
    <n v="4.115131660456834E-5"/>
  </r>
  <r>
    <x v="75"/>
    <s v="Pesos"/>
    <d v="2027-05-19T00:00:00"/>
    <s v="29/09/2026"/>
    <n v="0.83098086000000004"/>
    <m/>
    <n v="2833000"/>
    <n v="2354168.7799999998"/>
    <n v="2833000"/>
    <n v="2354168.7799999998"/>
    <n v="90000061"/>
    <s v="AMOMPY"/>
    <s v="Momentum Capital Investment S.A."/>
    <s v="25/09/2026"/>
    <s v="25/09/2026"/>
    <n v="32"/>
    <s v="No"/>
    <s v=""/>
    <m/>
    <m/>
    <s v="*MAV150501968"/>
    <s v="*MAV150501968"/>
    <n v="3.1297658856225581E-5"/>
  </r>
  <r>
    <x v="388"/>
    <s v="Pesos"/>
    <d v="2027-05-27T00:00:00"/>
    <s v="29/09/2026"/>
    <n v="0.82170200000000004"/>
    <m/>
    <n v="31000000"/>
    <n v="25472762.079999998"/>
    <n v="31000000"/>
    <n v="25472762.079999998"/>
    <n v="4482"/>
    <s v="AMOMPY"/>
    <s v="Momentum Capital Investment S.A."/>
    <s v="11/09/2026"/>
    <s v="11/09/2026"/>
    <n v="33"/>
    <s v="No"/>
    <s v=""/>
    <m/>
    <m/>
    <s v="*MAV220501677"/>
    <s v="*MAV220501677"/>
    <n v="3.3864938847147537E-4"/>
  </r>
  <r>
    <x v="184"/>
    <s v="Dolar 3500"/>
    <d v="2027-06-15T00:00:00"/>
    <s v="29/09/2026"/>
    <n v="0.94628853999999996"/>
    <s v="1 US3 = 1523,9697583441 $"/>
    <n v="18230"/>
    <n v="17250.84"/>
    <n v="27781968.690000001"/>
    <n v="26289758.469999999"/>
    <n v="146455"/>
    <s v="AMOMPY"/>
    <s v="Momentum Capital Investment S.A."/>
    <s v="17/04/2026"/>
    <s v="17/04/2026"/>
    <n v="8"/>
    <s v="No"/>
    <s v=""/>
    <m/>
    <m/>
    <s v="#UMV110670002"/>
    <s v="#UMV110670002"/>
    <n v="3.4951100320284901E-4"/>
  </r>
  <r>
    <x v="75"/>
    <s v="Pesos"/>
    <d v="2027-06-16T00:00:00"/>
    <s v="29/09/2026"/>
    <n v="0.81436872999999999"/>
    <m/>
    <n v="2833000"/>
    <n v="2307106.6"/>
    <n v="2833000"/>
    <n v="2307106.6"/>
    <n v="90000062"/>
    <s v="AMOMPY"/>
    <s v="Momentum Capital Investment S.A."/>
    <s v="25/09/2026"/>
    <s v="25/09/2026"/>
    <n v="32"/>
    <s v="No"/>
    <s v=""/>
    <m/>
    <m/>
    <s v="*MAV130601373"/>
    <s v="*MAV130601373"/>
    <n v="3.0671987465463929E-5"/>
  </r>
  <r>
    <x v="389"/>
    <s v="Pesos"/>
    <d v="2027-07-07T00:00:00"/>
    <s v="29/09/2026"/>
    <n v="0.79741340000000005"/>
    <m/>
    <n v="5504622.8200000003"/>
    <n v="4389459.97"/>
    <n v="5504622.8200000003"/>
    <n v="4389459.97"/>
    <n v="11121186"/>
    <s v="AMOMPY"/>
    <s v="Momentum Capital Investment S.A."/>
    <s v="23/09/2026"/>
    <s v="23/09/2026"/>
    <n v="33"/>
    <s v="No"/>
    <s v=""/>
    <m/>
    <m/>
    <s v="*MAV040701256"/>
    <s v="*MAV040701256"/>
    <n v="5.8355977647498235E-5"/>
  </r>
  <r>
    <x v="184"/>
    <s v="Dolar 3500"/>
    <d v="2027-07-14T00:00:00"/>
    <s v="29/09/2026"/>
    <n v="0.94062438000000004"/>
    <s v="1 US3 = 1523,9697583441 $"/>
    <n v="20100"/>
    <n v="18906.55"/>
    <n v="30631792.140000001"/>
    <n v="28813010.43"/>
    <n v="160644"/>
    <s v="AMOMPY"/>
    <s v="Momentum Capital Investment S.A."/>
    <s v="11/08/2026"/>
    <s v="11/08/2026"/>
    <n v="8"/>
    <s v="No"/>
    <s v=""/>
    <m/>
    <m/>
    <s v="#UMV110770001"/>
    <s v="#UMV110770001"/>
    <n v="3.8305655003164626E-4"/>
  </r>
  <r>
    <x v="389"/>
    <s v="Pesos"/>
    <d v="2027-07-19T00:00:00"/>
    <s v="29/09/2026"/>
    <n v="0.79057378"/>
    <m/>
    <n v="15885271.07"/>
    <n v="12558478.74"/>
    <n v="15885271.07"/>
    <n v="12558478.74"/>
    <n v="11121183"/>
    <s v="AMOMPY"/>
    <s v="Momentum Capital Investment S.A."/>
    <s v="23/09/2026"/>
    <s v="23/09/2026"/>
    <n v="33"/>
    <s v="No"/>
    <s v=""/>
    <m/>
    <m/>
    <s v="*MAV150702299"/>
    <s v="*MAV150702299"/>
    <n v="1.6695955986540683E-4"/>
  </r>
  <r>
    <x v="389"/>
    <s v="Pesos"/>
    <d v="2027-07-21T00:00:00"/>
    <s v="29/09/2026"/>
    <n v="0.78944532999999995"/>
    <m/>
    <n v="13120819.52"/>
    <n v="10358169.710000001"/>
    <n v="13120819.52"/>
    <n v="10358169.710000001"/>
    <n v="11121180"/>
    <s v="AMOMPY"/>
    <s v="Momentum Capital Investment S.A."/>
    <s v="23/09/2026"/>
    <s v="23/09/2026"/>
    <n v="33"/>
    <s v="No"/>
    <s v=""/>
    <m/>
    <m/>
    <s v="*MAV180701508"/>
    <s v="*MAV180701508"/>
    <n v="1.3770740004396336E-4"/>
  </r>
  <r>
    <x v="381"/>
    <s v="Dolar 3500"/>
    <d v="2027-07-28T00:00:00"/>
    <s v="29/09/2026"/>
    <n v="0.92358169999999995"/>
    <s v="1 US3 = 1523,9697583441 $"/>
    <n v="20856"/>
    <n v="19262.22"/>
    <n v="31783913.280000001"/>
    <n v="29355040.760000002"/>
    <n v="134917"/>
    <s v="AMOMPY"/>
    <s v="Momentum Capital Investment S.A."/>
    <s v="30/12/2025"/>
    <s v="30/12/2025"/>
    <n v="10"/>
    <s v="No"/>
    <s v=""/>
    <m/>
    <m/>
    <s v="#UMV250770007"/>
    <s v="#UMV250770007"/>
    <n v="3.9026260955558043E-4"/>
  </r>
  <r>
    <x v="389"/>
    <s v="Pesos"/>
    <d v="2027-08-05T00:00:00"/>
    <s v="29/09/2026"/>
    <n v="0.78108290000000002"/>
    <m/>
    <n v="5504622.8200000003"/>
    <n v="4299566.75"/>
    <n v="5504622.8200000003"/>
    <n v="4299566.75"/>
    <n v="11121185"/>
    <s v="AMOMPY"/>
    <s v="Momentum Capital Investment S.A."/>
    <s v="23/09/2026"/>
    <s v="23/09/2026"/>
    <n v="33"/>
    <s v="No"/>
    <s v=""/>
    <m/>
    <m/>
    <s v="*MAV030801378"/>
    <s v="*MAV030801378"/>
    <n v="5.7160886047885895E-5"/>
  </r>
  <r>
    <x v="389"/>
    <s v="Pesos"/>
    <d v="2027-08-19T00:00:00"/>
    <s v="29/09/2026"/>
    <n v="0.77343629000000003"/>
    <m/>
    <n v="16097126.970000001"/>
    <n v="12450102.199999999"/>
    <n v="16097126.970000001"/>
    <n v="12450102.199999999"/>
    <n v="11121182"/>
    <s v="AMOMPY"/>
    <s v="Momentum Capital Investment S.A."/>
    <s v="23/09/2026"/>
    <s v="23/09/2026"/>
    <n v="33"/>
    <s v="No"/>
    <s v=""/>
    <m/>
    <m/>
    <s v="*MAV140802014"/>
    <s v="*MAV140802014"/>
    <n v="1.6551874049605892E-4"/>
  </r>
  <r>
    <x v="389"/>
    <s v="Pesos"/>
    <d v="2027-08-19T00:00:00"/>
    <s v="29/09/2026"/>
    <n v="0.77343629000000003"/>
    <m/>
    <n v="13593316.07"/>
    <n v="10513563.91"/>
    <n v="13593316.07"/>
    <n v="10513563.91"/>
    <n v="11121188"/>
    <s v="AMOMPY"/>
    <s v="Momentum Capital Investment S.A."/>
    <s v="23/09/2026"/>
    <s v="23/09/2026"/>
    <n v="33"/>
    <s v="No"/>
    <s v=""/>
    <m/>
    <m/>
    <s v="*MAV150801907"/>
    <s v="*MAV150801907"/>
    <n v="1.3977329892986908E-4"/>
  </r>
  <r>
    <x v="389"/>
    <s v="Pesos"/>
    <d v="2027-08-19T00:00:00"/>
    <s v="29/09/2026"/>
    <n v="0.77343629000000003"/>
    <m/>
    <n v="13295806.970000001"/>
    <n v="10283459.65"/>
    <n v="13295806.970000001"/>
    <n v="10283459.65"/>
    <n v="11121179"/>
    <s v="AMOMPY"/>
    <s v="Momentum Capital Investment S.A."/>
    <s v="23/09/2026"/>
    <s v="23/09/2026"/>
    <n v="33"/>
    <s v="No"/>
    <s v=""/>
    <m/>
    <m/>
    <s v="*MAV170801088"/>
    <s v="*MAV170801088"/>
    <n v="1.3671416200985428E-4"/>
  </r>
  <r>
    <x v="184"/>
    <s v="Dolar 3500"/>
    <d v="2027-08-19T00:00:00"/>
    <s v="29/09/2026"/>
    <n v="0.93369650999999998"/>
    <s v="1 US3 = 1523,9697583441 $"/>
    <n v="20100"/>
    <n v="18767.3"/>
    <n v="30631792.140000001"/>
    <n v="28600797.649999999"/>
    <n v="160645"/>
    <s v="AMOMPY"/>
    <s v="Momentum Capital Investment S.A."/>
    <s v="11/08/2026"/>
    <s v="11/08/2026"/>
    <n v="8"/>
    <s v="No"/>
    <s v=""/>
    <m/>
    <m/>
    <s v="#UMV150870013"/>
    <s v="#UMV150870013"/>
    <n v="3.8023527262375743E-4"/>
  </r>
  <r>
    <x v="389"/>
    <s v="Pesos"/>
    <d v="2027-08-20T00:00:00"/>
    <s v="29/09/2026"/>
    <n v="0.77289576999999998"/>
    <m/>
    <n v="1954301.77"/>
    <n v="1510471.57"/>
    <n v="1954301.77"/>
    <n v="1510471.57"/>
    <n v="11121177"/>
    <s v="AMOMPY"/>
    <s v="Momentum Capital Investment S.A."/>
    <s v="23/09/2026"/>
    <s v="23/09/2026"/>
    <n v="33"/>
    <s v="No"/>
    <s v=""/>
    <m/>
    <m/>
    <s v="*MAV180801978"/>
    <s v="*MAV180801978"/>
    <n v="2.0081068235849882E-5"/>
  </r>
  <r>
    <x v="389"/>
    <s v="Pesos"/>
    <d v="2027-09-02T00:00:00"/>
    <s v="29/09/2026"/>
    <n v="0.76593794000000004"/>
    <m/>
    <n v="5017285.6500000004"/>
    <n v="3842929.45"/>
    <n v="5017285.6500000004"/>
    <n v="3842929.45"/>
    <n v="11121164"/>
    <s v="AMOMPY"/>
    <s v="Momentum Capital Investment S.A."/>
    <s v="23/09/2026"/>
    <s v="23/09/2026"/>
    <n v="33"/>
    <s v="No"/>
    <s v=""/>
    <m/>
    <m/>
    <s v="*MAV310802034"/>
    <s v="*MAV310802034"/>
    <n v="5.1090090037912503E-5"/>
  </r>
  <r>
    <x v="184"/>
    <s v="Dolar 3500"/>
    <d v="2027-09-16T00:00:00"/>
    <s v="29/09/2026"/>
    <n v="0.92837612000000003"/>
    <s v="1 US3 = 1523,9697583441 $"/>
    <n v="20100"/>
    <n v="18660.36"/>
    <n v="30631792.140000001"/>
    <n v="28437824.32"/>
    <n v="160646"/>
    <s v="AMOMPY"/>
    <s v="Momentum Capital Investment S.A."/>
    <s v="11/08/2026"/>
    <s v="11/08/2026"/>
    <n v="8"/>
    <s v="No"/>
    <s v=""/>
    <m/>
    <m/>
    <s v="#UMV140970003"/>
    <s v="#UMV140970003"/>
    <n v="3.7806861247248187E-4"/>
  </r>
  <r>
    <x v="381"/>
    <s v="Dolar 3500"/>
    <d v="2028-01-27T00:00:00"/>
    <s v="29/09/2026"/>
    <n v="0.88270905"/>
    <s v="1 US3 = 1523,9697583441 $"/>
    <n v="20856"/>
    <n v="18409.78"/>
    <n v="31783913.280000001"/>
    <n v="28055947.98"/>
    <n v="134918"/>
    <s v="AMOMPY"/>
    <s v="Momentum Capital Investment S.A."/>
    <s v="30/12/2025"/>
    <s v="30/12/2025"/>
    <n v="10"/>
    <s v="No"/>
    <s v=""/>
    <m/>
    <m/>
    <s v="#UMV250180006"/>
    <s v="#UMV250180006"/>
    <n v="3.729917311901704E-4"/>
  </r>
  <r>
    <x v="381"/>
    <s v="Dolar 3500"/>
    <d v="2028-07-27T00:00:00"/>
    <s v="29/09/2026"/>
    <n v="0.84549578000000003"/>
    <s v="1 US3 = 1523,9697583441 $"/>
    <n v="20856"/>
    <n v="17633.66"/>
    <n v="31783913.280000001"/>
    <n v="26873164.57"/>
    <n v="134919"/>
    <s v="AMOMPY"/>
    <s v="Momentum Capital Investment S.A."/>
    <s v="30/12/2025"/>
    <s v="30/12/2025"/>
    <n v="10"/>
    <s v="No"/>
    <s v=""/>
    <m/>
    <m/>
    <s v="#UMV250780006"/>
    <s v="#UMV250780006"/>
    <n v="3.5726713574846919E-4"/>
  </r>
  <r>
    <x v="390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96" firstHeaderRow="2" firstDataRow="2" firstDataCol="1"/>
  <pivotFields count="23">
    <pivotField axis="axisRow" compact="0" outline="0" showAll="0" includeNewItemsInFilter="1" sortType="descending">
      <items count="881">
        <item x="19"/>
        <item m="1" x="848"/>
        <item m="1" x="741"/>
        <item m="1" x="864"/>
        <item x="110"/>
        <item x="93"/>
        <item m="1" x="879"/>
        <item m="1" x="872"/>
        <item m="1" x="873"/>
        <item x="192"/>
        <item x="102"/>
        <item m="1" x="868"/>
        <item m="1" x="855"/>
        <item m="1" x="836"/>
        <item m="1" x="821"/>
        <item x="50"/>
        <item m="1" x="748"/>
        <item m="1" x="866"/>
        <item h="1" x="390"/>
        <item m="1" x="788"/>
        <item m="1" x="843"/>
        <item x="180"/>
        <item x="122"/>
        <item m="1" x="878"/>
        <item m="1" x="830"/>
        <item m="1" x="772"/>
        <item x="17"/>
        <item m="1" x="874"/>
        <item m="1" x="840"/>
        <item m="1" x="754"/>
        <item m="1" x="867"/>
        <item m="1" x="851"/>
        <item m="1" x="839"/>
        <item m="1" x="869"/>
        <item m="1" x="644"/>
        <item x="88"/>
        <item m="1" x="742"/>
        <item m="1" x="870"/>
        <item m="1" x="764"/>
        <item m="1" x="763"/>
        <item m="1" x="875"/>
        <item m="1" x="677"/>
        <item x="255"/>
        <item x="45"/>
        <item m="1" x="573"/>
        <item m="1" x="446"/>
        <item m="1" x="876"/>
        <item m="1" x="877"/>
        <item m="1" x="749"/>
        <item x="384"/>
        <item m="1" x="775"/>
        <item x="179"/>
        <item x="214"/>
        <item m="1" x="862"/>
        <item m="1" x="860"/>
        <item m="1" x="857"/>
        <item m="1" x="782"/>
        <item m="1" x="778"/>
        <item m="1" x="871"/>
        <item x="173"/>
        <item m="1" x="820"/>
        <item m="1" x="859"/>
        <item m="1" x="464"/>
        <item x="18"/>
        <item x="371"/>
        <item m="1" x="790"/>
        <item m="1" x="771"/>
        <item m="1" x="850"/>
        <item m="1" x="841"/>
        <item m="1" x="853"/>
        <item m="1" x="849"/>
        <item m="1" x="811"/>
        <item x="87"/>
        <item x="199"/>
        <item m="1" x="752"/>
        <item x="280"/>
        <item x="270"/>
        <item x="127"/>
        <item m="1" x="781"/>
        <item m="1" x="835"/>
        <item m="1" x="863"/>
        <item m="1" x="865"/>
        <item m="1" x="856"/>
        <item m="1" x="858"/>
        <item m="1" x="845"/>
        <item m="1" x="466"/>
        <item m="1" x="761"/>
        <item m="1" x="773"/>
        <item m="1" x="861"/>
        <item m="1" x="854"/>
        <item m="1" x="792"/>
        <item m="1" x="758"/>
        <item x="34"/>
        <item m="1" x="753"/>
        <item m="1" x="817"/>
        <item m="1" x="852"/>
        <item m="1" x="704"/>
        <item m="1" x="791"/>
        <item m="1" x="762"/>
        <item x="203"/>
        <item x="274"/>
        <item m="1" x="814"/>
        <item x="67"/>
        <item m="1" x="774"/>
        <item m="1" x="837"/>
        <item m="1" x="732"/>
        <item m="1" x="825"/>
        <item m="1" x="652"/>
        <item m="1" x="693"/>
        <item m="1" x="756"/>
        <item m="1" x="751"/>
        <item m="1" x="808"/>
        <item m="1" x="809"/>
        <item m="1" x="759"/>
        <item m="1" x="829"/>
        <item m="1" x="755"/>
        <item m="1" x="779"/>
        <item x="96"/>
        <item m="1" x="760"/>
        <item m="1" x="767"/>
        <item m="1" x="796"/>
        <item m="1" x="833"/>
        <item m="1" x="676"/>
        <item m="1" x="787"/>
        <item m="1" x="844"/>
        <item m="1" x="832"/>
        <item m="1" x="805"/>
        <item m="1" x="846"/>
        <item m="1" x="735"/>
        <item m="1" x="740"/>
        <item m="1" x="780"/>
        <item m="1" x="847"/>
        <item m="1" x="800"/>
        <item m="1" x="568"/>
        <item m="1" x="739"/>
        <item m="1" x="842"/>
        <item x="155"/>
        <item x="123"/>
        <item m="1" x="804"/>
        <item m="1" x="706"/>
        <item m="1" x="838"/>
        <item x="48"/>
        <item m="1" x="745"/>
        <item m="1" x="777"/>
        <item m="1" x="797"/>
        <item m="1" x="801"/>
        <item m="1" x="727"/>
        <item m="1" x="768"/>
        <item m="1" x="802"/>
        <item m="1" x="795"/>
        <item m="1" x="810"/>
        <item m="1" x="784"/>
        <item m="1" x="806"/>
        <item m="1" x="831"/>
        <item m="1" x="789"/>
        <item m="1" x="826"/>
        <item x="388"/>
        <item m="1" x="783"/>
        <item m="1" x="765"/>
        <item x="163"/>
        <item m="1" x="703"/>
        <item m="1" x="766"/>
        <item m="1" x="818"/>
        <item m="1" x="815"/>
        <item m="1" x="834"/>
        <item m="1" x="750"/>
        <item x="13"/>
        <item m="1" x="827"/>
        <item m="1" x="738"/>
        <item m="1" x="828"/>
        <item m="1" x="824"/>
        <item m="1" x="823"/>
        <item m="1" x="822"/>
        <item m="1" x="819"/>
        <item m="1" x="813"/>
        <item m="1" x="816"/>
        <item m="1" x="812"/>
        <item m="1" x="793"/>
        <item m="1" x="803"/>
        <item m="1" x="798"/>
        <item m="1" x="799"/>
        <item m="1" x="794"/>
        <item x="38"/>
        <item m="1" x="807"/>
        <item x="279"/>
        <item x="60"/>
        <item m="1" x="678"/>
        <item m="1" x="785"/>
        <item m="1" x="721"/>
        <item x="92"/>
        <item m="1" x="715"/>
        <item m="1" x="786"/>
        <item m="1" x="769"/>
        <item m="1" x="718"/>
        <item m="1" x="582"/>
        <item m="1" x="747"/>
        <item m="1" x="776"/>
        <item m="1" x="743"/>
        <item m="1" x="720"/>
        <item m="1" x="757"/>
        <item x="7"/>
        <item m="1" x="733"/>
        <item m="1" x="770"/>
        <item m="1" x="746"/>
        <item m="1" x="726"/>
        <item m="1" x="728"/>
        <item m="1" x="725"/>
        <item m="1" x="730"/>
        <item m="1" x="701"/>
        <item m="1" x="436"/>
        <item m="1" x="456"/>
        <item m="1" x="527"/>
        <item x="317"/>
        <item m="1" x="744"/>
        <item m="1" x="736"/>
        <item m="1" x="722"/>
        <item m="1" x="729"/>
        <item m="1" x="724"/>
        <item m="1" x="734"/>
        <item m="1" x="731"/>
        <item x="323"/>
        <item m="1" x="723"/>
        <item m="1" x="481"/>
        <item m="1" x="737"/>
        <item x="275"/>
        <item m="1" x="713"/>
        <item x="39"/>
        <item x="35"/>
        <item m="1" x="675"/>
        <item m="1" x="639"/>
        <item x="8"/>
        <item x="381"/>
        <item x="109"/>
        <item m="1" x="670"/>
        <item m="1" x="427"/>
        <item m="1" x="661"/>
        <item m="1" x="594"/>
        <item m="1" x="571"/>
        <item x="152"/>
        <item m="1" x="560"/>
        <item m="1" x="692"/>
        <item x="382"/>
        <item m="1" x="711"/>
        <item m="1" x="712"/>
        <item m="1" x="700"/>
        <item m="1" x="707"/>
        <item m="1" x="708"/>
        <item m="1" x="534"/>
        <item m="1" x="540"/>
        <item m="1" x="685"/>
        <item m="1" x="689"/>
        <item m="1" x="695"/>
        <item m="1" x="593"/>
        <item m="1" x="702"/>
        <item x="143"/>
        <item m="1" x="635"/>
        <item m="1" x="696"/>
        <item m="1" x="697"/>
        <item m="1" x="647"/>
        <item m="1" x="698"/>
        <item m="1" x="699"/>
        <item m="1" x="435"/>
        <item m="1" x="682"/>
        <item m="1" x="599"/>
        <item m="1" x="688"/>
        <item m="1" x="690"/>
        <item m="1" x="691"/>
        <item x="105"/>
        <item m="1" x="684"/>
        <item m="1" x="686"/>
        <item m="1" x="687"/>
        <item m="1" x="681"/>
        <item m="1" x="512"/>
        <item m="1" x="679"/>
        <item m="1" x="680"/>
        <item m="1" x="545"/>
        <item m="1" x="574"/>
        <item m="1" x="674"/>
        <item m="1" x="643"/>
        <item m="1" x="595"/>
        <item m="1" x="710"/>
        <item m="1" x="719"/>
        <item m="1" x="714"/>
        <item m="1" x="716"/>
        <item m="1" x="717"/>
        <item m="1" x="705"/>
        <item m="1" x="709"/>
        <item x="264"/>
        <item m="1" x="694"/>
        <item m="1" x="683"/>
        <item m="1" x="648"/>
        <item x="72"/>
        <item m="1" x="672"/>
        <item m="1" x="671"/>
        <item x="106"/>
        <item m="1" x="636"/>
        <item m="1" x="673"/>
        <item m="1" x="668"/>
        <item m="1" x="499"/>
        <item m="1" x="669"/>
        <item x="0"/>
        <item m="1" x="663"/>
        <item m="1" x="659"/>
        <item m="1" x="611"/>
        <item m="1" x="653"/>
        <item m="1" x="650"/>
        <item m="1" x="651"/>
        <item m="1" x="423"/>
        <item m="1" x="563"/>
        <item m="1" x="579"/>
        <item m="1" x="588"/>
        <item m="1" x="614"/>
        <item m="1" x="658"/>
        <item m="1" x="654"/>
        <item x="63"/>
        <item m="1" x="600"/>
        <item m="1" x="655"/>
        <item m="1" x="656"/>
        <item x="2"/>
        <item m="1" x="641"/>
        <item m="1" x="649"/>
        <item x="22"/>
        <item m="1" x="645"/>
        <item m="1" x="628"/>
        <item m="1" x="629"/>
        <item m="1" x="505"/>
        <item m="1" x="575"/>
        <item m="1" x="581"/>
        <item x="103"/>
        <item m="1" x="664"/>
        <item m="1" x="665"/>
        <item m="1" x="662"/>
        <item m="1" x="537"/>
        <item m="1" x="660"/>
        <item m="1" x="620"/>
        <item m="1" x="597"/>
        <item x="52"/>
        <item x="61"/>
        <item m="1" x="642"/>
        <item m="1" x="626"/>
        <item x="359"/>
        <item x="28"/>
        <item m="1" x="657"/>
        <item m="1" x="619"/>
        <item m="1" x="630"/>
        <item m="1" x="498"/>
        <item m="1" x="631"/>
        <item m="1" x="621"/>
        <item m="1" x="622"/>
        <item m="1" x="584"/>
        <item x="299"/>
        <item x="174"/>
        <item m="1" x="615"/>
        <item m="1" x="397"/>
        <item m="1" x="613"/>
        <item m="1" x="601"/>
        <item m="1" x="596"/>
        <item m="1" x="666"/>
        <item x="51"/>
        <item m="1" x="616"/>
        <item x="29"/>
        <item x="76"/>
        <item m="1" x="646"/>
        <item m="1" x="632"/>
        <item m="1" x="633"/>
        <item m="1" x="634"/>
        <item m="1" x="623"/>
        <item m="1" x="526"/>
        <item m="1" x="617"/>
        <item m="1" x="612"/>
        <item m="1" x="602"/>
        <item m="1" x="598"/>
        <item m="1" x="590"/>
        <item m="1" x="585"/>
        <item m="1" x="561"/>
        <item x="75"/>
        <item m="1" x="667"/>
        <item m="1" x="449"/>
        <item x="236"/>
        <item x="135"/>
        <item m="1" x="567"/>
        <item m="1" x="586"/>
        <item m="1" x="580"/>
        <item x="37"/>
        <item m="1" x="587"/>
        <item m="1" x="533"/>
        <item m="1" x="591"/>
        <item m="1" x="562"/>
        <item x="231"/>
        <item x="223"/>
        <item m="1" x="637"/>
        <item m="1" x="627"/>
        <item m="1" x="618"/>
        <item x="27"/>
        <item x="25"/>
        <item m="1" x="559"/>
        <item m="1" x="477"/>
        <item m="1" x="426"/>
        <item m="1" x="640"/>
        <item m="1" x="638"/>
        <item x="21"/>
        <item m="1" x="624"/>
        <item m="1" x="625"/>
        <item x="235"/>
        <item m="1" x="603"/>
        <item m="1" x="604"/>
        <item m="1" x="605"/>
        <item m="1" x="606"/>
        <item m="1" x="607"/>
        <item m="1" x="608"/>
        <item m="1" x="609"/>
        <item m="1" x="610"/>
        <item x="24"/>
        <item m="1" x="592"/>
        <item m="1" x="589"/>
        <item x="49"/>
        <item m="1" x="458"/>
        <item x="184"/>
        <item x="300"/>
        <item m="1" x="515"/>
        <item x="234"/>
        <item x="86"/>
        <item m="1" x="419"/>
        <item m="1" x="442"/>
        <item x="89"/>
        <item x="349"/>
        <item x="131"/>
        <item x="172"/>
        <item m="1" x="555"/>
        <item x="6"/>
        <item m="1" x="578"/>
        <item x="136"/>
        <item x="85"/>
        <item m="1" x="570"/>
        <item x="296"/>
        <item m="1" x="543"/>
        <item m="1" x="564"/>
        <item m="1" x="530"/>
        <item x="358"/>
        <item x="249"/>
        <item m="1" x="566"/>
        <item m="1" x="554"/>
        <item m="1" x="551"/>
        <item m="1" x="420"/>
        <item m="1" x="552"/>
        <item x="46"/>
        <item m="1" x="447"/>
        <item m="1" x="583"/>
        <item x="32"/>
        <item m="1" x="553"/>
        <item m="1" x="531"/>
        <item m="1" x="508"/>
        <item x="130"/>
        <item x="168"/>
        <item x="213"/>
        <item x="210"/>
        <item x="215"/>
        <item x="261"/>
        <item m="1" x="576"/>
        <item x="330"/>
        <item m="1" x="558"/>
        <item m="1" x="541"/>
        <item m="1" x="509"/>
        <item x="169"/>
        <item m="1" x="452"/>
        <item m="1" x="439"/>
        <item m="1" x="432"/>
        <item m="1" x="557"/>
        <item m="1" x="549"/>
        <item m="1" x="544"/>
        <item x="278"/>
        <item m="1" x="496"/>
        <item m="1" x="538"/>
        <item m="1" x="539"/>
        <item m="1" x="522"/>
        <item m="1" x="529"/>
        <item m="1" x="521"/>
        <item m="1" x="532"/>
        <item m="1" x="535"/>
        <item x="221"/>
        <item m="1" x="528"/>
        <item m="1" x="412"/>
        <item x="344"/>
        <item m="1" x="519"/>
        <item m="1" x="520"/>
        <item m="1" x="523"/>
        <item m="1" x="577"/>
        <item m="1" x="569"/>
        <item x="150"/>
        <item x="170"/>
        <item x="182"/>
        <item x="73"/>
        <item m="1" x="572"/>
        <item m="1" x="488"/>
        <item m="1" x="525"/>
        <item m="1" x="536"/>
        <item m="1" x="524"/>
        <item m="1" x="433"/>
        <item m="1" x="516"/>
        <item m="1" x="517"/>
        <item m="1" x="514"/>
        <item m="1" x="506"/>
        <item m="1" x="511"/>
        <item m="1" x="510"/>
        <item m="1" x="503"/>
        <item m="1" x="502"/>
        <item m="1" x="495"/>
        <item m="1" x="478"/>
        <item x="20"/>
        <item x="242"/>
        <item m="1" x="485"/>
        <item m="1" x="489"/>
        <item x="151"/>
        <item m="1" x="546"/>
        <item m="1" x="504"/>
        <item m="1" x="547"/>
        <item x="183"/>
        <item m="1" x="518"/>
        <item x="204"/>
        <item m="1" x="493"/>
        <item x="62"/>
        <item m="1" x="565"/>
        <item m="1" x="465"/>
        <item m="1" x="548"/>
        <item m="1" x="472"/>
        <item m="1" x="463"/>
        <item x="262"/>
        <item x="100"/>
        <item m="1" x="556"/>
        <item x="82"/>
        <item m="1" x="480"/>
        <item x="194"/>
        <item x="26"/>
        <item x="137"/>
        <item x="222"/>
        <item m="1" x="550"/>
        <item m="1" x="542"/>
        <item x="251"/>
        <item m="1" x="513"/>
        <item m="1" x="437"/>
        <item m="1" x="507"/>
        <item m="1" x="487"/>
        <item x="134"/>
        <item x="164"/>
        <item x="331"/>
        <item x="271"/>
        <item x="369"/>
        <item m="1" x="457"/>
        <item x="250"/>
        <item x="259"/>
        <item x="97"/>
        <item x="98"/>
        <item x="53"/>
        <item m="1" x="462"/>
        <item x="57"/>
        <item m="1" x="468"/>
        <item m="1" x="455"/>
        <item m="1" x="413"/>
        <item m="1" x="405"/>
        <item m="1" x="494"/>
        <item m="1" x="486"/>
        <item x="83"/>
        <item m="1" x="490"/>
        <item x="148"/>
        <item m="1" x="440"/>
        <item m="1" x="443"/>
        <item m="1" x="448"/>
        <item m="1" x="431"/>
        <item m="1" x="425"/>
        <item x="14"/>
        <item x="99"/>
        <item x="129"/>
        <item x="41"/>
        <item m="1" x="473"/>
        <item x="209"/>
        <item x="40"/>
        <item x="58"/>
        <item m="1" x="484"/>
        <item m="1" x="497"/>
        <item x="42"/>
        <item m="1" x="459"/>
        <item x="312"/>
        <item x="273"/>
        <item m="1" x="414"/>
        <item m="1" x="415"/>
        <item m="1" x="416"/>
        <item m="1" x="417"/>
        <item m="1" x="404"/>
        <item m="1" x="406"/>
        <item m="1" x="407"/>
        <item m="1" x="408"/>
        <item m="1" x="399"/>
        <item m="1" x="394"/>
        <item m="1" x="395"/>
        <item x="59"/>
        <item m="1" x="500"/>
        <item m="1" x="491"/>
        <item x="167"/>
        <item m="1" x="482"/>
        <item m="1" x="479"/>
        <item m="1" x="444"/>
        <item m="1" x="475"/>
        <item m="1" x="476"/>
        <item m="1" x="460"/>
        <item x="44"/>
        <item x="68"/>
        <item x="69"/>
        <item x="212"/>
        <item x="287"/>
        <item m="1" x="492"/>
        <item x="171"/>
        <item m="1" x="501"/>
        <item m="1" x="445"/>
        <item x="298"/>
        <item x="303"/>
        <item x="309"/>
        <item x="334"/>
        <item x="343"/>
        <item x="43"/>
        <item x="380"/>
        <item x="91"/>
        <item x="80"/>
        <item x="142"/>
        <item m="1" x="469"/>
        <item m="1" x="450"/>
        <item m="1" x="461"/>
        <item x="70"/>
        <item x="233"/>
        <item m="1" x="467"/>
        <item m="1" x="451"/>
        <item m="1" x="453"/>
        <item x="121"/>
        <item x="55"/>
        <item x="260"/>
        <item x="288"/>
        <item m="1" x="483"/>
        <item m="1" x="438"/>
        <item m="1" x="428"/>
        <item x="190"/>
        <item x="195"/>
        <item x="84"/>
        <item m="1" x="422"/>
        <item m="1" x="410"/>
        <item m="1" x="411"/>
        <item x="16"/>
        <item m="1" x="401"/>
        <item x="1"/>
        <item m="1" x="402"/>
        <item m="1" x="396"/>
        <item x="3"/>
        <item m="1" x="392"/>
        <item x="15"/>
        <item x="23"/>
        <item x="47"/>
        <item x="71"/>
        <item x="78"/>
        <item x="125"/>
        <item x="149"/>
        <item x="272"/>
        <item x="350"/>
        <item m="1" x="474"/>
        <item x="370"/>
        <item x="373"/>
        <item m="1" x="470"/>
        <item m="1" x="471"/>
        <item x="165"/>
        <item x="324"/>
        <item x="332"/>
        <item x="64"/>
        <item x="228"/>
        <item m="1" x="454"/>
        <item m="1" x="403"/>
        <item x="219"/>
        <item x="367"/>
        <item x="111"/>
        <item x="375"/>
        <item m="1" x="393"/>
        <item x="36"/>
        <item x="9"/>
        <item m="1" x="434"/>
        <item m="1" x="429"/>
        <item x="128"/>
        <item x="193"/>
        <item x="256"/>
        <item x="295"/>
        <item x="363"/>
        <item x="364"/>
        <item x="145"/>
        <item x="207"/>
        <item x="301"/>
        <item x="368"/>
        <item m="1" x="418"/>
        <item x="144"/>
        <item x="112"/>
        <item x="113"/>
        <item x="114"/>
        <item x="181"/>
        <item x="200"/>
        <item x="201"/>
        <item x="232"/>
        <item x="229"/>
        <item x="247"/>
        <item x="254"/>
        <item m="1" x="409"/>
        <item x="257"/>
        <item x="269"/>
        <item x="65"/>
        <item x="211"/>
        <item x="286"/>
        <item x="56"/>
        <item x="115"/>
        <item x="101"/>
        <item x="189"/>
        <item x="141"/>
        <item x="116"/>
        <item x="230"/>
        <item x="258"/>
        <item x="310"/>
        <item x="95"/>
        <item x="117"/>
        <item x="202"/>
        <item x="240"/>
        <item x="333"/>
        <item m="1" x="430"/>
        <item m="1" x="400"/>
        <item x="81"/>
        <item x="10"/>
        <item x="74"/>
        <item x="220"/>
        <item x="248"/>
        <item x="372"/>
        <item m="1" x="441"/>
        <item m="1" x="424"/>
        <item x="11"/>
        <item x="118"/>
        <item x="241"/>
        <item x="268"/>
        <item x="276"/>
        <item x="365"/>
        <item x="376"/>
        <item x="379"/>
        <item x="119"/>
        <item m="1" x="421"/>
        <item x="12"/>
        <item x="66"/>
        <item x="107"/>
        <item x="146"/>
        <item x="208"/>
        <item x="302"/>
        <item x="385"/>
        <item x="4"/>
        <item x="132"/>
        <item x="140"/>
        <item x="265"/>
        <item x="356"/>
        <item x="348"/>
        <item x="166"/>
        <item x="147"/>
        <item x="120"/>
        <item x="90"/>
        <item x="353"/>
        <item x="354"/>
        <item x="387"/>
        <item x="341"/>
        <item x="361"/>
        <item x="79"/>
        <item x="94"/>
        <item x="266"/>
        <item x="239"/>
        <item x="156"/>
        <item x="54"/>
        <item x="108"/>
        <item x="308"/>
        <item x="360"/>
        <item x="284"/>
        <item x="377"/>
        <item x="342"/>
        <item m="1" x="398"/>
        <item m="1" x="391"/>
        <item x="5"/>
        <item x="126"/>
        <item x="133"/>
        <item x="157"/>
        <item x="158"/>
        <item x="159"/>
        <item x="160"/>
        <item x="161"/>
        <item x="177"/>
        <item x="178"/>
        <item x="188"/>
        <item x="191"/>
        <item x="227"/>
        <item x="243"/>
        <item x="244"/>
        <item x="245"/>
        <item x="253"/>
        <item x="267"/>
        <item x="285"/>
        <item x="289"/>
        <item x="292"/>
        <item x="293"/>
        <item x="306"/>
        <item x="313"/>
        <item x="314"/>
        <item x="329"/>
        <item x="355"/>
        <item x="374"/>
        <item x="162"/>
        <item x="290"/>
        <item x="307"/>
        <item x="318"/>
        <item x="319"/>
        <item x="351"/>
        <item x="357"/>
        <item x="362"/>
        <item x="252"/>
        <item x="206"/>
        <item x="325"/>
        <item x="30"/>
        <item x="31"/>
        <item x="33"/>
        <item x="347"/>
        <item x="352"/>
        <item x="185"/>
        <item x="186"/>
        <item x="224"/>
        <item x="281"/>
        <item x="282"/>
        <item x="283"/>
        <item x="304"/>
        <item x="311"/>
        <item x="320"/>
        <item x="326"/>
        <item x="327"/>
        <item x="336"/>
        <item x="337"/>
        <item x="338"/>
        <item x="346"/>
        <item x="366"/>
        <item x="294"/>
        <item x="339"/>
        <item x="378"/>
        <item x="263"/>
        <item x="187"/>
        <item x="328"/>
        <item x="340"/>
        <item x="196"/>
        <item x="321"/>
        <item x="389"/>
        <item x="226"/>
        <item x="386"/>
        <item x="104"/>
        <item x="153"/>
        <item x="197"/>
        <item x="383"/>
        <item x="77"/>
        <item x="138"/>
        <item x="139"/>
        <item x="154"/>
        <item x="198"/>
        <item x="218"/>
        <item x="237"/>
        <item x="225"/>
        <item x="277"/>
        <item x="291"/>
        <item x="305"/>
        <item x="316"/>
        <item x="322"/>
        <item x="124"/>
        <item x="205"/>
        <item x="246"/>
        <item x="315"/>
        <item x="175"/>
        <item x="176"/>
        <item x="216"/>
        <item x="217"/>
        <item x="238"/>
        <item x="297"/>
        <item x="335"/>
        <item x="3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91">
    <i>
      <x v="185"/>
    </i>
    <i>
      <x/>
    </i>
    <i>
      <x v="15"/>
    </i>
    <i>
      <x v="337"/>
    </i>
    <i>
      <x v="361"/>
    </i>
    <i>
      <x v="51"/>
    </i>
    <i>
      <x v="341"/>
    </i>
    <i>
      <x v="632"/>
    </i>
    <i>
      <x v="230"/>
    </i>
    <i>
      <x v="733"/>
    </i>
    <i>
      <x v="424"/>
    </i>
    <i>
      <x v="336"/>
    </i>
    <i>
      <x v="801"/>
    </i>
    <i>
      <x v="291"/>
    </i>
    <i>
      <x v="429"/>
    </i>
    <i>
      <x v="383"/>
    </i>
    <i>
      <x v="35"/>
    </i>
    <i>
      <x v="426"/>
    </i>
    <i>
      <x v="488"/>
    </i>
    <i>
      <x v="200"/>
    </i>
    <i>
      <x v="393"/>
    </i>
    <i>
      <x v="665"/>
    </i>
    <i>
      <x v="184"/>
    </i>
    <i>
      <x v="400"/>
    </i>
    <i>
      <x v="100"/>
    </i>
    <i>
      <x v="825"/>
    </i>
    <i>
      <x v="457"/>
    </i>
    <i>
      <x v="117"/>
    </i>
    <i>
      <x v="512"/>
    </i>
    <i>
      <x v="9"/>
    </i>
    <i>
      <x v="64"/>
    </i>
    <i>
      <x v="849"/>
    </i>
    <i>
      <x v="22"/>
    </i>
    <i>
      <x v="427"/>
    </i>
    <i>
      <x v="439"/>
    </i>
    <i>
      <x v="869"/>
    </i>
    <i>
      <x v="543"/>
    </i>
    <i>
      <x v="456"/>
    </i>
    <i>
      <x v="709"/>
    </i>
    <i>
      <x v="340"/>
    </i>
    <i>
      <x v="99"/>
    </i>
    <i>
      <x v="318"/>
    </i>
    <i>
      <x v="136"/>
    </i>
    <i>
      <x v="182"/>
    </i>
    <i>
      <x v="21"/>
    </i>
    <i>
      <x v="816"/>
    </i>
    <i>
      <x v="137"/>
    </i>
    <i>
      <x v="666"/>
    </i>
    <i>
      <x v="379"/>
    </i>
    <i>
      <x v="227"/>
    </i>
    <i>
      <x v="72"/>
    </i>
    <i>
      <x v="870"/>
    </i>
    <i>
      <x v="232"/>
    </i>
    <i>
      <x v="220"/>
    </i>
    <i>
      <x v="166"/>
    </i>
    <i>
      <x v="552"/>
    </i>
    <i>
      <x v="417"/>
    </i>
    <i>
      <x v="189"/>
    </i>
    <i>
      <x v="548"/>
    </i>
    <i>
      <x v="378"/>
    </i>
    <i>
      <x v="226"/>
    </i>
    <i>
      <x v="159"/>
    </i>
    <i>
      <x v="704"/>
    </i>
    <i>
      <x v="459"/>
    </i>
    <i>
      <x v="685"/>
    </i>
    <i>
      <x v="686"/>
    </i>
    <i>
      <x v="544"/>
    </i>
    <i>
      <x v="661"/>
    </i>
    <i>
      <x v="453"/>
    </i>
    <i>
      <x v="43"/>
    </i>
    <i>
      <x v="63"/>
    </i>
    <i>
      <x v="360"/>
    </i>
    <i>
      <x v="682"/>
    </i>
    <i>
      <x v="674"/>
    </i>
    <i>
      <x v="764"/>
    </i>
    <i>
      <x v="717"/>
    </i>
    <i>
      <x v="238"/>
    </i>
    <i>
      <x v="863"/>
    </i>
    <i>
      <x v="672"/>
    </i>
    <i>
      <x v="730"/>
    </i>
    <i>
      <x v="518"/>
    </i>
    <i>
      <x v="76"/>
    </i>
    <i>
      <x v="394"/>
    </i>
    <i>
      <x v="823"/>
    </i>
    <i>
      <x v="431"/>
    </i>
    <i>
      <x v="448"/>
    </i>
    <i>
      <x v="509"/>
    </i>
    <i>
      <x v="657"/>
    </i>
    <i>
      <x v="684"/>
    </i>
    <i>
      <x v="438"/>
    </i>
    <i>
      <x v="649"/>
    </i>
    <i>
      <x v="877"/>
    </i>
    <i>
      <x v="26"/>
    </i>
    <i>
      <x v="73"/>
    </i>
    <i>
      <x v="542"/>
    </i>
    <i>
      <x v="533"/>
    </i>
    <i>
      <x v="10"/>
    </i>
    <i>
      <x v="728"/>
    </i>
    <i>
      <x v="551"/>
    </i>
    <i>
      <x v="231"/>
    </i>
    <i>
      <x v="692"/>
    </i>
    <i>
      <x v="668"/>
    </i>
    <i>
      <x v="651"/>
    </i>
    <i>
      <x v="815"/>
    </i>
    <i>
      <x v="727"/>
    </i>
    <i>
      <x v="52"/>
    </i>
    <i>
      <x v="582"/>
    </i>
    <i>
      <x v="482"/>
    </i>
    <i>
      <x v="821"/>
    </i>
    <i>
      <x v="690"/>
    </i>
    <i>
      <x v="817"/>
    </i>
    <i>
      <x v="581"/>
    </i>
    <i>
      <x v="42"/>
    </i>
    <i>
      <x v="713"/>
    </i>
    <i>
      <x v="141"/>
    </i>
    <i>
      <x v="532"/>
    </i>
    <i>
      <x v="793"/>
    </i>
    <i>
      <x v="752"/>
    </i>
    <i>
      <x v="814"/>
    </i>
    <i>
      <x v="841"/>
    </i>
    <i>
      <x v="807"/>
    </i>
    <i>
      <x v="49"/>
    </i>
    <i>
      <x v="848"/>
    </i>
    <i>
      <x v="425"/>
    </i>
    <i>
      <x v="662"/>
    </i>
    <i>
      <x v="454"/>
    </i>
    <i>
      <x v="854"/>
    </i>
    <i>
      <x v="658"/>
    </i>
    <i>
      <x v="734"/>
    </i>
    <i>
      <x v="620"/>
    </i>
    <i>
      <x v="850"/>
    </i>
    <i>
      <x v="861"/>
    </i>
    <i>
      <x v="452"/>
    </i>
    <i>
      <x v="516"/>
    </i>
    <i>
      <x v="479"/>
    </i>
    <i>
      <x v="678"/>
    </i>
    <i>
      <x v="545"/>
    </i>
    <i>
      <x v="267"/>
    </i>
    <i>
      <x v="812"/>
    </i>
    <i>
      <x v="695"/>
    </i>
    <i>
      <x v="92"/>
    </i>
    <i>
      <x v="835"/>
    </i>
    <i>
      <x v="375"/>
    </i>
    <i>
      <x v="4"/>
    </i>
    <i>
      <x v="840"/>
    </i>
    <i>
      <x v="772"/>
    </i>
    <i>
      <x v="751"/>
    </i>
    <i>
      <x v="546"/>
    </i>
    <i>
      <x v="785"/>
    </i>
    <i>
      <x v="653"/>
    </i>
    <i>
      <x v="683"/>
    </i>
    <i>
      <x v="755"/>
    </i>
    <i>
      <x v="846"/>
    </i>
    <i>
      <x v="706"/>
    </i>
    <i>
      <x v="702"/>
    </i>
    <i>
      <x v="490"/>
    </i>
    <i>
      <x v="638"/>
    </i>
    <i>
      <x v="59"/>
    </i>
    <i>
      <x v="707"/>
    </i>
    <i>
      <x v="627"/>
    </i>
    <i>
      <x v="622"/>
    </i>
    <i>
      <x v="534"/>
    </i>
    <i>
      <x v="75"/>
    </i>
    <i>
      <x v="667"/>
    </i>
    <i>
      <x v="681"/>
    </i>
    <i>
      <x v="421"/>
    </i>
    <i>
      <x v="673"/>
    </i>
    <i>
      <x v="701"/>
    </i>
    <i>
      <x v="687"/>
    </i>
    <i>
      <x v="420"/>
    </i>
    <i>
      <x v="224"/>
    </i>
    <i>
      <x v="529"/>
    </i>
    <i>
      <x v="5"/>
    </i>
    <i>
      <x v="873"/>
    </i>
    <i>
      <x v="800"/>
    </i>
    <i>
      <x v="102"/>
    </i>
    <i>
      <x v="718"/>
    </i>
    <i>
      <x v="688"/>
    </i>
    <i>
      <x v="607"/>
    </i>
    <i>
      <x v="878"/>
    </i>
    <i>
      <x v="852"/>
    </i>
    <i>
      <x v="432"/>
    </i>
    <i>
      <x v="610"/>
    </i>
    <i>
      <x v="879"/>
    </i>
    <i>
      <x v="241"/>
    </i>
    <i>
      <x v="358"/>
    </i>
    <i>
      <x v="634"/>
    </i>
    <i>
      <x v="77"/>
    </i>
    <i>
      <x v="656"/>
    </i>
    <i>
      <x v="527"/>
    </i>
    <i>
      <x v="652"/>
    </i>
    <i>
      <x v="156"/>
    </i>
    <i>
      <x v="571"/>
    </i>
    <i>
      <x v="531"/>
    </i>
    <i>
      <x v="646"/>
    </i>
    <i>
      <x v="871"/>
    </i>
    <i>
      <x v="614"/>
    </i>
    <i>
      <x v="640"/>
    </i>
    <i>
      <x v="774"/>
    </i>
    <i>
      <x v="822"/>
    </i>
    <i>
      <x v="455"/>
    </i>
    <i>
      <x v="659"/>
    </i>
    <i>
      <x v="803"/>
    </i>
    <i>
      <x v="520"/>
    </i>
    <i>
      <x v="790"/>
    </i>
    <i>
      <x v="563"/>
    </i>
    <i>
      <x v="735"/>
    </i>
    <i>
      <x v="705"/>
    </i>
    <i>
      <x v="569"/>
    </i>
    <i>
      <x v="714"/>
    </i>
    <i>
      <x v="412"/>
    </i>
    <i>
      <x v="434"/>
    </i>
    <i>
      <x v="763"/>
    </i>
    <i>
      <x v="838"/>
    </i>
    <i>
      <x v="675"/>
    </i>
    <i>
      <x v="766"/>
    </i>
    <i>
      <x v="826"/>
    </i>
    <i>
      <x v="749"/>
    </i>
    <i>
      <x v="828"/>
    </i>
    <i>
      <x v="212"/>
    </i>
    <i>
      <x v="415"/>
    </i>
    <i>
      <x v="759"/>
    </i>
    <i>
      <x v="834"/>
    </i>
    <i>
      <x v="491"/>
    </i>
    <i>
      <x v="550"/>
    </i>
    <i>
      <x v="789"/>
    </i>
    <i>
      <x v="619"/>
    </i>
    <i>
      <x v="708"/>
    </i>
    <i>
      <x v="644"/>
    </i>
    <i>
      <x v="738"/>
    </i>
    <i>
      <x v="694"/>
    </i>
    <i>
      <x v="639"/>
    </i>
    <i>
      <x v="489"/>
    </i>
    <i>
      <x v="802"/>
    </i>
    <i>
      <x v="669"/>
    </i>
    <i>
      <x v="876"/>
    </i>
    <i>
      <x v="389"/>
    </i>
    <i>
      <x v="699"/>
    </i>
    <i>
      <x v="868"/>
    </i>
    <i>
      <x v="700"/>
    </i>
    <i>
      <x v="576"/>
    </i>
    <i>
      <x v="445"/>
    </i>
    <i>
      <x v="633"/>
    </i>
    <i>
      <x v="729"/>
    </i>
    <i>
      <x v="618"/>
    </i>
    <i>
      <x v="605"/>
    </i>
    <i>
      <x v="769"/>
    </i>
    <i>
      <x v="853"/>
    </i>
    <i>
      <x v="321"/>
    </i>
    <i>
      <x v="549"/>
    </i>
    <i>
      <x v="631"/>
    </i>
    <i>
      <x v="862"/>
    </i>
    <i>
      <x v="693"/>
    </i>
    <i>
      <x v="745"/>
    </i>
    <i>
      <x v="725"/>
    </i>
    <i>
      <x v="626"/>
    </i>
    <i>
      <x v="526"/>
    </i>
    <i>
      <x v="781"/>
    </i>
    <i>
      <x v="715"/>
    </i>
    <i>
      <x v="865"/>
    </i>
    <i>
      <x v="698"/>
    </i>
    <i>
      <x v="775"/>
    </i>
    <i>
      <x v="463"/>
    </i>
    <i>
      <x v="655"/>
    </i>
    <i>
      <x v="554"/>
    </i>
    <i>
      <x v="710"/>
    </i>
    <i>
      <x v="767"/>
    </i>
    <i>
      <x v="788"/>
    </i>
    <i>
      <x v="743"/>
    </i>
    <i>
      <x v="294"/>
    </i>
    <i>
      <x v="784"/>
    </i>
    <i>
      <x v="780"/>
    </i>
    <i>
      <x v="748"/>
    </i>
    <i>
      <x v="351"/>
    </i>
    <i>
      <x v="746"/>
    </i>
    <i>
      <x v="857"/>
    </i>
    <i>
      <x v="792"/>
    </i>
    <i>
      <x v="711"/>
    </i>
    <i>
      <x v="786"/>
    </i>
    <i>
      <x v="697"/>
    </i>
    <i>
      <x v="787"/>
    </i>
    <i>
      <x v="726"/>
    </i>
    <i>
      <x v="756"/>
    </i>
    <i>
      <x v="689"/>
    </i>
    <i>
      <x v="833"/>
    </i>
    <i>
      <x v="388"/>
    </i>
    <i>
      <x v="654"/>
    </i>
    <i>
      <x v="770"/>
    </i>
    <i>
      <x v="747"/>
    </i>
    <i>
      <x v="613"/>
    </i>
    <i>
      <x v="572"/>
    </i>
    <i>
      <x v="741"/>
    </i>
    <i>
      <x v="696"/>
    </i>
    <i>
      <x v="765"/>
    </i>
    <i>
      <x v="712"/>
    </i>
    <i>
      <x v="824"/>
    </i>
    <i>
      <x v="719"/>
    </i>
    <i>
      <x v="872"/>
    </i>
    <i>
      <x v="776"/>
    </i>
    <i>
      <x v="737"/>
    </i>
    <i>
      <x v="350"/>
    </i>
    <i>
      <x v="762"/>
    </i>
    <i>
      <x v="804"/>
    </i>
    <i>
      <x v="779"/>
    </i>
    <i>
      <x v="300"/>
    </i>
    <i>
      <x v="608"/>
    </i>
    <i>
      <x v="418"/>
    </i>
    <i>
      <x v="809"/>
    </i>
    <i>
      <x v="842"/>
    </i>
    <i>
      <x v="739"/>
    </i>
    <i>
      <x v="403"/>
    </i>
    <i>
      <x v="328"/>
    </i>
    <i>
      <x v="617"/>
    </i>
    <i>
      <x v="604"/>
    </i>
    <i>
      <x v="254"/>
    </i>
    <i>
      <x v="860"/>
    </i>
    <i>
      <x v="851"/>
    </i>
    <i>
      <x v="856"/>
    </i>
    <i>
      <x v="579"/>
    </i>
    <i>
      <x v="736"/>
    </i>
    <i>
      <x v="768"/>
    </i>
    <i>
      <x v="867"/>
    </i>
    <i>
      <x v="597"/>
    </i>
    <i>
      <x v="855"/>
    </i>
    <i>
      <x v="716"/>
    </i>
    <i>
      <x v="754"/>
    </i>
    <i>
      <x v="287"/>
    </i>
    <i>
      <x v="740"/>
    </i>
    <i>
      <x v="806"/>
    </i>
    <i>
      <x v="606"/>
    </i>
    <i>
      <x v="845"/>
    </i>
    <i>
      <x v="859"/>
    </i>
    <i>
      <x v="874"/>
    </i>
    <i>
      <x v="797"/>
    </i>
    <i>
      <x v="677"/>
    </i>
    <i>
      <x v="782"/>
    </i>
    <i>
      <x v="470"/>
    </i>
    <i>
      <x v="314"/>
    </i>
    <i>
      <x v="829"/>
    </i>
    <i>
      <x v="750"/>
    </i>
    <i>
      <x v="875"/>
    </i>
    <i>
      <x v="796"/>
    </i>
    <i>
      <x v="570"/>
    </i>
    <i>
      <x v="864"/>
    </i>
    <i>
      <x v="791"/>
    </i>
    <i>
      <x v="844"/>
    </i>
    <i>
      <x v="594"/>
    </i>
    <i>
      <x v="720"/>
    </i>
    <i>
      <x v="839"/>
    </i>
    <i>
      <x v="616"/>
    </i>
    <i>
      <x v="805"/>
    </i>
    <i>
      <x v="771"/>
    </i>
    <i>
      <x v="721"/>
    </i>
    <i>
      <x v="847"/>
    </i>
    <i>
      <x v="561"/>
    </i>
    <i>
      <x v="621"/>
    </i>
    <i>
      <x v="508"/>
    </i>
    <i>
      <x v="722"/>
    </i>
    <i>
      <x v="783"/>
    </i>
    <i>
      <x v="744"/>
    </i>
    <i>
      <x v="575"/>
    </i>
    <i>
      <x v="799"/>
    </i>
    <i>
      <x v="819"/>
    </i>
    <i>
      <x v="858"/>
    </i>
    <i>
      <x v="831"/>
    </i>
    <i>
      <x v="615"/>
    </i>
    <i>
      <x v="758"/>
    </i>
    <i>
      <x v="794"/>
    </i>
    <i>
      <x v="773"/>
    </i>
    <i>
      <x v="830"/>
    </i>
    <i>
      <x v="757"/>
    </i>
    <i>
      <x v="537"/>
    </i>
    <i>
      <x v="836"/>
    </i>
    <i>
      <x v="798"/>
    </i>
    <i>
      <x v="808"/>
    </i>
    <i>
      <x v="837"/>
    </i>
    <i>
      <x v="574"/>
    </i>
    <i>
      <x v="753"/>
    </i>
    <i>
      <x v="832"/>
    </i>
    <i>
      <x v="866"/>
    </i>
    <i>
      <x v="811"/>
    </i>
    <i>
      <x v="843"/>
    </i>
    <i>
      <x v="760"/>
    </i>
    <i>
      <x v="818"/>
    </i>
    <i>
      <x v="795"/>
    </i>
    <i>
      <x v="827"/>
    </i>
    <i>
      <x v="761"/>
    </i>
    <i>
      <x v="810"/>
    </i>
    <i>
      <x v="820"/>
    </i>
    <i>
      <x v="813"/>
    </i>
    <i t="grand">
      <x/>
    </i>
  </rowItems>
  <colItems count="1">
    <i/>
  </colItems>
  <dataFields count="1">
    <dataField name="Suma de %" fld="22" baseField="0" baseItem="0" numFmtId="183"/>
  </dataFields>
  <formats count="2">
    <format dxfId="21">
      <pivotArea outline="0" collapsedLevelsAreSubtotals="1" fieldPosition="0"/>
    </format>
    <format dxfId="20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70" tableType="queryTable" totalsRowShown="0" headerRowDxfId="26" dataDxfId="25">
  <tableColumns count="3">
    <tableColumn id="1" xr3:uid="{71D68D03-16ED-4D1C-B20F-8E24C3373D3F}" uniqueName="1" name="Concertación" queryTableFieldId="1" dataDxfId="24"/>
    <tableColumn id="2" xr3:uid="{65B17961-7AC6-4897-A659-144504A89FC3}" uniqueName="2" name="Liquidación" queryTableFieldId="2" dataDxfId="23"/>
    <tableColumn id="3" xr3:uid="{D87AD870-9D0F-4443-9DC3-27648FA7667F}" uniqueName="3" name="Suma de Neto" queryTableFieldId="3" dataDxfId="22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691"/>
  <sheetViews>
    <sheetView tabSelected="1" topLeftCell="B1" zoomScale="85" zoomScaleNormal="85" workbookViewId="0">
      <selection activeCell="O21" sqref="O21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21.2851562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5703125" style="58" bestFit="1" customWidth="1"/>
    <col min="22" max="22" width="11.140625" style="58" bestFit="1" customWidth="1"/>
    <col min="23" max="23" width="16.85546875" style="58" bestFit="1" customWidth="1"/>
    <col min="24" max="16384" width="11.42578125" style="58"/>
  </cols>
  <sheetData>
    <row r="1" spans="1:23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3">
      <c r="A2" s="10" t="s">
        <v>3523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3">
      <c r="A3" s="10" t="s">
        <v>3524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3" ht="14.25" customHeight="1">
      <c r="A4" s="10" t="s">
        <v>3525</v>
      </c>
      <c r="B4" s="10"/>
      <c r="C4" s="10"/>
      <c r="D4" s="10"/>
      <c r="E4" s="10"/>
      <c r="F4" s="10"/>
      <c r="G4" s="10"/>
      <c r="H4" s="10"/>
      <c r="I4" s="10"/>
      <c r="K4" s="184" t="s">
        <v>801</v>
      </c>
      <c r="L4" s="184"/>
      <c r="M4" s="22"/>
    </row>
    <row r="5" spans="1:23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3">
      <c r="A6" s="10" t="s">
        <v>372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3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46295</v>
      </c>
      <c r="M7" s="2">
        <f>WORKDAY(L7,1,$R:$R)</f>
        <v>46296</v>
      </c>
      <c r="N7" s="2">
        <f>WORKDAY(M7,1,$R:$R)</f>
        <v>46297</v>
      </c>
      <c r="R7" s="143">
        <v>45719</v>
      </c>
      <c r="S7" s="60" t="s">
        <v>108</v>
      </c>
    </row>
    <row r="8" spans="1:23">
      <c r="A8" s="10" t="s">
        <v>27</v>
      </c>
      <c r="B8" s="14">
        <v>75806159865.639999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167</v>
      </c>
      <c r="L8" s="33"/>
      <c r="M8" s="33"/>
      <c r="N8" s="5"/>
      <c r="P8" s="115"/>
      <c r="R8" s="143">
        <v>45720</v>
      </c>
    </row>
    <row r="9" spans="1:23">
      <c r="A9" s="10" t="s">
        <v>90</v>
      </c>
      <c r="B9" s="14">
        <v>74283390424.940002</v>
      </c>
      <c r="C9" s="14">
        <v>97.99</v>
      </c>
      <c r="D9" s="14">
        <v>98.76</v>
      </c>
      <c r="E9" s="10"/>
      <c r="F9" s="10"/>
      <c r="G9" s="10"/>
      <c r="H9" s="10"/>
      <c r="I9" s="10"/>
      <c r="K9" t="s">
        <v>2923</v>
      </c>
      <c r="L9" s="33"/>
      <c r="M9" s="33"/>
      <c r="N9" s="5"/>
      <c r="P9" s="22"/>
      <c r="R9" s="143">
        <v>45740</v>
      </c>
    </row>
    <row r="10" spans="1:23">
      <c r="A10" s="10" t="s">
        <v>182</v>
      </c>
      <c r="B10" s="12">
        <v>1070087272</v>
      </c>
      <c r="C10" s="14">
        <v>1.41</v>
      </c>
      <c r="D10" s="14">
        <v>1.42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3">
      <c r="A11" s="10" t="s">
        <v>168</v>
      </c>
      <c r="B11" s="12">
        <v>-3336875500</v>
      </c>
      <c r="C11" s="154">
        <v>-4.4000000000000004</v>
      </c>
      <c r="D11" s="14">
        <v>-4.4400000000000004</v>
      </c>
      <c r="E11" s="10"/>
      <c r="F11" s="10"/>
      <c r="G11" s="10"/>
      <c r="H11" s="10"/>
      <c r="I11" s="10"/>
      <c r="K11" s="7" t="s">
        <v>84</v>
      </c>
      <c r="L11" s="29">
        <f>SUMIF($B$100:$B$2570,L7,$D$100:$D$2570)</f>
        <v>483337754.32999998</v>
      </c>
      <c r="M11" s="29">
        <f>SUMIF($B$100:$B$2570,M7,$D$100:$D$2570)</f>
        <v>3139116734.2800002</v>
      </c>
      <c r="N11" s="29">
        <f>SUMIF($B$100:$B$2570,N7,$D$100:$D$2570)</f>
        <v>2888354179.7000003</v>
      </c>
      <c r="O11" s="29"/>
      <c r="P11" s="146">
        <f>SUMIF($B$99:$B$1908,P7,$D$99:$D$1908)</f>
        <v>0</v>
      </c>
      <c r="Q11" s="146">
        <f>SUMIF($B$99:$B$1908,Q7,$D$99:$D$1908)</f>
        <v>0</v>
      </c>
      <c r="R11" s="146">
        <f>SUMIF($B$99:$B$1908,R7,$D$99:$D$1908)</f>
        <v>0</v>
      </c>
      <c r="S11" s="146">
        <f>SUMIF($B$99:$B$1908,S7,$D$99:$D$1908)</f>
        <v>0</v>
      </c>
      <c r="T11" s="146">
        <f>SUMIF($B$99:$B$1908,T7,$D$99:$D$1908)</f>
        <v>0</v>
      </c>
    </row>
    <row r="12" spans="1:23">
      <c r="A12" s="10" t="s">
        <v>14</v>
      </c>
      <c r="B12" s="14">
        <v>2029277.54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2468</v>
      </c>
      <c r="L12" s="42">
        <f>+SUMIF($B$2574:$B$2618,L7,$F$2574:$F$2618)</f>
        <v>0</v>
      </c>
      <c r="M12" s="42">
        <f t="shared" ref="M12:N12" si="0">+SUMIF($B$2574:$B$2618,M7,$F$2574:$F$2618)</f>
        <v>0</v>
      </c>
      <c r="N12" s="42">
        <f t="shared" si="0"/>
        <v>0</v>
      </c>
      <c r="O12" s="153"/>
      <c r="P12" s="62"/>
      <c r="R12" s="143">
        <v>45778</v>
      </c>
      <c r="W12" s="73"/>
    </row>
    <row r="13" spans="1:23">
      <c r="A13" s="10" t="s">
        <v>26</v>
      </c>
      <c r="B13" s="154">
        <v>2029338.5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0.19</v>
      </c>
      <c r="K13" s="10" t="s">
        <v>183</v>
      </c>
      <c r="L13" s="30">
        <f>SUMIF(A:A,K13,E:E)*(1+(J13/365*1))</f>
        <v>1653860465.7534246</v>
      </c>
      <c r="M13" s="30"/>
      <c r="N13" s="24"/>
      <c r="O13" s="59"/>
      <c r="P13" s="59"/>
      <c r="R13" s="143">
        <v>45779</v>
      </c>
      <c r="T13" s="147"/>
    </row>
    <row r="14" spans="1:23">
      <c r="A14" s="10" t="s">
        <v>602</v>
      </c>
      <c r="B14" s="14">
        <v>-60.96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2029338.5</v>
      </c>
      <c r="M14" s="40"/>
      <c r="N14" s="40"/>
      <c r="O14" s="59"/>
      <c r="P14" s="59"/>
      <c r="Q14" s="70"/>
      <c r="R14" s="143">
        <v>45802</v>
      </c>
      <c r="T14" s="147"/>
      <c r="U14" s="73"/>
    </row>
    <row r="15" spans="1:23">
      <c r="A15" s="10" t="s">
        <v>117</v>
      </c>
      <c r="B15" s="14">
        <v>1520740163.1600001</v>
      </c>
      <c r="C15" s="14">
        <v>2.0099999999999998</v>
      </c>
      <c r="D15" s="14">
        <v>2.02</v>
      </c>
      <c r="E15" s="10"/>
      <c r="F15" s="10"/>
      <c r="G15" s="10"/>
      <c r="H15" s="10"/>
      <c r="I15" s="10"/>
      <c r="K15" t="s">
        <v>106</v>
      </c>
      <c r="L15" s="5">
        <v>10853000</v>
      </c>
      <c r="M15" s="24"/>
      <c r="N15" s="15"/>
      <c r="O15" s="71"/>
      <c r="R15" s="143">
        <v>45824</v>
      </c>
      <c r="U15" s="76"/>
    </row>
    <row r="16" spans="1:23">
      <c r="A16" s="10" t="s">
        <v>18</v>
      </c>
      <c r="B16" s="14">
        <v>-587473675.25999999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4">
        <v>-159016042.18000001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347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-9227004.7200000007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2150080558.5834246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-136171852.27000001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>
        <f>-1158252548.65</f>
        <v>-1158252548.6500001</v>
      </c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-13617185.189999999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268</v>
      </c>
      <c r="L20" s="24"/>
      <c r="M20" s="24"/>
      <c r="N20" s="24"/>
      <c r="R20" s="143">
        <v>45942</v>
      </c>
    </row>
    <row r="21" spans="1:23">
      <c r="A21" s="10" t="s">
        <v>116</v>
      </c>
      <c r="B21" s="154">
        <v>-424234206.89999998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271</v>
      </c>
      <c r="L21" s="24"/>
      <c r="M21" s="24"/>
      <c r="N21" s="24"/>
      <c r="R21" s="143">
        <v>45982</v>
      </c>
    </row>
    <row r="22" spans="1:23">
      <c r="A22" s="10" t="s">
        <v>3157</v>
      </c>
      <c r="B22" s="12">
        <v>-51000000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197</v>
      </c>
      <c r="L22" s="151"/>
      <c r="M22" s="24"/>
      <c r="N22" s="24"/>
      <c r="R22" s="143">
        <v>45985</v>
      </c>
      <c r="U22" s="76"/>
    </row>
    <row r="23" spans="1:23">
      <c r="A23" s="10" t="s">
        <v>128</v>
      </c>
      <c r="B23" s="14">
        <v>-373229036.55000001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198</v>
      </c>
      <c r="L23" s="127">
        <f>SUMIF(A:A,K23,B:B)</f>
        <v>-51000000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75218686190.380005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393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1094311807.6199999</v>
      </c>
      <c r="C25" s="10" t="s">
        <v>28</v>
      </c>
      <c r="D25" s="14">
        <v>1.45</v>
      </c>
      <c r="E25" s="10"/>
      <c r="F25" s="10"/>
      <c r="G25" s="10"/>
      <c r="H25" s="10"/>
      <c r="I25" s="10"/>
      <c r="K25" s="7" t="s">
        <v>309</v>
      </c>
      <c r="L25" s="137"/>
      <c r="M25" s="83"/>
      <c r="N25" s="5"/>
      <c r="R25" s="143"/>
    </row>
    <row r="26" spans="1:23">
      <c r="A26" s="10" t="s">
        <v>24</v>
      </c>
      <c r="B26" s="14">
        <v>935295765.44000006</v>
      </c>
      <c r="C26" s="10" t="s">
        <v>28</v>
      </c>
      <c r="D26" s="14">
        <v>1.24</v>
      </c>
      <c r="E26" s="10"/>
      <c r="F26" s="10"/>
      <c r="G26" s="10"/>
      <c r="H26" s="10"/>
      <c r="I26" s="10"/>
      <c r="K26" s="6" t="s">
        <v>2322</v>
      </c>
      <c r="L26" s="32"/>
      <c r="M26" s="32"/>
      <c r="N26" s="34"/>
      <c r="U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940828009.93342447</v>
      </c>
      <c r="M27" s="4">
        <f>SUM(M8:M26)</f>
        <v>3139116734.2800002</v>
      </c>
      <c r="N27" s="4">
        <f>SUM(N8:N26)</f>
        <v>2888354179.7000003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2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M29" s="58"/>
      <c r="U29" s="152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373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565</v>
      </c>
      <c r="B44" s="10" t="s">
        <v>566</v>
      </c>
      <c r="C44" s="12">
        <v>200000000</v>
      </c>
      <c r="D44" s="155">
        <v>1.2483</v>
      </c>
      <c r="E44" s="12">
        <v>249656648</v>
      </c>
      <c r="F44" s="14">
        <v>0.33</v>
      </c>
      <c r="G44" s="12">
        <v>0</v>
      </c>
      <c r="H44" s="10" t="s">
        <v>28</v>
      </c>
      <c r="I44" s="124" t="s">
        <v>567</v>
      </c>
      <c r="J44" s="84"/>
    </row>
    <row r="45" spans="1:17">
      <c r="A45" s="10" t="s">
        <v>941</v>
      </c>
      <c r="B45" s="10" t="s">
        <v>942</v>
      </c>
      <c r="C45" s="12">
        <v>600000000</v>
      </c>
      <c r="D45" s="155">
        <v>1.0768</v>
      </c>
      <c r="E45" s="12">
        <v>646075548</v>
      </c>
      <c r="F45" s="14">
        <v>0.86</v>
      </c>
      <c r="G45" s="12">
        <v>0</v>
      </c>
      <c r="H45" s="10" t="s">
        <v>28</v>
      </c>
      <c r="I45" s="124" t="s">
        <v>943</v>
      </c>
      <c r="O45" s="72"/>
    </row>
    <row r="46" spans="1:17">
      <c r="A46" s="10"/>
      <c r="B46" s="10" t="s">
        <v>28</v>
      </c>
      <c r="C46" s="12">
        <v>800000000</v>
      </c>
      <c r="D46" s="10" t="s">
        <v>28</v>
      </c>
      <c r="E46" s="12">
        <v>895732196</v>
      </c>
      <c r="F46" s="14">
        <v>1.19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374</v>
      </c>
      <c r="B48" s="10"/>
      <c r="C48" s="10"/>
      <c r="D48" s="10"/>
      <c r="E48" s="10"/>
      <c r="F48" s="10"/>
      <c r="G48" s="10"/>
      <c r="H48" s="10"/>
      <c r="I48" s="10"/>
    </row>
    <row r="49" spans="1:18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18">
      <c r="A50" s="10" t="s">
        <v>1201</v>
      </c>
      <c r="B50" s="10" t="s">
        <v>1202</v>
      </c>
      <c r="C50" s="12">
        <v>300000000</v>
      </c>
      <c r="D50" s="155">
        <v>1.1029</v>
      </c>
      <c r="E50" s="12">
        <v>330862383</v>
      </c>
      <c r="F50" s="14">
        <v>0.44</v>
      </c>
      <c r="G50" s="12">
        <v>0</v>
      </c>
      <c r="H50" s="10" t="s">
        <v>28</v>
      </c>
      <c r="I50" s="124" t="s">
        <v>1203</v>
      </c>
      <c r="O50" s="72"/>
    </row>
    <row r="51" spans="1:18">
      <c r="A51" s="10" t="s">
        <v>724</v>
      </c>
      <c r="B51" s="10" t="s">
        <v>725</v>
      </c>
      <c r="C51" s="12">
        <v>250000000</v>
      </c>
      <c r="D51" s="155">
        <v>0.99929999999999997</v>
      </c>
      <c r="E51" s="12">
        <v>249820885</v>
      </c>
      <c r="F51" s="14">
        <v>0.33</v>
      </c>
      <c r="G51" s="12">
        <v>1</v>
      </c>
      <c r="H51" s="14">
        <v>-7.0000000000000007E-2</v>
      </c>
      <c r="I51" s="124" t="s">
        <v>726</v>
      </c>
      <c r="O51" s="72"/>
    </row>
    <row r="52" spans="1:18">
      <c r="A52" s="10" t="s">
        <v>545</v>
      </c>
      <c r="B52" s="10" t="s">
        <v>546</v>
      </c>
      <c r="C52" s="12">
        <v>300000000</v>
      </c>
      <c r="D52" s="155">
        <v>1.1129</v>
      </c>
      <c r="E52" s="12">
        <v>333868215</v>
      </c>
      <c r="F52" s="14">
        <v>0.44</v>
      </c>
      <c r="G52" s="12">
        <v>1</v>
      </c>
      <c r="H52" s="14">
        <v>11.29</v>
      </c>
      <c r="I52" s="124" t="s">
        <v>547</v>
      </c>
      <c r="L52" s="143"/>
    </row>
    <row r="53" spans="1:18">
      <c r="A53" s="10"/>
      <c r="B53" s="10" t="s">
        <v>28</v>
      </c>
      <c r="C53" s="12">
        <v>850000000</v>
      </c>
      <c r="D53" s="10" t="s">
        <v>28</v>
      </c>
      <c r="E53" s="12">
        <v>914551483</v>
      </c>
      <c r="F53" s="14">
        <v>1.22</v>
      </c>
      <c r="G53" s="10" t="s">
        <v>28</v>
      </c>
      <c r="H53" s="10" t="s">
        <v>28</v>
      </c>
      <c r="I53" s="10" t="s">
        <v>28</v>
      </c>
    </row>
    <row r="54" spans="1:18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18">
      <c r="A55" s="10" t="s">
        <v>375</v>
      </c>
      <c r="B55" s="10"/>
      <c r="C55" s="10"/>
      <c r="D55" s="10"/>
      <c r="E55" s="10"/>
      <c r="F55" s="10"/>
      <c r="G55" s="10"/>
      <c r="H55" s="10"/>
      <c r="I55" s="10"/>
    </row>
    <row r="56" spans="1:18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6" t="s">
        <v>82</v>
      </c>
      <c r="L56" s="177">
        <v>62314743624.209999</v>
      </c>
      <c r="M56" s="85"/>
      <c r="N56" s="76"/>
    </row>
    <row r="57" spans="1:18">
      <c r="A57" s="10" t="s">
        <v>742</v>
      </c>
      <c r="B57" s="10" t="s">
        <v>721</v>
      </c>
      <c r="C57" s="12">
        <v>250000000</v>
      </c>
      <c r="D57" s="155">
        <v>0.72160000000000002</v>
      </c>
      <c r="E57" s="12">
        <v>180409615</v>
      </c>
      <c r="F57" s="14">
        <v>0.24</v>
      </c>
      <c r="G57" s="155">
        <v>0.97840000000000005</v>
      </c>
      <c r="H57" s="14">
        <v>-26.25</v>
      </c>
      <c r="I57" s="124" t="s">
        <v>722</v>
      </c>
      <c r="K57" s="175" t="s">
        <v>83</v>
      </c>
      <c r="L57" s="174">
        <f>L56/B24</f>
        <v>0.82844764752325151</v>
      </c>
      <c r="M57" s="58"/>
      <c r="N57" s="83"/>
    </row>
    <row r="58" spans="1:18">
      <c r="A58" s="10" t="s">
        <v>152</v>
      </c>
      <c r="B58" s="10" t="s">
        <v>153</v>
      </c>
      <c r="C58" s="12">
        <v>100000000</v>
      </c>
      <c r="D58" s="155">
        <v>0.1366</v>
      </c>
      <c r="E58" s="12">
        <v>13660000</v>
      </c>
      <c r="F58" s="14">
        <v>0.02</v>
      </c>
      <c r="G58" s="155">
        <v>0.98460000000000003</v>
      </c>
      <c r="H58" s="14">
        <v>-86.13</v>
      </c>
      <c r="I58" s="124" t="s">
        <v>154</v>
      </c>
      <c r="K58" s="114"/>
      <c r="L58" s="70"/>
      <c r="M58" s="58"/>
      <c r="N58" s="152"/>
    </row>
    <row r="59" spans="1:18">
      <c r="A59" s="10" t="s">
        <v>3001</v>
      </c>
      <c r="B59" s="10" t="s">
        <v>2775</v>
      </c>
      <c r="C59" s="12">
        <v>300000000</v>
      </c>
      <c r="D59" s="155">
        <v>0.97529999999999994</v>
      </c>
      <c r="E59" s="12">
        <v>292575042</v>
      </c>
      <c r="F59" s="14">
        <v>0.39</v>
      </c>
      <c r="G59" s="155">
        <v>0.99609999999999999</v>
      </c>
      <c r="H59" s="154">
        <v>-2.1</v>
      </c>
      <c r="I59" s="124" t="s">
        <v>2776</v>
      </c>
      <c r="K59" s="176" t="s">
        <v>3518</v>
      </c>
      <c r="L59" s="182">
        <v>-1324459725.2</v>
      </c>
      <c r="N59" s="152"/>
    </row>
    <row r="60" spans="1:18">
      <c r="A60" s="10" t="s">
        <v>255</v>
      </c>
      <c r="B60" s="10" t="s">
        <v>256</v>
      </c>
      <c r="C60" s="12">
        <v>101962042</v>
      </c>
      <c r="D60" s="155">
        <v>1.4588000000000001</v>
      </c>
      <c r="E60" s="14">
        <v>148745812.87</v>
      </c>
      <c r="F60" s="154">
        <v>0.2</v>
      </c>
      <c r="G60" s="156">
        <v>0.92400000000000004</v>
      </c>
      <c r="H60" s="14">
        <v>57.88</v>
      </c>
      <c r="I60" s="124" t="s">
        <v>257</v>
      </c>
      <c r="K60" s="175" t="s">
        <v>3519</v>
      </c>
      <c r="L60" s="183">
        <f>+W69</f>
        <v>1050707304.85</v>
      </c>
      <c r="N60" s="76"/>
      <c r="R60" s="59"/>
    </row>
    <row r="61" spans="1:18">
      <c r="A61" s="10" t="s">
        <v>258</v>
      </c>
      <c r="B61" s="10" t="s">
        <v>259</v>
      </c>
      <c r="C61" s="12">
        <v>382357659</v>
      </c>
      <c r="D61" s="155">
        <v>1.2545999999999999</v>
      </c>
      <c r="E61" s="14">
        <v>479690540.56</v>
      </c>
      <c r="F61" s="14">
        <v>0.64</v>
      </c>
      <c r="G61" s="14">
        <v>0.85</v>
      </c>
      <c r="H61" s="154">
        <v>47.6</v>
      </c>
      <c r="I61" s="124" t="s">
        <v>260</v>
      </c>
      <c r="K61" s="176" t="s">
        <v>3516</v>
      </c>
      <c r="L61" s="182">
        <f>+L59+W68</f>
        <v>0</v>
      </c>
    </row>
    <row r="62" spans="1:18">
      <c r="A62" s="10" t="s">
        <v>354</v>
      </c>
      <c r="B62" s="10" t="s">
        <v>355</v>
      </c>
      <c r="C62" s="12">
        <v>75584213</v>
      </c>
      <c r="D62" s="155">
        <v>1.1453</v>
      </c>
      <c r="E62" s="14">
        <v>86565404.159999996</v>
      </c>
      <c r="F62" s="14">
        <v>0.12</v>
      </c>
      <c r="G62" s="155">
        <v>0.87180000000000002</v>
      </c>
      <c r="H62" s="14">
        <v>31.37</v>
      </c>
      <c r="I62" s="124" t="s">
        <v>356</v>
      </c>
      <c r="K62" s="176" t="s">
        <v>3517</v>
      </c>
      <c r="L62" s="182">
        <f>+L19+W68+W69</f>
        <v>1216914481.4000001</v>
      </c>
    </row>
    <row r="63" spans="1:18">
      <c r="A63" s="10" t="s">
        <v>357</v>
      </c>
      <c r="B63" s="10" t="s">
        <v>358</v>
      </c>
      <c r="C63" s="12">
        <v>176363163</v>
      </c>
      <c r="D63" s="155">
        <v>1.0643</v>
      </c>
      <c r="E63" s="14">
        <v>187702614.22</v>
      </c>
      <c r="F63" s="14">
        <v>0.25</v>
      </c>
      <c r="G63" s="155">
        <v>0.84460000000000002</v>
      </c>
      <c r="H63" s="14">
        <v>26.01</v>
      </c>
      <c r="I63" s="124" t="s">
        <v>359</v>
      </c>
    </row>
    <row r="64" spans="1:18" s="59" customFormat="1">
      <c r="A64" s="10" t="s">
        <v>667</v>
      </c>
      <c r="B64" s="10" t="s">
        <v>668</v>
      </c>
      <c r="C64" s="12">
        <v>63635566</v>
      </c>
      <c r="D64" s="155">
        <v>0.99950000000000006</v>
      </c>
      <c r="E64" s="14">
        <v>63604851.020000003</v>
      </c>
      <c r="F64" s="14">
        <v>0.08</v>
      </c>
      <c r="G64" s="155">
        <v>0.90539999999999998</v>
      </c>
      <c r="H64" s="154">
        <v>10.4</v>
      </c>
      <c r="I64" s="124" t="s">
        <v>669</v>
      </c>
      <c r="J64" s="58"/>
      <c r="O64" s="58"/>
      <c r="P64" s="58"/>
      <c r="Q64" s="58"/>
      <c r="R64" s="58"/>
    </row>
    <row r="65" spans="1:23">
      <c r="A65" s="10" t="s">
        <v>670</v>
      </c>
      <c r="B65" s="10" t="s">
        <v>671</v>
      </c>
      <c r="C65" s="12">
        <v>148482986</v>
      </c>
      <c r="D65" s="155">
        <v>0.88949999999999996</v>
      </c>
      <c r="E65" s="14">
        <v>132070119.20999999</v>
      </c>
      <c r="F65" s="14">
        <v>0.18</v>
      </c>
      <c r="G65" s="155">
        <v>0.7853</v>
      </c>
      <c r="H65" s="14">
        <v>13.26</v>
      </c>
      <c r="I65" s="124" t="s">
        <v>672</v>
      </c>
      <c r="K65" s="160" t="s">
        <v>428</v>
      </c>
      <c r="L65" s="161">
        <f>VLOOKUP("Valor Patrimonial del Fondo",A:B,2,0)+L22</f>
        <v>75218686190.380005</v>
      </c>
      <c r="M65" s="142"/>
      <c r="N65" s="77"/>
      <c r="U65" s="58" t="s">
        <v>3522</v>
      </c>
    </row>
    <row r="66" spans="1:23">
      <c r="A66" s="10"/>
      <c r="B66" s="10" t="s">
        <v>28</v>
      </c>
      <c r="C66" s="12">
        <v>1598385629</v>
      </c>
      <c r="D66" s="10" t="s">
        <v>28</v>
      </c>
      <c r="E66" s="14">
        <v>1585023999.04</v>
      </c>
      <c r="F66" s="14">
        <v>2.11</v>
      </c>
      <c r="G66" s="10" t="s">
        <v>28</v>
      </c>
      <c r="H66" s="10" t="s">
        <v>28</v>
      </c>
      <c r="I66" s="10" t="s">
        <v>28</v>
      </c>
      <c r="K66" s="163" t="s">
        <v>3513</v>
      </c>
      <c r="L66" s="164" t="s">
        <v>118</v>
      </c>
      <c r="M66" s="165" t="s">
        <v>104</v>
      </c>
      <c r="N66" s="163" t="s">
        <v>3514</v>
      </c>
      <c r="U66" s="60" t="s">
        <v>159</v>
      </c>
      <c r="V66" s="60" t="s">
        <v>3520</v>
      </c>
      <c r="W66" s="60" t="s">
        <v>3521</v>
      </c>
    </row>
    <row r="67" spans="1:23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2" t="s">
        <v>429</v>
      </c>
      <c r="L67" s="166">
        <f>+$L$65*M67</f>
        <v>3760934309.5190005</v>
      </c>
      <c r="M67" s="167">
        <v>0.05</v>
      </c>
      <c r="N67" s="168">
        <f>+L67-L13</f>
        <v>2107073843.7655759</v>
      </c>
      <c r="U67" s="143">
        <v>46293</v>
      </c>
      <c r="V67" s="143">
        <v>46293</v>
      </c>
      <c r="W67" s="76">
        <v>1517606166.3900001</v>
      </c>
    </row>
    <row r="68" spans="1:23" s="59" customFormat="1">
      <c r="A68" s="10" t="s">
        <v>376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430</v>
      </c>
      <c r="L68" s="166">
        <f>+$L$65*M68</f>
        <v>15043737238.076002</v>
      </c>
      <c r="M68" s="167">
        <v>0.2</v>
      </c>
      <c r="N68" s="168">
        <f>+L68-(L8+L9)</f>
        <v>15043737238.076002</v>
      </c>
      <c r="O68" s="58"/>
      <c r="P68" s="58"/>
      <c r="Q68" s="58"/>
      <c r="R68" s="58"/>
      <c r="U68" s="143">
        <v>46293</v>
      </c>
      <c r="V68" s="143">
        <v>46294</v>
      </c>
      <c r="W68" s="76">
        <v>1324459725.2</v>
      </c>
    </row>
    <row r="69" spans="1:23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2995</v>
      </c>
      <c r="L69" s="166">
        <f>+$L$65*M69</f>
        <v>15043737238.076002</v>
      </c>
      <c r="M69" s="167">
        <v>0.2</v>
      </c>
      <c r="N69" s="170">
        <f>L69-M72</f>
        <v>11267154012.666002</v>
      </c>
      <c r="U69" s="143">
        <v>46294</v>
      </c>
      <c r="V69" s="143">
        <v>46294</v>
      </c>
      <c r="W69" s="76">
        <v>1050707304.85</v>
      </c>
    </row>
    <row r="70" spans="1:23">
      <c r="A70" s="10" t="s">
        <v>599</v>
      </c>
      <c r="B70" s="10" t="s">
        <v>28</v>
      </c>
      <c r="C70" s="12">
        <v>-833000</v>
      </c>
      <c r="D70" s="12">
        <v>1522</v>
      </c>
      <c r="E70" s="12">
        <v>-1267826000</v>
      </c>
      <c r="F70" s="14">
        <v>-1.69</v>
      </c>
      <c r="G70" s="12">
        <v>0</v>
      </c>
      <c r="H70" s="10" t="s">
        <v>28</v>
      </c>
      <c r="I70" s="124" t="s">
        <v>506</v>
      </c>
      <c r="K70" s="128" t="s">
        <v>2996</v>
      </c>
      <c r="L70" s="166">
        <f>+$L$65*M70</f>
        <v>56414014642.785004</v>
      </c>
      <c r="M70" s="169">
        <v>0.75</v>
      </c>
      <c r="N70" s="168">
        <f>+L56-L70</f>
        <v>5900728981.4249954</v>
      </c>
      <c r="U70" s="143">
        <v>46294</v>
      </c>
      <c r="V70" s="143">
        <v>46295</v>
      </c>
      <c r="W70" s="76">
        <v>1158252548.6500001</v>
      </c>
    </row>
    <row r="71" spans="1:23" ht="15.75" thickBot="1">
      <c r="A71" s="10" t="s">
        <v>765</v>
      </c>
      <c r="B71" s="10" t="s">
        <v>28</v>
      </c>
      <c r="C71" s="12">
        <v>-539000</v>
      </c>
      <c r="D71" s="12">
        <v>1548</v>
      </c>
      <c r="E71" s="12">
        <v>-834372000</v>
      </c>
      <c r="F71" s="14">
        <v>-1.1100000000000001</v>
      </c>
      <c r="G71" s="12">
        <v>0</v>
      </c>
      <c r="H71" s="10" t="s">
        <v>28</v>
      </c>
      <c r="I71" s="124" t="s">
        <v>766</v>
      </c>
      <c r="J71" s="60"/>
      <c r="N71" s="72"/>
    </row>
    <row r="72" spans="1:23" ht="15.75" thickBot="1">
      <c r="A72" s="10" t="s">
        <v>1087</v>
      </c>
      <c r="B72" s="10" t="s">
        <v>28</v>
      </c>
      <c r="C72" s="12">
        <v>-750000</v>
      </c>
      <c r="D72" s="12">
        <v>1576</v>
      </c>
      <c r="E72" s="12">
        <v>-1182000000</v>
      </c>
      <c r="F72" s="14">
        <v>-1.57</v>
      </c>
      <c r="G72" s="12">
        <v>0</v>
      </c>
      <c r="H72" s="10" t="s">
        <v>28</v>
      </c>
      <c r="I72" s="124" t="s">
        <v>567</v>
      </c>
      <c r="K72" s="171" t="s">
        <v>3515</v>
      </c>
      <c r="L72" s="172" t="str" cm="1">
        <f t="array" ref="L72">_xlfn.LET(_xlpm.lib,_xlfn.UNIQUE('Reporte de Cheques'!$A$4:$A$5000),_xlpm.tot,SUMIFS('Reporte de Cheques'!$J$4:$J$5000,'Reporte de Cheques'!$A$4:$A$5000,_xlpm.lib),_xlfn.XLOOKUP(MAX(_xlpm.tot),_xlpm.tot,_xlpm.lib))</f>
        <v>SES SA</v>
      </c>
      <c r="M72" s="173" cm="1">
        <f t="array" ref="M72">MAX(SUMIFS('Reporte de Cheques'!$J$4:$J$5000,'Reporte de Cheques'!$A$4:$A$5000,_xlfn.UNIQUE('Reporte de Cheques'!$A$4:$A$5000)))</f>
        <v>3776583225.4099994</v>
      </c>
      <c r="N72" s="72"/>
    </row>
    <row r="73" spans="1:23">
      <c r="A73" s="10" t="s">
        <v>1258</v>
      </c>
      <c r="B73" s="10" t="s">
        <v>28</v>
      </c>
      <c r="C73" s="12">
        <v>-823000</v>
      </c>
      <c r="D73" s="154">
        <v>1604.5</v>
      </c>
      <c r="E73" s="12">
        <v>-1320503500</v>
      </c>
      <c r="F73" s="14">
        <v>-1.76</v>
      </c>
      <c r="G73" s="12">
        <v>0</v>
      </c>
      <c r="H73" s="10" t="s">
        <v>28</v>
      </c>
      <c r="I73" s="124" t="s">
        <v>154</v>
      </c>
    </row>
    <row r="74" spans="1:23">
      <c r="A74" s="10"/>
      <c r="B74" s="10" t="s">
        <v>28</v>
      </c>
      <c r="C74" s="12">
        <v>-2945000</v>
      </c>
      <c r="D74" s="10" t="s">
        <v>28</v>
      </c>
      <c r="E74" s="12">
        <v>-4604701500</v>
      </c>
      <c r="F74" s="14">
        <v>-6.12</v>
      </c>
      <c r="G74" s="10" t="s">
        <v>28</v>
      </c>
      <c r="H74" s="10" t="s">
        <v>28</v>
      </c>
      <c r="I74" s="10" t="s">
        <v>28</v>
      </c>
      <c r="K74" s="58" t="s">
        <v>2997</v>
      </c>
      <c r="N74" s="72"/>
    </row>
    <row r="75" spans="1:23">
      <c r="A75" s="10" t="s">
        <v>28</v>
      </c>
      <c r="B75" s="10"/>
      <c r="C75" s="10"/>
      <c r="D75" s="10"/>
      <c r="E75" s="10"/>
      <c r="F75" s="10"/>
      <c r="G75" s="10"/>
      <c r="H75" s="10"/>
      <c r="I75" s="10"/>
      <c r="K75" s="60" t="s">
        <v>2998</v>
      </c>
      <c r="L75" s="148" t="s">
        <v>97</v>
      </c>
      <c r="M75" s="149" t="s">
        <v>2999</v>
      </c>
      <c r="N75" s="150" t="s">
        <v>3000</v>
      </c>
    </row>
    <row r="76" spans="1:23">
      <c r="A76" s="10" t="s">
        <v>553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Cheques'!A4:V2253,1,3,7,10,21),('Reporte de Cheques'!B4:B2253="Dolar Link")*('Reporte de Cheques'!C4:C2253=TODAY()),"Sin vencimientos hoy")</f>
        <v>Sin vencimientos hoy</v>
      </c>
      <c r="L76" s="143"/>
      <c r="N76" s="72"/>
    </row>
    <row r="77" spans="1:23">
      <c r="A77" s="11" t="s">
        <v>8</v>
      </c>
      <c r="B77" s="11" t="s">
        <v>92</v>
      </c>
      <c r="C77" s="11" t="s">
        <v>93</v>
      </c>
      <c r="D77" s="11" t="s">
        <v>94</v>
      </c>
      <c r="E77" s="11" t="s">
        <v>2</v>
      </c>
      <c r="F77" s="11" t="s">
        <v>4</v>
      </c>
      <c r="G77" s="11" t="s">
        <v>95</v>
      </c>
      <c r="H77" s="11" t="s">
        <v>96</v>
      </c>
      <c r="I77" s="11" t="s">
        <v>97</v>
      </c>
    </row>
    <row r="78" spans="1:23">
      <c r="A78" s="10" t="s">
        <v>183</v>
      </c>
      <c r="B78" s="10" t="s">
        <v>28</v>
      </c>
      <c r="C78" s="157">
        <v>126741895.9943583</v>
      </c>
      <c r="D78" s="155">
        <v>13.042299999999999</v>
      </c>
      <c r="E78" s="12">
        <v>1653000000</v>
      </c>
      <c r="F78" s="154">
        <v>2.2000000000000002</v>
      </c>
      <c r="G78" s="155">
        <v>13.042299999999999</v>
      </c>
      <c r="H78" s="12">
        <v>0</v>
      </c>
      <c r="I78" s="10" t="s">
        <v>28</v>
      </c>
    </row>
    <row r="79" spans="1:23">
      <c r="A79" s="10"/>
      <c r="B79" s="10" t="s">
        <v>28</v>
      </c>
      <c r="C79" s="157">
        <v>126741895.9943583</v>
      </c>
      <c r="D79" s="10" t="s">
        <v>28</v>
      </c>
      <c r="E79" s="12">
        <v>1653000000</v>
      </c>
      <c r="F79" s="154">
        <v>2.2000000000000002</v>
      </c>
      <c r="G79" s="10" t="s">
        <v>28</v>
      </c>
      <c r="H79" s="10" t="s">
        <v>28</v>
      </c>
      <c r="I79" s="10" t="s">
        <v>28</v>
      </c>
    </row>
    <row r="80" spans="1:23">
      <c r="A80" s="10" t="s">
        <v>28</v>
      </c>
      <c r="B80" s="10"/>
      <c r="C80" s="10"/>
      <c r="D80" s="10"/>
      <c r="E80" s="10"/>
      <c r="F80" s="10"/>
      <c r="G80" s="10"/>
      <c r="H80" s="10"/>
      <c r="I80" s="10"/>
    </row>
    <row r="81" spans="1:9">
      <c r="A81" s="10" t="s">
        <v>1064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1" t="s">
        <v>8</v>
      </c>
      <c r="B82" s="11" t="s">
        <v>92</v>
      </c>
      <c r="C82" s="11" t="s">
        <v>93</v>
      </c>
      <c r="D82" s="11" t="s">
        <v>94</v>
      </c>
      <c r="E82" s="11" t="s">
        <v>2</v>
      </c>
      <c r="F82" s="11" t="s">
        <v>4</v>
      </c>
      <c r="G82" s="11" t="s">
        <v>95</v>
      </c>
      <c r="H82" s="11" t="s">
        <v>96</v>
      </c>
      <c r="I82" s="11" t="s">
        <v>97</v>
      </c>
    </row>
    <row r="83" spans="1:9">
      <c r="A83" s="10" t="s">
        <v>1065</v>
      </c>
      <c r="B83" s="10" t="s">
        <v>28</v>
      </c>
      <c r="C83" s="12">
        <v>300000000</v>
      </c>
      <c r="D83" s="155">
        <v>1.0283</v>
      </c>
      <c r="E83" s="14">
        <v>308504793.38999999</v>
      </c>
      <c r="F83" s="14">
        <v>0.41</v>
      </c>
      <c r="G83" s="155">
        <v>0.98409999999999997</v>
      </c>
      <c r="H83" s="154">
        <v>4.5</v>
      </c>
      <c r="I83" s="124" t="s">
        <v>583</v>
      </c>
    </row>
    <row r="84" spans="1:9">
      <c r="A84" s="10"/>
      <c r="B84" s="10" t="s">
        <v>28</v>
      </c>
      <c r="C84" s="12">
        <v>300000000</v>
      </c>
      <c r="D84" s="10" t="s">
        <v>28</v>
      </c>
      <c r="E84" s="14">
        <v>308504793.38999999</v>
      </c>
      <c r="F84" s="14">
        <v>0.41</v>
      </c>
      <c r="G84" s="10" t="s">
        <v>28</v>
      </c>
      <c r="H84" s="10" t="s">
        <v>28</v>
      </c>
      <c r="I84" s="10" t="s">
        <v>28</v>
      </c>
    </row>
    <row r="85" spans="1:9">
      <c r="A85" s="10" t="s">
        <v>28</v>
      </c>
      <c r="B85" s="10"/>
      <c r="C85" s="10"/>
      <c r="D85" s="10"/>
      <c r="E85" s="10"/>
      <c r="F85" s="10"/>
      <c r="G85" s="10"/>
      <c r="H85" s="10"/>
      <c r="I85" s="10"/>
    </row>
    <row r="86" spans="1:9">
      <c r="A86" s="10" t="s">
        <v>377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1" t="s">
        <v>8</v>
      </c>
      <c r="B87" s="11" t="s">
        <v>92</v>
      </c>
      <c r="C87" s="11" t="s">
        <v>93</v>
      </c>
      <c r="D87" s="11" t="s">
        <v>94</v>
      </c>
      <c r="E87" s="11" t="s">
        <v>2</v>
      </c>
      <c r="F87" s="11" t="s">
        <v>4</v>
      </c>
      <c r="G87" s="11" t="s">
        <v>95</v>
      </c>
      <c r="H87" s="11" t="s">
        <v>96</v>
      </c>
      <c r="I87" s="11" t="s">
        <v>97</v>
      </c>
    </row>
    <row r="88" spans="1:9">
      <c r="A88" s="10" t="s">
        <v>1197</v>
      </c>
      <c r="B88" s="10" t="s">
        <v>1198</v>
      </c>
      <c r="C88" s="12">
        <v>400000000</v>
      </c>
      <c r="D88" s="14">
        <v>1.06</v>
      </c>
      <c r="E88" s="12">
        <v>424011724</v>
      </c>
      <c r="F88" s="14">
        <v>0.56000000000000005</v>
      </c>
      <c r="G88" s="12">
        <v>1</v>
      </c>
      <c r="H88" s="12">
        <v>6</v>
      </c>
      <c r="I88" s="124" t="s">
        <v>1199</v>
      </c>
    </row>
    <row r="89" spans="1:9">
      <c r="A89" s="10"/>
      <c r="B89" s="10" t="s">
        <v>28</v>
      </c>
      <c r="C89" s="12">
        <v>400000000</v>
      </c>
      <c r="D89" s="10" t="s">
        <v>28</v>
      </c>
      <c r="E89" s="12">
        <v>424011724</v>
      </c>
      <c r="F89" s="14">
        <v>0.56000000000000005</v>
      </c>
      <c r="G89" s="10" t="s">
        <v>28</v>
      </c>
      <c r="H89" s="10" t="s">
        <v>28</v>
      </c>
      <c r="I89" s="10" t="s">
        <v>28</v>
      </c>
    </row>
    <row r="90" spans="1:9">
      <c r="A90" s="10" t="s">
        <v>28</v>
      </c>
      <c r="B90" s="10"/>
      <c r="C90" s="10"/>
      <c r="D90" s="10"/>
      <c r="E90" s="10"/>
      <c r="F90" s="10"/>
      <c r="G90" s="10"/>
      <c r="H90" s="10"/>
      <c r="I90" s="10"/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378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1" t="s">
        <v>158</v>
      </c>
      <c r="B93" s="11" t="s">
        <v>97</v>
      </c>
      <c r="C93" s="11" t="s">
        <v>159</v>
      </c>
      <c r="D93" s="11" t="s">
        <v>160</v>
      </c>
      <c r="E93" s="11" t="s">
        <v>47</v>
      </c>
      <c r="F93" s="11" t="s">
        <v>2</v>
      </c>
      <c r="G93" s="11" t="s">
        <v>4</v>
      </c>
      <c r="H93" s="11"/>
      <c r="I93" s="11"/>
    </row>
    <row r="94" spans="1:9">
      <c r="A94" s="10" t="s">
        <v>161</v>
      </c>
      <c r="B94" s="124" t="s">
        <v>441</v>
      </c>
      <c r="C94" s="124" t="s">
        <v>390</v>
      </c>
      <c r="D94" s="12">
        <v>33</v>
      </c>
      <c r="E94" s="21">
        <v>38.498897579999998</v>
      </c>
      <c r="F94" s="14">
        <v>614618833.22000003</v>
      </c>
      <c r="G94" s="14">
        <v>0.82</v>
      </c>
      <c r="H94" s="10"/>
      <c r="I94" s="10"/>
    </row>
    <row r="95" spans="1:9">
      <c r="A95" s="10"/>
      <c r="B95" s="10"/>
      <c r="C95" s="10" t="s">
        <v>28</v>
      </c>
      <c r="D95" s="12">
        <v>6</v>
      </c>
      <c r="E95" s="21">
        <v>38.498897579999998</v>
      </c>
      <c r="F95" s="14">
        <v>614618833.22000003</v>
      </c>
      <c r="G95" s="14">
        <v>0.82</v>
      </c>
      <c r="H95" s="10"/>
      <c r="I95" s="10"/>
    </row>
    <row r="96" spans="1:9">
      <c r="A96" s="10" t="s">
        <v>28</v>
      </c>
      <c r="B96" s="10"/>
      <c r="C96" s="10"/>
      <c r="D96" s="10"/>
      <c r="E96" s="10"/>
      <c r="F96" s="10"/>
      <c r="G96" s="10"/>
      <c r="H96" s="10"/>
      <c r="I96" s="10"/>
    </row>
    <row r="97" spans="1:9">
      <c r="A97" s="10" t="s">
        <v>28</v>
      </c>
      <c r="B97" s="10"/>
      <c r="C97" s="10"/>
      <c r="D97" s="10"/>
      <c r="E97" s="10"/>
      <c r="F97" s="10"/>
      <c r="G97" s="10"/>
      <c r="H97" s="10"/>
      <c r="I97" s="10"/>
    </row>
    <row r="98" spans="1:9">
      <c r="A98" s="10" t="s">
        <v>379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1" t="s">
        <v>9</v>
      </c>
      <c r="B99" s="11" t="s">
        <v>97</v>
      </c>
      <c r="C99" s="11" t="s">
        <v>16</v>
      </c>
      <c r="D99" s="11" t="s">
        <v>99</v>
      </c>
      <c r="E99" s="11" t="s">
        <v>32</v>
      </c>
      <c r="F99" s="11" t="s">
        <v>100</v>
      </c>
      <c r="G99" s="11" t="s">
        <v>4</v>
      </c>
      <c r="H99" s="11"/>
      <c r="I99" s="11"/>
    </row>
    <row r="100" spans="1:9">
      <c r="A100" s="10" t="s">
        <v>437</v>
      </c>
      <c r="B100" s="124" t="s">
        <v>438</v>
      </c>
      <c r="C100" s="124" t="s">
        <v>301</v>
      </c>
      <c r="D100" s="12">
        <v>7900000</v>
      </c>
      <c r="E100" s="82">
        <v>0.99023332149999999</v>
      </c>
      <c r="F100" s="14">
        <v>7822843.2400000002</v>
      </c>
      <c r="G100" s="14">
        <v>0.01</v>
      </c>
      <c r="H100" s="10"/>
      <c r="I100" s="10"/>
    </row>
    <row r="101" spans="1:9">
      <c r="A101" s="10" t="s">
        <v>439</v>
      </c>
      <c r="B101" s="124" t="s">
        <v>438</v>
      </c>
      <c r="C101" s="124" t="s">
        <v>301</v>
      </c>
      <c r="D101" s="12">
        <v>7203888</v>
      </c>
      <c r="E101" s="82">
        <v>0.99023332249999996</v>
      </c>
      <c r="F101" s="14">
        <v>7133529.9500000002</v>
      </c>
      <c r="G101" s="14">
        <v>0.01</v>
      </c>
      <c r="H101" s="10"/>
      <c r="I101" s="10"/>
    </row>
    <row r="102" spans="1:9">
      <c r="A102" s="10" t="s">
        <v>440</v>
      </c>
      <c r="B102" s="124" t="s">
        <v>441</v>
      </c>
      <c r="C102" s="124" t="s">
        <v>301</v>
      </c>
      <c r="D102" s="12">
        <v>7203888</v>
      </c>
      <c r="E102" s="82">
        <v>0.99346761220000002</v>
      </c>
      <c r="F102" s="14">
        <v>7156829.4100000001</v>
      </c>
      <c r="G102" s="14">
        <v>0.01</v>
      </c>
      <c r="H102" s="10"/>
      <c r="I102" s="10"/>
    </row>
    <row r="103" spans="1:9">
      <c r="A103" s="10" t="s">
        <v>442</v>
      </c>
      <c r="B103" s="124" t="s">
        <v>443</v>
      </c>
      <c r="C103" s="124" t="s">
        <v>301</v>
      </c>
      <c r="D103" s="12">
        <v>7203888</v>
      </c>
      <c r="E103" s="82">
        <v>0.9913090819</v>
      </c>
      <c r="F103" s="154">
        <v>7141279.5999999996</v>
      </c>
      <c r="G103" s="14">
        <v>0.01</v>
      </c>
      <c r="H103" s="10"/>
      <c r="I103" s="10"/>
    </row>
    <row r="104" spans="1:9">
      <c r="A104" s="10" t="s">
        <v>444</v>
      </c>
      <c r="B104" s="124" t="s">
        <v>443</v>
      </c>
      <c r="C104" s="124" t="s">
        <v>301</v>
      </c>
      <c r="D104" s="12">
        <v>7900000</v>
      </c>
      <c r="E104" s="82">
        <v>0.99130908110000004</v>
      </c>
      <c r="F104" s="14">
        <v>7831341.7400000002</v>
      </c>
      <c r="G104" s="14">
        <v>0.01</v>
      </c>
      <c r="H104" s="10"/>
      <c r="I104" s="10"/>
    </row>
    <row r="105" spans="1:9">
      <c r="A105" s="10" t="s">
        <v>473</v>
      </c>
      <c r="B105" s="124" t="s">
        <v>474</v>
      </c>
      <c r="C105" s="124" t="s">
        <v>329</v>
      </c>
      <c r="D105" s="12">
        <v>21387500</v>
      </c>
      <c r="E105" s="158">
        <v>0.99729501300000001</v>
      </c>
      <c r="F105" s="14">
        <v>21329647.09</v>
      </c>
      <c r="G105" s="14">
        <v>0.03</v>
      </c>
      <c r="H105" s="10"/>
      <c r="I105" s="10"/>
    </row>
    <row r="106" spans="1:9">
      <c r="A106" s="10" t="s">
        <v>479</v>
      </c>
      <c r="B106" s="124" t="s">
        <v>480</v>
      </c>
      <c r="C106" s="124" t="s">
        <v>295</v>
      </c>
      <c r="D106" s="12">
        <v>25000000</v>
      </c>
      <c r="E106" s="82">
        <v>0.99465882959999996</v>
      </c>
      <c r="F106" s="14">
        <v>24866470.739999998</v>
      </c>
      <c r="G106" s="14">
        <v>0.03</v>
      </c>
      <c r="H106" s="10"/>
      <c r="I106" s="10"/>
    </row>
    <row r="107" spans="1:9">
      <c r="A107" s="10" t="s">
        <v>481</v>
      </c>
      <c r="B107" s="124" t="s">
        <v>482</v>
      </c>
      <c r="C107" s="124" t="s">
        <v>295</v>
      </c>
      <c r="D107" s="12">
        <v>25000000</v>
      </c>
      <c r="E107" s="82">
        <v>0.98862407009999997</v>
      </c>
      <c r="F107" s="14">
        <v>24715601.75</v>
      </c>
      <c r="G107" s="14">
        <v>0.03</v>
      </c>
      <c r="H107" s="10"/>
      <c r="I107" s="10"/>
    </row>
    <row r="108" spans="1:9">
      <c r="A108" s="10" t="s">
        <v>484</v>
      </c>
      <c r="B108" s="124" t="s">
        <v>485</v>
      </c>
      <c r="C108" s="124" t="s">
        <v>295</v>
      </c>
      <c r="D108" s="12">
        <v>25000000</v>
      </c>
      <c r="E108" s="82">
        <v>0.98787486349999998</v>
      </c>
      <c r="F108" s="14">
        <v>24696871.59</v>
      </c>
      <c r="G108" s="14">
        <v>0.03</v>
      </c>
      <c r="H108" s="10"/>
      <c r="I108" s="10"/>
    </row>
    <row r="109" spans="1:9">
      <c r="A109" s="10" t="s">
        <v>487</v>
      </c>
      <c r="B109" s="124" t="s">
        <v>488</v>
      </c>
      <c r="C109" s="124" t="s">
        <v>295</v>
      </c>
      <c r="D109" s="12">
        <v>25000000</v>
      </c>
      <c r="E109" s="82">
        <v>0.98414581980000004</v>
      </c>
      <c r="F109" s="154">
        <v>24603645.5</v>
      </c>
      <c r="G109" s="14">
        <v>0.03</v>
      </c>
      <c r="H109" s="10"/>
      <c r="I109" s="10"/>
    </row>
    <row r="110" spans="1:9">
      <c r="A110" s="10" t="s">
        <v>489</v>
      </c>
      <c r="B110" s="124" t="s">
        <v>490</v>
      </c>
      <c r="C110" s="124" t="s">
        <v>295</v>
      </c>
      <c r="D110" s="12">
        <v>25000000</v>
      </c>
      <c r="E110" s="158">
        <v>0.98340341200000003</v>
      </c>
      <c r="F110" s="154">
        <v>24585085.300000001</v>
      </c>
      <c r="G110" s="14">
        <v>0.03</v>
      </c>
      <c r="H110" s="10"/>
      <c r="I110" s="10"/>
    </row>
    <row r="111" spans="1:9">
      <c r="A111" s="10" t="s">
        <v>493</v>
      </c>
      <c r="B111" s="124" t="s">
        <v>474</v>
      </c>
      <c r="C111" s="124" t="s">
        <v>295</v>
      </c>
      <c r="D111" s="12">
        <v>15000000</v>
      </c>
      <c r="E111" s="82">
        <v>0.99770391459999996</v>
      </c>
      <c r="F111" s="14">
        <v>14965558.720000001</v>
      </c>
      <c r="G111" s="14">
        <v>0.02</v>
      </c>
      <c r="H111" s="10"/>
      <c r="I111" s="10"/>
    </row>
    <row r="112" spans="1:9">
      <c r="A112" s="10" t="s">
        <v>496</v>
      </c>
      <c r="B112" s="124" t="s">
        <v>497</v>
      </c>
      <c r="C112" s="124" t="s">
        <v>277</v>
      </c>
      <c r="D112" s="12">
        <v>8560000</v>
      </c>
      <c r="E112" s="158">
        <v>0.95840773800000001</v>
      </c>
      <c r="F112" s="14">
        <v>8203970.2400000002</v>
      </c>
      <c r="G112" s="14">
        <v>0.01</v>
      </c>
      <c r="H112" s="10"/>
      <c r="I112" s="10"/>
    </row>
    <row r="113" spans="1:9">
      <c r="A113" s="10" t="s">
        <v>498</v>
      </c>
      <c r="B113" s="124" t="s">
        <v>446</v>
      </c>
      <c r="C113" s="124" t="s">
        <v>277</v>
      </c>
      <c r="D113" s="12">
        <v>9450000</v>
      </c>
      <c r="E113" s="82">
        <v>0.9538992838</v>
      </c>
      <c r="F113" s="14">
        <v>9014348.2300000004</v>
      </c>
      <c r="G113" s="14">
        <v>0.01</v>
      </c>
      <c r="H113" s="10"/>
      <c r="I113" s="10"/>
    </row>
    <row r="114" spans="1:9">
      <c r="A114" s="10" t="s">
        <v>499</v>
      </c>
      <c r="B114" s="124" t="s">
        <v>500</v>
      </c>
      <c r="C114" s="124" t="s">
        <v>277</v>
      </c>
      <c r="D114" s="12">
        <v>9450000</v>
      </c>
      <c r="E114" s="158">
        <v>0.95300264700000004</v>
      </c>
      <c r="F114" s="14">
        <v>9005875.0099999998</v>
      </c>
      <c r="G114" s="14">
        <v>0.01</v>
      </c>
      <c r="H114" s="10"/>
      <c r="I114" s="10"/>
    </row>
    <row r="115" spans="1:9">
      <c r="A115" s="10" t="s">
        <v>501</v>
      </c>
      <c r="B115" s="124" t="s">
        <v>502</v>
      </c>
      <c r="C115" s="124" t="s">
        <v>277</v>
      </c>
      <c r="D115" s="12">
        <v>9450000</v>
      </c>
      <c r="E115" s="82">
        <v>0.94677323570000005</v>
      </c>
      <c r="F115" s="14">
        <v>8947007.0800000001</v>
      </c>
      <c r="G115" s="14">
        <v>0.01</v>
      </c>
      <c r="H115" s="10"/>
      <c r="I115" s="10"/>
    </row>
    <row r="116" spans="1:9">
      <c r="A116" s="10" t="s">
        <v>503</v>
      </c>
      <c r="B116" s="124" t="s">
        <v>504</v>
      </c>
      <c r="C116" s="124" t="s">
        <v>277</v>
      </c>
      <c r="D116" s="12">
        <v>8560000</v>
      </c>
      <c r="E116" s="82">
        <v>0.95931457710000001</v>
      </c>
      <c r="F116" s="14">
        <v>8211732.7800000003</v>
      </c>
      <c r="G116" s="14">
        <v>0.01</v>
      </c>
      <c r="H116" s="10"/>
      <c r="I116" s="10"/>
    </row>
    <row r="117" spans="1:9">
      <c r="A117" s="10" t="s">
        <v>505</v>
      </c>
      <c r="B117" s="124" t="s">
        <v>506</v>
      </c>
      <c r="C117" s="124" t="s">
        <v>277</v>
      </c>
      <c r="D117" s="12">
        <v>50000000</v>
      </c>
      <c r="E117" s="158">
        <v>0.99917875899999997</v>
      </c>
      <c r="F117" s="14">
        <v>49958937.950000003</v>
      </c>
      <c r="G117" s="14">
        <v>7.0000000000000007E-2</v>
      </c>
      <c r="H117" s="10"/>
      <c r="I117" s="10"/>
    </row>
    <row r="118" spans="1:9">
      <c r="A118" s="10" t="s">
        <v>507</v>
      </c>
      <c r="B118" s="124" t="s">
        <v>480</v>
      </c>
      <c r="C118" s="124" t="s">
        <v>277</v>
      </c>
      <c r="D118" s="12">
        <v>2500000</v>
      </c>
      <c r="E118" s="82">
        <v>0.99465882390000004</v>
      </c>
      <c r="F118" s="14">
        <v>2486647.06</v>
      </c>
      <c r="G118" s="12">
        <v>0</v>
      </c>
      <c r="H118" s="10"/>
      <c r="I118" s="10"/>
    </row>
    <row r="119" spans="1:9">
      <c r="A119" s="10" t="s">
        <v>508</v>
      </c>
      <c r="B119" s="124" t="s">
        <v>443</v>
      </c>
      <c r="C119" s="124" t="s">
        <v>277</v>
      </c>
      <c r="D119" s="12">
        <v>2500000</v>
      </c>
      <c r="E119" s="21">
        <v>0.99390045999999999</v>
      </c>
      <c r="F119" s="14">
        <v>2484751.15</v>
      </c>
      <c r="G119" s="12">
        <v>0</v>
      </c>
      <c r="H119" s="10"/>
      <c r="I119" s="10"/>
    </row>
    <row r="120" spans="1:9">
      <c r="A120" s="10" t="s">
        <v>509</v>
      </c>
      <c r="B120" s="124" t="s">
        <v>510</v>
      </c>
      <c r="C120" s="124" t="s">
        <v>277</v>
      </c>
      <c r="D120" s="12">
        <v>2500000</v>
      </c>
      <c r="E120" s="82">
        <v>0.99238717210000005</v>
      </c>
      <c r="F120" s="14">
        <v>2480967.9300000002</v>
      </c>
      <c r="G120" s="12">
        <v>0</v>
      </c>
      <c r="H120" s="10"/>
      <c r="I120" s="10"/>
    </row>
    <row r="121" spans="1:9">
      <c r="A121" s="10" t="s">
        <v>511</v>
      </c>
      <c r="B121" s="124" t="s">
        <v>482</v>
      </c>
      <c r="C121" s="124" t="s">
        <v>277</v>
      </c>
      <c r="D121" s="12">
        <v>2500000</v>
      </c>
      <c r="E121" s="158">
        <v>0.98862404800000003</v>
      </c>
      <c r="F121" s="14">
        <v>2471560.12</v>
      </c>
      <c r="G121" s="12">
        <v>0</v>
      </c>
      <c r="H121" s="10"/>
      <c r="I121" s="10"/>
    </row>
    <row r="122" spans="1:9">
      <c r="A122" s="10" t="s">
        <v>512</v>
      </c>
      <c r="B122" s="124" t="s">
        <v>485</v>
      </c>
      <c r="C122" s="124" t="s">
        <v>277</v>
      </c>
      <c r="D122" s="12">
        <v>2500000</v>
      </c>
      <c r="E122" s="82">
        <v>0.98787487210000002</v>
      </c>
      <c r="F122" s="14">
        <v>2469687.1800000002</v>
      </c>
      <c r="G122" s="12">
        <v>0</v>
      </c>
      <c r="H122" s="10"/>
      <c r="I122" s="10"/>
    </row>
    <row r="123" spans="1:9">
      <c r="A123" s="10" t="s">
        <v>513</v>
      </c>
      <c r="B123" s="124" t="s">
        <v>514</v>
      </c>
      <c r="C123" s="124" t="s">
        <v>277</v>
      </c>
      <c r="D123" s="12">
        <v>2500000</v>
      </c>
      <c r="E123" s="82">
        <v>0.98266209989999997</v>
      </c>
      <c r="F123" s="14">
        <v>2456655.25</v>
      </c>
      <c r="G123" s="12">
        <v>0</v>
      </c>
      <c r="H123" s="10"/>
      <c r="I123" s="10"/>
    </row>
    <row r="124" spans="1:9">
      <c r="A124" s="10" t="s">
        <v>515</v>
      </c>
      <c r="B124" s="124" t="s">
        <v>516</v>
      </c>
      <c r="C124" s="124" t="s">
        <v>277</v>
      </c>
      <c r="D124" s="12">
        <v>2500000</v>
      </c>
      <c r="E124" s="82">
        <v>0.9819219039</v>
      </c>
      <c r="F124" s="14">
        <v>2454804.7599999998</v>
      </c>
      <c r="G124" s="12">
        <v>0</v>
      </c>
      <c r="H124" s="10"/>
      <c r="I124" s="10"/>
    </row>
    <row r="125" spans="1:9">
      <c r="A125" s="10" t="s">
        <v>517</v>
      </c>
      <c r="B125" s="124" t="s">
        <v>518</v>
      </c>
      <c r="C125" s="124" t="s">
        <v>277</v>
      </c>
      <c r="D125" s="12">
        <v>2500000</v>
      </c>
      <c r="E125" s="82">
        <v>0.97970799990000002</v>
      </c>
      <c r="F125" s="12">
        <v>2449270</v>
      </c>
      <c r="G125" s="12">
        <v>0</v>
      </c>
      <c r="H125" s="10"/>
      <c r="I125" s="10"/>
    </row>
    <row r="126" spans="1:9">
      <c r="A126" s="10" t="s">
        <v>519</v>
      </c>
      <c r="B126" s="124" t="s">
        <v>520</v>
      </c>
      <c r="C126" s="124" t="s">
        <v>277</v>
      </c>
      <c r="D126" s="12">
        <v>2500000</v>
      </c>
      <c r="E126" s="82">
        <v>0.97823758029999996</v>
      </c>
      <c r="F126" s="14">
        <v>2445593.9500000002</v>
      </c>
      <c r="G126" s="12">
        <v>0</v>
      </c>
      <c r="H126" s="10"/>
      <c r="I126" s="10"/>
    </row>
    <row r="127" spans="1:9">
      <c r="A127" s="10" t="s">
        <v>521</v>
      </c>
      <c r="B127" s="124" t="s">
        <v>522</v>
      </c>
      <c r="C127" s="124" t="s">
        <v>277</v>
      </c>
      <c r="D127" s="12">
        <v>2500000</v>
      </c>
      <c r="E127" s="82">
        <v>0.97750405559999998</v>
      </c>
      <c r="F127" s="14">
        <v>2443760.14</v>
      </c>
      <c r="G127" s="12">
        <v>0</v>
      </c>
      <c r="H127" s="10"/>
      <c r="I127" s="10"/>
    </row>
    <row r="128" spans="1:9">
      <c r="A128" s="10" t="s">
        <v>523</v>
      </c>
      <c r="B128" s="124" t="s">
        <v>524</v>
      </c>
      <c r="C128" s="124" t="s">
        <v>277</v>
      </c>
      <c r="D128" s="12">
        <v>2500000</v>
      </c>
      <c r="E128" s="82">
        <v>0.97458083210000002</v>
      </c>
      <c r="F128" s="14">
        <v>2436452.08</v>
      </c>
      <c r="G128" s="12">
        <v>0</v>
      </c>
      <c r="H128" s="10"/>
      <c r="I128" s="10"/>
    </row>
    <row r="129" spans="1:16">
      <c r="A129" s="10" t="s">
        <v>525</v>
      </c>
      <c r="B129" s="124" t="s">
        <v>488</v>
      </c>
      <c r="C129" s="124" t="s">
        <v>277</v>
      </c>
      <c r="D129" s="12">
        <v>2500000</v>
      </c>
      <c r="E129" s="82">
        <v>0.98414583209999995</v>
      </c>
      <c r="F129" s="14">
        <v>2460364.58</v>
      </c>
      <c r="G129" s="12">
        <v>0</v>
      </c>
      <c r="H129" s="10"/>
      <c r="I129" s="10"/>
    </row>
    <row r="130" spans="1:16">
      <c r="A130" s="10" t="s">
        <v>526</v>
      </c>
      <c r="B130" s="124" t="s">
        <v>527</v>
      </c>
      <c r="C130" s="124" t="s">
        <v>277</v>
      </c>
      <c r="D130" s="12">
        <v>2500000</v>
      </c>
      <c r="E130" s="82">
        <v>0.97897223170000003</v>
      </c>
      <c r="F130" s="14">
        <v>2447430.58</v>
      </c>
      <c r="G130" s="12">
        <v>0</v>
      </c>
      <c r="H130" s="10"/>
      <c r="I130" s="10"/>
    </row>
    <row r="131" spans="1:16">
      <c r="A131" s="10" t="s">
        <v>528</v>
      </c>
      <c r="B131" s="124" t="s">
        <v>529</v>
      </c>
      <c r="C131" s="124" t="s">
        <v>277</v>
      </c>
      <c r="D131" s="12">
        <v>2500000</v>
      </c>
      <c r="E131" s="82">
        <v>0.98488939620000004</v>
      </c>
      <c r="F131" s="14">
        <v>2462223.4900000002</v>
      </c>
      <c r="G131" s="12">
        <v>0</v>
      </c>
      <c r="H131" s="10"/>
      <c r="I131" s="10"/>
    </row>
    <row r="132" spans="1:16">
      <c r="A132" s="10" t="s">
        <v>534</v>
      </c>
      <c r="B132" s="124" t="s">
        <v>488</v>
      </c>
      <c r="C132" s="124" t="s">
        <v>277</v>
      </c>
      <c r="D132" s="14">
        <v>6899161.7699999996</v>
      </c>
      <c r="E132" s="82">
        <v>0.97860476750000003</v>
      </c>
      <c r="F132" s="154">
        <v>6751552.5999999996</v>
      </c>
      <c r="G132" s="14">
        <v>0.01</v>
      </c>
      <c r="H132" s="10"/>
      <c r="I132" s="10"/>
    </row>
    <row r="133" spans="1:16">
      <c r="A133" s="10" t="s">
        <v>537</v>
      </c>
      <c r="B133" s="124" t="s">
        <v>490</v>
      </c>
      <c r="C133" s="124" t="s">
        <v>277</v>
      </c>
      <c r="D133" s="14">
        <v>7133529.1399999997</v>
      </c>
      <c r="E133" s="82">
        <v>0.97760874340000004</v>
      </c>
      <c r="F133" s="14">
        <v>6973800.46</v>
      </c>
      <c r="G133" s="14">
        <v>0.01</v>
      </c>
      <c r="H133" s="10"/>
      <c r="I133" s="10"/>
    </row>
    <row r="134" spans="1:16">
      <c r="A134" s="10" t="s">
        <v>538</v>
      </c>
      <c r="B134" s="124" t="s">
        <v>506</v>
      </c>
      <c r="C134" s="124" t="s">
        <v>277</v>
      </c>
      <c r="D134" s="14">
        <v>4500591.28</v>
      </c>
      <c r="E134" s="82">
        <v>0.99895998990000001</v>
      </c>
      <c r="F134" s="14">
        <v>4495910.62</v>
      </c>
      <c r="G134" s="14">
        <v>0.01</v>
      </c>
      <c r="H134" s="10"/>
      <c r="I134" s="10"/>
    </row>
    <row r="135" spans="1:16">
      <c r="A135" s="10" t="s">
        <v>542</v>
      </c>
      <c r="B135" s="124" t="s">
        <v>529</v>
      </c>
      <c r="C135" s="124" t="s">
        <v>330</v>
      </c>
      <c r="D135" s="12">
        <v>1500000</v>
      </c>
      <c r="E135" s="82">
        <v>0.98118282680000002</v>
      </c>
      <c r="F135" s="14">
        <v>1471774.24</v>
      </c>
      <c r="G135" s="12">
        <v>0</v>
      </c>
      <c r="H135" s="10"/>
      <c r="I135" s="10"/>
    </row>
    <row r="136" spans="1:16">
      <c r="A136" s="10" t="s">
        <v>543</v>
      </c>
      <c r="B136" s="124" t="s">
        <v>500</v>
      </c>
      <c r="C136" s="124" t="s">
        <v>330</v>
      </c>
      <c r="D136" s="12">
        <v>1500000</v>
      </c>
      <c r="E136" s="82">
        <v>0.9542484134</v>
      </c>
      <c r="F136" s="14">
        <v>1431372.62</v>
      </c>
      <c r="G136" s="12">
        <v>0</v>
      </c>
      <c r="H136" s="10"/>
      <c r="I136" s="10"/>
    </row>
    <row r="137" spans="1:16">
      <c r="A137" s="10" t="s">
        <v>549</v>
      </c>
      <c r="B137" s="124" t="s">
        <v>441</v>
      </c>
      <c r="C137" s="124" t="s">
        <v>298</v>
      </c>
      <c r="D137" s="14">
        <v>6500236.5700000003</v>
      </c>
      <c r="E137" s="82">
        <v>0.99379220420000003</v>
      </c>
      <c r="F137" s="14">
        <v>6459884.4299999997</v>
      </c>
      <c r="G137" s="14">
        <v>0.01</v>
      </c>
      <c r="H137" s="10"/>
      <c r="I137" s="10"/>
    </row>
    <row r="138" spans="1:16">
      <c r="A138" s="10" t="s">
        <v>550</v>
      </c>
      <c r="B138" s="124" t="s">
        <v>520</v>
      </c>
      <c r="C138" s="124" t="s">
        <v>298</v>
      </c>
      <c r="D138" s="14">
        <v>3511491.25</v>
      </c>
      <c r="E138" s="82">
        <v>0.97069309240000001</v>
      </c>
      <c r="F138" s="154">
        <v>3408580.3</v>
      </c>
      <c r="G138" s="12">
        <v>0</v>
      </c>
      <c r="H138" s="10"/>
      <c r="I138" s="10"/>
      <c r="O138" s="59"/>
      <c r="P138" s="59"/>
    </row>
    <row r="139" spans="1:16">
      <c r="A139" s="10" t="s">
        <v>555</v>
      </c>
      <c r="B139" s="124" t="s">
        <v>474</v>
      </c>
      <c r="C139" s="124" t="s">
        <v>311</v>
      </c>
      <c r="D139" s="12">
        <v>16500000</v>
      </c>
      <c r="E139" s="82">
        <v>0.99745853390000006</v>
      </c>
      <c r="F139" s="14">
        <v>16458065.810000001</v>
      </c>
      <c r="G139" s="14">
        <v>0.02</v>
      </c>
      <c r="H139" s="10"/>
      <c r="I139" s="10"/>
      <c r="N139" s="59"/>
    </row>
    <row r="140" spans="1:16">
      <c r="A140" s="10" t="s">
        <v>556</v>
      </c>
      <c r="B140" s="124" t="s">
        <v>529</v>
      </c>
      <c r="C140" s="124" t="s">
        <v>311</v>
      </c>
      <c r="D140" s="12">
        <v>16500000</v>
      </c>
      <c r="E140" s="82">
        <v>0.98329741589999997</v>
      </c>
      <c r="F140" s="14">
        <v>16224407.359999999</v>
      </c>
      <c r="G140" s="14">
        <v>0.02</v>
      </c>
      <c r="H140" s="10"/>
      <c r="I140" s="10"/>
    </row>
    <row r="141" spans="1:16">
      <c r="A141" s="10" t="s">
        <v>557</v>
      </c>
      <c r="B141" s="124" t="s">
        <v>497</v>
      </c>
      <c r="C141" s="124" t="s">
        <v>291</v>
      </c>
      <c r="D141" s="12">
        <v>17118303</v>
      </c>
      <c r="E141" s="82">
        <v>0.96622195789999998</v>
      </c>
      <c r="F141" s="14">
        <v>16540080.24</v>
      </c>
      <c r="G141" s="14">
        <v>0.02</v>
      </c>
      <c r="H141" s="10"/>
      <c r="I141" s="10"/>
    </row>
    <row r="142" spans="1:16">
      <c r="A142" s="10" t="s">
        <v>558</v>
      </c>
      <c r="B142" s="124" t="s">
        <v>506</v>
      </c>
      <c r="C142" s="124" t="s">
        <v>291</v>
      </c>
      <c r="D142" s="12">
        <v>35000000</v>
      </c>
      <c r="E142" s="82">
        <v>0.99923346479999997</v>
      </c>
      <c r="F142" s="14">
        <v>34973171.270000003</v>
      </c>
      <c r="G142" s="14">
        <v>0.05</v>
      </c>
      <c r="H142" s="10"/>
      <c r="I142" s="10"/>
    </row>
    <row r="143" spans="1:16">
      <c r="A143" s="10" t="s">
        <v>559</v>
      </c>
      <c r="B143" s="124" t="s">
        <v>520</v>
      </c>
      <c r="C143" s="124" t="s">
        <v>291</v>
      </c>
      <c r="D143" s="12">
        <v>30000000</v>
      </c>
      <c r="E143" s="82">
        <v>0.97823758179999998</v>
      </c>
      <c r="F143" s="14">
        <v>29347127.449999999</v>
      </c>
      <c r="G143" s="14">
        <v>0.04</v>
      </c>
      <c r="H143" s="10"/>
      <c r="I143" s="10"/>
    </row>
    <row r="144" spans="1:16">
      <c r="A144" s="10" t="s">
        <v>560</v>
      </c>
      <c r="B144" s="124" t="s">
        <v>520</v>
      </c>
      <c r="C144" s="124" t="s">
        <v>302</v>
      </c>
      <c r="D144" s="12">
        <v>100000000</v>
      </c>
      <c r="E144" s="82">
        <v>0.97823758640000003</v>
      </c>
      <c r="F144" s="14">
        <v>97823758.640000001</v>
      </c>
      <c r="G144" s="14">
        <v>0.13</v>
      </c>
      <c r="H144" s="10"/>
      <c r="I144" s="10"/>
    </row>
    <row r="145" spans="1:9">
      <c r="A145" s="10" t="s">
        <v>563</v>
      </c>
      <c r="B145" s="124" t="s">
        <v>506</v>
      </c>
      <c r="C145" s="124" t="s">
        <v>276</v>
      </c>
      <c r="D145" s="12">
        <v>10000000</v>
      </c>
      <c r="E145" s="158">
        <v>0.99920611100000001</v>
      </c>
      <c r="F145" s="14">
        <v>9992061.1099999994</v>
      </c>
      <c r="G145" s="14">
        <v>0.01</v>
      </c>
      <c r="H145" s="10"/>
      <c r="I145" s="10"/>
    </row>
    <row r="146" spans="1:9">
      <c r="A146" s="10" t="s">
        <v>564</v>
      </c>
      <c r="B146" s="124" t="s">
        <v>474</v>
      </c>
      <c r="C146" s="124" t="s">
        <v>276</v>
      </c>
      <c r="D146" s="12">
        <v>10000000</v>
      </c>
      <c r="E146" s="158">
        <v>0.99762211099999998</v>
      </c>
      <c r="F146" s="14">
        <v>9976221.1099999994</v>
      </c>
      <c r="G146" s="14">
        <v>0.01</v>
      </c>
      <c r="H146" s="10"/>
      <c r="I146" s="10"/>
    </row>
    <row r="147" spans="1:9">
      <c r="A147" s="10" t="s">
        <v>573</v>
      </c>
      <c r="B147" s="124" t="s">
        <v>574</v>
      </c>
      <c r="C147" s="124" t="s">
        <v>300</v>
      </c>
      <c r="D147" s="14">
        <v>11923076.92</v>
      </c>
      <c r="E147" s="82">
        <v>0.97048658610000005</v>
      </c>
      <c r="F147" s="14">
        <v>11571186.220000001</v>
      </c>
      <c r="G147" s="14">
        <v>0.02</v>
      </c>
      <c r="H147" s="10"/>
      <c r="I147" s="10"/>
    </row>
    <row r="148" spans="1:9">
      <c r="A148" s="10" t="s">
        <v>575</v>
      </c>
      <c r="B148" s="124" t="s">
        <v>490</v>
      </c>
      <c r="C148" s="124" t="s">
        <v>300</v>
      </c>
      <c r="D148" s="14">
        <v>11923076.92</v>
      </c>
      <c r="E148" s="21">
        <v>0.98223897999999998</v>
      </c>
      <c r="F148" s="14">
        <v>11711310.91</v>
      </c>
      <c r="G148" s="14">
        <v>0.02</v>
      </c>
      <c r="H148" s="10"/>
      <c r="I148" s="10"/>
    </row>
    <row r="149" spans="1:9">
      <c r="A149" s="10" t="s">
        <v>578</v>
      </c>
      <c r="B149" s="124" t="s">
        <v>438</v>
      </c>
      <c r="C149" s="124" t="s">
        <v>304</v>
      </c>
      <c r="D149" s="12">
        <v>3750000</v>
      </c>
      <c r="E149" s="82">
        <v>0.99047516520000001</v>
      </c>
      <c r="F149" s="14">
        <v>3714281.87</v>
      </c>
      <c r="G149" s="12">
        <v>0</v>
      </c>
      <c r="H149" s="10"/>
      <c r="I149" s="10"/>
    </row>
    <row r="150" spans="1:9">
      <c r="A150" s="10" t="s">
        <v>579</v>
      </c>
      <c r="B150" s="124" t="s">
        <v>580</v>
      </c>
      <c r="C150" s="124" t="s">
        <v>304</v>
      </c>
      <c r="D150" s="12">
        <v>3750000</v>
      </c>
      <c r="E150" s="82">
        <v>0.98526157339999998</v>
      </c>
      <c r="F150" s="154">
        <v>3694730.9</v>
      </c>
      <c r="G150" s="12">
        <v>0</v>
      </c>
      <c r="H150" s="10"/>
      <c r="I150" s="10"/>
    </row>
    <row r="151" spans="1:9">
      <c r="A151" s="10" t="s">
        <v>581</v>
      </c>
      <c r="B151" s="124" t="s">
        <v>448</v>
      </c>
      <c r="C151" s="124" t="s">
        <v>304</v>
      </c>
      <c r="D151" s="12">
        <v>3750000</v>
      </c>
      <c r="E151" s="82">
        <v>0.98215967989999997</v>
      </c>
      <c r="F151" s="154">
        <v>3683098.8</v>
      </c>
      <c r="G151" s="12">
        <v>0</v>
      </c>
      <c r="H151" s="10"/>
      <c r="I151" s="10"/>
    </row>
    <row r="152" spans="1:9">
      <c r="A152" s="10" t="s">
        <v>582</v>
      </c>
      <c r="B152" s="124" t="s">
        <v>583</v>
      </c>
      <c r="C152" s="124" t="s">
        <v>304</v>
      </c>
      <c r="D152" s="12">
        <v>3750000</v>
      </c>
      <c r="E152" s="82">
        <v>0.94832298920000002</v>
      </c>
      <c r="F152" s="14">
        <v>3556211.21</v>
      </c>
      <c r="G152" s="12">
        <v>0</v>
      </c>
      <c r="H152" s="10"/>
      <c r="I152" s="10"/>
    </row>
    <row r="153" spans="1:9">
      <c r="A153" s="10" t="s">
        <v>584</v>
      </c>
      <c r="B153" s="124" t="s">
        <v>529</v>
      </c>
      <c r="C153" s="124" t="s">
        <v>304</v>
      </c>
      <c r="D153" s="12">
        <v>3750000</v>
      </c>
      <c r="E153" s="82">
        <v>0.97907727479999995</v>
      </c>
      <c r="F153" s="14">
        <v>3671539.78</v>
      </c>
      <c r="G153" s="12">
        <v>0</v>
      </c>
      <c r="H153" s="10"/>
      <c r="I153" s="10"/>
    </row>
    <row r="154" spans="1:9">
      <c r="A154" s="10" t="s">
        <v>585</v>
      </c>
      <c r="B154" s="124" t="s">
        <v>497</v>
      </c>
      <c r="C154" s="124" t="s">
        <v>304</v>
      </c>
      <c r="D154" s="12">
        <v>3750000</v>
      </c>
      <c r="E154" s="82">
        <v>0.95509741839999995</v>
      </c>
      <c r="F154" s="14">
        <v>3581615.32</v>
      </c>
      <c r="G154" s="12">
        <v>0</v>
      </c>
      <c r="H154" s="10"/>
      <c r="I154" s="10"/>
    </row>
    <row r="155" spans="1:9">
      <c r="A155" s="10" t="s">
        <v>586</v>
      </c>
      <c r="B155" s="124" t="s">
        <v>587</v>
      </c>
      <c r="C155" s="124" t="s">
        <v>304</v>
      </c>
      <c r="D155" s="12">
        <v>3750000</v>
      </c>
      <c r="E155" s="158">
        <v>0.95121450100000005</v>
      </c>
      <c r="F155" s="14">
        <v>3567054.38</v>
      </c>
      <c r="G155" s="12">
        <v>0</v>
      </c>
      <c r="H155" s="10"/>
      <c r="I155" s="10"/>
    </row>
    <row r="156" spans="1:9">
      <c r="A156" s="10" t="s">
        <v>588</v>
      </c>
      <c r="B156" s="124" t="s">
        <v>514</v>
      </c>
      <c r="C156" s="124" t="s">
        <v>304</v>
      </c>
      <c r="D156" s="12">
        <v>3750000</v>
      </c>
      <c r="E156" s="82">
        <v>0.97601414939999998</v>
      </c>
      <c r="F156" s="14">
        <v>3660053.06</v>
      </c>
      <c r="G156" s="12">
        <v>0</v>
      </c>
      <c r="H156" s="10"/>
      <c r="I156" s="10"/>
    </row>
    <row r="157" spans="1:9">
      <c r="A157" s="10" t="s">
        <v>589</v>
      </c>
      <c r="B157" s="124" t="s">
        <v>518</v>
      </c>
      <c r="C157" s="124" t="s">
        <v>304</v>
      </c>
      <c r="D157" s="12">
        <v>3750000</v>
      </c>
      <c r="E157" s="82">
        <v>0.9719596667</v>
      </c>
      <c r="F157" s="14">
        <v>3644848.75</v>
      </c>
      <c r="G157" s="12">
        <v>0</v>
      </c>
      <c r="H157" s="10"/>
      <c r="I157" s="10"/>
    </row>
    <row r="158" spans="1:9">
      <c r="A158" s="10" t="s">
        <v>590</v>
      </c>
      <c r="B158" s="124" t="s">
        <v>524</v>
      </c>
      <c r="C158" s="124" t="s">
        <v>304</v>
      </c>
      <c r="D158" s="12">
        <v>3750000</v>
      </c>
      <c r="E158" s="82">
        <v>0.96494479209999995</v>
      </c>
      <c r="F158" s="14">
        <v>3618542.97</v>
      </c>
      <c r="G158" s="12">
        <v>0</v>
      </c>
      <c r="H158" s="10"/>
      <c r="I158" s="10"/>
    </row>
    <row r="159" spans="1:9">
      <c r="A159" s="10" t="s">
        <v>591</v>
      </c>
      <c r="B159" s="124" t="s">
        <v>574</v>
      </c>
      <c r="C159" s="124" t="s">
        <v>304</v>
      </c>
      <c r="D159" s="12">
        <v>3750000</v>
      </c>
      <c r="E159" s="82">
        <v>0.96196933070000001</v>
      </c>
      <c r="F159" s="14">
        <v>3607384.99</v>
      </c>
      <c r="G159" s="12">
        <v>0</v>
      </c>
      <c r="H159" s="10"/>
      <c r="I159" s="10"/>
    </row>
    <row r="160" spans="1:9">
      <c r="A160" s="10" t="s">
        <v>592</v>
      </c>
      <c r="B160" s="124" t="s">
        <v>593</v>
      </c>
      <c r="C160" s="124" t="s">
        <v>304</v>
      </c>
      <c r="D160" s="12">
        <v>3750000</v>
      </c>
      <c r="E160" s="82">
        <v>0.95705074639999999</v>
      </c>
      <c r="F160" s="154">
        <v>3588940.3</v>
      </c>
      <c r="G160" s="12">
        <v>0</v>
      </c>
      <c r="H160" s="10"/>
      <c r="I160" s="10"/>
    </row>
    <row r="161" spans="1:14">
      <c r="A161" s="10" t="s">
        <v>594</v>
      </c>
      <c r="B161" s="124" t="s">
        <v>522</v>
      </c>
      <c r="C161" s="124" t="s">
        <v>304</v>
      </c>
      <c r="D161" s="12">
        <v>3750000</v>
      </c>
      <c r="E161" s="82">
        <v>0.96894085029999999</v>
      </c>
      <c r="F161" s="14">
        <v>3633528.19</v>
      </c>
      <c r="G161" s="12">
        <v>0</v>
      </c>
      <c r="H161" s="10"/>
      <c r="I161" s="10"/>
    </row>
    <row r="162" spans="1:14">
      <c r="A162" s="10" t="s">
        <v>603</v>
      </c>
      <c r="B162" s="124" t="s">
        <v>506</v>
      </c>
      <c r="C162" s="124" t="s">
        <v>307</v>
      </c>
      <c r="D162" s="12">
        <v>10000000</v>
      </c>
      <c r="E162" s="158">
        <v>0.99917875700000003</v>
      </c>
      <c r="F162" s="14">
        <v>9991787.5700000003</v>
      </c>
      <c r="G162" s="14">
        <v>0.01</v>
      </c>
      <c r="H162" s="10"/>
      <c r="I162" s="10"/>
    </row>
    <row r="163" spans="1:14">
      <c r="A163" s="10" t="s">
        <v>605</v>
      </c>
      <c r="B163" s="124" t="s">
        <v>506</v>
      </c>
      <c r="C163" s="124" t="s">
        <v>150</v>
      </c>
      <c r="D163" s="12">
        <v>2500000</v>
      </c>
      <c r="E163" s="158">
        <v>0.99909670799999994</v>
      </c>
      <c r="F163" s="14">
        <v>2497741.77</v>
      </c>
      <c r="G163" s="12">
        <v>0</v>
      </c>
      <c r="H163" s="10"/>
      <c r="I163" s="10"/>
    </row>
    <row r="164" spans="1:14">
      <c r="A164" s="10" t="s">
        <v>609</v>
      </c>
      <c r="B164" s="124" t="s">
        <v>480</v>
      </c>
      <c r="C164" s="124" t="s">
        <v>351</v>
      </c>
      <c r="D164" s="12">
        <v>12500000</v>
      </c>
      <c r="E164" s="82">
        <v>0.99371103839999997</v>
      </c>
      <c r="F164" s="14">
        <v>12421387.98</v>
      </c>
      <c r="G164" s="14">
        <v>0.02</v>
      </c>
      <c r="H164" s="10"/>
      <c r="I164" s="10"/>
    </row>
    <row r="165" spans="1:14">
      <c r="A165" s="10" t="s">
        <v>610</v>
      </c>
      <c r="B165" s="124" t="s">
        <v>482</v>
      </c>
      <c r="C165" s="124" t="s">
        <v>351</v>
      </c>
      <c r="D165" s="12">
        <v>12500000</v>
      </c>
      <c r="E165" s="82">
        <v>0.98661981350000005</v>
      </c>
      <c r="F165" s="14">
        <v>12332747.67</v>
      </c>
      <c r="G165" s="14">
        <v>0.02</v>
      </c>
      <c r="H165" s="10"/>
      <c r="I165" s="10"/>
    </row>
    <row r="166" spans="1:14">
      <c r="A166" s="10" t="s">
        <v>615</v>
      </c>
      <c r="B166" s="124" t="s">
        <v>502</v>
      </c>
      <c r="C166" s="124" t="s">
        <v>270</v>
      </c>
      <c r="D166" s="14">
        <v>9478811.3499999996</v>
      </c>
      <c r="E166" s="82">
        <v>0.95524737729999998</v>
      </c>
      <c r="F166" s="14">
        <v>9054609.6799999997</v>
      </c>
      <c r="G166" s="14">
        <v>0.01</v>
      </c>
      <c r="H166" s="10"/>
      <c r="I166" s="10"/>
    </row>
    <row r="167" spans="1:14">
      <c r="A167" s="10" t="s">
        <v>616</v>
      </c>
      <c r="B167" s="124" t="s">
        <v>514</v>
      </c>
      <c r="C167" s="124" t="s">
        <v>270</v>
      </c>
      <c r="D167" s="12">
        <v>20000000</v>
      </c>
      <c r="E167" s="82">
        <v>0.98266207189999999</v>
      </c>
      <c r="F167" s="14">
        <v>19653241.440000001</v>
      </c>
      <c r="G167" s="14">
        <v>0.03</v>
      </c>
      <c r="H167" s="10"/>
      <c r="I167" s="10"/>
    </row>
    <row r="168" spans="1:14">
      <c r="A168" s="10" t="s">
        <v>617</v>
      </c>
      <c r="B168" s="124" t="s">
        <v>474</v>
      </c>
      <c r="C168" s="124" t="s">
        <v>270</v>
      </c>
      <c r="D168" s="12">
        <v>9000000</v>
      </c>
      <c r="E168" s="82">
        <v>0.99786757339999999</v>
      </c>
      <c r="F168" s="14">
        <v>8980808.1600000001</v>
      </c>
      <c r="G168" s="14">
        <v>0.01</v>
      </c>
      <c r="H168" s="10"/>
      <c r="I168" s="10"/>
    </row>
    <row r="169" spans="1:14">
      <c r="A169" s="10" t="s">
        <v>618</v>
      </c>
      <c r="B169" s="124" t="s">
        <v>474</v>
      </c>
      <c r="C169" s="124" t="s">
        <v>270</v>
      </c>
      <c r="D169" s="12">
        <v>9000000</v>
      </c>
      <c r="E169" s="82">
        <v>0.99786757339999999</v>
      </c>
      <c r="F169" s="14">
        <v>8980808.1600000001</v>
      </c>
      <c r="G169" s="14">
        <v>0.01</v>
      </c>
      <c r="H169" s="10"/>
      <c r="I169" s="10"/>
    </row>
    <row r="170" spans="1:14">
      <c r="A170" s="10" t="s">
        <v>619</v>
      </c>
      <c r="B170" s="124" t="s">
        <v>485</v>
      </c>
      <c r="C170" s="124" t="s">
        <v>270</v>
      </c>
      <c r="D170" s="12">
        <v>2000000</v>
      </c>
      <c r="E170" s="82">
        <v>0.98702005010000005</v>
      </c>
      <c r="F170" s="154">
        <v>1974040.1</v>
      </c>
      <c r="G170" s="12">
        <v>0</v>
      </c>
      <c r="H170" s="10"/>
      <c r="I170" s="10"/>
    </row>
    <row r="171" spans="1:14">
      <c r="A171" s="10" t="s">
        <v>620</v>
      </c>
      <c r="B171" s="124" t="s">
        <v>488</v>
      </c>
      <c r="C171" s="124" t="s">
        <v>270</v>
      </c>
      <c r="D171" s="12">
        <v>2000000</v>
      </c>
      <c r="E171" s="82">
        <v>0.98303260989999997</v>
      </c>
      <c r="F171" s="14">
        <v>1966065.22</v>
      </c>
      <c r="G171" s="12">
        <v>0</v>
      </c>
      <c r="H171" s="10"/>
      <c r="I171" s="10"/>
    </row>
    <row r="172" spans="1:14">
      <c r="A172" s="10" t="s">
        <v>621</v>
      </c>
      <c r="B172" s="124" t="s">
        <v>504</v>
      </c>
      <c r="C172" s="124" t="s">
        <v>270</v>
      </c>
      <c r="D172" s="12">
        <v>35000000</v>
      </c>
      <c r="E172" s="82">
        <v>0.96696429839999998</v>
      </c>
      <c r="F172" s="14">
        <v>33843750.439999998</v>
      </c>
      <c r="G172" s="14">
        <v>0.04</v>
      </c>
      <c r="H172" s="10"/>
      <c r="I172" s="10"/>
    </row>
    <row r="173" spans="1:14">
      <c r="A173" s="10" t="s">
        <v>622</v>
      </c>
      <c r="B173" s="124" t="s">
        <v>446</v>
      </c>
      <c r="C173" s="124" t="s">
        <v>270</v>
      </c>
      <c r="D173" s="12">
        <v>35000000</v>
      </c>
      <c r="E173" s="82">
        <v>0.96252742670000002</v>
      </c>
      <c r="F173" s="14">
        <v>33688459.93</v>
      </c>
      <c r="G173" s="14">
        <v>0.04</v>
      </c>
      <c r="H173" s="10"/>
      <c r="I173" s="10"/>
    </row>
    <row r="174" spans="1:14">
      <c r="A174" s="10" t="s">
        <v>623</v>
      </c>
      <c r="B174" s="124" t="s">
        <v>502</v>
      </c>
      <c r="C174" s="124" t="s">
        <v>270</v>
      </c>
      <c r="D174" s="12">
        <v>30000000</v>
      </c>
      <c r="E174" s="82">
        <v>0.95667449950000005</v>
      </c>
      <c r="F174" s="14">
        <v>28700234.989999998</v>
      </c>
      <c r="G174" s="14">
        <v>0.04</v>
      </c>
      <c r="H174" s="10"/>
      <c r="I174" s="10"/>
    </row>
    <row r="175" spans="1:14">
      <c r="A175" s="10" t="s">
        <v>624</v>
      </c>
      <c r="B175" s="124" t="s">
        <v>474</v>
      </c>
      <c r="C175" s="124" t="s">
        <v>306</v>
      </c>
      <c r="D175" s="12">
        <v>10000000</v>
      </c>
      <c r="E175" s="82">
        <v>0.99754031489999995</v>
      </c>
      <c r="F175" s="14">
        <v>9975403.1500000004</v>
      </c>
      <c r="G175" s="14">
        <v>0.01</v>
      </c>
      <c r="H175" s="10"/>
      <c r="I175" s="10"/>
      <c r="N175" s="59"/>
    </row>
    <row r="176" spans="1:14">
      <c r="A176" s="10" t="s">
        <v>625</v>
      </c>
      <c r="B176" s="124" t="s">
        <v>443</v>
      </c>
      <c r="C176" s="124" t="s">
        <v>306</v>
      </c>
      <c r="D176" s="12">
        <v>25000000</v>
      </c>
      <c r="E176" s="82">
        <v>0.99281908159999999</v>
      </c>
      <c r="F176" s="14">
        <v>24820477.039999999</v>
      </c>
      <c r="G176" s="14">
        <v>0.03</v>
      </c>
      <c r="H176" s="10"/>
      <c r="I176" s="10"/>
    </row>
    <row r="177" spans="1:14">
      <c r="A177" s="10" t="s">
        <v>645</v>
      </c>
      <c r="B177" s="124" t="s">
        <v>506</v>
      </c>
      <c r="C177" s="124" t="s">
        <v>157</v>
      </c>
      <c r="D177" s="12">
        <v>10000000</v>
      </c>
      <c r="E177" s="158">
        <v>0.999178758</v>
      </c>
      <c r="F177" s="14">
        <v>9991787.5800000001</v>
      </c>
      <c r="G177" s="14">
        <v>0.01</v>
      </c>
      <c r="H177" s="10"/>
      <c r="I177" s="10"/>
    </row>
    <row r="178" spans="1:14">
      <c r="A178" s="10" t="s">
        <v>646</v>
      </c>
      <c r="B178" s="124" t="s">
        <v>647</v>
      </c>
      <c r="C178" s="124" t="s">
        <v>157</v>
      </c>
      <c r="D178" s="12">
        <v>15000000</v>
      </c>
      <c r="E178" s="82">
        <v>0.93285977549999999</v>
      </c>
      <c r="F178" s="14">
        <v>13992896.630000001</v>
      </c>
      <c r="G178" s="14">
        <v>0.02</v>
      </c>
      <c r="H178" s="10"/>
      <c r="I178" s="10"/>
    </row>
    <row r="179" spans="1:14">
      <c r="A179" s="10" t="s">
        <v>648</v>
      </c>
      <c r="B179" s="124" t="s">
        <v>647</v>
      </c>
      <c r="C179" s="124" t="s">
        <v>157</v>
      </c>
      <c r="D179" s="12">
        <v>15000000</v>
      </c>
      <c r="E179" s="82">
        <v>0.93285977549999999</v>
      </c>
      <c r="F179" s="14">
        <v>13992896.630000001</v>
      </c>
      <c r="G179" s="14">
        <v>0.02</v>
      </c>
      <c r="H179" s="10"/>
      <c r="I179" s="10"/>
    </row>
    <row r="180" spans="1:14">
      <c r="A180" s="10" t="s">
        <v>649</v>
      </c>
      <c r="B180" s="124" t="s">
        <v>269</v>
      </c>
      <c r="C180" s="124" t="s">
        <v>157</v>
      </c>
      <c r="D180" s="12">
        <v>15000000</v>
      </c>
      <c r="E180" s="158">
        <v>0.93197842799999997</v>
      </c>
      <c r="F180" s="14">
        <v>13979676.42</v>
      </c>
      <c r="G180" s="14">
        <v>0.02</v>
      </c>
      <c r="H180" s="10"/>
      <c r="I180" s="10"/>
    </row>
    <row r="181" spans="1:14">
      <c r="A181" s="10" t="s">
        <v>650</v>
      </c>
      <c r="B181" s="124" t="s">
        <v>651</v>
      </c>
      <c r="C181" s="124" t="s">
        <v>157</v>
      </c>
      <c r="D181" s="12">
        <v>15000000</v>
      </c>
      <c r="E181" s="158">
        <v>0.93109874500000001</v>
      </c>
      <c r="F181" s="14">
        <v>13966481.18</v>
      </c>
      <c r="G181" s="14">
        <v>0.02</v>
      </c>
      <c r="H181" s="10"/>
      <c r="I181" s="10"/>
    </row>
    <row r="182" spans="1:14">
      <c r="A182" s="10" t="s">
        <v>652</v>
      </c>
      <c r="B182" s="124" t="s">
        <v>504</v>
      </c>
      <c r="C182" s="124" t="s">
        <v>157</v>
      </c>
      <c r="D182" s="14">
        <v>5448062.4299999997</v>
      </c>
      <c r="E182" s="82">
        <v>0.96257817509999999</v>
      </c>
      <c r="F182" s="14">
        <v>5244185.99</v>
      </c>
      <c r="G182" s="14">
        <v>0.01</v>
      </c>
      <c r="H182" s="10"/>
      <c r="I182" s="10"/>
    </row>
    <row r="183" spans="1:14">
      <c r="A183" s="10" t="s">
        <v>653</v>
      </c>
      <c r="B183" s="124" t="s">
        <v>518</v>
      </c>
      <c r="C183" s="124" t="s">
        <v>157</v>
      </c>
      <c r="D183" s="14">
        <v>6500236.5700000003</v>
      </c>
      <c r="E183" s="82">
        <v>0.97617073980000002</v>
      </c>
      <c r="F183" s="14">
        <v>6345340.7400000002</v>
      </c>
      <c r="G183" s="14">
        <v>0.01</v>
      </c>
      <c r="H183" s="10"/>
      <c r="I183" s="10"/>
    </row>
    <row r="184" spans="1:14">
      <c r="A184" s="10" t="s">
        <v>654</v>
      </c>
      <c r="B184" s="124" t="s">
        <v>655</v>
      </c>
      <c r="C184" s="124" t="s">
        <v>157</v>
      </c>
      <c r="D184" s="14">
        <v>5448062.4299999997</v>
      </c>
      <c r="E184" s="82">
        <v>0.95017446289999996</v>
      </c>
      <c r="F184" s="14">
        <v>5176609.79</v>
      </c>
      <c r="G184" s="14">
        <v>0.01</v>
      </c>
      <c r="H184" s="10"/>
      <c r="I184" s="10"/>
    </row>
    <row r="185" spans="1:14">
      <c r="A185" s="10" t="s">
        <v>656</v>
      </c>
      <c r="B185" s="124" t="s">
        <v>448</v>
      </c>
      <c r="C185" s="124" t="s">
        <v>157</v>
      </c>
      <c r="D185" s="154">
        <v>7261808.2000000002</v>
      </c>
      <c r="E185" s="82">
        <v>0.98486282270000003</v>
      </c>
      <c r="F185" s="14">
        <v>7151884.9199999999</v>
      </c>
      <c r="G185" s="14">
        <v>0.01</v>
      </c>
      <c r="H185" s="10"/>
      <c r="I185" s="10"/>
    </row>
    <row r="186" spans="1:14">
      <c r="A186" s="10" t="s">
        <v>657</v>
      </c>
      <c r="B186" s="124" t="s">
        <v>485</v>
      </c>
      <c r="C186" s="124" t="s">
        <v>157</v>
      </c>
      <c r="D186" s="14">
        <v>5134985.93</v>
      </c>
      <c r="E186" s="82">
        <v>0.98574051979999999</v>
      </c>
      <c r="F186" s="154">
        <v>5061763.7</v>
      </c>
      <c r="G186" s="14">
        <v>0.01</v>
      </c>
      <c r="H186" s="10"/>
      <c r="I186" s="10"/>
    </row>
    <row r="187" spans="1:14">
      <c r="A187" s="10" t="s">
        <v>658</v>
      </c>
      <c r="B187" s="124" t="s">
        <v>474</v>
      </c>
      <c r="C187" s="124" t="s">
        <v>157</v>
      </c>
      <c r="D187" s="14">
        <v>3772034.12</v>
      </c>
      <c r="E187" s="82">
        <v>0.99729501389999997</v>
      </c>
      <c r="F187" s="14">
        <v>3761830.82</v>
      </c>
      <c r="G187" s="14">
        <v>0.01</v>
      </c>
      <c r="H187" s="10"/>
      <c r="I187" s="10"/>
    </row>
    <row r="188" spans="1:14">
      <c r="A188" s="10" t="s">
        <v>659</v>
      </c>
      <c r="B188" s="124" t="s">
        <v>660</v>
      </c>
      <c r="C188" s="124" t="s">
        <v>157</v>
      </c>
      <c r="D188" s="154">
        <v>1655023.2</v>
      </c>
      <c r="E188" s="82">
        <v>0.96932684660000001</v>
      </c>
      <c r="F188" s="14">
        <v>1604258.42</v>
      </c>
      <c r="G188" s="12">
        <v>0</v>
      </c>
      <c r="H188" s="10"/>
      <c r="I188" s="10"/>
      <c r="N188" s="59"/>
    </row>
    <row r="189" spans="1:14">
      <c r="A189" s="10" t="s">
        <v>661</v>
      </c>
      <c r="B189" s="124" t="s">
        <v>660</v>
      </c>
      <c r="C189" s="124" t="s">
        <v>157</v>
      </c>
      <c r="D189" s="14">
        <v>3772034.12</v>
      </c>
      <c r="E189" s="82">
        <v>0.96932684120000001</v>
      </c>
      <c r="F189" s="14">
        <v>3656333.92</v>
      </c>
      <c r="G189" s="12">
        <v>0</v>
      </c>
      <c r="H189" s="10"/>
      <c r="I189" s="10"/>
    </row>
    <row r="190" spans="1:14">
      <c r="A190" s="10" t="s">
        <v>662</v>
      </c>
      <c r="B190" s="124" t="s">
        <v>448</v>
      </c>
      <c r="C190" s="124" t="s">
        <v>157</v>
      </c>
      <c r="D190" s="12">
        <v>7190687</v>
      </c>
      <c r="E190" s="82">
        <v>0.98486282309999995</v>
      </c>
      <c r="F190" s="154">
        <v>7081840.2999999998</v>
      </c>
      <c r="G190" s="14">
        <v>0.01</v>
      </c>
      <c r="H190" s="10"/>
      <c r="I190" s="10"/>
    </row>
    <row r="191" spans="1:14">
      <c r="A191" s="10" t="s">
        <v>673</v>
      </c>
      <c r="B191" s="124" t="s">
        <v>674</v>
      </c>
      <c r="C191" s="124" t="s">
        <v>296</v>
      </c>
      <c r="D191" s="12">
        <v>15000000</v>
      </c>
      <c r="E191" s="82">
        <v>0.92153108979999998</v>
      </c>
      <c r="F191" s="14">
        <v>13822966.35</v>
      </c>
      <c r="G191" s="14">
        <v>0.02</v>
      </c>
      <c r="H191" s="10"/>
      <c r="I191" s="10"/>
    </row>
    <row r="192" spans="1:14">
      <c r="A192" s="10" t="s">
        <v>684</v>
      </c>
      <c r="B192" s="124" t="s">
        <v>446</v>
      </c>
      <c r="C192" s="124" t="s">
        <v>292</v>
      </c>
      <c r="D192" s="12">
        <v>15000000</v>
      </c>
      <c r="E192" s="82">
        <v>0.95881061869999995</v>
      </c>
      <c r="F192" s="14">
        <v>14382159.279999999</v>
      </c>
      <c r="G192" s="14">
        <v>0.02</v>
      </c>
      <c r="H192" s="10"/>
      <c r="I192" s="10"/>
    </row>
    <row r="193" spans="1:17">
      <c r="A193" s="10" t="s">
        <v>685</v>
      </c>
      <c r="B193" s="124" t="s">
        <v>522</v>
      </c>
      <c r="C193" s="124" t="s">
        <v>292</v>
      </c>
      <c r="D193" s="12">
        <v>15000000</v>
      </c>
      <c r="E193" s="82">
        <v>0.97437266420000002</v>
      </c>
      <c r="F193" s="14">
        <v>14615589.960000001</v>
      </c>
      <c r="G193" s="14">
        <v>0.02</v>
      </c>
      <c r="H193" s="10"/>
      <c r="I193" s="10"/>
    </row>
    <row r="194" spans="1:17">
      <c r="A194" s="10" t="s">
        <v>687</v>
      </c>
      <c r="B194" s="124" t="s">
        <v>485</v>
      </c>
      <c r="C194" s="124" t="s">
        <v>369</v>
      </c>
      <c r="D194" s="12">
        <v>25000000</v>
      </c>
      <c r="E194" s="82">
        <v>0.9857405467</v>
      </c>
      <c r="F194" s="14">
        <v>24643513.670000002</v>
      </c>
      <c r="G194" s="14">
        <v>0.03</v>
      </c>
      <c r="H194" s="10"/>
      <c r="I194" s="10"/>
    </row>
    <row r="195" spans="1:17">
      <c r="A195" s="10" t="s">
        <v>690</v>
      </c>
      <c r="B195" s="124" t="s">
        <v>482</v>
      </c>
      <c r="C195" s="124" t="s">
        <v>388</v>
      </c>
      <c r="D195" s="12">
        <v>800000000</v>
      </c>
      <c r="E195" s="82">
        <v>0.98661982110000002</v>
      </c>
      <c r="F195" s="14">
        <v>789295856.88</v>
      </c>
      <c r="G195" s="14">
        <v>1.05</v>
      </c>
      <c r="H195" s="10"/>
      <c r="I195" s="10"/>
    </row>
    <row r="196" spans="1:17">
      <c r="A196" s="10" t="s">
        <v>689</v>
      </c>
      <c r="B196" s="124" t="s">
        <v>482</v>
      </c>
      <c r="C196" s="124" t="s">
        <v>388</v>
      </c>
      <c r="D196" s="12">
        <v>650000000</v>
      </c>
      <c r="E196" s="82">
        <v>0.98661982110000002</v>
      </c>
      <c r="F196" s="14">
        <v>641302883.72000003</v>
      </c>
      <c r="G196" s="14">
        <v>0.85</v>
      </c>
      <c r="H196" s="10"/>
      <c r="I196" s="10"/>
    </row>
    <row r="197" spans="1:17">
      <c r="A197" s="10" t="s">
        <v>692</v>
      </c>
      <c r="B197" s="124" t="s">
        <v>482</v>
      </c>
      <c r="C197" s="124" t="s">
        <v>332</v>
      </c>
      <c r="D197" s="12">
        <v>650000000</v>
      </c>
      <c r="E197" s="82">
        <v>0.98661983190000002</v>
      </c>
      <c r="F197" s="14">
        <v>641302890.74000001</v>
      </c>
      <c r="G197" s="14">
        <v>0.85</v>
      </c>
      <c r="H197" s="10"/>
      <c r="I197" s="10"/>
    </row>
    <row r="198" spans="1:17">
      <c r="A198" s="10" t="s">
        <v>693</v>
      </c>
      <c r="B198" s="124" t="s">
        <v>651</v>
      </c>
      <c r="C198" s="124" t="s">
        <v>331</v>
      </c>
      <c r="D198" s="12">
        <v>4000000</v>
      </c>
      <c r="E198" s="82">
        <v>0.93632969320000003</v>
      </c>
      <c r="F198" s="14">
        <v>3745318.77</v>
      </c>
      <c r="G198" s="12">
        <v>0</v>
      </c>
      <c r="H198" s="10"/>
      <c r="I198" s="10"/>
    </row>
    <row r="199" spans="1:17">
      <c r="A199" s="10" t="s">
        <v>694</v>
      </c>
      <c r="B199" s="124" t="s">
        <v>497</v>
      </c>
      <c r="C199" s="124" t="s">
        <v>331</v>
      </c>
      <c r="D199" s="12">
        <v>4000000</v>
      </c>
      <c r="E199" s="82">
        <v>0.96062750789999996</v>
      </c>
      <c r="F199" s="14">
        <v>3842510.03</v>
      </c>
      <c r="G199" s="14">
        <v>0.01</v>
      </c>
      <c r="H199" s="10"/>
      <c r="I199" s="10"/>
    </row>
    <row r="200" spans="1:17">
      <c r="A200" s="10" t="s">
        <v>695</v>
      </c>
      <c r="B200" s="124" t="s">
        <v>485</v>
      </c>
      <c r="C200" s="124" t="s">
        <v>331</v>
      </c>
      <c r="D200" s="12">
        <v>4000000</v>
      </c>
      <c r="E200" s="82">
        <v>0.98531478250000004</v>
      </c>
      <c r="F200" s="14">
        <v>3941259.13</v>
      </c>
      <c r="G200" s="14">
        <v>0.01</v>
      </c>
      <c r="H200" s="10"/>
      <c r="I200" s="10"/>
      <c r="Q200" s="59"/>
    </row>
    <row r="201" spans="1:17">
      <c r="A201" s="10" t="s">
        <v>696</v>
      </c>
      <c r="B201" s="124" t="s">
        <v>697</v>
      </c>
      <c r="C201" s="124" t="s">
        <v>331</v>
      </c>
      <c r="D201" s="12">
        <v>4000000</v>
      </c>
      <c r="E201" s="82">
        <v>0.92663119660000004</v>
      </c>
      <c r="F201" s="14">
        <v>3706524.79</v>
      </c>
      <c r="G201" s="12">
        <v>0</v>
      </c>
      <c r="H201" s="10"/>
      <c r="I201" s="10"/>
    </row>
    <row r="202" spans="1:17">
      <c r="A202" s="10" t="s">
        <v>698</v>
      </c>
      <c r="B202" s="124" t="s">
        <v>655</v>
      </c>
      <c r="C202" s="124" t="s">
        <v>331</v>
      </c>
      <c r="D202" s="12">
        <v>4000000</v>
      </c>
      <c r="E202" s="82">
        <v>0.94874203950000002</v>
      </c>
      <c r="F202" s="14">
        <v>3794968.16</v>
      </c>
      <c r="G202" s="14">
        <v>0.01</v>
      </c>
      <c r="H202" s="10"/>
      <c r="I202" s="10"/>
    </row>
    <row r="203" spans="1:17">
      <c r="A203" s="10" t="s">
        <v>700</v>
      </c>
      <c r="B203" s="124" t="s">
        <v>482</v>
      </c>
      <c r="C203" s="124" t="s">
        <v>318</v>
      </c>
      <c r="D203" s="12">
        <v>40000000</v>
      </c>
      <c r="E203" s="82">
        <v>0.98983050930000005</v>
      </c>
      <c r="F203" s="14">
        <v>39593220.369999997</v>
      </c>
      <c r="G203" s="14">
        <v>0.05</v>
      </c>
      <c r="H203" s="10"/>
      <c r="I203" s="10"/>
    </row>
    <row r="204" spans="1:17">
      <c r="A204" s="10" t="s">
        <v>702</v>
      </c>
      <c r="B204" s="124" t="s">
        <v>506</v>
      </c>
      <c r="C204" s="124" t="s">
        <v>318</v>
      </c>
      <c r="D204" s="12">
        <v>40000000</v>
      </c>
      <c r="E204" s="158">
        <v>0.99912405800000004</v>
      </c>
      <c r="F204" s="14">
        <v>39964962.32</v>
      </c>
      <c r="G204" s="14">
        <v>0.05</v>
      </c>
      <c r="H204" s="10"/>
      <c r="I204" s="10"/>
    </row>
    <row r="205" spans="1:17">
      <c r="A205" s="10" t="s">
        <v>703</v>
      </c>
      <c r="B205" s="124" t="s">
        <v>485</v>
      </c>
      <c r="C205" s="124" t="s">
        <v>318</v>
      </c>
      <c r="D205" s="14">
        <v>14479899.68</v>
      </c>
      <c r="E205" s="82">
        <v>0.98616667849999995</v>
      </c>
      <c r="F205" s="14">
        <v>14279594.57</v>
      </c>
      <c r="G205" s="14">
        <v>0.02</v>
      </c>
      <c r="H205" s="10"/>
      <c r="I205" s="10"/>
    </row>
    <row r="206" spans="1:17">
      <c r="A206" s="10" t="s">
        <v>704</v>
      </c>
      <c r="B206" s="124" t="s">
        <v>482</v>
      </c>
      <c r="C206" s="124" t="s">
        <v>318</v>
      </c>
      <c r="D206" s="14">
        <v>14479899.68</v>
      </c>
      <c r="E206" s="82">
        <v>0.98702001080000001</v>
      </c>
      <c r="F206" s="14">
        <v>14291950.74</v>
      </c>
      <c r="G206" s="14">
        <v>0.02</v>
      </c>
      <c r="H206" s="10"/>
      <c r="I206" s="10"/>
    </row>
    <row r="207" spans="1:17">
      <c r="A207" s="10" t="s">
        <v>705</v>
      </c>
      <c r="B207" s="124" t="s">
        <v>443</v>
      </c>
      <c r="C207" s="124" t="s">
        <v>318</v>
      </c>
      <c r="D207" s="14">
        <v>14479899.689999999</v>
      </c>
      <c r="E207" s="82">
        <v>0.99303517129999996</v>
      </c>
      <c r="F207" s="14">
        <v>14379049.67</v>
      </c>
      <c r="G207" s="14">
        <v>0.02</v>
      </c>
      <c r="H207" s="10"/>
      <c r="I207" s="10"/>
    </row>
    <row r="208" spans="1:17">
      <c r="A208" s="10" t="s">
        <v>706</v>
      </c>
      <c r="B208" s="124" t="s">
        <v>438</v>
      </c>
      <c r="C208" s="124" t="s">
        <v>318</v>
      </c>
      <c r="D208" s="14">
        <v>14479899.68</v>
      </c>
      <c r="E208" s="158">
        <v>0.99217137600000005</v>
      </c>
      <c r="F208" s="14">
        <v>14366541.99</v>
      </c>
      <c r="G208" s="14">
        <v>0.02</v>
      </c>
      <c r="H208" s="10"/>
      <c r="I208" s="10"/>
    </row>
    <row r="209" spans="1:9">
      <c r="A209" s="10" t="s">
        <v>707</v>
      </c>
      <c r="B209" s="124" t="s">
        <v>510</v>
      </c>
      <c r="C209" s="124" t="s">
        <v>318</v>
      </c>
      <c r="D209" s="14">
        <v>14479899.68</v>
      </c>
      <c r="E209" s="82">
        <v>0.9913090819</v>
      </c>
      <c r="F209" s="14">
        <v>14354056.060000001</v>
      </c>
      <c r="G209" s="14">
        <v>0.02</v>
      </c>
      <c r="H209" s="10"/>
      <c r="I209" s="10"/>
    </row>
    <row r="210" spans="1:9">
      <c r="A210" s="10" t="s">
        <v>708</v>
      </c>
      <c r="B210" s="124" t="s">
        <v>580</v>
      </c>
      <c r="C210" s="124" t="s">
        <v>318</v>
      </c>
      <c r="D210" s="14">
        <v>14479899.68</v>
      </c>
      <c r="E210" s="158">
        <v>0.98787486199999996</v>
      </c>
      <c r="F210" s="154">
        <v>14304328.9</v>
      </c>
      <c r="G210" s="14">
        <v>0.02</v>
      </c>
      <c r="H210" s="10"/>
      <c r="I210" s="10"/>
    </row>
    <row r="211" spans="1:9">
      <c r="A211" s="10" t="s">
        <v>709</v>
      </c>
      <c r="B211" s="124" t="s">
        <v>660</v>
      </c>
      <c r="C211" s="124" t="s">
        <v>318</v>
      </c>
      <c r="D211" s="12">
        <v>3517425</v>
      </c>
      <c r="E211" s="82">
        <v>0.97022864149999999</v>
      </c>
      <c r="F211" s="14">
        <v>3412706.48</v>
      </c>
      <c r="G211" s="12">
        <v>0</v>
      </c>
      <c r="H211" s="10"/>
      <c r="I211" s="10"/>
    </row>
    <row r="212" spans="1:9">
      <c r="A212" s="10" t="s">
        <v>710</v>
      </c>
      <c r="B212" s="124" t="s">
        <v>485</v>
      </c>
      <c r="C212" s="124" t="s">
        <v>318</v>
      </c>
      <c r="D212" s="12">
        <v>3413365</v>
      </c>
      <c r="E212" s="82">
        <v>0.98616667420000004</v>
      </c>
      <c r="F212" s="14">
        <v>3366146.81</v>
      </c>
      <c r="G212" s="12">
        <v>0</v>
      </c>
      <c r="H212" s="10"/>
      <c r="I212" s="10"/>
    </row>
    <row r="213" spans="1:9">
      <c r="A213" s="10" t="s">
        <v>718</v>
      </c>
      <c r="B213" s="124" t="s">
        <v>474</v>
      </c>
      <c r="C213" s="124" t="s">
        <v>324</v>
      </c>
      <c r="D213" s="12">
        <v>100000000</v>
      </c>
      <c r="E213" s="82">
        <v>0.99754031489999995</v>
      </c>
      <c r="F213" s="14">
        <v>99754031.489999995</v>
      </c>
      <c r="G213" s="14">
        <v>0.13</v>
      </c>
      <c r="H213" s="10"/>
      <c r="I213" s="10"/>
    </row>
    <row r="214" spans="1:9">
      <c r="A214" s="10" t="s">
        <v>720</v>
      </c>
      <c r="B214" s="124" t="s">
        <v>488</v>
      </c>
      <c r="C214" s="124" t="s">
        <v>327</v>
      </c>
      <c r="D214" s="12">
        <v>45000000</v>
      </c>
      <c r="E214" s="82">
        <v>0.98136746330000002</v>
      </c>
      <c r="F214" s="14">
        <v>44161535.850000001</v>
      </c>
      <c r="G214" s="14">
        <v>0.06</v>
      </c>
      <c r="H214" s="10"/>
      <c r="I214" s="10"/>
    </row>
    <row r="215" spans="1:9">
      <c r="A215" s="10" t="s">
        <v>723</v>
      </c>
      <c r="B215" s="124" t="s">
        <v>514</v>
      </c>
      <c r="C215" s="124" t="s">
        <v>320</v>
      </c>
      <c r="D215" s="12">
        <v>45000000</v>
      </c>
      <c r="E215" s="82">
        <v>0.97962911740000003</v>
      </c>
      <c r="F215" s="14">
        <v>44083310.280000001</v>
      </c>
      <c r="G215" s="14">
        <v>0.06</v>
      </c>
      <c r="H215" s="10"/>
      <c r="I215" s="10"/>
    </row>
    <row r="216" spans="1:9">
      <c r="A216" s="10" t="s">
        <v>727</v>
      </c>
      <c r="B216" s="124" t="s">
        <v>728</v>
      </c>
      <c r="C216" s="124" t="s">
        <v>297</v>
      </c>
      <c r="D216" s="12">
        <v>10000000</v>
      </c>
      <c r="E216" s="158">
        <v>0.99835886600000001</v>
      </c>
      <c r="F216" s="14">
        <v>9983588.6600000001</v>
      </c>
      <c r="G216" s="14">
        <v>0.01</v>
      </c>
      <c r="H216" s="10"/>
      <c r="I216" s="10"/>
    </row>
    <row r="217" spans="1:9">
      <c r="A217" s="10" t="s">
        <v>729</v>
      </c>
      <c r="B217" s="124" t="s">
        <v>593</v>
      </c>
      <c r="C217" s="124" t="s">
        <v>387</v>
      </c>
      <c r="D217" s="12">
        <v>933333333</v>
      </c>
      <c r="E217" s="82">
        <v>0.96341665089999995</v>
      </c>
      <c r="F217" s="14">
        <v>899188873.85000002</v>
      </c>
      <c r="G217" s="154">
        <v>1.2</v>
      </c>
      <c r="H217" s="10"/>
      <c r="I217" s="10"/>
    </row>
    <row r="218" spans="1:9">
      <c r="A218" s="10" t="s">
        <v>731</v>
      </c>
      <c r="B218" s="124" t="s">
        <v>527</v>
      </c>
      <c r="C218" s="124" t="s">
        <v>368</v>
      </c>
      <c r="D218" s="12">
        <v>50000000</v>
      </c>
      <c r="E218" s="158">
        <v>0.97970796800000004</v>
      </c>
      <c r="F218" s="154">
        <v>48985398.399999999</v>
      </c>
      <c r="G218" s="14">
        <v>7.0000000000000007E-2</v>
      </c>
      <c r="H218" s="10"/>
      <c r="I218" s="10"/>
    </row>
    <row r="219" spans="1:9">
      <c r="A219" s="10" t="s">
        <v>733</v>
      </c>
      <c r="B219" s="124" t="s">
        <v>580</v>
      </c>
      <c r="C219" s="124" t="s">
        <v>368</v>
      </c>
      <c r="D219" s="12">
        <v>40000000</v>
      </c>
      <c r="E219" s="82">
        <v>0.98787488560000003</v>
      </c>
      <c r="F219" s="14">
        <v>39514995.420000002</v>
      </c>
      <c r="G219" s="14">
        <v>0.05</v>
      </c>
      <c r="H219" s="10"/>
      <c r="I219" s="10"/>
    </row>
    <row r="220" spans="1:9">
      <c r="A220" s="10" t="s">
        <v>734</v>
      </c>
      <c r="B220" s="124" t="s">
        <v>482</v>
      </c>
      <c r="C220" s="124" t="s">
        <v>368</v>
      </c>
      <c r="D220" s="12">
        <v>40000000</v>
      </c>
      <c r="E220" s="82">
        <v>0.98702003559999996</v>
      </c>
      <c r="F220" s="14">
        <v>39480801.420000002</v>
      </c>
      <c r="G220" s="14">
        <v>0.05</v>
      </c>
      <c r="H220" s="10"/>
      <c r="I220" s="10"/>
    </row>
    <row r="221" spans="1:9">
      <c r="A221" s="10" t="s">
        <v>735</v>
      </c>
      <c r="B221" s="124" t="s">
        <v>448</v>
      </c>
      <c r="C221" s="124" t="s">
        <v>368</v>
      </c>
      <c r="D221" s="12">
        <v>40000000</v>
      </c>
      <c r="E221" s="82">
        <v>0.98531476259999995</v>
      </c>
      <c r="F221" s="154">
        <v>39412590.5</v>
      </c>
      <c r="G221" s="14">
        <v>0.05</v>
      </c>
      <c r="H221" s="10"/>
      <c r="I221" s="10"/>
    </row>
    <row r="222" spans="1:9">
      <c r="A222" s="10" t="s">
        <v>738</v>
      </c>
      <c r="B222" s="124" t="s">
        <v>527</v>
      </c>
      <c r="C222" s="124" t="s">
        <v>360</v>
      </c>
      <c r="D222" s="12">
        <v>19922304</v>
      </c>
      <c r="E222" s="82">
        <v>0.98118281190000001</v>
      </c>
      <c r="F222" s="14">
        <v>19547422.260000002</v>
      </c>
      <c r="G222" s="14">
        <v>0.03</v>
      </c>
      <c r="H222" s="10"/>
      <c r="I222" s="10"/>
    </row>
    <row r="223" spans="1:9">
      <c r="A223" s="10" t="s">
        <v>739</v>
      </c>
      <c r="B223" s="124" t="s">
        <v>655</v>
      </c>
      <c r="C223" s="124" t="s">
        <v>360</v>
      </c>
      <c r="D223" s="12">
        <v>19922304</v>
      </c>
      <c r="E223" s="82">
        <v>0.96179183869999996</v>
      </c>
      <c r="F223" s="154">
        <v>19161109.399999999</v>
      </c>
      <c r="G223" s="14">
        <v>0.03</v>
      </c>
      <c r="H223" s="10"/>
      <c r="I223" s="10"/>
    </row>
    <row r="224" spans="1:9">
      <c r="A224" s="10" t="s">
        <v>751</v>
      </c>
      <c r="B224" s="124" t="s">
        <v>750</v>
      </c>
      <c r="C224" s="124" t="s">
        <v>156</v>
      </c>
      <c r="D224" s="14">
        <v>29362361.710000001</v>
      </c>
      <c r="E224" s="158">
        <v>0.945008399</v>
      </c>
      <c r="F224" s="14">
        <v>27747678.43</v>
      </c>
      <c r="G224" s="14">
        <v>0.04</v>
      </c>
      <c r="H224" s="10"/>
      <c r="I224" s="10"/>
    </row>
    <row r="225" spans="1:9">
      <c r="A225" s="10" t="s">
        <v>752</v>
      </c>
      <c r="B225" s="124" t="s">
        <v>680</v>
      </c>
      <c r="C225" s="124" t="s">
        <v>156</v>
      </c>
      <c r="D225" s="14">
        <v>20408241.140000001</v>
      </c>
      <c r="E225" s="82">
        <v>0.96571067649999998</v>
      </c>
      <c r="F225" s="14">
        <v>19708456.359999999</v>
      </c>
      <c r="G225" s="14">
        <v>0.03</v>
      </c>
      <c r="H225" s="10"/>
      <c r="I225" s="10"/>
    </row>
    <row r="226" spans="1:9">
      <c r="A226" s="10" t="s">
        <v>744</v>
      </c>
      <c r="B226" s="124" t="s">
        <v>529</v>
      </c>
      <c r="C226" s="124" t="s">
        <v>156</v>
      </c>
      <c r="D226" s="12">
        <v>10000000</v>
      </c>
      <c r="E226" s="82">
        <v>0.98382752510000004</v>
      </c>
      <c r="F226" s="14">
        <v>9838275.25</v>
      </c>
      <c r="G226" s="14">
        <v>0.01</v>
      </c>
      <c r="H226" s="10"/>
      <c r="I226" s="10"/>
    </row>
    <row r="227" spans="1:9">
      <c r="A227" s="10" t="s">
        <v>745</v>
      </c>
      <c r="B227" s="124" t="s">
        <v>514</v>
      </c>
      <c r="C227" s="124" t="s">
        <v>156</v>
      </c>
      <c r="D227" s="12">
        <v>10000000</v>
      </c>
      <c r="E227" s="82">
        <v>0.9814466691</v>
      </c>
      <c r="F227" s="14">
        <v>9814466.6899999995</v>
      </c>
      <c r="G227" s="14">
        <v>0.01</v>
      </c>
      <c r="H227" s="10"/>
      <c r="I227" s="10"/>
    </row>
    <row r="228" spans="1:9">
      <c r="A228" s="10" t="s">
        <v>746</v>
      </c>
      <c r="B228" s="124" t="s">
        <v>522</v>
      </c>
      <c r="C228" s="124" t="s">
        <v>156</v>
      </c>
      <c r="D228" s="12">
        <v>10000000</v>
      </c>
      <c r="E228" s="82">
        <v>0.97593588919999996</v>
      </c>
      <c r="F228" s="14">
        <v>9759358.8900000006</v>
      </c>
      <c r="G228" s="14">
        <v>0.01</v>
      </c>
      <c r="H228" s="10"/>
      <c r="I228" s="10"/>
    </row>
    <row r="229" spans="1:9">
      <c r="A229" s="10" t="s">
        <v>747</v>
      </c>
      <c r="B229" s="124" t="s">
        <v>522</v>
      </c>
      <c r="C229" s="124" t="s">
        <v>156</v>
      </c>
      <c r="D229" s="12">
        <v>13000000</v>
      </c>
      <c r="E229" s="158">
        <v>0.982239011</v>
      </c>
      <c r="F229" s="14">
        <v>12769107.140000001</v>
      </c>
      <c r="G229" s="14">
        <v>0.02</v>
      </c>
      <c r="H229" s="10"/>
      <c r="I229" s="10"/>
    </row>
    <row r="230" spans="1:9">
      <c r="A230" s="10" t="s">
        <v>748</v>
      </c>
      <c r="B230" s="124" t="s">
        <v>480</v>
      </c>
      <c r="C230" s="124" t="s">
        <v>156</v>
      </c>
      <c r="D230" s="12">
        <v>13000000</v>
      </c>
      <c r="E230" s="82">
        <v>0.99579855070000001</v>
      </c>
      <c r="F230" s="14">
        <v>12945381.16</v>
      </c>
      <c r="G230" s="14">
        <v>0.02</v>
      </c>
      <c r="H230" s="10"/>
      <c r="I230" s="10"/>
    </row>
    <row r="231" spans="1:9">
      <c r="A231" s="10" t="s">
        <v>749</v>
      </c>
      <c r="B231" s="124" t="s">
        <v>660</v>
      </c>
      <c r="C231" s="124" t="s">
        <v>156</v>
      </c>
      <c r="D231" s="12">
        <v>13000000</v>
      </c>
      <c r="E231" s="82">
        <v>0.97933998020000002</v>
      </c>
      <c r="F231" s="14">
        <v>12731419.74</v>
      </c>
      <c r="G231" s="14">
        <v>0.02</v>
      </c>
      <c r="H231" s="10"/>
      <c r="I231" s="10"/>
    </row>
    <row r="232" spans="1:9">
      <c r="A232" s="10" t="s">
        <v>753</v>
      </c>
      <c r="B232" s="124" t="s">
        <v>754</v>
      </c>
      <c r="C232" s="124" t="s">
        <v>305</v>
      </c>
      <c r="D232" s="14">
        <v>22578937.030000001</v>
      </c>
      <c r="E232" s="82">
        <v>0.92686649180000003</v>
      </c>
      <c r="F232" s="14">
        <v>20927660.149999999</v>
      </c>
      <c r="G232" s="14">
        <v>0.03</v>
      </c>
      <c r="H232" s="10"/>
      <c r="I232" s="10"/>
    </row>
    <row r="233" spans="1:9">
      <c r="A233" s="10" t="s">
        <v>755</v>
      </c>
      <c r="B233" s="124" t="s">
        <v>756</v>
      </c>
      <c r="C233" s="124" t="s">
        <v>305</v>
      </c>
      <c r="D233" s="12">
        <v>74495580</v>
      </c>
      <c r="E233" s="82">
        <v>0.90615695029999999</v>
      </c>
      <c r="F233" s="14">
        <v>67504687.579999998</v>
      </c>
      <c r="G233" s="14">
        <v>0.09</v>
      </c>
      <c r="H233" s="10"/>
      <c r="I233" s="10"/>
    </row>
    <row r="234" spans="1:9">
      <c r="A234" s="10" t="s">
        <v>757</v>
      </c>
      <c r="B234" s="124" t="s">
        <v>758</v>
      </c>
      <c r="C234" s="124" t="s">
        <v>305</v>
      </c>
      <c r="D234" s="12">
        <v>71389290</v>
      </c>
      <c r="E234" s="82">
        <v>0.92545646339999998</v>
      </c>
      <c r="F234" s="14">
        <v>66067679.850000001</v>
      </c>
      <c r="G234" s="14">
        <v>0.09</v>
      </c>
      <c r="H234" s="10"/>
      <c r="I234" s="10"/>
    </row>
    <row r="235" spans="1:9">
      <c r="A235" s="10" t="s">
        <v>759</v>
      </c>
      <c r="B235" s="124" t="s">
        <v>651</v>
      </c>
      <c r="C235" s="124" t="s">
        <v>305</v>
      </c>
      <c r="D235" s="12">
        <v>69542230</v>
      </c>
      <c r="E235" s="82">
        <v>0.9469697346</v>
      </c>
      <c r="F235" s="14">
        <v>65854387.090000004</v>
      </c>
      <c r="G235" s="14">
        <v>0.09</v>
      </c>
      <c r="H235" s="10"/>
      <c r="I235" s="10"/>
    </row>
    <row r="236" spans="1:9">
      <c r="A236" s="10" t="s">
        <v>760</v>
      </c>
      <c r="B236" s="124" t="s">
        <v>500</v>
      </c>
      <c r="C236" s="124" t="s">
        <v>305</v>
      </c>
      <c r="D236" s="12">
        <v>2500000</v>
      </c>
      <c r="E236" s="82">
        <v>0.95926419169999999</v>
      </c>
      <c r="F236" s="14">
        <v>2398160.48</v>
      </c>
      <c r="G236" s="12">
        <v>0</v>
      </c>
      <c r="H236" s="10"/>
      <c r="I236" s="10"/>
    </row>
    <row r="237" spans="1:9">
      <c r="A237" s="10" t="s">
        <v>761</v>
      </c>
      <c r="B237" s="124" t="s">
        <v>482</v>
      </c>
      <c r="C237" s="124" t="s">
        <v>305</v>
      </c>
      <c r="D237" s="12">
        <v>10000000</v>
      </c>
      <c r="E237" s="158">
        <v>0.98822256200000003</v>
      </c>
      <c r="F237" s="14">
        <v>9882225.6199999992</v>
      </c>
      <c r="G237" s="14">
        <v>0.01</v>
      </c>
      <c r="H237" s="10"/>
      <c r="I237" s="10"/>
    </row>
    <row r="238" spans="1:9">
      <c r="A238" s="10" t="s">
        <v>767</v>
      </c>
      <c r="B238" s="124" t="s">
        <v>510</v>
      </c>
      <c r="C238" s="124" t="s">
        <v>333</v>
      </c>
      <c r="D238" s="12">
        <v>25000000</v>
      </c>
      <c r="E238" s="82">
        <v>0.99319730110000004</v>
      </c>
      <c r="F238" s="14">
        <v>24829932.530000001</v>
      </c>
      <c r="G238" s="14">
        <v>0.03</v>
      </c>
      <c r="H238" s="10"/>
      <c r="I238" s="10"/>
    </row>
    <row r="239" spans="1:9">
      <c r="A239" s="10" t="s">
        <v>768</v>
      </c>
      <c r="B239" s="124" t="s">
        <v>769</v>
      </c>
      <c r="C239" s="124" t="s">
        <v>333</v>
      </c>
      <c r="D239" s="12">
        <v>20000000</v>
      </c>
      <c r="E239" s="82">
        <v>0.93541785320000004</v>
      </c>
      <c r="F239" s="14">
        <v>18708357.059999999</v>
      </c>
      <c r="G239" s="14">
        <v>0.02</v>
      </c>
      <c r="H239" s="10"/>
      <c r="I239" s="10"/>
    </row>
    <row r="240" spans="1:9">
      <c r="A240" s="10" t="s">
        <v>770</v>
      </c>
      <c r="B240" s="124" t="s">
        <v>497</v>
      </c>
      <c r="C240" s="124" t="s">
        <v>333</v>
      </c>
      <c r="D240" s="12">
        <v>11000000</v>
      </c>
      <c r="E240" s="82">
        <v>0.96622199050000002</v>
      </c>
      <c r="F240" s="154">
        <v>10628441.9</v>
      </c>
      <c r="G240" s="14">
        <v>0.01</v>
      </c>
      <c r="H240" s="10"/>
      <c r="I240" s="10"/>
    </row>
    <row r="241" spans="1:18">
      <c r="A241" s="10" t="s">
        <v>771</v>
      </c>
      <c r="B241" s="124" t="s">
        <v>772</v>
      </c>
      <c r="C241" s="124" t="s">
        <v>333</v>
      </c>
      <c r="D241" s="12">
        <v>12500000</v>
      </c>
      <c r="E241" s="82">
        <v>0.90078986449999998</v>
      </c>
      <c r="F241" s="14">
        <v>11259873.310000001</v>
      </c>
      <c r="G241" s="14">
        <v>0.01</v>
      </c>
      <c r="H241" s="10"/>
      <c r="I241" s="10"/>
    </row>
    <row r="242" spans="1:18">
      <c r="A242" s="10" t="s">
        <v>773</v>
      </c>
      <c r="B242" s="124" t="s">
        <v>774</v>
      </c>
      <c r="C242" s="124" t="s">
        <v>333</v>
      </c>
      <c r="D242" s="12">
        <v>12500000</v>
      </c>
      <c r="E242" s="82">
        <v>0.89680593379999995</v>
      </c>
      <c r="F242" s="14">
        <v>11210074.17</v>
      </c>
      <c r="G242" s="14">
        <v>0.01</v>
      </c>
      <c r="H242" s="10"/>
      <c r="I242" s="10"/>
    </row>
    <row r="243" spans="1:18">
      <c r="A243" s="10" t="s">
        <v>775</v>
      </c>
      <c r="B243" s="124" t="s">
        <v>776</v>
      </c>
      <c r="C243" s="124" t="s">
        <v>333</v>
      </c>
      <c r="D243" s="12">
        <v>18700000</v>
      </c>
      <c r="E243" s="82">
        <v>0.94854476040000002</v>
      </c>
      <c r="F243" s="14">
        <v>17737787.02</v>
      </c>
      <c r="G243" s="14">
        <v>0.02</v>
      </c>
      <c r="H243" s="10"/>
      <c r="I243" s="10"/>
      <c r="R243" s="59"/>
    </row>
    <row r="244" spans="1:18">
      <c r="A244" s="10" t="s">
        <v>777</v>
      </c>
      <c r="B244" s="124" t="s">
        <v>778</v>
      </c>
      <c r="C244" s="124" t="s">
        <v>333</v>
      </c>
      <c r="D244" s="12">
        <v>5600000</v>
      </c>
      <c r="E244" s="82">
        <v>0.92475304420000004</v>
      </c>
      <c r="F244" s="14">
        <v>5178617.05</v>
      </c>
      <c r="G244" s="14">
        <v>0.01</v>
      </c>
      <c r="H244" s="10"/>
      <c r="I244" s="10"/>
    </row>
    <row r="245" spans="1:18">
      <c r="A245" s="10" t="s">
        <v>779</v>
      </c>
      <c r="B245" s="124" t="s">
        <v>680</v>
      </c>
      <c r="C245" s="124" t="s">
        <v>333</v>
      </c>
      <c r="D245" s="12">
        <v>10900000</v>
      </c>
      <c r="E245" s="82">
        <v>0.97126137059999995</v>
      </c>
      <c r="F245" s="14">
        <v>10586748.939999999</v>
      </c>
      <c r="G245" s="14">
        <v>0.01</v>
      </c>
      <c r="H245" s="10"/>
      <c r="I245" s="10"/>
    </row>
    <row r="246" spans="1:18">
      <c r="A246" s="10" t="s">
        <v>780</v>
      </c>
      <c r="B246" s="124" t="s">
        <v>480</v>
      </c>
      <c r="C246" s="124" t="s">
        <v>333</v>
      </c>
      <c r="D246" s="12">
        <v>100000000</v>
      </c>
      <c r="E246" s="82">
        <v>0.99314324850000002</v>
      </c>
      <c r="F246" s="14">
        <v>99314324.849999994</v>
      </c>
      <c r="G246" s="14">
        <v>0.13</v>
      </c>
      <c r="H246" s="10"/>
      <c r="I246" s="10"/>
    </row>
    <row r="247" spans="1:18">
      <c r="A247" s="10" t="s">
        <v>781</v>
      </c>
      <c r="B247" s="124" t="s">
        <v>520</v>
      </c>
      <c r="C247" s="124" t="s">
        <v>333</v>
      </c>
      <c r="D247" s="12">
        <v>15000000</v>
      </c>
      <c r="E247" s="82">
        <v>0.97899851380000003</v>
      </c>
      <c r="F247" s="14">
        <v>14684977.710000001</v>
      </c>
      <c r="G247" s="14">
        <v>0.02</v>
      </c>
      <c r="H247" s="10"/>
      <c r="I247" s="10"/>
    </row>
    <row r="248" spans="1:18">
      <c r="A248" s="10" t="s">
        <v>782</v>
      </c>
      <c r="B248" s="124" t="s">
        <v>524</v>
      </c>
      <c r="C248" s="124" t="s">
        <v>333</v>
      </c>
      <c r="D248" s="12">
        <v>15000000</v>
      </c>
      <c r="E248" s="82">
        <v>0.97546637439999995</v>
      </c>
      <c r="F248" s="14">
        <v>14631995.619999999</v>
      </c>
      <c r="G248" s="14">
        <v>0.02</v>
      </c>
      <c r="H248" s="10"/>
      <c r="I248" s="10"/>
    </row>
    <row r="249" spans="1:18">
      <c r="A249" s="10" t="s">
        <v>783</v>
      </c>
      <c r="B249" s="124" t="s">
        <v>574</v>
      </c>
      <c r="C249" s="124" t="s">
        <v>333</v>
      </c>
      <c r="D249" s="12">
        <v>15000000</v>
      </c>
      <c r="E249" s="82">
        <v>0.97335932510000001</v>
      </c>
      <c r="F249" s="14">
        <v>14600389.880000001</v>
      </c>
      <c r="G249" s="14">
        <v>0.02</v>
      </c>
      <c r="H249" s="10"/>
      <c r="I249" s="10"/>
    </row>
    <row r="250" spans="1:18">
      <c r="A250" s="10" t="s">
        <v>786</v>
      </c>
      <c r="B250" s="124" t="s">
        <v>529</v>
      </c>
      <c r="C250" s="124" t="s">
        <v>352</v>
      </c>
      <c r="D250" s="12">
        <v>212000000</v>
      </c>
      <c r="E250" s="82">
        <v>0.98488938930000003</v>
      </c>
      <c r="F250" s="14">
        <v>208796550.53</v>
      </c>
      <c r="G250" s="14">
        <v>0.28000000000000003</v>
      </c>
      <c r="H250" s="10"/>
      <c r="I250" s="10"/>
    </row>
    <row r="251" spans="1:18">
      <c r="A251" s="10" t="s">
        <v>788</v>
      </c>
      <c r="B251" s="124" t="s">
        <v>450</v>
      </c>
      <c r="C251" s="124" t="s">
        <v>352</v>
      </c>
      <c r="D251" s="14">
        <v>4396334.17</v>
      </c>
      <c r="E251" s="82">
        <v>0.94164394060000001</v>
      </c>
      <c r="F251" s="14">
        <v>4139781.43</v>
      </c>
      <c r="G251" s="14">
        <v>0.01</v>
      </c>
      <c r="H251" s="10"/>
      <c r="I251" s="10"/>
    </row>
    <row r="252" spans="1:18">
      <c r="A252" s="10" t="s">
        <v>789</v>
      </c>
      <c r="B252" s="124" t="s">
        <v>651</v>
      </c>
      <c r="C252" s="124" t="s">
        <v>352</v>
      </c>
      <c r="D252" s="14">
        <v>5311841.87</v>
      </c>
      <c r="E252" s="82">
        <v>0.94517968779999995</v>
      </c>
      <c r="F252" s="14">
        <v>5020645.04</v>
      </c>
      <c r="G252" s="14">
        <v>0.01</v>
      </c>
      <c r="H252" s="10"/>
      <c r="I252" s="10"/>
    </row>
    <row r="253" spans="1:18">
      <c r="A253" s="10" t="s">
        <v>790</v>
      </c>
      <c r="B253" s="124" t="s">
        <v>580</v>
      </c>
      <c r="C253" s="124" t="s">
        <v>352</v>
      </c>
      <c r="D253" s="14">
        <v>8106418.25</v>
      </c>
      <c r="E253" s="82">
        <v>0.98899907990000002</v>
      </c>
      <c r="F253" s="14">
        <v>8017240.1900000004</v>
      </c>
      <c r="G253" s="14">
        <v>0.01</v>
      </c>
      <c r="H253" s="10"/>
      <c r="I253" s="10"/>
    </row>
    <row r="254" spans="1:18">
      <c r="A254" s="10" t="s">
        <v>791</v>
      </c>
      <c r="B254" s="124" t="s">
        <v>518</v>
      </c>
      <c r="C254" s="124" t="s">
        <v>352</v>
      </c>
      <c r="D254" s="14">
        <v>7511409.4699999997</v>
      </c>
      <c r="E254" s="82">
        <v>0.97899850379999998</v>
      </c>
      <c r="F254" s="14">
        <v>7353658.6299999999</v>
      </c>
      <c r="G254" s="14">
        <v>0.01</v>
      </c>
      <c r="H254" s="10"/>
      <c r="I254" s="10"/>
    </row>
    <row r="255" spans="1:18">
      <c r="A255" s="10" t="s">
        <v>792</v>
      </c>
      <c r="B255" s="124" t="s">
        <v>793</v>
      </c>
      <c r="C255" s="124" t="s">
        <v>352</v>
      </c>
      <c r="D255" s="14">
        <v>4103981.39</v>
      </c>
      <c r="E255" s="82">
        <v>0.95161126409999997</v>
      </c>
      <c r="F255" s="14">
        <v>3905394.92</v>
      </c>
      <c r="G255" s="14">
        <v>0.01</v>
      </c>
      <c r="H255" s="10"/>
      <c r="I255" s="10"/>
    </row>
    <row r="256" spans="1:18">
      <c r="A256" s="10" t="s">
        <v>794</v>
      </c>
      <c r="B256" s="124" t="s">
        <v>647</v>
      </c>
      <c r="C256" s="124" t="s">
        <v>352</v>
      </c>
      <c r="D256" s="14">
        <v>8106418.25</v>
      </c>
      <c r="E256" s="82">
        <v>0.94660136279999996</v>
      </c>
      <c r="F256" s="14">
        <v>7673546.5599999996</v>
      </c>
      <c r="G256" s="14">
        <v>0.01</v>
      </c>
      <c r="H256" s="10"/>
      <c r="I256" s="10"/>
    </row>
    <row r="257" spans="1:18">
      <c r="A257" s="10" t="s">
        <v>795</v>
      </c>
      <c r="B257" s="124" t="s">
        <v>504</v>
      </c>
      <c r="C257" s="124" t="s">
        <v>352</v>
      </c>
      <c r="D257" s="14">
        <v>5109127.71</v>
      </c>
      <c r="E257" s="82">
        <v>0.96696427640000004</v>
      </c>
      <c r="F257" s="14">
        <v>4940343.9800000004</v>
      </c>
      <c r="G257" s="14">
        <v>0.01</v>
      </c>
      <c r="H257" s="10"/>
      <c r="I257" s="10"/>
    </row>
    <row r="258" spans="1:18">
      <c r="A258" s="10" t="s">
        <v>796</v>
      </c>
      <c r="B258" s="124" t="s">
        <v>524</v>
      </c>
      <c r="C258" s="124" t="s">
        <v>352</v>
      </c>
      <c r="D258" s="12">
        <v>333534247</v>
      </c>
      <c r="E258" s="82">
        <v>0.97017707409999998</v>
      </c>
      <c r="F258" s="14">
        <v>323587279.87</v>
      </c>
      <c r="G258" s="14">
        <v>0.43</v>
      </c>
      <c r="H258" s="10"/>
      <c r="I258" s="10"/>
    </row>
    <row r="259" spans="1:18">
      <c r="A259" s="10" t="s">
        <v>797</v>
      </c>
      <c r="B259" s="124" t="s">
        <v>660</v>
      </c>
      <c r="C259" s="124" t="s">
        <v>352</v>
      </c>
      <c r="D259" s="14">
        <v>10867742.35</v>
      </c>
      <c r="E259" s="82">
        <v>0.96752819219999997</v>
      </c>
      <c r="F259" s="14">
        <v>10514847.109999999</v>
      </c>
      <c r="G259" s="14">
        <v>0.01</v>
      </c>
      <c r="H259" s="10"/>
      <c r="I259" s="10"/>
    </row>
    <row r="260" spans="1:18">
      <c r="A260" s="10" t="s">
        <v>807</v>
      </c>
      <c r="B260" s="124" t="s">
        <v>806</v>
      </c>
      <c r="C260" s="124" t="s">
        <v>394</v>
      </c>
      <c r="D260" s="12">
        <v>2000000</v>
      </c>
      <c r="E260" s="82">
        <v>0.92348954890000001</v>
      </c>
      <c r="F260" s="154">
        <v>1846979.1</v>
      </c>
      <c r="G260" s="12">
        <v>0</v>
      </c>
      <c r="H260" s="10"/>
      <c r="I260" s="10"/>
    </row>
    <row r="261" spans="1:18">
      <c r="A261" s="10" t="s">
        <v>809</v>
      </c>
      <c r="B261" s="124" t="s">
        <v>808</v>
      </c>
      <c r="C261" s="124" t="s">
        <v>394</v>
      </c>
      <c r="D261" s="12">
        <v>3400000</v>
      </c>
      <c r="E261" s="82">
        <v>0.93628160660000004</v>
      </c>
      <c r="F261" s="14">
        <v>3183357.46</v>
      </c>
      <c r="G261" s="12">
        <v>0</v>
      </c>
      <c r="H261" s="10"/>
      <c r="I261" s="10"/>
    </row>
    <row r="262" spans="1:18">
      <c r="A262" s="10" t="s">
        <v>810</v>
      </c>
      <c r="B262" s="124" t="s">
        <v>778</v>
      </c>
      <c r="C262" s="124" t="s">
        <v>394</v>
      </c>
      <c r="D262" s="12">
        <v>14000000</v>
      </c>
      <c r="E262" s="82">
        <v>0.9270783856</v>
      </c>
      <c r="F262" s="154">
        <v>12979097.4</v>
      </c>
      <c r="G262" s="14">
        <v>0.02</v>
      </c>
      <c r="H262" s="10"/>
      <c r="I262" s="10"/>
      <c r="O262" s="59"/>
      <c r="P262" s="59"/>
      <c r="Q262" s="59"/>
      <c r="R262" s="59"/>
    </row>
    <row r="263" spans="1:18">
      <c r="A263" s="10" t="s">
        <v>811</v>
      </c>
      <c r="B263" s="124" t="s">
        <v>257</v>
      </c>
      <c r="C263" s="124" t="s">
        <v>394</v>
      </c>
      <c r="D263" s="12">
        <v>14000000</v>
      </c>
      <c r="E263" s="82">
        <v>0.92232282860000003</v>
      </c>
      <c r="F263" s="154">
        <v>12912519.6</v>
      </c>
      <c r="G263" s="14">
        <v>0.02</v>
      </c>
      <c r="H263" s="10"/>
      <c r="I263" s="10"/>
      <c r="N263" s="59"/>
    </row>
    <row r="264" spans="1:18">
      <c r="A264" s="10" t="s">
        <v>813</v>
      </c>
      <c r="B264" s="124" t="s">
        <v>812</v>
      </c>
      <c r="C264" s="124" t="s">
        <v>394</v>
      </c>
      <c r="D264" s="12">
        <v>14000000</v>
      </c>
      <c r="E264" s="158">
        <v>0.93813464800000002</v>
      </c>
      <c r="F264" s="14">
        <v>13133885.07</v>
      </c>
      <c r="G264" s="14">
        <v>0.02</v>
      </c>
      <c r="H264" s="10"/>
      <c r="I264" s="10"/>
    </row>
    <row r="265" spans="1:18">
      <c r="A265" s="10" t="s">
        <v>815</v>
      </c>
      <c r="B265" s="124" t="s">
        <v>814</v>
      </c>
      <c r="C265" s="124" t="s">
        <v>394</v>
      </c>
      <c r="D265" s="12">
        <v>14000000</v>
      </c>
      <c r="E265" s="82">
        <v>0.91761581179999996</v>
      </c>
      <c r="F265" s="14">
        <v>12846621.369999999</v>
      </c>
      <c r="G265" s="14">
        <v>0.02</v>
      </c>
      <c r="H265" s="10"/>
      <c r="I265" s="10"/>
    </row>
    <row r="266" spans="1:18">
      <c r="A266" s="10" t="s">
        <v>816</v>
      </c>
      <c r="B266" s="124" t="s">
        <v>808</v>
      </c>
      <c r="C266" s="124" t="s">
        <v>394</v>
      </c>
      <c r="D266" s="12">
        <v>14000000</v>
      </c>
      <c r="E266" s="82">
        <v>0.93188323559999997</v>
      </c>
      <c r="F266" s="154">
        <v>13046365.300000001</v>
      </c>
      <c r="G266" s="14">
        <v>0.02</v>
      </c>
      <c r="H266" s="10"/>
      <c r="I266" s="10"/>
    </row>
    <row r="267" spans="1:18">
      <c r="A267" s="10" t="s">
        <v>805</v>
      </c>
      <c r="B267" s="124" t="s">
        <v>490</v>
      </c>
      <c r="C267" s="124" t="s">
        <v>394</v>
      </c>
      <c r="D267" s="12">
        <v>20000000</v>
      </c>
      <c r="E267" s="82">
        <v>0.98340342189999996</v>
      </c>
      <c r="F267" s="14">
        <v>19668068.440000001</v>
      </c>
      <c r="G267" s="14">
        <v>0.03</v>
      </c>
      <c r="H267" s="10"/>
      <c r="I267" s="10"/>
    </row>
    <row r="268" spans="1:18">
      <c r="A268" s="10" t="s">
        <v>802</v>
      </c>
      <c r="B268" s="124" t="s">
        <v>660</v>
      </c>
      <c r="C268" s="124" t="s">
        <v>394</v>
      </c>
      <c r="D268" s="12">
        <v>110000000</v>
      </c>
      <c r="E268" s="82">
        <v>0.97476299479999995</v>
      </c>
      <c r="F268" s="14">
        <v>107223929.43000001</v>
      </c>
      <c r="G268" s="14">
        <v>0.14000000000000001</v>
      </c>
      <c r="H268" s="10"/>
      <c r="I268" s="10"/>
    </row>
    <row r="269" spans="1:18">
      <c r="A269" s="10" t="s">
        <v>804</v>
      </c>
      <c r="B269" s="124" t="s">
        <v>480</v>
      </c>
      <c r="C269" s="124" t="s">
        <v>394</v>
      </c>
      <c r="D269" s="12">
        <v>15000000</v>
      </c>
      <c r="E269" s="82">
        <v>0.99427950610000004</v>
      </c>
      <c r="F269" s="14">
        <v>14914192.59</v>
      </c>
      <c r="G269" s="14">
        <v>0.02</v>
      </c>
      <c r="H269" s="10"/>
      <c r="I269" s="10"/>
    </row>
    <row r="270" spans="1:18">
      <c r="A270" s="10" t="s">
        <v>817</v>
      </c>
      <c r="B270" s="124" t="s">
        <v>529</v>
      </c>
      <c r="C270" s="124" t="s">
        <v>395</v>
      </c>
      <c r="D270" s="12">
        <v>30000000</v>
      </c>
      <c r="E270" s="82">
        <v>0.98488939519999996</v>
      </c>
      <c r="F270" s="14">
        <v>29546681.859999999</v>
      </c>
      <c r="G270" s="14">
        <v>0.04</v>
      </c>
      <c r="H270" s="10"/>
      <c r="I270" s="10"/>
      <c r="N270" s="59"/>
    </row>
    <row r="271" spans="1:18">
      <c r="A271" s="10" t="s">
        <v>818</v>
      </c>
      <c r="B271" s="124" t="s">
        <v>793</v>
      </c>
      <c r="C271" s="124" t="s">
        <v>395</v>
      </c>
      <c r="D271" s="12">
        <v>30000000</v>
      </c>
      <c r="E271" s="82">
        <v>0.95320176249999999</v>
      </c>
      <c r="F271" s="14">
        <v>28596052.879999999</v>
      </c>
      <c r="G271" s="14">
        <v>0.04</v>
      </c>
      <c r="H271" s="10"/>
      <c r="I271" s="10"/>
      <c r="J271" s="62"/>
      <c r="O271" s="59"/>
      <c r="P271" s="59"/>
      <c r="Q271" s="59"/>
      <c r="R271" s="59"/>
    </row>
    <row r="272" spans="1:18">
      <c r="A272" s="10" t="s">
        <v>820</v>
      </c>
      <c r="B272" s="124" t="s">
        <v>819</v>
      </c>
      <c r="C272" s="124" t="s">
        <v>395</v>
      </c>
      <c r="D272" s="12">
        <v>30000000</v>
      </c>
      <c r="E272" s="82">
        <v>0.94286013550000003</v>
      </c>
      <c r="F272" s="14">
        <v>28285804.07</v>
      </c>
      <c r="G272" s="14">
        <v>0.04</v>
      </c>
      <c r="H272" s="10"/>
      <c r="I272" s="10"/>
      <c r="N272" s="59"/>
    </row>
    <row r="273" spans="1:9">
      <c r="A273" s="10" t="s">
        <v>823</v>
      </c>
      <c r="B273" s="124" t="s">
        <v>822</v>
      </c>
      <c r="C273" s="124" t="s">
        <v>395</v>
      </c>
      <c r="D273" s="12">
        <v>7000000</v>
      </c>
      <c r="E273" s="82">
        <v>0.93007850189999997</v>
      </c>
      <c r="F273" s="14">
        <v>6510549.5099999998</v>
      </c>
      <c r="G273" s="14">
        <v>0.01</v>
      </c>
      <c r="H273" s="10"/>
      <c r="I273" s="10"/>
    </row>
    <row r="274" spans="1:9">
      <c r="A274" s="10" t="s">
        <v>824</v>
      </c>
      <c r="B274" s="124" t="s">
        <v>793</v>
      </c>
      <c r="C274" s="124" t="s">
        <v>395</v>
      </c>
      <c r="D274" s="12">
        <v>7000000</v>
      </c>
      <c r="E274" s="82">
        <v>0.95320176249999999</v>
      </c>
      <c r="F274" s="14">
        <v>6672412.3399999999</v>
      </c>
      <c r="G274" s="14">
        <v>0.01</v>
      </c>
      <c r="H274" s="10"/>
      <c r="I274" s="10"/>
    </row>
    <row r="275" spans="1:9">
      <c r="A275" s="10" t="s">
        <v>825</v>
      </c>
      <c r="B275" s="124" t="s">
        <v>448</v>
      </c>
      <c r="C275" s="124" t="s">
        <v>395</v>
      </c>
      <c r="D275" s="12">
        <v>24500000</v>
      </c>
      <c r="E275" s="82">
        <v>0.98758084739999996</v>
      </c>
      <c r="F275" s="14">
        <v>24195730.760000002</v>
      </c>
      <c r="G275" s="14">
        <v>0.03</v>
      </c>
      <c r="H275" s="10"/>
      <c r="I275" s="10"/>
    </row>
    <row r="276" spans="1:9">
      <c r="A276" s="10" t="s">
        <v>826</v>
      </c>
      <c r="B276" s="124" t="s">
        <v>474</v>
      </c>
      <c r="C276" s="124" t="s">
        <v>395</v>
      </c>
      <c r="D276" s="12">
        <v>24500000</v>
      </c>
      <c r="E276" s="82">
        <v>0.99778573719999997</v>
      </c>
      <c r="F276" s="14">
        <v>24445750.559999999</v>
      </c>
      <c r="G276" s="14">
        <v>0.03</v>
      </c>
      <c r="H276" s="10"/>
      <c r="I276" s="10"/>
    </row>
    <row r="277" spans="1:9">
      <c r="A277" s="10" t="s">
        <v>827</v>
      </c>
      <c r="B277" s="124" t="s">
        <v>510</v>
      </c>
      <c r="C277" s="124" t="s">
        <v>395</v>
      </c>
      <c r="D277" s="12">
        <v>24500000</v>
      </c>
      <c r="E277" s="82">
        <v>0.99265706440000001</v>
      </c>
      <c r="F277" s="14">
        <v>24320098.079999998</v>
      </c>
      <c r="G277" s="14">
        <v>0.03</v>
      </c>
      <c r="H277" s="10"/>
      <c r="I277" s="10"/>
    </row>
    <row r="278" spans="1:9">
      <c r="A278" s="10" t="s">
        <v>828</v>
      </c>
      <c r="B278" s="124" t="s">
        <v>516</v>
      </c>
      <c r="C278" s="124" t="s">
        <v>395</v>
      </c>
      <c r="D278" s="12">
        <v>24500000</v>
      </c>
      <c r="E278" s="82">
        <v>0.98255628559999997</v>
      </c>
      <c r="F278" s="12">
        <v>24072629</v>
      </c>
      <c r="G278" s="14">
        <v>0.03</v>
      </c>
      <c r="H278" s="10"/>
      <c r="I278" s="10"/>
    </row>
    <row r="279" spans="1:9">
      <c r="A279" s="10" t="s">
        <v>829</v>
      </c>
      <c r="B279" s="124" t="s">
        <v>485</v>
      </c>
      <c r="C279" s="124" t="s">
        <v>395</v>
      </c>
      <c r="D279" s="12">
        <v>20000000</v>
      </c>
      <c r="E279" s="82">
        <v>0.98830285210000002</v>
      </c>
      <c r="F279" s="14">
        <v>19766057.039999999</v>
      </c>
      <c r="G279" s="14">
        <v>0.03</v>
      </c>
      <c r="H279" s="10"/>
      <c r="I279" s="10"/>
    </row>
    <row r="280" spans="1:9">
      <c r="A280" s="10" t="s">
        <v>830</v>
      </c>
      <c r="B280" s="124" t="s">
        <v>488</v>
      </c>
      <c r="C280" s="124" t="s">
        <v>395</v>
      </c>
      <c r="D280" s="12">
        <v>15000000</v>
      </c>
      <c r="E280" s="82">
        <v>0.98470338719999995</v>
      </c>
      <c r="F280" s="14">
        <v>14770550.810000001</v>
      </c>
      <c r="G280" s="14">
        <v>0.02</v>
      </c>
      <c r="H280" s="10"/>
      <c r="I280" s="10"/>
    </row>
    <row r="281" spans="1:9">
      <c r="A281" s="10" t="s">
        <v>831</v>
      </c>
      <c r="B281" s="124" t="s">
        <v>529</v>
      </c>
      <c r="C281" s="124" t="s">
        <v>395</v>
      </c>
      <c r="D281" s="12">
        <v>20000000</v>
      </c>
      <c r="E281" s="82">
        <v>0.98542119179999998</v>
      </c>
      <c r="F281" s="14">
        <v>19708423.84</v>
      </c>
      <c r="G281" s="14">
        <v>0.03</v>
      </c>
      <c r="H281" s="10"/>
      <c r="I281" s="10"/>
    </row>
    <row r="282" spans="1:9">
      <c r="A282" s="10" t="s">
        <v>832</v>
      </c>
      <c r="B282" s="124" t="s">
        <v>443</v>
      </c>
      <c r="C282" s="124" t="s">
        <v>395</v>
      </c>
      <c r="D282" s="12">
        <v>1650000</v>
      </c>
      <c r="E282" s="82">
        <v>0.99411702420000003</v>
      </c>
      <c r="F282" s="14">
        <v>1640293.09</v>
      </c>
      <c r="G282" s="12">
        <v>0</v>
      </c>
      <c r="H282" s="10"/>
      <c r="I282" s="10"/>
    </row>
    <row r="283" spans="1:9">
      <c r="A283" s="10" t="s">
        <v>833</v>
      </c>
      <c r="B283" s="124" t="s">
        <v>529</v>
      </c>
      <c r="C283" s="124" t="s">
        <v>395</v>
      </c>
      <c r="D283" s="12">
        <v>1650000</v>
      </c>
      <c r="E283" s="82">
        <v>0.98542118810000001</v>
      </c>
      <c r="F283" s="14">
        <v>1625944.96</v>
      </c>
      <c r="G283" s="12">
        <v>0</v>
      </c>
      <c r="H283" s="10"/>
      <c r="I283" s="10"/>
    </row>
    <row r="284" spans="1:9">
      <c r="A284" s="10" t="s">
        <v>834</v>
      </c>
      <c r="B284" s="124" t="s">
        <v>660</v>
      </c>
      <c r="C284" s="124" t="s">
        <v>395</v>
      </c>
      <c r="D284" s="12">
        <v>10000000</v>
      </c>
      <c r="E284" s="82">
        <v>0.97476301580000002</v>
      </c>
      <c r="F284" s="14">
        <v>9747630.1600000001</v>
      </c>
      <c r="G284" s="14">
        <v>0.01</v>
      </c>
      <c r="H284" s="10"/>
      <c r="I284" s="10"/>
    </row>
    <row r="285" spans="1:9">
      <c r="A285" s="10" t="s">
        <v>835</v>
      </c>
      <c r="B285" s="124" t="s">
        <v>488</v>
      </c>
      <c r="C285" s="124" t="s">
        <v>395</v>
      </c>
      <c r="D285" s="12">
        <v>10000000</v>
      </c>
      <c r="E285" s="82">
        <v>0.98470338670000002</v>
      </c>
      <c r="F285" s="14">
        <v>9847033.8699999992</v>
      </c>
      <c r="G285" s="14">
        <v>0.01</v>
      </c>
      <c r="H285" s="10"/>
      <c r="I285" s="10"/>
    </row>
    <row r="286" spans="1:9">
      <c r="A286" s="10" t="s">
        <v>836</v>
      </c>
      <c r="B286" s="124" t="s">
        <v>482</v>
      </c>
      <c r="C286" s="124" t="s">
        <v>395</v>
      </c>
      <c r="D286" s="12">
        <v>10000000</v>
      </c>
      <c r="E286" s="158">
        <v>0.98902591100000004</v>
      </c>
      <c r="F286" s="14">
        <v>9890259.1099999994</v>
      </c>
      <c r="G286" s="14">
        <v>0.01</v>
      </c>
      <c r="H286" s="10"/>
      <c r="I286" s="10"/>
    </row>
    <row r="287" spans="1:9">
      <c r="A287" s="10" t="s">
        <v>837</v>
      </c>
      <c r="B287" s="124" t="s">
        <v>504</v>
      </c>
      <c r="C287" s="124" t="s">
        <v>395</v>
      </c>
      <c r="D287" s="12">
        <v>10000000</v>
      </c>
      <c r="E287" s="82">
        <v>0.96917237109999999</v>
      </c>
      <c r="F287" s="14">
        <v>9691723.7100000009</v>
      </c>
      <c r="G287" s="14">
        <v>0.01</v>
      </c>
      <c r="H287" s="10"/>
      <c r="I287" s="10"/>
    </row>
    <row r="288" spans="1:9">
      <c r="A288" s="10" t="s">
        <v>838</v>
      </c>
      <c r="B288" s="124" t="s">
        <v>480</v>
      </c>
      <c r="C288" s="124" t="s">
        <v>395</v>
      </c>
      <c r="D288" s="12">
        <v>10000000</v>
      </c>
      <c r="E288" s="82">
        <v>0.99484859390000002</v>
      </c>
      <c r="F288" s="14">
        <v>9948485.9399999995</v>
      </c>
      <c r="G288" s="14">
        <v>0.01</v>
      </c>
      <c r="H288" s="10"/>
      <c r="I288" s="10"/>
    </row>
    <row r="289" spans="1:9">
      <c r="A289" s="10" t="s">
        <v>839</v>
      </c>
      <c r="B289" s="124" t="s">
        <v>527</v>
      </c>
      <c r="C289" s="124" t="s">
        <v>395</v>
      </c>
      <c r="D289" s="12">
        <v>10000000</v>
      </c>
      <c r="E289" s="82">
        <v>0.97970798790000002</v>
      </c>
      <c r="F289" s="14">
        <v>9797079.8800000008</v>
      </c>
      <c r="G289" s="14">
        <v>0.01</v>
      </c>
      <c r="H289" s="10"/>
      <c r="I289" s="10"/>
    </row>
    <row r="290" spans="1:9">
      <c r="A290" s="10" t="s">
        <v>821</v>
      </c>
      <c r="B290" s="124" t="s">
        <v>697</v>
      </c>
      <c r="C290" s="124" t="s">
        <v>395</v>
      </c>
      <c r="D290" s="14">
        <v>20078937.030000001</v>
      </c>
      <c r="E290" s="82">
        <v>0.9226492476</v>
      </c>
      <c r="F290" s="14">
        <v>18525816.140000001</v>
      </c>
      <c r="G290" s="14">
        <v>0.02</v>
      </c>
      <c r="H290" s="10"/>
      <c r="I290" s="10"/>
    </row>
    <row r="291" spans="1:9">
      <c r="A291" s="10" t="s">
        <v>840</v>
      </c>
      <c r="B291" s="124" t="s">
        <v>522</v>
      </c>
      <c r="C291" s="124" t="s">
        <v>399</v>
      </c>
      <c r="D291" s="12">
        <v>6500000</v>
      </c>
      <c r="E291" s="158">
        <v>0.975935832</v>
      </c>
      <c r="F291" s="14">
        <v>6343582.9100000001</v>
      </c>
      <c r="G291" s="14">
        <v>0.01</v>
      </c>
      <c r="H291" s="10"/>
      <c r="I291" s="10"/>
    </row>
    <row r="292" spans="1:9">
      <c r="A292" s="10" t="s">
        <v>841</v>
      </c>
      <c r="B292" s="124" t="s">
        <v>529</v>
      </c>
      <c r="C292" s="124" t="s">
        <v>399</v>
      </c>
      <c r="D292" s="12">
        <v>6500000</v>
      </c>
      <c r="E292" s="82">
        <v>0.98382753680000001</v>
      </c>
      <c r="F292" s="14">
        <v>6394878.9900000002</v>
      </c>
      <c r="G292" s="14">
        <v>0.01</v>
      </c>
      <c r="H292" s="10"/>
      <c r="I292" s="10"/>
    </row>
    <row r="293" spans="1:9">
      <c r="A293" s="10" t="s">
        <v>842</v>
      </c>
      <c r="B293" s="124" t="s">
        <v>518</v>
      </c>
      <c r="C293" s="124" t="s">
        <v>399</v>
      </c>
      <c r="D293" s="12">
        <v>6500000</v>
      </c>
      <c r="E293" s="82">
        <v>0.97829006429999998</v>
      </c>
      <c r="F293" s="14">
        <v>6358885.4199999999</v>
      </c>
      <c r="G293" s="14">
        <v>0.01</v>
      </c>
      <c r="H293" s="10"/>
      <c r="I293" s="10"/>
    </row>
    <row r="294" spans="1:9">
      <c r="A294" s="10" t="s">
        <v>843</v>
      </c>
      <c r="B294" s="124" t="s">
        <v>448</v>
      </c>
      <c r="C294" s="124" t="s">
        <v>399</v>
      </c>
      <c r="D294" s="12">
        <v>6500000</v>
      </c>
      <c r="E294" s="82">
        <v>0.98621996909999998</v>
      </c>
      <c r="F294" s="154">
        <v>6410429.7999999998</v>
      </c>
      <c r="G294" s="14">
        <v>0.01</v>
      </c>
      <c r="H294" s="10"/>
      <c r="I294" s="10"/>
    </row>
    <row r="295" spans="1:9">
      <c r="A295" s="10" t="s">
        <v>844</v>
      </c>
      <c r="B295" s="124" t="s">
        <v>514</v>
      </c>
      <c r="C295" s="124" t="s">
        <v>399</v>
      </c>
      <c r="D295" s="12">
        <v>6500000</v>
      </c>
      <c r="E295" s="82">
        <v>0.98144668729999995</v>
      </c>
      <c r="F295" s="14">
        <v>6379403.4699999997</v>
      </c>
      <c r="G295" s="14">
        <v>0.01</v>
      </c>
      <c r="H295" s="10"/>
      <c r="I295" s="10"/>
    </row>
    <row r="296" spans="1:9">
      <c r="A296" s="10" t="s">
        <v>845</v>
      </c>
      <c r="B296" s="124" t="s">
        <v>438</v>
      </c>
      <c r="C296" s="124" t="s">
        <v>399</v>
      </c>
      <c r="D296" s="12">
        <v>8000000</v>
      </c>
      <c r="E296" s="82">
        <v>0.99314325120000002</v>
      </c>
      <c r="F296" s="14">
        <v>7945146.0099999998</v>
      </c>
      <c r="G296" s="14">
        <v>0.01</v>
      </c>
      <c r="H296" s="10"/>
      <c r="I296" s="10"/>
    </row>
    <row r="297" spans="1:9">
      <c r="A297" s="10" t="s">
        <v>846</v>
      </c>
      <c r="B297" s="124" t="s">
        <v>728</v>
      </c>
      <c r="C297" s="124" t="s">
        <v>399</v>
      </c>
      <c r="D297" s="12">
        <v>15000000</v>
      </c>
      <c r="E297" s="21">
        <v>0.99819504999999997</v>
      </c>
      <c r="F297" s="14">
        <v>14972925.75</v>
      </c>
      <c r="G297" s="14">
        <v>0.02</v>
      </c>
      <c r="H297" s="10"/>
      <c r="I297" s="10"/>
    </row>
    <row r="298" spans="1:9">
      <c r="A298" s="10" t="s">
        <v>847</v>
      </c>
      <c r="B298" s="124" t="s">
        <v>728</v>
      </c>
      <c r="C298" s="124" t="s">
        <v>399</v>
      </c>
      <c r="D298" s="12">
        <v>15000000</v>
      </c>
      <c r="E298" s="21">
        <v>0.99819504999999997</v>
      </c>
      <c r="F298" s="14">
        <v>14972925.75</v>
      </c>
      <c r="G298" s="14">
        <v>0.02</v>
      </c>
      <c r="H298" s="10"/>
      <c r="I298" s="10"/>
    </row>
    <row r="299" spans="1:9">
      <c r="A299" s="10" t="s">
        <v>848</v>
      </c>
      <c r="B299" s="124" t="s">
        <v>524</v>
      </c>
      <c r="C299" s="124" t="s">
        <v>399</v>
      </c>
      <c r="D299" s="12">
        <v>15000000</v>
      </c>
      <c r="E299" s="82">
        <v>0.97635358859999999</v>
      </c>
      <c r="F299" s="14">
        <v>14645303.83</v>
      </c>
      <c r="G299" s="14">
        <v>0.02</v>
      </c>
      <c r="H299" s="10"/>
      <c r="I299" s="10"/>
    </row>
    <row r="300" spans="1:9">
      <c r="A300" s="10" t="s">
        <v>850</v>
      </c>
      <c r="B300" s="124" t="s">
        <v>822</v>
      </c>
      <c r="C300" s="124" t="s">
        <v>530</v>
      </c>
      <c r="D300" s="12">
        <v>83000000</v>
      </c>
      <c r="E300" s="82">
        <v>0.92545650209999997</v>
      </c>
      <c r="F300" s="14">
        <v>76812889.670000002</v>
      </c>
      <c r="G300" s="154">
        <v>0.1</v>
      </c>
      <c r="H300" s="10"/>
      <c r="I300" s="10"/>
    </row>
    <row r="301" spans="1:9">
      <c r="A301" s="10" t="s">
        <v>851</v>
      </c>
      <c r="B301" s="124" t="s">
        <v>697</v>
      </c>
      <c r="C301" s="124" t="s">
        <v>530</v>
      </c>
      <c r="D301" s="12">
        <v>83000000</v>
      </c>
      <c r="E301" s="82">
        <v>0.93469915049999996</v>
      </c>
      <c r="F301" s="14">
        <v>77580029.489999995</v>
      </c>
      <c r="G301" s="154">
        <v>0.1</v>
      </c>
      <c r="H301" s="10"/>
      <c r="I301" s="10"/>
    </row>
    <row r="302" spans="1:9">
      <c r="A302" s="10" t="s">
        <v>852</v>
      </c>
      <c r="B302" s="124" t="s">
        <v>819</v>
      </c>
      <c r="C302" s="124" t="s">
        <v>530</v>
      </c>
      <c r="D302" s="12">
        <v>25000000</v>
      </c>
      <c r="E302" s="82">
        <v>0.94478825430000002</v>
      </c>
      <c r="F302" s="14">
        <v>23619706.359999999</v>
      </c>
      <c r="G302" s="14">
        <v>0.03</v>
      </c>
      <c r="H302" s="10"/>
      <c r="I302" s="10"/>
    </row>
    <row r="303" spans="1:9">
      <c r="A303" s="10" t="s">
        <v>853</v>
      </c>
      <c r="B303" s="124" t="s">
        <v>854</v>
      </c>
      <c r="C303" s="124" t="s">
        <v>530</v>
      </c>
      <c r="D303" s="12">
        <v>25000000</v>
      </c>
      <c r="E303" s="82">
        <v>0.95412373640000003</v>
      </c>
      <c r="F303" s="14">
        <v>23853093.41</v>
      </c>
      <c r="G303" s="14">
        <v>0.03</v>
      </c>
      <c r="H303" s="10"/>
      <c r="I303" s="10"/>
    </row>
    <row r="304" spans="1:9">
      <c r="A304" s="10" t="s">
        <v>855</v>
      </c>
      <c r="B304" s="124" t="s">
        <v>574</v>
      </c>
      <c r="C304" s="124" t="s">
        <v>530</v>
      </c>
      <c r="D304" s="12">
        <v>25000000</v>
      </c>
      <c r="E304" s="82">
        <v>0.97335932989999996</v>
      </c>
      <c r="F304" s="14">
        <v>24333983.25</v>
      </c>
      <c r="G304" s="14">
        <v>0.03</v>
      </c>
      <c r="H304" s="10"/>
      <c r="I304" s="10"/>
    </row>
    <row r="305" spans="1:9">
      <c r="A305" s="10" t="s">
        <v>856</v>
      </c>
      <c r="B305" s="124" t="s">
        <v>438</v>
      </c>
      <c r="C305" s="124" t="s">
        <v>530</v>
      </c>
      <c r="D305" s="12">
        <v>20000000</v>
      </c>
      <c r="E305" s="157">
        <v>0.99338649999999995</v>
      </c>
      <c r="F305" s="12">
        <v>19867730</v>
      </c>
      <c r="G305" s="14">
        <v>0.03</v>
      </c>
      <c r="H305" s="10"/>
      <c r="I305" s="10"/>
    </row>
    <row r="306" spans="1:9">
      <c r="A306" s="10" t="s">
        <v>857</v>
      </c>
      <c r="B306" s="124" t="s">
        <v>655</v>
      </c>
      <c r="C306" s="124" t="s">
        <v>530</v>
      </c>
      <c r="D306" s="12">
        <v>25000000</v>
      </c>
      <c r="E306" s="82">
        <v>0.95886100470000002</v>
      </c>
      <c r="F306" s="14">
        <v>23971525.120000001</v>
      </c>
      <c r="G306" s="14">
        <v>0.03</v>
      </c>
      <c r="H306" s="10"/>
      <c r="I306" s="10"/>
    </row>
    <row r="307" spans="1:9">
      <c r="A307" s="10" t="s">
        <v>859</v>
      </c>
      <c r="B307" s="124" t="s">
        <v>680</v>
      </c>
      <c r="C307" s="124" t="s">
        <v>396</v>
      </c>
      <c r="D307" s="12">
        <v>40000000</v>
      </c>
      <c r="E307" s="82">
        <v>0.96940401939999998</v>
      </c>
      <c r="F307" s="14">
        <v>38776160.780000001</v>
      </c>
      <c r="G307" s="14">
        <v>0.05</v>
      </c>
      <c r="H307" s="10"/>
      <c r="I307" s="10"/>
    </row>
    <row r="308" spans="1:9">
      <c r="A308" s="10" t="s">
        <v>860</v>
      </c>
      <c r="B308" s="124" t="s">
        <v>482</v>
      </c>
      <c r="C308" s="124" t="s">
        <v>396</v>
      </c>
      <c r="D308" s="12">
        <v>15000000</v>
      </c>
      <c r="E308" s="82">
        <v>0.98702005209999999</v>
      </c>
      <c r="F308" s="14">
        <v>14805300.779999999</v>
      </c>
      <c r="G308" s="14">
        <v>0.02</v>
      </c>
      <c r="H308" s="10"/>
      <c r="I308" s="10"/>
    </row>
    <row r="309" spans="1:9">
      <c r="A309" s="10" t="s">
        <v>861</v>
      </c>
      <c r="B309" s="124" t="s">
        <v>580</v>
      </c>
      <c r="C309" s="124" t="s">
        <v>396</v>
      </c>
      <c r="D309" s="12">
        <v>15000000</v>
      </c>
      <c r="E309" s="82">
        <v>0.98787485450000001</v>
      </c>
      <c r="F309" s="14">
        <v>14818122.82</v>
      </c>
      <c r="G309" s="14">
        <v>0.02</v>
      </c>
      <c r="H309" s="10"/>
      <c r="I309" s="10"/>
    </row>
    <row r="310" spans="1:9">
      <c r="A310" s="10" t="s">
        <v>862</v>
      </c>
      <c r="B310" s="124" t="s">
        <v>660</v>
      </c>
      <c r="C310" s="124" t="s">
        <v>396</v>
      </c>
      <c r="D310" s="14">
        <v>10655603.279999999</v>
      </c>
      <c r="E310" s="82">
        <v>0.97022863159999995</v>
      </c>
      <c r="F310" s="14">
        <v>10338371.390000001</v>
      </c>
      <c r="G310" s="14">
        <v>0.01</v>
      </c>
      <c r="H310" s="10"/>
      <c r="I310" s="10"/>
    </row>
    <row r="311" spans="1:9">
      <c r="A311" s="10" t="s">
        <v>863</v>
      </c>
      <c r="B311" s="124" t="s">
        <v>522</v>
      </c>
      <c r="C311" s="124" t="s">
        <v>396</v>
      </c>
      <c r="D311" s="14">
        <v>10655603.279999999</v>
      </c>
      <c r="E311" s="82">
        <v>0.97437272269999997</v>
      </c>
      <c r="F311" s="14">
        <v>10382529.18</v>
      </c>
      <c r="G311" s="14">
        <v>0.01</v>
      </c>
      <c r="H311" s="10"/>
      <c r="I311" s="10"/>
    </row>
    <row r="312" spans="1:9">
      <c r="A312" s="10" t="s">
        <v>864</v>
      </c>
      <c r="B312" s="124" t="s">
        <v>766</v>
      </c>
      <c r="C312" s="124" t="s">
        <v>396</v>
      </c>
      <c r="D312" s="14">
        <v>10655603.279999999</v>
      </c>
      <c r="E312" s="82">
        <v>0.97354105670000002</v>
      </c>
      <c r="F312" s="14">
        <v>10373667.279999999</v>
      </c>
      <c r="G312" s="14">
        <v>0.01</v>
      </c>
      <c r="H312" s="10"/>
      <c r="I312" s="10"/>
    </row>
    <row r="313" spans="1:9">
      <c r="A313" s="10" t="s">
        <v>865</v>
      </c>
      <c r="B313" s="124" t="s">
        <v>524</v>
      </c>
      <c r="C313" s="124" t="s">
        <v>396</v>
      </c>
      <c r="D313" s="14">
        <v>10655603.279999999</v>
      </c>
      <c r="E313" s="82">
        <v>0.97105464549999998</v>
      </c>
      <c r="F313" s="14">
        <v>10347173.07</v>
      </c>
      <c r="G313" s="14">
        <v>0.01</v>
      </c>
      <c r="H313" s="10"/>
      <c r="I313" s="10"/>
    </row>
    <row r="314" spans="1:9">
      <c r="A314" s="10" t="s">
        <v>866</v>
      </c>
      <c r="B314" s="124" t="s">
        <v>490</v>
      </c>
      <c r="C314" s="124" t="s">
        <v>396</v>
      </c>
      <c r="D314" s="14">
        <v>10655603.25</v>
      </c>
      <c r="E314" s="82">
        <v>0.98107736440000004</v>
      </c>
      <c r="F314" s="14">
        <v>10453971.15</v>
      </c>
      <c r="G314" s="14">
        <v>0.01</v>
      </c>
      <c r="H314" s="10"/>
      <c r="I314" s="10"/>
    </row>
    <row r="315" spans="1:9">
      <c r="A315" s="10" t="s">
        <v>867</v>
      </c>
      <c r="B315" s="124" t="s">
        <v>514</v>
      </c>
      <c r="C315" s="124" t="s">
        <v>396</v>
      </c>
      <c r="D315" s="14">
        <v>10655603.279999999</v>
      </c>
      <c r="E315" s="158">
        <v>0.98023422500000001</v>
      </c>
      <c r="F315" s="14">
        <v>10444987.02</v>
      </c>
      <c r="G315" s="14">
        <v>0.01</v>
      </c>
      <c r="H315" s="10"/>
      <c r="I315" s="10"/>
    </row>
    <row r="316" spans="1:9">
      <c r="A316" s="10" t="s">
        <v>868</v>
      </c>
      <c r="B316" s="124" t="s">
        <v>516</v>
      </c>
      <c r="C316" s="124" t="s">
        <v>396</v>
      </c>
      <c r="D316" s="14">
        <v>10655603.279999999</v>
      </c>
      <c r="E316" s="82">
        <v>0.97939253230000001</v>
      </c>
      <c r="F316" s="14">
        <v>10436018.279999999</v>
      </c>
      <c r="G316" s="14">
        <v>0.01</v>
      </c>
      <c r="H316" s="10"/>
      <c r="I316" s="10"/>
    </row>
    <row r="317" spans="1:9">
      <c r="A317" s="10" t="s">
        <v>869</v>
      </c>
      <c r="B317" s="124" t="s">
        <v>518</v>
      </c>
      <c r="C317" s="124" t="s">
        <v>396</v>
      </c>
      <c r="D317" s="14">
        <v>10655603.279999999</v>
      </c>
      <c r="E317" s="82">
        <v>0.97687617770000001</v>
      </c>
      <c r="F317" s="12">
        <v>10409205</v>
      </c>
      <c r="G317" s="14">
        <v>0.01</v>
      </c>
      <c r="H317" s="10"/>
      <c r="I317" s="10"/>
    </row>
    <row r="318" spans="1:9">
      <c r="A318" s="10" t="s">
        <v>870</v>
      </c>
      <c r="B318" s="124" t="s">
        <v>527</v>
      </c>
      <c r="C318" s="124" t="s">
        <v>396</v>
      </c>
      <c r="D318" s="14">
        <v>10655603.279999999</v>
      </c>
      <c r="E318" s="82">
        <v>0.97604023719999999</v>
      </c>
      <c r="F318" s="14">
        <v>10400297.550000001</v>
      </c>
      <c r="G318" s="14">
        <v>0.01</v>
      </c>
      <c r="H318" s="10"/>
      <c r="I318" s="10"/>
    </row>
    <row r="319" spans="1:9">
      <c r="A319" s="10" t="s">
        <v>871</v>
      </c>
      <c r="B319" s="124" t="s">
        <v>520</v>
      </c>
      <c r="C319" s="124" t="s">
        <v>396</v>
      </c>
      <c r="D319" s="14">
        <v>10655603.279999999</v>
      </c>
      <c r="E319" s="82">
        <v>0.97520580840000004</v>
      </c>
      <c r="F319" s="14">
        <v>10391406.210000001</v>
      </c>
      <c r="G319" s="14">
        <v>0.01</v>
      </c>
      <c r="H319" s="10"/>
      <c r="I319" s="10"/>
    </row>
    <row r="320" spans="1:9">
      <c r="A320" s="10" t="s">
        <v>872</v>
      </c>
      <c r="B320" s="124" t="s">
        <v>438</v>
      </c>
      <c r="C320" s="124" t="s">
        <v>396</v>
      </c>
      <c r="D320" s="12">
        <v>7500000</v>
      </c>
      <c r="E320" s="158">
        <v>0.99217137600000005</v>
      </c>
      <c r="F320" s="14">
        <v>7441285.3200000003</v>
      </c>
      <c r="G320" s="14">
        <v>0.01</v>
      </c>
      <c r="H320" s="10"/>
      <c r="I320" s="10"/>
    </row>
    <row r="321" spans="1:9">
      <c r="A321" s="10" t="s">
        <v>873</v>
      </c>
      <c r="B321" s="124" t="s">
        <v>580</v>
      </c>
      <c r="C321" s="124" t="s">
        <v>396</v>
      </c>
      <c r="D321" s="12">
        <v>7500000</v>
      </c>
      <c r="E321" s="82">
        <v>0.98787485450000001</v>
      </c>
      <c r="F321" s="14">
        <v>7409061.4100000001</v>
      </c>
      <c r="G321" s="14">
        <v>0.01</v>
      </c>
      <c r="H321" s="10"/>
      <c r="I321" s="10"/>
    </row>
    <row r="322" spans="1:9">
      <c r="A322" s="10" t="s">
        <v>874</v>
      </c>
      <c r="B322" s="124" t="s">
        <v>448</v>
      </c>
      <c r="C322" s="124" t="s">
        <v>396</v>
      </c>
      <c r="D322" s="154">
        <v>9936187.5</v>
      </c>
      <c r="E322" s="82">
        <v>0.98531477479999996</v>
      </c>
      <c r="F322" s="14">
        <v>9790272.3499999996</v>
      </c>
      <c r="G322" s="14">
        <v>0.01</v>
      </c>
      <c r="H322" s="10"/>
      <c r="I322" s="10"/>
    </row>
    <row r="323" spans="1:9">
      <c r="A323" s="10" t="s">
        <v>875</v>
      </c>
      <c r="B323" s="124" t="s">
        <v>480</v>
      </c>
      <c r="C323" s="124" t="s">
        <v>396</v>
      </c>
      <c r="D323" s="14">
        <v>1588021.51</v>
      </c>
      <c r="E323" s="82">
        <v>0.99390046669999998</v>
      </c>
      <c r="F323" s="14">
        <v>1578335.32</v>
      </c>
      <c r="G323" s="12">
        <v>0</v>
      </c>
      <c r="H323" s="10"/>
      <c r="I323" s="10"/>
    </row>
    <row r="324" spans="1:9">
      <c r="A324" s="10" t="s">
        <v>876</v>
      </c>
      <c r="B324" s="124" t="s">
        <v>482</v>
      </c>
      <c r="C324" s="124" t="s">
        <v>396</v>
      </c>
      <c r="D324" s="14">
        <v>3023662.75</v>
      </c>
      <c r="E324" s="82">
        <v>0.98702005690000005</v>
      </c>
      <c r="F324" s="14">
        <v>2984415.78</v>
      </c>
      <c r="G324" s="12">
        <v>0</v>
      </c>
      <c r="H324" s="10"/>
      <c r="I324" s="10"/>
    </row>
    <row r="325" spans="1:9">
      <c r="A325" s="10" t="s">
        <v>877</v>
      </c>
      <c r="B325" s="124" t="s">
        <v>443</v>
      </c>
      <c r="C325" s="124" t="s">
        <v>396</v>
      </c>
      <c r="D325" s="14">
        <v>3216984.09</v>
      </c>
      <c r="E325" s="82">
        <v>0.99303517230000005</v>
      </c>
      <c r="F325" s="14">
        <v>3194578.35</v>
      </c>
      <c r="G325" s="12">
        <v>0</v>
      </c>
      <c r="H325" s="10"/>
      <c r="I325" s="10"/>
    </row>
    <row r="326" spans="1:9">
      <c r="A326" s="10" t="s">
        <v>878</v>
      </c>
      <c r="B326" s="124" t="s">
        <v>506</v>
      </c>
      <c r="C326" s="124" t="s">
        <v>396</v>
      </c>
      <c r="D326" s="12">
        <v>30000000</v>
      </c>
      <c r="E326" s="82">
        <v>0.99912405829999995</v>
      </c>
      <c r="F326" s="14">
        <v>29973721.75</v>
      </c>
      <c r="G326" s="14">
        <v>0.04</v>
      </c>
      <c r="H326" s="10"/>
      <c r="I326" s="10"/>
    </row>
    <row r="327" spans="1:9">
      <c r="A327" s="10" t="s">
        <v>879</v>
      </c>
      <c r="B327" s="124" t="s">
        <v>728</v>
      </c>
      <c r="C327" s="124" t="s">
        <v>396</v>
      </c>
      <c r="D327" s="12">
        <v>30000000</v>
      </c>
      <c r="E327" s="82">
        <v>0.99824964729999999</v>
      </c>
      <c r="F327" s="14">
        <v>29947489.420000002</v>
      </c>
      <c r="G327" s="14">
        <v>0.04</v>
      </c>
      <c r="H327" s="10"/>
      <c r="I327" s="10"/>
    </row>
    <row r="328" spans="1:9">
      <c r="A328" s="10" t="s">
        <v>880</v>
      </c>
      <c r="B328" s="124" t="s">
        <v>474</v>
      </c>
      <c r="C328" s="124" t="s">
        <v>396</v>
      </c>
      <c r="D328" s="14">
        <v>33683512.119999997</v>
      </c>
      <c r="E328" s="82">
        <v>0.99737676350000004</v>
      </c>
      <c r="F328" s="154">
        <v>33595152.299999997</v>
      </c>
      <c r="G328" s="14">
        <v>0.04</v>
      </c>
      <c r="H328" s="10"/>
      <c r="I328" s="10"/>
    </row>
    <row r="329" spans="1:9">
      <c r="A329" s="10" t="s">
        <v>881</v>
      </c>
      <c r="B329" s="124" t="s">
        <v>482</v>
      </c>
      <c r="C329" s="124" t="s">
        <v>396</v>
      </c>
      <c r="D329" s="12">
        <v>85000000</v>
      </c>
      <c r="E329" s="82">
        <v>0.98661985510000005</v>
      </c>
      <c r="F329" s="14">
        <v>83862687.680000007</v>
      </c>
      <c r="G329" s="14">
        <v>0.11</v>
      </c>
      <c r="H329" s="10"/>
      <c r="I329" s="10"/>
    </row>
    <row r="330" spans="1:9">
      <c r="A330" s="10" t="s">
        <v>882</v>
      </c>
      <c r="B330" s="124" t="s">
        <v>883</v>
      </c>
      <c r="C330" s="124" t="s">
        <v>396</v>
      </c>
      <c r="D330" s="12">
        <v>475000000</v>
      </c>
      <c r="E330" s="82">
        <v>0.96530208959999997</v>
      </c>
      <c r="F330" s="14">
        <v>458518492.56</v>
      </c>
      <c r="G330" s="14">
        <v>0.61</v>
      </c>
      <c r="H330" s="10"/>
      <c r="I330" s="10"/>
    </row>
    <row r="331" spans="1:9">
      <c r="A331" s="10" t="s">
        <v>884</v>
      </c>
      <c r="B331" s="124" t="s">
        <v>448</v>
      </c>
      <c r="C331" s="124" t="s">
        <v>396</v>
      </c>
      <c r="D331" s="12">
        <v>475000000</v>
      </c>
      <c r="E331" s="82">
        <v>0.98531477479999996</v>
      </c>
      <c r="F331" s="14">
        <v>468024518.02999997</v>
      </c>
      <c r="G331" s="14">
        <v>0.62</v>
      </c>
      <c r="H331" s="10"/>
      <c r="I331" s="10"/>
    </row>
    <row r="332" spans="1:9">
      <c r="A332" s="10" t="s">
        <v>886</v>
      </c>
      <c r="B332" s="124" t="s">
        <v>441</v>
      </c>
      <c r="C332" s="124" t="s">
        <v>396</v>
      </c>
      <c r="D332" s="12">
        <v>5000000</v>
      </c>
      <c r="E332" s="158">
        <v>0.995092698</v>
      </c>
      <c r="F332" s="14">
        <v>4975463.49</v>
      </c>
      <c r="G332" s="14">
        <v>0.01</v>
      </c>
      <c r="H332" s="10"/>
      <c r="I332" s="10"/>
    </row>
    <row r="333" spans="1:9">
      <c r="A333" s="10" t="s">
        <v>887</v>
      </c>
      <c r="B333" s="124" t="s">
        <v>438</v>
      </c>
      <c r="C333" s="124" t="s">
        <v>396</v>
      </c>
      <c r="D333" s="12">
        <v>5000000</v>
      </c>
      <c r="E333" s="158">
        <v>0.99265707199999997</v>
      </c>
      <c r="F333" s="14">
        <v>4963285.3600000003</v>
      </c>
      <c r="G333" s="14">
        <v>0.01</v>
      </c>
      <c r="H333" s="10"/>
      <c r="I333" s="10"/>
    </row>
    <row r="334" spans="1:9">
      <c r="A334" s="10" t="s">
        <v>888</v>
      </c>
      <c r="B334" s="124" t="s">
        <v>580</v>
      </c>
      <c r="C334" s="124" t="s">
        <v>396</v>
      </c>
      <c r="D334" s="12">
        <v>5000000</v>
      </c>
      <c r="E334" s="158">
        <v>0.98862405799999997</v>
      </c>
      <c r="F334" s="14">
        <v>4943120.29</v>
      </c>
      <c r="G334" s="14">
        <v>0.01</v>
      </c>
      <c r="H334" s="10"/>
      <c r="I334" s="10"/>
    </row>
    <row r="335" spans="1:9">
      <c r="A335" s="10" t="s">
        <v>889</v>
      </c>
      <c r="B335" s="124" t="s">
        <v>448</v>
      </c>
      <c r="C335" s="124" t="s">
        <v>396</v>
      </c>
      <c r="D335" s="12">
        <v>5000000</v>
      </c>
      <c r="E335" s="82">
        <v>0.98621995409999996</v>
      </c>
      <c r="F335" s="14">
        <v>4931099.7699999996</v>
      </c>
      <c r="G335" s="14">
        <v>0.01</v>
      </c>
      <c r="H335" s="10"/>
      <c r="I335" s="10"/>
    </row>
    <row r="336" spans="1:9">
      <c r="A336" s="10" t="s">
        <v>890</v>
      </c>
      <c r="B336" s="124" t="s">
        <v>529</v>
      </c>
      <c r="C336" s="124" t="s">
        <v>396</v>
      </c>
      <c r="D336" s="12">
        <v>5000000</v>
      </c>
      <c r="E336" s="82">
        <v>0.98382751980000005</v>
      </c>
      <c r="F336" s="154">
        <v>4919137.5999999996</v>
      </c>
      <c r="G336" s="14">
        <v>0.01</v>
      </c>
      <c r="H336" s="10"/>
      <c r="I336" s="10"/>
    </row>
    <row r="337" spans="1:9">
      <c r="A337" s="10" t="s">
        <v>891</v>
      </c>
      <c r="B337" s="124" t="s">
        <v>514</v>
      </c>
      <c r="C337" s="124" t="s">
        <v>396</v>
      </c>
      <c r="D337" s="12">
        <v>5000000</v>
      </c>
      <c r="E337" s="82">
        <v>0.9814466637</v>
      </c>
      <c r="F337" s="14">
        <v>4907233.32</v>
      </c>
      <c r="G337" s="14">
        <v>0.01</v>
      </c>
      <c r="H337" s="10"/>
      <c r="I337" s="10"/>
    </row>
    <row r="338" spans="1:9">
      <c r="A338" s="10" t="s">
        <v>892</v>
      </c>
      <c r="B338" s="124" t="s">
        <v>728</v>
      </c>
      <c r="C338" s="124" t="s">
        <v>396</v>
      </c>
      <c r="D338" s="12">
        <v>5000000</v>
      </c>
      <c r="E338" s="82">
        <v>0.99835886389999995</v>
      </c>
      <c r="F338" s="14">
        <v>4991794.32</v>
      </c>
      <c r="G338" s="14">
        <v>0.01</v>
      </c>
      <c r="H338" s="10"/>
      <c r="I338" s="10"/>
    </row>
    <row r="339" spans="1:9">
      <c r="A339" s="10" t="s">
        <v>893</v>
      </c>
      <c r="B339" s="124" t="s">
        <v>474</v>
      </c>
      <c r="C339" s="124" t="s">
        <v>396</v>
      </c>
      <c r="D339" s="12">
        <v>5000000</v>
      </c>
      <c r="E339" s="82">
        <v>0.99754031389999998</v>
      </c>
      <c r="F339" s="14">
        <v>4987701.57</v>
      </c>
      <c r="G339" s="14">
        <v>0.01</v>
      </c>
      <c r="H339" s="10"/>
      <c r="I339" s="10"/>
    </row>
    <row r="340" spans="1:9">
      <c r="A340" s="10" t="s">
        <v>894</v>
      </c>
      <c r="B340" s="124" t="s">
        <v>516</v>
      </c>
      <c r="C340" s="124" t="s">
        <v>396</v>
      </c>
      <c r="D340" s="12">
        <v>5000000</v>
      </c>
      <c r="E340" s="82">
        <v>0.98065558809999998</v>
      </c>
      <c r="F340" s="14">
        <v>4903277.9400000004</v>
      </c>
      <c r="G340" s="14">
        <v>0.01</v>
      </c>
      <c r="H340" s="10"/>
      <c r="I340" s="10"/>
    </row>
    <row r="341" spans="1:9">
      <c r="A341" s="10" t="s">
        <v>895</v>
      </c>
      <c r="B341" s="124" t="s">
        <v>518</v>
      </c>
      <c r="C341" s="124" t="s">
        <v>396</v>
      </c>
      <c r="D341" s="12">
        <v>5000000</v>
      </c>
      <c r="E341" s="82">
        <v>0.97829003810000004</v>
      </c>
      <c r="F341" s="14">
        <v>4891450.1900000004</v>
      </c>
      <c r="G341" s="14">
        <v>0.01</v>
      </c>
      <c r="H341" s="10"/>
      <c r="I341" s="10"/>
    </row>
    <row r="342" spans="1:9">
      <c r="A342" s="10" t="s">
        <v>896</v>
      </c>
      <c r="B342" s="124" t="s">
        <v>766</v>
      </c>
      <c r="C342" s="124" t="s">
        <v>396</v>
      </c>
      <c r="D342" s="12">
        <v>5000000</v>
      </c>
      <c r="E342" s="158">
        <v>0.97515365399999998</v>
      </c>
      <c r="F342" s="14">
        <v>4875768.2699999996</v>
      </c>
      <c r="G342" s="14">
        <v>0.01</v>
      </c>
      <c r="H342" s="10"/>
      <c r="I342" s="10"/>
    </row>
    <row r="343" spans="1:9">
      <c r="A343" s="10" t="s">
        <v>897</v>
      </c>
      <c r="B343" s="124" t="s">
        <v>522</v>
      </c>
      <c r="C343" s="124" t="s">
        <v>396</v>
      </c>
      <c r="D343" s="12">
        <v>5000000</v>
      </c>
      <c r="E343" s="158">
        <v>0.97593588600000003</v>
      </c>
      <c r="F343" s="14">
        <v>4879679.43</v>
      </c>
      <c r="G343" s="14">
        <v>0.01</v>
      </c>
      <c r="H343" s="10"/>
      <c r="I343" s="10"/>
    </row>
    <row r="344" spans="1:9">
      <c r="A344" s="10" t="s">
        <v>932</v>
      </c>
      <c r="B344" s="124" t="s">
        <v>506</v>
      </c>
      <c r="C344" s="124" t="s">
        <v>323</v>
      </c>
      <c r="D344" s="12">
        <v>830000</v>
      </c>
      <c r="E344" s="158">
        <v>0.99917875899999997</v>
      </c>
      <c r="F344" s="14">
        <v>829318.37</v>
      </c>
      <c r="G344" s="12">
        <v>0</v>
      </c>
      <c r="H344" s="10"/>
      <c r="I344" s="10"/>
    </row>
    <row r="345" spans="1:9">
      <c r="A345" s="10" t="s">
        <v>935</v>
      </c>
      <c r="B345" s="124" t="s">
        <v>506</v>
      </c>
      <c r="C345" s="124" t="s">
        <v>323</v>
      </c>
      <c r="D345" s="12">
        <v>2500000</v>
      </c>
      <c r="E345" s="21">
        <v>0.99917876000000005</v>
      </c>
      <c r="F345" s="154">
        <v>2497946.9</v>
      </c>
      <c r="G345" s="12">
        <v>0</v>
      </c>
      <c r="H345" s="10"/>
      <c r="I345" s="10"/>
    </row>
    <row r="346" spans="1:9">
      <c r="A346" s="10" t="s">
        <v>936</v>
      </c>
      <c r="B346" s="124" t="s">
        <v>480</v>
      </c>
      <c r="C346" s="124" t="s">
        <v>323</v>
      </c>
      <c r="D346" s="14">
        <v>2584602.4700000002</v>
      </c>
      <c r="E346" s="82">
        <v>0.99427949550000005</v>
      </c>
      <c r="F346" s="14">
        <v>2569817.2400000002</v>
      </c>
      <c r="G346" s="12">
        <v>0</v>
      </c>
      <c r="H346" s="10"/>
      <c r="I346" s="10"/>
    </row>
    <row r="347" spans="1:9">
      <c r="A347" s="10" t="s">
        <v>930</v>
      </c>
      <c r="B347" s="124" t="s">
        <v>660</v>
      </c>
      <c r="C347" s="124" t="s">
        <v>323</v>
      </c>
      <c r="D347" s="12">
        <v>100000000</v>
      </c>
      <c r="E347" s="82">
        <v>0.97203733619999999</v>
      </c>
      <c r="F347" s="14">
        <v>97203733.620000005</v>
      </c>
      <c r="G347" s="14">
        <v>0.13</v>
      </c>
      <c r="H347" s="10"/>
      <c r="I347" s="10"/>
    </row>
    <row r="348" spans="1:9">
      <c r="A348" s="10" t="s">
        <v>912</v>
      </c>
      <c r="B348" s="124" t="s">
        <v>660</v>
      </c>
      <c r="C348" s="124" t="s">
        <v>323</v>
      </c>
      <c r="D348" s="14">
        <v>990902.64</v>
      </c>
      <c r="E348" s="82">
        <v>0.96842669589999997</v>
      </c>
      <c r="F348" s="14">
        <v>959616.57</v>
      </c>
      <c r="G348" s="12">
        <v>0</v>
      </c>
      <c r="H348" s="10"/>
      <c r="I348" s="10"/>
    </row>
    <row r="349" spans="1:9">
      <c r="A349" s="10" t="s">
        <v>913</v>
      </c>
      <c r="B349" s="124" t="s">
        <v>660</v>
      </c>
      <c r="C349" s="124" t="s">
        <v>323</v>
      </c>
      <c r="D349" s="14">
        <v>1020845.65</v>
      </c>
      <c r="E349" s="82">
        <v>0.96842671570000005</v>
      </c>
      <c r="F349" s="154">
        <v>988614.2</v>
      </c>
      <c r="G349" s="12">
        <v>0</v>
      </c>
      <c r="H349" s="10"/>
      <c r="I349" s="10"/>
    </row>
    <row r="350" spans="1:9">
      <c r="A350" s="10" t="s">
        <v>914</v>
      </c>
      <c r="B350" s="124" t="s">
        <v>680</v>
      </c>
      <c r="C350" s="124" t="s">
        <v>323</v>
      </c>
      <c r="D350" s="14">
        <v>990902.64</v>
      </c>
      <c r="E350" s="82">
        <v>0.96755385530000004</v>
      </c>
      <c r="F350" s="14">
        <v>958751.67</v>
      </c>
      <c r="G350" s="12">
        <v>0</v>
      </c>
      <c r="H350" s="10"/>
      <c r="I350" s="10"/>
    </row>
    <row r="351" spans="1:9">
      <c r="A351" s="10" t="s">
        <v>915</v>
      </c>
      <c r="B351" s="124" t="s">
        <v>680</v>
      </c>
      <c r="C351" s="124" t="s">
        <v>323</v>
      </c>
      <c r="D351" s="14">
        <v>1020845.65</v>
      </c>
      <c r="E351" s="82">
        <v>0.9675538414</v>
      </c>
      <c r="F351" s="14">
        <v>987723.13</v>
      </c>
      <c r="G351" s="12">
        <v>0</v>
      </c>
      <c r="H351" s="10"/>
      <c r="I351" s="10"/>
    </row>
    <row r="352" spans="1:9">
      <c r="A352" s="10" t="s">
        <v>916</v>
      </c>
      <c r="B352" s="124" t="s">
        <v>516</v>
      </c>
      <c r="C352" s="124" t="s">
        <v>323</v>
      </c>
      <c r="D352" s="14">
        <v>1020845.65</v>
      </c>
      <c r="E352" s="82">
        <v>0.97813272770000004</v>
      </c>
      <c r="F352" s="14">
        <v>998522.54</v>
      </c>
      <c r="G352" s="12">
        <v>0</v>
      </c>
      <c r="H352" s="10"/>
      <c r="I352" s="10"/>
    </row>
    <row r="353" spans="1:9">
      <c r="A353" s="10" t="s">
        <v>917</v>
      </c>
      <c r="B353" s="124" t="s">
        <v>516</v>
      </c>
      <c r="C353" s="124" t="s">
        <v>323</v>
      </c>
      <c r="D353" s="14">
        <v>990902.64</v>
      </c>
      <c r="E353" s="82">
        <v>0.97813277620000005</v>
      </c>
      <c r="F353" s="14">
        <v>969234.35</v>
      </c>
      <c r="G353" s="12">
        <v>0</v>
      </c>
      <c r="H353" s="10"/>
      <c r="I353" s="10"/>
    </row>
    <row r="354" spans="1:9">
      <c r="A354" s="10" t="s">
        <v>918</v>
      </c>
      <c r="B354" s="124" t="s">
        <v>518</v>
      </c>
      <c r="C354" s="124" t="s">
        <v>323</v>
      </c>
      <c r="D354" s="14">
        <v>1020845.65</v>
      </c>
      <c r="E354" s="82">
        <v>0.97546641860000005</v>
      </c>
      <c r="F354" s="14">
        <v>995800.65</v>
      </c>
      <c r="G354" s="12">
        <v>0</v>
      </c>
      <c r="H354" s="10"/>
      <c r="I354" s="10"/>
    </row>
    <row r="355" spans="1:9">
      <c r="A355" s="10" t="s">
        <v>919</v>
      </c>
      <c r="B355" s="124" t="s">
        <v>518</v>
      </c>
      <c r="C355" s="124" t="s">
        <v>323</v>
      </c>
      <c r="D355" s="14">
        <v>990902.64</v>
      </c>
      <c r="E355" s="82">
        <v>0.97546640939999996</v>
      </c>
      <c r="F355" s="14">
        <v>966592.24</v>
      </c>
      <c r="G355" s="12">
        <v>0</v>
      </c>
      <c r="H355" s="10"/>
      <c r="I355" s="10"/>
    </row>
    <row r="356" spans="1:9">
      <c r="A356" s="10" t="s">
        <v>920</v>
      </c>
      <c r="B356" s="124" t="s">
        <v>527</v>
      </c>
      <c r="C356" s="124" t="s">
        <v>323</v>
      </c>
      <c r="D356" s="14">
        <v>1020845.65</v>
      </c>
      <c r="E356" s="82">
        <v>0.9745808587</v>
      </c>
      <c r="F356" s="14">
        <v>994896.63</v>
      </c>
      <c r="G356" s="12">
        <v>0</v>
      </c>
      <c r="H356" s="10"/>
      <c r="I356" s="10"/>
    </row>
    <row r="357" spans="1:9">
      <c r="A357" s="10" t="s">
        <v>921</v>
      </c>
      <c r="B357" s="124" t="s">
        <v>527</v>
      </c>
      <c r="C357" s="124" t="s">
        <v>323</v>
      </c>
      <c r="D357" s="14">
        <v>990902.64</v>
      </c>
      <c r="E357" s="82">
        <v>0.97458084270000001</v>
      </c>
      <c r="F357" s="14">
        <v>965714.73</v>
      </c>
      <c r="G357" s="12">
        <v>0</v>
      </c>
      <c r="H357" s="10"/>
      <c r="I357" s="10"/>
    </row>
    <row r="358" spans="1:9">
      <c r="A358" s="10" t="s">
        <v>922</v>
      </c>
      <c r="B358" s="124" t="s">
        <v>520</v>
      </c>
      <c r="C358" s="124" t="s">
        <v>323</v>
      </c>
      <c r="D358" s="14">
        <v>1020845.65</v>
      </c>
      <c r="E358" s="82">
        <v>0.97369686570000002</v>
      </c>
      <c r="F358" s="14">
        <v>993994.21</v>
      </c>
      <c r="G358" s="12">
        <v>0</v>
      </c>
      <c r="H358" s="10"/>
      <c r="I358" s="10"/>
    </row>
    <row r="359" spans="1:9">
      <c r="A359" s="10" t="s">
        <v>923</v>
      </c>
      <c r="B359" s="124" t="s">
        <v>520</v>
      </c>
      <c r="C359" s="124" t="s">
        <v>323</v>
      </c>
      <c r="D359" s="14">
        <v>990902.64</v>
      </c>
      <c r="E359" s="82">
        <v>0.97369688070000004</v>
      </c>
      <c r="F359" s="14">
        <v>964838.81</v>
      </c>
      <c r="G359" s="12">
        <v>0</v>
      </c>
      <c r="H359" s="10"/>
      <c r="I359" s="10"/>
    </row>
    <row r="360" spans="1:9">
      <c r="A360" s="10" t="s">
        <v>924</v>
      </c>
      <c r="B360" s="124" t="s">
        <v>522</v>
      </c>
      <c r="C360" s="124" t="s">
        <v>323</v>
      </c>
      <c r="D360" s="14">
        <v>1020845.65</v>
      </c>
      <c r="E360" s="82">
        <v>0.97281458759999995</v>
      </c>
      <c r="F360" s="14">
        <v>993093.54</v>
      </c>
      <c r="G360" s="12">
        <v>0</v>
      </c>
      <c r="H360" s="10"/>
      <c r="I360" s="10"/>
    </row>
    <row r="361" spans="1:9">
      <c r="A361" s="10" t="s">
        <v>925</v>
      </c>
      <c r="B361" s="124" t="s">
        <v>522</v>
      </c>
      <c r="C361" s="124" t="s">
        <v>323</v>
      </c>
      <c r="D361" s="14">
        <v>990902.64</v>
      </c>
      <c r="E361" s="82">
        <v>0.97281458450000002</v>
      </c>
      <c r="F361" s="14">
        <v>963964.54</v>
      </c>
      <c r="G361" s="12">
        <v>0</v>
      </c>
      <c r="H361" s="10"/>
      <c r="I361" s="10"/>
    </row>
    <row r="362" spans="1:9">
      <c r="A362" s="10" t="s">
        <v>926</v>
      </c>
      <c r="B362" s="124" t="s">
        <v>766</v>
      </c>
      <c r="C362" s="124" t="s">
        <v>323</v>
      </c>
      <c r="D362" s="14">
        <v>990902.64</v>
      </c>
      <c r="E362" s="82">
        <v>0.97193382169999998</v>
      </c>
      <c r="F362" s="14">
        <v>963091.79</v>
      </c>
      <c r="G362" s="12">
        <v>0</v>
      </c>
      <c r="H362" s="10"/>
      <c r="I362" s="10"/>
    </row>
    <row r="363" spans="1:9">
      <c r="A363" s="10" t="s">
        <v>927</v>
      </c>
      <c r="B363" s="124" t="s">
        <v>766</v>
      </c>
      <c r="C363" s="124" t="s">
        <v>323</v>
      </c>
      <c r="D363" s="14">
        <v>1020845.65</v>
      </c>
      <c r="E363" s="158">
        <v>0.97193378799999997</v>
      </c>
      <c r="F363" s="14">
        <v>992194.38</v>
      </c>
      <c r="G363" s="12">
        <v>0</v>
      </c>
      <c r="H363" s="10"/>
      <c r="I363" s="10"/>
    </row>
    <row r="364" spans="1:9">
      <c r="A364" s="10" t="s">
        <v>908</v>
      </c>
      <c r="B364" s="124" t="s">
        <v>524</v>
      </c>
      <c r="C364" s="124" t="s">
        <v>323</v>
      </c>
      <c r="D364" s="14">
        <v>1020845.65</v>
      </c>
      <c r="E364" s="82">
        <v>0.96930112759999998</v>
      </c>
      <c r="F364" s="14">
        <v>989506.84</v>
      </c>
      <c r="G364" s="12">
        <v>0</v>
      </c>
      <c r="H364" s="10"/>
      <c r="I364" s="10"/>
    </row>
    <row r="365" spans="1:9">
      <c r="A365" s="10" t="s">
        <v>909</v>
      </c>
      <c r="B365" s="124" t="s">
        <v>524</v>
      </c>
      <c r="C365" s="124" t="s">
        <v>323</v>
      </c>
      <c r="D365" s="14">
        <v>990902.64</v>
      </c>
      <c r="E365" s="82">
        <v>0.96930112150000003</v>
      </c>
      <c r="F365" s="14">
        <v>960483.04</v>
      </c>
      <c r="G365" s="12">
        <v>0</v>
      </c>
      <c r="H365" s="10"/>
      <c r="I365" s="10"/>
    </row>
    <row r="366" spans="1:9">
      <c r="A366" s="10" t="s">
        <v>910</v>
      </c>
      <c r="B366" s="124" t="s">
        <v>514</v>
      </c>
      <c r="C366" s="124" t="s">
        <v>323</v>
      </c>
      <c r="D366" s="14">
        <v>990902.64</v>
      </c>
      <c r="E366" s="82">
        <v>0.97902481139999997</v>
      </c>
      <c r="F366" s="14">
        <v>970118.27</v>
      </c>
      <c r="G366" s="12">
        <v>0</v>
      </c>
      <c r="H366" s="10"/>
      <c r="I366" s="10"/>
    </row>
    <row r="367" spans="1:9">
      <c r="A367" s="10" t="s">
        <v>911</v>
      </c>
      <c r="B367" s="124" t="s">
        <v>514</v>
      </c>
      <c r="C367" s="124" t="s">
        <v>323</v>
      </c>
      <c r="D367" s="14">
        <v>1020845.65</v>
      </c>
      <c r="E367" s="82">
        <v>0.97902478179999997</v>
      </c>
      <c r="F367" s="14">
        <v>999433.19</v>
      </c>
      <c r="G367" s="12">
        <v>0</v>
      </c>
      <c r="H367" s="10"/>
      <c r="I367" s="10"/>
    </row>
    <row r="368" spans="1:9">
      <c r="A368" s="10" t="s">
        <v>928</v>
      </c>
      <c r="B368" s="124" t="s">
        <v>680</v>
      </c>
      <c r="C368" s="124" t="s">
        <v>323</v>
      </c>
      <c r="D368" s="12">
        <v>3000000</v>
      </c>
      <c r="E368" s="158">
        <v>0.96755384700000002</v>
      </c>
      <c r="F368" s="14">
        <v>2902661.54</v>
      </c>
      <c r="G368" s="12">
        <v>0</v>
      </c>
      <c r="H368" s="10"/>
      <c r="I368" s="10"/>
    </row>
    <row r="369" spans="1:10">
      <c r="A369" s="10" t="s">
        <v>929</v>
      </c>
      <c r="B369" s="124" t="s">
        <v>520</v>
      </c>
      <c r="C369" s="124" t="s">
        <v>323</v>
      </c>
      <c r="D369" s="12">
        <v>3000000</v>
      </c>
      <c r="E369" s="82">
        <v>0.97369686339999995</v>
      </c>
      <c r="F369" s="14">
        <v>2921090.59</v>
      </c>
      <c r="G369" s="12">
        <v>0</v>
      </c>
      <c r="H369" s="10"/>
      <c r="I369" s="10"/>
    </row>
    <row r="370" spans="1:10">
      <c r="A370" s="10" t="s">
        <v>937</v>
      </c>
      <c r="B370" s="124" t="s">
        <v>516</v>
      </c>
      <c r="C370" s="124" t="s">
        <v>323</v>
      </c>
      <c r="D370" s="14">
        <v>5000300.25</v>
      </c>
      <c r="E370" s="158">
        <v>0.97813275099999997</v>
      </c>
      <c r="F370" s="14">
        <v>4890957.4400000004</v>
      </c>
      <c r="G370" s="14">
        <v>0.01</v>
      </c>
      <c r="H370" s="10"/>
      <c r="I370" s="10"/>
    </row>
    <row r="371" spans="1:10">
      <c r="A371" s="10" t="s">
        <v>938</v>
      </c>
      <c r="B371" s="124" t="s">
        <v>518</v>
      </c>
      <c r="C371" s="124" t="s">
        <v>323</v>
      </c>
      <c r="D371" s="14">
        <v>5000300.25</v>
      </c>
      <c r="E371" s="82">
        <v>0.9754664193</v>
      </c>
      <c r="F371" s="14">
        <v>4877624.9800000004</v>
      </c>
      <c r="G371" s="14">
        <v>0.01</v>
      </c>
      <c r="H371" s="10"/>
      <c r="I371" s="10"/>
    </row>
    <row r="372" spans="1:10">
      <c r="A372" s="10" t="s">
        <v>939</v>
      </c>
      <c r="B372" s="124" t="s">
        <v>527</v>
      </c>
      <c r="C372" s="124" t="s">
        <v>323</v>
      </c>
      <c r="D372" s="14">
        <v>5000300.25</v>
      </c>
      <c r="E372" s="82">
        <v>0.97458084270000001</v>
      </c>
      <c r="F372" s="14">
        <v>4873196.83</v>
      </c>
      <c r="G372" s="14">
        <v>0.01</v>
      </c>
      <c r="H372" s="10"/>
      <c r="I372" s="10"/>
    </row>
    <row r="373" spans="1:10">
      <c r="A373" s="10" t="s">
        <v>905</v>
      </c>
      <c r="B373" s="124" t="s">
        <v>527</v>
      </c>
      <c r="C373" s="124" t="s">
        <v>323</v>
      </c>
      <c r="D373" s="14">
        <v>4549416.66</v>
      </c>
      <c r="E373" s="82">
        <v>0.97458083969999998</v>
      </c>
      <c r="F373" s="14">
        <v>4433774.3099999996</v>
      </c>
      <c r="G373" s="14">
        <v>0.01</v>
      </c>
      <c r="H373" s="10"/>
      <c r="I373" s="10"/>
    </row>
    <row r="374" spans="1:10">
      <c r="A374" s="10" t="s">
        <v>906</v>
      </c>
      <c r="B374" s="124" t="s">
        <v>520</v>
      </c>
      <c r="C374" s="124" t="s">
        <v>323</v>
      </c>
      <c r="D374" s="14">
        <v>4549416.66</v>
      </c>
      <c r="E374" s="82">
        <v>0.97369686489999996</v>
      </c>
      <c r="F374" s="14">
        <v>4429752.74</v>
      </c>
      <c r="G374" s="14">
        <v>0.01</v>
      </c>
      <c r="H374" s="10"/>
      <c r="I374" s="10"/>
    </row>
    <row r="375" spans="1:10">
      <c r="A375" s="10" t="s">
        <v>907</v>
      </c>
      <c r="B375" s="124" t="s">
        <v>522</v>
      </c>
      <c r="C375" s="124" t="s">
        <v>323</v>
      </c>
      <c r="D375" s="14">
        <v>4549416.66</v>
      </c>
      <c r="E375" s="82">
        <v>0.97281458679999999</v>
      </c>
      <c r="F375" s="14">
        <v>4425738.8899999997</v>
      </c>
      <c r="G375" s="14">
        <v>0.01</v>
      </c>
      <c r="H375" s="10"/>
      <c r="I375" s="10"/>
    </row>
    <row r="376" spans="1:10">
      <c r="A376" s="10" t="s">
        <v>944</v>
      </c>
      <c r="B376" s="124" t="s">
        <v>448</v>
      </c>
      <c r="C376" s="124" t="s">
        <v>326</v>
      </c>
      <c r="D376" s="12">
        <v>100000000</v>
      </c>
      <c r="E376" s="82">
        <v>0.98441128950000001</v>
      </c>
      <c r="F376" s="14">
        <v>98441128.950000003</v>
      </c>
      <c r="G376" s="14">
        <v>0.13</v>
      </c>
      <c r="H376" s="10"/>
      <c r="I376" s="10"/>
    </row>
    <row r="377" spans="1:10">
      <c r="A377" s="10" t="s">
        <v>945</v>
      </c>
      <c r="B377" s="124" t="s">
        <v>510</v>
      </c>
      <c r="C377" s="124" t="s">
        <v>326</v>
      </c>
      <c r="D377" s="12">
        <v>25000000</v>
      </c>
      <c r="E377" s="82">
        <v>0.99319729950000002</v>
      </c>
      <c r="F377" s="14">
        <v>24829932.489999998</v>
      </c>
      <c r="G377" s="14">
        <v>0.03</v>
      </c>
      <c r="H377" s="10"/>
      <c r="I377" s="10"/>
      <c r="J377" s="59"/>
    </row>
    <row r="378" spans="1:10">
      <c r="A378" s="10" t="s">
        <v>946</v>
      </c>
      <c r="B378" s="124" t="s">
        <v>510</v>
      </c>
      <c r="C378" s="124" t="s">
        <v>326</v>
      </c>
      <c r="D378" s="12">
        <v>25000000</v>
      </c>
      <c r="E378" s="82">
        <v>0.99319729950000002</v>
      </c>
      <c r="F378" s="14">
        <v>24829932.489999998</v>
      </c>
      <c r="G378" s="14">
        <v>0.03</v>
      </c>
      <c r="H378" s="10"/>
      <c r="I378" s="10"/>
    </row>
    <row r="379" spans="1:10">
      <c r="A379" s="10" t="s">
        <v>947</v>
      </c>
      <c r="B379" s="124" t="s">
        <v>948</v>
      </c>
      <c r="C379" s="124" t="s">
        <v>326</v>
      </c>
      <c r="D379" s="14">
        <v>5000300.25</v>
      </c>
      <c r="E379" s="82">
        <v>0.95379953989999999</v>
      </c>
      <c r="F379" s="14">
        <v>4769284.08</v>
      </c>
      <c r="G379" s="14">
        <v>0.01</v>
      </c>
      <c r="H379" s="10"/>
      <c r="I379" s="10"/>
    </row>
    <row r="380" spans="1:10">
      <c r="A380" s="10" t="s">
        <v>949</v>
      </c>
      <c r="B380" s="124" t="s">
        <v>950</v>
      </c>
      <c r="C380" s="124" t="s">
        <v>326</v>
      </c>
      <c r="D380" s="14">
        <v>5000300.25</v>
      </c>
      <c r="E380" s="82">
        <v>0.95042184490000003</v>
      </c>
      <c r="F380" s="14">
        <v>4752394.59</v>
      </c>
      <c r="G380" s="14">
        <v>0.01</v>
      </c>
      <c r="H380" s="10"/>
      <c r="I380" s="10"/>
    </row>
    <row r="381" spans="1:10">
      <c r="A381" s="10" t="s">
        <v>951</v>
      </c>
      <c r="B381" s="124" t="s">
        <v>750</v>
      </c>
      <c r="C381" s="124" t="s">
        <v>326</v>
      </c>
      <c r="D381" s="14">
        <v>5000300.25</v>
      </c>
      <c r="E381" s="82">
        <v>0.94790426189999999</v>
      </c>
      <c r="F381" s="14">
        <v>4739805.92</v>
      </c>
      <c r="G381" s="14">
        <v>0.01</v>
      </c>
      <c r="H381" s="10"/>
      <c r="I381" s="10"/>
    </row>
    <row r="382" spans="1:10">
      <c r="A382" s="10" t="s">
        <v>952</v>
      </c>
      <c r="B382" s="124" t="s">
        <v>655</v>
      </c>
      <c r="C382" s="124" t="s">
        <v>326</v>
      </c>
      <c r="D382" s="14">
        <v>5000300.25</v>
      </c>
      <c r="E382" s="82">
        <v>0.94874201660000002</v>
      </c>
      <c r="F382" s="14">
        <v>4743994.9400000004</v>
      </c>
      <c r="G382" s="14">
        <v>0.01</v>
      </c>
      <c r="H382" s="10"/>
      <c r="I382" s="10"/>
    </row>
    <row r="383" spans="1:10">
      <c r="A383" s="10" t="s">
        <v>953</v>
      </c>
      <c r="B383" s="124" t="s">
        <v>655</v>
      </c>
      <c r="C383" s="124" t="s">
        <v>326</v>
      </c>
      <c r="D383" s="14">
        <v>5000300.25</v>
      </c>
      <c r="E383" s="82">
        <v>0.94874201660000002</v>
      </c>
      <c r="F383" s="14">
        <v>4743994.9400000004</v>
      </c>
      <c r="G383" s="14">
        <v>0.01</v>
      </c>
      <c r="H383" s="10"/>
      <c r="I383" s="10"/>
    </row>
    <row r="384" spans="1:10">
      <c r="A384" s="10" t="s">
        <v>954</v>
      </c>
      <c r="B384" s="124" t="s">
        <v>655</v>
      </c>
      <c r="C384" s="124" t="s">
        <v>326</v>
      </c>
      <c r="D384" s="14">
        <v>5000300.25</v>
      </c>
      <c r="E384" s="82">
        <v>0.94874201660000002</v>
      </c>
      <c r="F384" s="14">
        <v>4743994.9400000004</v>
      </c>
      <c r="G384" s="14">
        <v>0.01</v>
      </c>
      <c r="H384" s="10"/>
      <c r="I384" s="10"/>
    </row>
    <row r="385" spans="1:9">
      <c r="A385" s="10" t="s">
        <v>955</v>
      </c>
      <c r="B385" s="124" t="s">
        <v>655</v>
      </c>
      <c r="C385" s="124" t="s">
        <v>326</v>
      </c>
      <c r="D385" s="14">
        <v>5000300.25</v>
      </c>
      <c r="E385" s="82">
        <v>0.94874201660000002</v>
      </c>
      <c r="F385" s="14">
        <v>4743994.9400000004</v>
      </c>
      <c r="G385" s="14">
        <v>0.01</v>
      </c>
      <c r="H385" s="10"/>
      <c r="I385" s="10"/>
    </row>
    <row r="386" spans="1:9">
      <c r="A386" s="10" t="s">
        <v>956</v>
      </c>
      <c r="B386" s="124" t="s">
        <v>502</v>
      </c>
      <c r="C386" s="124" t="s">
        <v>326</v>
      </c>
      <c r="D386" s="14">
        <v>5000300.25</v>
      </c>
      <c r="E386" s="82">
        <v>0.9495812521</v>
      </c>
      <c r="F386" s="14">
        <v>4748191.37</v>
      </c>
      <c r="G386" s="14">
        <v>0.01</v>
      </c>
      <c r="H386" s="10"/>
      <c r="I386" s="10"/>
    </row>
    <row r="387" spans="1:9">
      <c r="A387" s="10" t="s">
        <v>957</v>
      </c>
      <c r="B387" s="124" t="s">
        <v>574</v>
      </c>
      <c r="C387" s="124" t="s">
        <v>326</v>
      </c>
      <c r="D387" s="14">
        <v>1020845.65</v>
      </c>
      <c r="E387" s="82">
        <v>0.96668260279999996</v>
      </c>
      <c r="F387" s="14">
        <v>986833.73</v>
      </c>
      <c r="G387" s="12">
        <v>0</v>
      </c>
      <c r="H387" s="10"/>
      <c r="I387" s="10"/>
    </row>
    <row r="388" spans="1:9">
      <c r="A388" s="10" t="s">
        <v>958</v>
      </c>
      <c r="B388" s="124" t="s">
        <v>593</v>
      </c>
      <c r="C388" s="124" t="s">
        <v>326</v>
      </c>
      <c r="D388" s="14">
        <v>1020845.65</v>
      </c>
      <c r="E388" s="82">
        <v>0.96234981220000004</v>
      </c>
      <c r="F388" s="14">
        <v>982410.62</v>
      </c>
      <c r="G388" s="12">
        <v>0</v>
      </c>
      <c r="H388" s="10"/>
      <c r="I388" s="10"/>
    </row>
    <row r="389" spans="1:9">
      <c r="A389" s="10" t="s">
        <v>959</v>
      </c>
      <c r="B389" s="124" t="s">
        <v>504</v>
      </c>
      <c r="C389" s="124" t="s">
        <v>326</v>
      </c>
      <c r="D389" s="14">
        <v>990902.64</v>
      </c>
      <c r="E389" s="82">
        <v>0.96148789180000005</v>
      </c>
      <c r="F389" s="14">
        <v>952740.89</v>
      </c>
      <c r="G389" s="12">
        <v>0</v>
      </c>
      <c r="H389" s="10"/>
      <c r="I389" s="10"/>
    </row>
    <row r="390" spans="1:9">
      <c r="A390" s="10" t="s">
        <v>960</v>
      </c>
      <c r="B390" s="124" t="s">
        <v>574</v>
      </c>
      <c r="C390" s="124" t="s">
        <v>326</v>
      </c>
      <c r="D390" s="14">
        <v>990902.64</v>
      </c>
      <c r="E390" s="157">
        <v>0.96668259999999995</v>
      </c>
      <c r="F390" s="14">
        <v>957888.34</v>
      </c>
      <c r="G390" s="12">
        <v>0</v>
      </c>
      <c r="H390" s="10"/>
      <c r="I390" s="10"/>
    </row>
    <row r="391" spans="1:9">
      <c r="A391" s="10" t="s">
        <v>961</v>
      </c>
      <c r="B391" s="124" t="s">
        <v>504</v>
      </c>
      <c r="C391" s="124" t="s">
        <v>326</v>
      </c>
      <c r="D391" s="14">
        <v>1020845.65</v>
      </c>
      <c r="E391" s="21">
        <v>0.96148787000000002</v>
      </c>
      <c r="F391" s="14">
        <v>981530.71</v>
      </c>
      <c r="G391" s="12">
        <v>0</v>
      </c>
      <c r="H391" s="10"/>
      <c r="I391" s="10"/>
    </row>
    <row r="392" spans="1:9">
      <c r="A392" s="10" t="s">
        <v>962</v>
      </c>
      <c r="B392" s="124" t="s">
        <v>504</v>
      </c>
      <c r="C392" s="124" t="s">
        <v>326</v>
      </c>
      <c r="D392" s="14">
        <v>1020845.65</v>
      </c>
      <c r="E392" s="21">
        <v>0.96148787000000002</v>
      </c>
      <c r="F392" s="14">
        <v>981530.71</v>
      </c>
      <c r="G392" s="12">
        <v>0</v>
      </c>
      <c r="H392" s="10"/>
      <c r="I392" s="10"/>
    </row>
    <row r="393" spans="1:9">
      <c r="A393" s="10" t="s">
        <v>963</v>
      </c>
      <c r="B393" s="124" t="s">
        <v>593</v>
      </c>
      <c r="C393" s="124" t="s">
        <v>326</v>
      </c>
      <c r="D393" s="14">
        <v>990902.64</v>
      </c>
      <c r="E393" s="82">
        <v>0.96234981220000004</v>
      </c>
      <c r="F393" s="14">
        <v>953594.97</v>
      </c>
      <c r="G393" s="12">
        <v>0</v>
      </c>
      <c r="H393" s="10"/>
      <c r="I393" s="10"/>
    </row>
    <row r="394" spans="1:9">
      <c r="A394" s="10" t="s">
        <v>964</v>
      </c>
      <c r="B394" s="124" t="s">
        <v>883</v>
      </c>
      <c r="C394" s="124" t="s">
        <v>326</v>
      </c>
      <c r="D394" s="14">
        <v>990902.64</v>
      </c>
      <c r="E394" s="82">
        <v>0.96321322779999996</v>
      </c>
      <c r="F394" s="14">
        <v>954450.53</v>
      </c>
      <c r="G394" s="12">
        <v>0</v>
      </c>
      <c r="H394" s="10"/>
      <c r="I394" s="10"/>
    </row>
    <row r="395" spans="1:9">
      <c r="A395" s="10" t="s">
        <v>965</v>
      </c>
      <c r="B395" s="124" t="s">
        <v>883</v>
      </c>
      <c r="C395" s="124" t="s">
        <v>326</v>
      </c>
      <c r="D395" s="14">
        <v>1020845.65</v>
      </c>
      <c r="E395" s="82">
        <v>0.96321319439999997</v>
      </c>
      <c r="F395" s="12">
        <v>983292</v>
      </c>
      <c r="G395" s="12">
        <v>0</v>
      </c>
      <c r="H395" s="10"/>
      <c r="I395" s="10"/>
    </row>
    <row r="396" spans="1:9">
      <c r="A396" s="10" t="s">
        <v>966</v>
      </c>
      <c r="B396" s="124" t="s">
        <v>728</v>
      </c>
      <c r="C396" s="124" t="s">
        <v>326</v>
      </c>
      <c r="D396" s="12">
        <v>32000000</v>
      </c>
      <c r="E396" s="82">
        <v>0.99863201680000002</v>
      </c>
      <c r="F396" s="14">
        <v>31956224.539999999</v>
      </c>
      <c r="G396" s="14">
        <v>0.04</v>
      </c>
      <c r="H396" s="10"/>
      <c r="I396" s="10"/>
    </row>
    <row r="397" spans="1:9">
      <c r="A397" s="10" t="s">
        <v>967</v>
      </c>
      <c r="B397" s="124" t="s">
        <v>524</v>
      </c>
      <c r="C397" s="124" t="s">
        <v>326</v>
      </c>
      <c r="D397" s="12">
        <v>32000000</v>
      </c>
      <c r="E397" s="82">
        <v>0.97724231230000003</v>
      </c>
      <c r="F397" s="14">
        <v>31271753.989999998</v>
      </c>
      <c r="G397" s="14">
        <v>0.04</v>
      </c>
      <c r="H397" s="10"/>
      <c r="I397" s="10"/>
    </row>
    <row r="398" spans="1:9">
      <c r="A398" s="10" t="s">
        <v>968</v>
      </c>
      <c r="B398" s="124" t="s">
        <v>446</v>
      </c>
      <c r="C398" s="124" t="s">
        <v>326</v>
      </c>
      <c r="D398" s="12">
        <v>32000000</v>
      </c>
      <c r="E398" s="82">
        <v>0.96752816689999999</v>
      </c>
      <c r="F398" s="14">
        <v>30960901.34</v>
      </c>
      <c r="G398" s="14">
        <v>0.04</v>
      </c>
      <c r="H398" s="10"/>
      <c r="I398" s="10"/>
    </row>
    <row r="399" spans="1:9">
      <c r="A399" s="10" t="s">
        <v>969</v>
      </c>
      <c r="B399" s="124" t="s">
        <v>448</v>
      </c>
      <c r="C399" s="124" t="s">
        <v>326</v>
      </c>
      <c r="D399" s="12">
        <v>32000000</v>
      </c>
      <c r="E399" s="82">
        <v>0.98849021879999999</v>
      </c>
      <c r="F399" s="12">
        <v>31631687</v>
      </c>
      <c r="G399" s="14">
        <v>0.04</v>
      </c>
      <c r="H399" s="10"/>
      <c r="I399" s="10"/>
    </row>
    <row r="400" spans="1:9">
      <c r="A400" s="10" t="s">
        <v>970</v>
      </c>
      <c r="B400" s="124" t="s">
        <v>506</v>
      </c>
      <c r="C400" s="124" t="s">
        <v>326</v>
      </c>
      <c r="D400" s="12">
        <v>6000000</v>
      </c>
      <c r="E400" s="158">
        <v>0.99904201500000001</v>
      </c>
      <c r="F400" s="14">
        <v>5994252.0899999999</v>
      </c>
      <c r="G400" s="14">
        <v>0.01</v>
      </c>
      <c r="H400" s="10"/>
      <c r="I400" s="10"/>
    </row>
    <row r="401" spans="1:9">
      <c r="A401" s="10" t="s">
        <v>971</v>
      </c>
      <c r="B401" s="124" t="s">
        <v>485</v>
      </c>
      <c r="C401" s="124" t="s">
        <v>326</v>
      </c>
      <c r="D401" s="12">
        <v>15000000</v>
      </c>
      <c r="E401" s="82">
        <v>0.98830282979999995</v>
      </c>
      <c r="F401" s="14">
        <v>14824542.449999999</v>
      </c>
      <c r="G401" s="14">
        <v>0.02</v>
      </c>
      <c r="H401" s="10"/>
      <c r="I401" s="10"/>
    </row>
    <row r="402" spans="1:9">
      <c r="A402" s="10" t="s">
        <v>972</v>
      </c>
      <c r="B402" s="124" t="s">
        <v>580</v>
      </c>
      <c r="C402" s="124" t="s">
        <v>326</v>
      </c>
      <c r="D402" s="12">
        <v>15000000</v>
      </c>
      <c r="E402" s="82">
        <v>0.98975001119999995</v>
      </c>
      <c r="F402" s="14">
        <v>14846250.17</v>
      </c>
      <c r="G402" s="14">
        <v>0.02</v>
      </c>
      <c r="H402" s="10"/>
      <c r="I402" s="10"/>
    </row>
    <row r="403" spans="1:9">
      <c r="A403" s="10" t="s">
        <v>973</v>
      </c>
      <c r="B403" s="124" t="s">
        <v>443</v>
      </c>
      <c r="C403" s="124" t="s">
        <v>326</v>
      </c>
      <c r="D403" s="12">
        <v>15000000</v>
      </c>
      <c r="E403" s="82">
        <v>0.99411701340000003</v>
      </c>
      <c r="F403" s="154">
        <v>14911755.199999999</v>
      </c>
      <c r="G403" s="14">
        <v>0.02</v>
      </c>
      <c r="H403" s="10"/>
      <c r="I403" s="10"/>
    </row>
    <row r="404" spans="1:9">
      <c r="A404" s="10" t="s">
        <v>974</v>
      </c>
      <c r="B404" s="124" t="s">
        <v>448</v>
      </c>
      <c r="C404" s="124" t="s">
        <v>326</v>
      </c>
      <c r="D404" s="12">
        <v>15000000</v>
      </c>
      <c r="E404" s="82">
        <v>0.98758087139999995</v>
      </c>
      <c r="F404" s="14">
        <v>14813713.07</v>
      </c>
      <c r="G404" s="14">
        <v>0.02</v>
      </c>
      <c r="H404" s="10"/>
      <c r="I404" s="10"/>
    </row>
    <row r="405" spans="1:9">
      <c r="A405" s="10" t="s">
        <v>975</v>
      </c>
      <c r="B405" s="124" t="s">
        <v>520</v>
      </c>
      <c r="C405" s="124" t="s">
        <v>326</v>
      </c>
      <c r="D405" s="12">
        <v>15000000</v>
      </c>
      <c r="E405" s="82">
        <v>0.97899850769999996</v>
      </c>
      <c r="F405" s="14">
        <v>14684977.619999999</v>
      </c>
      <c r="G405" s="14">
        <v>0.02</v>
      </c>
      <c r="H405" s="10"/>
      <c r="I405" s="10"/>
    </row>
    <row r="406" spans="1:9">
      <c r="A406" s="10" t="s">
        <v>976</v>
      </c>
      <c r="B406" s="124" t="s">
        <v>520</v>
      </c>
      <c r="C406" s="124" t="s">
        <v>326</v>
      </c>
      <c r="D406" s="12">
        <v>15000000</v>
      </c>
      <c r="E406" s="82">
        <v>0.97899850769999996</v>
      </c>
      <c r="F406" s="14">
        <v>14684977.619999999</v>
      </c>
      <c r="G406" s="14">
        <v>0.02</v>
      </c>
      <c r="H406" s="10"/>
      <c r="I406" s="10"/>
    </row>
    <row r="407" spans="1:9">
      <c r="A407" s="10" t="s">
        <v>977</v>
      </c>
      <c r="B407" s="124" t="s">
        <v>518</v>
      </c>
      <c r="C407" s="124" t="s">
        <v>326</v>
      </c>
      <c r="D407" s="12">
        <v>15000000</v>
      </c>
      <c r="E407" s="82">
        <v>0.98041849449999996</v>
      </c>
      <c r="F407" s="14">
        <v>14706277.42</v>
      </c>
      <c r="G407" s="14">
        <v>0.02</v>
      </c>
      <c r="H407" s="10"/>
      <c r="I407" s="10"/>
    </row>
    <row r="408" spans="1:9">
      <c r="A408" s="10" t="s">
        <v>978</v>
      </c>
      <c r="B408" s="124" t="s">
        <v>514</v>
      </c>
      <c r="C408" s="124" t="s">
        <v>326</v>
      </c>
      <c r="D408" s="12">
        <v>15000000</v>
      </c>
      <c r="E408" s="82">
        <v>0.98327093460000003</v>
      </c>
      <c r="F408" s="14">
        <v>14749064.02</v>
      </c>
      <c r="G408" s="14">
        <v>0.02</v>
      </c>
      <c r="H408" s="10"/>
      <c r="I408" s="10"/>
    </row>
    <row r="409" spans="1:9">
      <c r="A409" s="10" t="s">
        <v>979</v>
      </c>
      <c r="B409" s="124" t="s">
        <v>490</v>
      </c>
      <c r="C409" s="124" t="s">
        <v>326</v>
      </c>
      <c r="D409" s="12">
        <v>15000000</v>
      </c>
      <c r="E409" s="82">
        <v>0.98398665419999998</v>
      </c>
      <c r="F409" s="14">
        <v>14759799.810000001</v>
      </c>
      <c r="G409" s="14">
        <v>0.02</v>
      </c>
      <c r="H409" s="10"/>
      <c r="I409" s="10"/>
    </row>
    <row r="410" spans="1:9">
      <c r="A410" s="10" t="s">
        <v>980</v>
      </c>
      <c r="B410" s="124" t="s">
        <v>488</v>
      </c>
      <c r="C410" s="124" t="s">
        <v>326</v>
      </c>
      <c r="D410" s="12">
        <v>15000000</v>
      </c>
      <c r="E410" s="82">
        <v>0.98470341510000003</v>
      </c>
      <c r="F410" s="14">
        <v>14770551.23</v>
      </c>
      <c r="G410" s="14">
        <v>0.02</v>
      </c>
      <c r="H410" s="10"/>
      <c r="I410" s="10"/>
    </row>
    <row r="411" spans="1:9">
      <c r="A411" s="10" t="s">
        <v>981</v>
      </c>
      <c r="B411" s="124" t="s">
        <v>574</v>
      </c>
      <c r="C411" s="124" t="s">
        <v>326</v>
      </c>
      <c r="D411" s="12">
        <v>60000000</v>
      </c>
      <c r="E411" s="82">
        <v>0.9723998573</v>
      </c>
      <c r="F411" s="14">
        <v>58343991.439999998</v>
      </c>
      <c r="G411" s="14">
        <v>0.08</v>
      </c>
      <c r="H411" s="10"/>
      <c r="I411" s="10"/>
    </row>
    <row r="412" spans="1:9">
      <c r="A412" s="10" t="s">
        <v>982</v>
      </c>
      <c r="B412" s="124" t="s">
        <v>504</v>
      </c>
      <c r="C412" s="124" t="s">
        <v>326</v>
      </c>
      <c r="D412" s="12">
        <v>60000000</v>
      </c>
      <c r="E412" s="82">
        <v>0.9680671126</v>
      </c>
      <c r="F412" s="14">
        <v>58084026.759999998</v>
      </c>
      <c r="G412" s="14">
        <v>0.08</v>
      </c>
      <c r="H412" s="10"/>
      <c r="I412" s="10"/>
    </row>
    <row r="413" spans="1:9">
      <c r="A413" s="10" t="s">
        <v>983</v>
      </c>
      <c r="B413" s="124" t="s">
        <v>516</v>
      </c>
      <c r="C413" s="124" t="s">
        <v>326</v>
      </c>
      <c r="D413" s="12">
        <v>20000000</v>
      </c>
      <c r="E413" s="82">
        <v>0.98255631669999999</v>
      </c>
      <c r="F413" s="14">
        <v>19651126.329999998</v>
      </c>
      <c r="G413" s="14">
        <v>0.03</v>
      </c>
      <c r="H413" s="10"/>
      <c r="I413" s="10"/>
    </row>
    <row r="414" spans="1:9">
      <c r="A414" s="10" t="s">
        <v>984</v>
      </c>
      <c r="B414" s="124" t="s">
        <v>485</v>
      </c>
      <c r="C414" s="124" t="s">
        <v>326</v>
      </c>
      <c r="D414" s="12">
        <v>20000000</v>
      </c>
      <c r="E414" s="82">
        <v>0.98830282979999995</v>
      </c>
      <c r="F414" s="154">
        <v>19766056.600000001</v>
      </c>
      <c r="G414" s="14">
        <v>0.03</v>
      </c>
      <c r="H414" s="10"/>
      <c r="I414" s="10"/>
    </row>
    <row r="415" spans="1:9">
      <c r="A415" s="10" t="s">
        <v>985</v>
      </c>
      <c r="B415" s="124" t="s">
        <v>490</v>
      </c>
      <c r="C415" s="124" t="s">
        <v>326</v>
      </c>
      <c r="D415" s="12">
        <v>20000000</v>
      </c>
      <c r="E415" s="82">
        <v>0.98398665370000005</v>
      </c>
      <c r="F415" s="14">
        <v>19679733.07</v>
      </c>
      <c r="G415" s="14">
        <v>0.03</v>
      </c>
      <c r="H415" s="10"/>
      <c r="I415" s="10"/>
    </row>
    <row r="416" spans="1:9">
      <c r="A416" s="10" t="s">
        <v>986</v>
      </c>
      <c r="B416" s="124" t="s">
        <v>485</v>
      </c>
      <c r="C416" s="124" t="s">
        <v>326</v>
      </c>
      <c r="D416" s="12">
        <v>20000000</v>
      </c>
      <c r="E416" s="82">
        <v>0.98830282979999995</v>
      </c>
      <c r="F416" s="154">
        <v>19766056.600000001</v>
      </c>
      <c r="G416" s="14">
        <v>0.03</v>
      </c>
      <c r="H416" s="10"/>
      <c r="I416" s="10"/>
    </row>
    <row r="417" spans="1:9">
      <c r="A417" s="10" t="s">
        <v>988</v>
      </c>
      <c r="B417" s="124" t="s">
        <v>488</v>
      </c>
      <c r="C417" s="124" t="s">
        <v>319</v>
      </c>
      <c r="D417" s="12">
        <v>100000000</v>
      </c>
      <c r="E417" s="82">
        <v>0.98582044359999998</v>
      </c>
      <c r="F417" s="14">
        <v>98582044.359999999</v>
      </c>
      <c r="G417" s="14">
        <v>0.13</v>
      </c>
      <c r="H417" s="10"/>
      <c r="I417" s="10"/>
    </row>
    <row r="418" spans="1:9">
      <c r="A418" s="10" t="s">
        <v>989</v>
      </c>
      <c r="B418" s="124" t="s">
        <v>514</v>
      </c>
      <c r="C418" s="124" t="s">
        <v>319</v>
      </c>
      <c r="D418" s="12">
        <v>11000000</v>
      </c>
      <c r="E418" s="82">
        <v>0.98449092189999998</v>
      </c>
      <c r="F418" s="14">
        <v>10829400.140000001</v>
      </c>
      <c r="G418" s="14">
        <v>0.01</v>
      </c>
      <c r="H418" s="10"/>
      <c r="I418" s="10"/>
    </row>
    <row r="419" spans="1:9">
      <c r="A419" s="10" t="s">
        <v>990</v>
      </c>
      <c r="B419" s="124" t="s">
        <v>728</v>
      </c>
      <c r="C419" s="124" t="s">
        <v>319</v>
      </c>
      <c r="D419" s="12">
        <v>10000000</v>
      </c>
      <c r="E419" s="82">
        <v>0.99863201189999995</v>
      </c>
      <c r="F419" s="14">
        <v>9986320.1199999992</v>
      </c>
      <c r="G419" s="14">
        <v>0.01</v>
      </c>
      <c r="H419" s="10"/>
      <c r="I419" s="10"/>
    </row>
    <row r="420" spans="1:9">
      <c r="A420" s="10" t="s">
        <v>991</v>
      </c>
      <c r="B420" s="124" t="s">
        <v>510</v>
      </c>
      <c r="C420" s="124" t="s">
        <v>319</v>
      </c>
      <c r="D420" s="12">
        <v>6250000</v>
      </c>
      <c r="E420" s="82">
        <v>0.99346763839999996</v>
      </c>
      <c r="F420" s="14">
        <v>6209172.7400000002</v>
      </c>
      <c r="G420" s="14">
        <v>0.01</v>
      </c>
      <c r="H420" s="10"/>
      <c r="I420" s="10"/>
    </row>
    <row r="421" spans="1:9">
      <c r="A421" s="10" t="s">
        <v>992</v>
      </c>
      <c r="B421" s="124" t="s">
        <v>443</v>
      </c>
      <c r="C421" s="124" t="s">
        <v>319</v>
      </c>
      <c r="D421" s="12">
        <v>6250000</v>
      </c>
      <c r="E421" s="82">
        <v>0.99476726390000003</v>
      </c>
      <c r="F421" s="154">
        <v>6217295.4000000004</v>
      </c>
      <c r="G421" s="14">
        <v>0.01</v>
      </c>
      <c r="H421" s="10"/>
      <c r="I421" s="10"/>
    </row>
    <row r="422" spans="1:9">
      <c r="A422" s="10" t="s">
        <v>993</v>
      </c>
      <c r="B422" s="124" t="s">
        <v>655</v>
      </c>
      <c r="C422" s="124" t="s">
        <v>319</v>
      </c>
      <c r="D422" s="12">
        <v>15000000</v>
      </c>
      <c r="E422" s="82">
        <v>0.96032423020000002</v>
      </c>
      <c r="F422" s="14">
        <v>14404863.449999999</v>
      </c>
      <c r="G422" s="14">
        <v>0.02</v>
      </c>
      <c r="H422" s="10"/>
      <c r="I422" s="10"/>
    </row>
    <row r="423" spans="1:9">
      <c r="A423" s="10" t="s">
        <v>994</v>
      </c>
      <c r="B423" s="124" t="s">
        <v>819</v>
      </c>
      <c r="C423" s="124" t="s">
        <v>319</v>
      </c>
      <c r="D423" s="12">
        <v>15000000</v>
      </c>
      <c r="E423" s="158">
        <v>0.94672408500000005</v>
      </c>
      <c r="F423" s="14">
        <v>14200861.279999999</v>
      </c>
      <c r="G423" s="14">
        <v>0.02</v>
      </c>
      <c r="H423" s="10"/>
      <c r="I423" s="10"/>
    </row>
    <row r="424" spans="1:9">
      <c r="A424" s="10" t="s">
        <v>995</v>
      </c>
      <c r="B424" s="124" t="s">
        <v>514</v>
      </c>
      <c r="C424" s="124" t="s">
        <v>319</v>
      </c>
      <c r="D424" s="12">
        <v>20000000</v>
      </c>
      <c r="E424" s="82">
        <v>0.98388055829999999</v>
      </c>
      <c r="F424" s="14">
        <v>19677611.170000002</v>
      </c>
      <c r="G424" s="14">
        <v>0.03</v>
      </c>
      <c r="H424" s="10"/>
      <c r="I424" s="10"/>
    </row>
    <row r="425" spans="1:9">
      <c r="A425" s="10" t="s">
        <v>996</v>
      </c>
      <c r="B425" s="124" t="s">
        <v>997</v>
      </c>
      <c r="C425" s="124" t="s">
        <v>319</v>
      </c>
      <c r="D425" s="12">
        <v>25000000</v>
      </c>
      <c r="E425" s="82">
        <v>0.92064781110000005</v>
      </c>
      <c r="F425" s="14">
        <v>23016195.280000001</v>
      </c>
      <c r="G425" s="14">
        <v>0.03</v>
      </c>
      <c r="H425" s="10"/>
      <c r="I425" s="10"/>
    </row>
    <row r="426" spans="1:9">
      <c r="A426" s="10" t="s">
        <v>998</v>
      </c>
      <c r="B426" s="124" t="s">
        <v>999</v>
      </c>
      <c r="C426" s="124" t="s">
        <v>319</v>
      </c>
      <c r="D426" s="12">
        <v>25000000</v>
      </c>
      <c r="E426" s="21">
        <v>0.93536980999999997</v>
      </c>
      <c r="F426" s="14">
        <v>23384245.25</v>
      </c>
      <c r="G426" s="14">
        <v>0.03</v>
      </c>
      <c r="H426" s="10"/>
      <c r="I426" s="10"/>
    </row>
    <row r="427" spans="1:9">
      <c r="A427" s="10" t="s">
        <v>1000</v>
      </c>
      <c r="B427" s="124" t="s">
        <v>460</v>
      </c>
      <c r="C427" s="124" t="s">
        <v>319</v>
      </c>
      <c r="D427" s="12">
        <v>25000000</v>
      </c>
      <c r="E427" s="82">
        <v>0.92917881440000005</v>
      </c>
      <c r="F427" s="14">
        <v>23229470.359999999</v>
      </c>
      <c r="G427" s="14">
        <v>0.03</v>
      </c>
      <c r="H427" s="10"/>
      <c r="I427" s="10"/>
    </row>
    <row r="428" spans="1:9">
      <c r="A428" s="10" t="s">
        <v>1001</v>
      </c>
      <c r="B428" s="124" t="s">
        <v>480</v>
      </c>
      <c r="C428" s="124" t="s">
        <v>319</v>
      </c>
      <c r="D428" s="12">
        <v>2500000</v>
      </c>
      <c r="E428" s="158">
        <v>0.99541836800000005</v>
      </c>
      <c r="F428" s="14">
        <v>2488545.92</v>
      </c>
      <c r="G428" s="12">
        <v>0</v>
      </c>
      <c r="H428" s="10"/>
      <c r="I428" s="10"/>
    </row>
    <row r="429" spans="1:9">
      <c r="A429" s="10" t="s">
        <v>1003</v>
      </c>
      <c r="B429" s="124" t="s">
        <v>485</v>
      </c>
      <c r="C429" s="124" t="s">
        <v>319</v>
      </c>
      <c r="D429" s="12">
        <v>20000000</v>
      </c>
      <c r="E429" s="82">
        <v>0.98531478080000001</v>
      </c>
      <c r="F429" s="14">
        <v>19706295.620000001</v>
      </c>
      <c r="G429" s="14">
        <v>0.03</v>
      </c>
      <c r="H429" s="10"/>
      <c r="I429" s="10"/>
    </row>
    <row r="430" spans="1:9">
      <c r="A430" s="10" t="s">
        <v>1004</v>
      </c>
      <c r="B430" s="124" t="s">
        <v>488</v>
      </c>
      <c r="C430" s="124" t="s">
        <v>319</v>
      </c>
      <c r="D430" s="12">
        <v>20000000</v>
      </c>
      <c r="E430" s="82">
        <v>0.98081374259999998</v>
      </c>
      <c r="F430" s="14">
        <v>19616274.850000001</v>
      </c>
      <c r="G430" s="14">
        <v>0.03</v>
      </c>
      <c r="H430" s="10"/>
      <c r="I430" s="10"/>
    </row>
    <row r="431" spans="1:9">
      <c r="A431" s="10" t="s">
        <v>1006</v>
      </c>
      <c r="B431" s="124" t="s">
        <v>1007</v>
      </c>
      <c r="C431" s="124" t="s">
        <v>319</v>
      </c>
      <c r="D431" s="12">
        <v>15000000</v>
      </c>
      <c r="E431" s="82">
        <v>0.96894083870000003</v>
      </c>
      <c r="F431" s="14">
        <v>14534112.58</v>
      </c>
      <c r="G431" s="14">
        <v>0.02</v>
      </c>
      <c r="H431" s="10"/>
      <c r="I431" s="10"/>
    </row>
    <row r="432" spans="1:9">
      <c r="A432" s="10" t="s">
        <v>1008</v>
      </c>
      <c r="B432" s="124" t="s">
        <v>500</v>
      </c>
      <c r="C432" s="124" t="s">
        <v>319</v>
      </c>
      <c r="D432" s="12">
        <v>15000000</v>
      </c>
      <c r="E432" s="82">
        <v>0.96560846820000001</v>
      </c>
      <c r="F432" s="14">
        <v>14484127.02</v>
      </c>
      <c r="G432" s="14">
        <v>0.02</v>
      </c>
      <c r="H432" s="10"/>
      <c r="I432" s="10"/>
    </row>
    <row r="433" spans="1:9">
      <c r="A433" s="10" t="s">
        <v>1009</v>
      </c>
      <c r="B433" s="124" t="s">
        <v>488</v>
      </c>
      <c r="C433" s="124" t="s">
        <v>319</v>
      </c>
      <c r="D433" s="12">
        <v>15000000</v>
      </c>
      <c r="E433" s="82">
        <v>0.98526162090000002</v>
      </c>
      <c r="F433" s="14">
        <v>14778924.310000001</v>
      </c>
      <c r="G433" s="14">
        <v>0.02</v>
      </c>
      <c r="H433" s="10"/>
      <c r="I433" s="10"/>
    </row>
    <row r="434" spans="1:9">
      <c r="A434" s="10" t="s">
        <v>1010</v>
      </c>
      <c r="B434" s="124" t="s">
        <v>474</v>
      </c>
      <c r="C434" s="124" t="s">
        <v>319</v>
      </c>
      <c r="D434" s="12">
        <v>10000000</v>
      </c>
      <c r="E434" s="21">
        <v>0.99786757999999998</v>
      </c>
      <c r="F434" s="154">
        <v>9978675.8000000007</v>
      </c>
      <c r="G434" s="14">
        <v>0.01</v>
      </c>
      <c r="H434" s="10"/>
      <c r="I434" s="10"/>
    </row>
    <row r="435" spans="1:9">
      <c r="A435" s="10" t="s">
        <v>1011</v>
      </c>
      <c r="B435" s="124" t="s">
        <v>660</v>
      </c>
      <c r="C435" s="124" t="s">
        <v>319</v>
      </c>
      <c r="D435" s="12">
        <v>15000000</v>
      </c>
      <c r="E435" s="82">
        <v>0.97567496419999999</v>
      </c>
      <c r="F435" s="14">
        <v>14635124.460000001</v>
      </c>
      <c r="G435" s="14">
        <v>0.02</v>
      </c>
      <c r="H435" s="10"/>
      <c r="I435" s="10"/>
    </row>
    <row r="436" spans="1:9">
      <c r="A436" s="10" t="s">
        <v>1012</v>
      </c>
      <c r="B436" s="124" t="s">
        <v>948</v>
      </c>
      <c r="C436" s="124" t="s">
        <v>319</v>
      </c>
      <c r="D436" s="12">
        <v>15000000</v>
      </c>
      <c r="E436" s="82">
        <v>0.96428198789999997</v>
      </c>
      <c r="F436" s="14">
        <v>14464229.82</v>
      </c>
      <c r="G436" s="14">
        <v>0.02</v>
      </c>
      <c r="H436" s="10"/>
      <c r="I436" s="10"/>
    </row>
    <row r="437" spans="1:9">
      <c r="A437" s="10" t="s">
        <v>1013</v>
      </c>
      <c r="B437" s="124" t="s">
        <v>480</v>
      </c>
      <c r="C437" s="124" t="s">
        <v>319</v>
      </c>
      <c r="D437" s="12">
        <v>25000000</v>
      </c>
      <c r="E437" s="82">
        <v>0.9952283743</v>
      </c>
      <c r="F437" s="14">
        <v>24880709.359999999</v>
      </c>
      <c r="G437" s="14">
        <v>0.03</v>
      </c>
      <c r="H437" s="10"/>
      <c r="I437" s="10"/>
    </row>
    <row r="438" spans="1:9">
      <c r="A438" s="10" t="s">
        <v>1014</v>
      </c>
      <c r="B438" s="124" t="s">
        <v>490</v>
      </c>
      <c r="C438" s="124" t="s">
        <v>319</v>
      </c>
      <c r="D438" s="12">
        <v>28000000</v>
      </c>
      <c r="E438" s="82">
        <v>0.98515523429999996</v>
      </c>
      <c r="F438" s="14">
        <v>27584346.559999999</v>
      </c>
      <c r="G438" s="14">
        <v>0.04</v>
      </c>
      <c r="H438" s="10"/>
      <c r="I438" s="10"/>
    </row>
    <row r="439" spans="1:9">
      <c r="A439" s="10" t="s">
        <v>1015</v>
      </c>
      <c r="B439" s="124" t="s">
        <v>482</v>
      </c>
      <c r="C439" s="124" t="s">
        <v>361</v>
      </c>
      <c r="D439" s="12">
        <v>50000000</v>
      </c>
      <c r="E439" s="82">
        <v>0.98983052739999999</v>
      </c>
      <c r="F439" s="14">
        <v>49491526.369999997</v>
      </c>
      <c r="G439" s="14">
        <v>7.0000000000000007E-2</v>
      </c>
      <c r="H439" s="10"/>
      <c r="I439" s="10"/>
    </row>
    <row r="440" spans="1:9">
      <c r="A440" s="10" t="s">
        <v>1016</v>
      </c>
      <c r="B440" s="124" t="s">
        <v>488</v>
      </c>
      <c r="C440" s="124" t="s">
        <v>361</v>
      </c>
      <c r="D440" s="12">
        <v>10000000</v>
      </c>
      <c r="E440" s="82">
        <v>0.98582043689999999</v>
      </c>
      <c r="F440" s="14">
        <v>9858204.3699999992</v>
      </c>
      <c r="G440" s="14">
        <v>0.01</v>
      </c>
      <c r="H440" s="10"/>
      <c r="I440" s="10"/>
    </row>
    <row r="441" spans="1:9">
      <c r="A441" s="10" t="s">
        <v>1017</v>
      </c>
      <c r="B441" s="124" t="s">
        <v>567</v>
      </c>
      <c r="C441" s="124" t="s">
        <v>361</v>
      </c>
      <c r="D441" s="12">
        <v>5000000</v>
      </c>
      <c r="E441" s="82">
        <v>0.95770367739999995</v>
      </c>
      <c r="F441" s="14">
        <v>4788518.3899999997</v>
      </c>
      <c r="G441" s="14">
        <v>0.01</v>
      </c>
      <c r="H441" s="10"/>
      <c r="I441" s="10"/>
    </row>
    <row r="442" spans="1:9">
      <c r="A442" s="10" t="s">
        <v>1018</v>
      </c>
      <c r="B442" s="124" t="s">
        <v>1019</v>
      </c>
      <c r="C442" s="124" t="s">
        <v>361</v>
      </c>
      <c r="D442" s="12">
        <v>5000000</v>
      </c>
      <c r="E442" s="82">
        <v>0.94800275609999995</v>
      </c>
      <c r="F442" s="14">
        <v>4740013.78</v>
      </c>
      <c r="G442" s="14">
        <v>0.01</v>
      </c>
      <c r="H442" s="10"/>
      <c r="I442" s="10"/>
    </row>
    <row r="443" spans="1:9">
      <c r="A443" s="10" t="s">
        <v>1020</v>
      </c>
      <c r="B443" s="124" t="s">
        <v>812</v>
      </c>
      <c r="C443" s="124" t="s">
        <v>361</v>
      </c>
      <c r="D443" s="12">
        <v>5000000</v>
      </c>
      <c r="E443" s="82">
        <v>0.94417724449999996</v>
      </c>
      <c r="F443" s="14">
        <v>4720886.22</v>
      </c>
      <c r="G443" s="14">
        <v>0.01</v>
      </c>
      <c r="H443" s="10"/>
      <c r="I443" s="10"/>
    </row>
    <row r="444" spans="1:9">
      <c r="A444" s="10" t="s">
        <v>1021</v>
      </c>
      <c r="B444" s="124" t="s">
        <v>655</v>
      </c>
      <c r="C444" s="124" t="s">
        <v>361</v>
      </c>
      <c r="D444" s="12">
        <v>5000000</v>
      </c>
      <c r="E444" s="82">
        <v>0.96032421410000002</v>
      </c>
      <c r="F444" s="14">
        <v>4801621.07</v>
      </c>
      <c r="G444" s="14">
        <v>0.01</v>
      </c>
      <c r="H444" s="10"/>
      <c r="I444" s="10"/>
    </row>
    <row r="445" spans="1:9">
      <c r="A445" s="10" t="s">
        <v>1022</v>
      </c>
      <c r="B445" s="124" t="s">
        <v>793</v>
      </c>
      <c r="C445" s="124" t="s">
        <v>361</v>
      </c>
      <c r="D445" s="12">
        <v>5000000</v>
      </c>
      <c r="E445" s="82">
        <v>0.95639870360000001</v>
      </c>
      <c r="F445" s="14">
        <v>4781993.5199999996</v>
      </c>
      <c r="G445" s="14">
        <v>0.01</v>
      </c>
      <c r="H445" s="10"/>
      <c r="I445" s="10"/>
    </row>
    <row r="446" spans="1:9">
      <c r="A446" s="10" t="s">
        <v>1023</v>
      </c>
      <c r="B446" s="124" t="s">
        <v>819</v>
      </c>
      <c r="C446" s="124" t="s">
        <v>361</v>
      </c>
      <c r="D446" s="12">
        <v>5000000</v>
      </c>
      <c r="E446" s="82">
        <v>0.94672418589999996</v>
      </c>
      <c r="F446" s="14">
        <v>4733620.93</v>
      </c>
      <c r="G446" s="14">
        <v>0.01</v>
      </c>
      <c r="H446" s="10"/>
      <c r="I446" s="10"/>
    </row>
    <row r="447" spans="1:9">
      <c r="A447" s="10" t="s">
        <v>1024</v>
      </c>
      <c r="B447" s="124" t="s">
        <v>488</v>
      </c>
      <c r="C447" s="124" t="s">
        <v>361</v>
      </c>
      <c r="D447" s="12">
        <v>10000000</v>
      </c>
      <c r="E447" s="82">
        <v>0.98582043689999999</v>
      </c>
      <c r="F447" s="14">
        <v>9858204.3699999992</v>
      </c>
      <c r="G447" s="14">
        <v>0.01</v>
      </c>
      <c r="H447" s="10"/>
      <c r="I447" s="10"/>
    </row>
    <row r="448" spans="1:9">
      <c r="A448" s="10" t="s">
        <v>1025</v>
      </c>
      <c r="B448" s="124" t="s">
        <v>518</v>
      </c>
      <c r="C448" s="124" t="s">
        <v>361</v>
      </c>
      <c r="D448" s="12">
        <v>12500000</v>
      </c>
      <c r="E448" s="82">
        <v>0.98184264619999995</v>
      </c>
      <c r="F448" s="14">
        <v>12273033.08</v>
      </c>
      <c r="G448" s="14">
        <v>0.02</v>
      </c>
      <c r="H448" s="10"/>
      <c r="I448" s="10"/>
    </row>
    <row r="449" spans="1:9">
      <c r="A449" s="10" t="s">
        <v>1026</v>
      </c>
      <c r="B449" s="124" t="s">
        <v>488</v>
      </c>
      <c r="C449" s="124" t="s">
        <v>361</v>
      </c>
      <c r="D449" s="12">
        <v>8650000</v>
      </c>
      <c r="E449" s="82">
        <v>0.98582043470000003</v>
      </c>
      <c r="F449" s="14">
        <v>8527346.7599999998</v>
      </c>
      <c r="G449" s="14">
        <v>0.01</v>
      </c>
      <c r="H449" s="10"/>
      <c r="I449" s="10"/>
    </row>
    <row r="450" spans="1:9">
      <c r="A450" s="10" t="s">
        <v>1027</v>
      </c>
      <c r="B450" s="124" t="s">
        <v>514</v>
      </c>
      <c r="C450" s="124" t="s">
        <v>361</v>
      </c>
      <c r="D450" s="12">
        <v>8650000</v>
      </c>
      <c r="E450" s="82">
        <v>0.98449090969999997</v>
      </c>
      <c r="F450" s="14">
        <v>8515846.3699999992</v>
      </c>
      <c r="G450" s="14">
        <v>0.01</v>
      </c>
      <c r="H450" s="10"/>
      <c r="I450" s="10"/>
    </row>
    <row r="451" spans="1:9">
      <c r="A451" s="10" t="s">
        <v>1028</v>
      </c>
      <c r="B451" s="124" t="s">
        <v>518</v>
      </c>
      <c r="C451" s="124" t="s">
        <v>361</v>
      </c>
      <c r="D451" s="12">
        <v>8650000</v>
      </c>
      <c r="E451" s="82">
        <v>0.98184264619999995</v>
      </c>
      <c r="F451" s="14">
        <v>8492938.8900000006</v>
      </c>
      <c r="G451" s="14">
        <v>0.01</v>
      </c>
      <c r="H451" s="10"/>
      <c r="I451" s="10"/>
    </row>
    <row r="452" spans="1:9">
      <c r="A452" s="10" t="s">
        <v>1029</v>
      </c>
      <c r="B452" s="124" t="s">
        <v>482</v>
      </c>
      <c r="C452" s="124" t="s">
        <v>361</v>
      </c>
      <c r="D452" s="12">
        <v>8650000</v>
      </c>
      <c r="E452" s="158">
        <v>0.98983052699999996</v>
      </c>
      <c r="F452" s="14">
        <v>8562034.0600000005</v>
      </c>
      <c r="G452" s="14">
        <v>0.01</v>
      </c>
      <c r="H452" s="10"/>
      <c r="I452" s="10"/>
    </row>
    <row r="453" spans="1:9">
      <c r="A453" s="10" t="s">
        <v>1030</v>
      </c>
      <c r="B453" s="124" t="s">
        <v>510</v>
      </c>
      <c r="C453" s="124" t="s">
        <v>361</v>
      </c>
      <c r="D453" s="12">
        <v>8650000</v>
      </c>
      <c r="E453" s="158">
        <v>0.99319730299999998</v>
      </c>
      <c r="F453" s="14">
        <v>8591156.6699999999</v>
      </c>
      <c r="G453" s="14">
        <v>0.01</v>
      </c>
      <c r="H453" s="10"/>
      <c r="I453" s="10"/>
    </row>
    <row r="454" spans="1:9">
      <c r="A454" s="10" t="s">
        <v>1031</v>
      </c>
      <c r="B454" s="124" t="s">
        <v>443</v>
      </c>
      <c r="C454" s="124" t="s">
        <v>361</v>
      </c>
      <c r="D454" s="12">
        <v>8650000</v>
      </c>
      <c r="E454" s="82">
        <v>0.99455041740000005</v>
      </c>
      <c r="F454" s="14">
        <v>8602861.1099999994</v>
      </c>
      <c r="G454" s="14">
        <v>0.01</v>
      </c>
      <c r="H454" s="10"/>
      <c r="I454" s="10"/>
    </row>
    <row r="455" spans="1:9">
      <c r="A455" s="10" t="s">
        <v>1032</v>
      </c>
      <c r="B455" s="124" t="s">
        <v>441</v>
      </c>
      <c r="C455" s="124" t="s">
        <v>361</v>
      </c>
      <c r="D455" s="12">
        <v>8650000</v>
      </c>
      <c r="E455" s="82">
        <v>0.99590724850000001</v>
      </c>
      <c r="F455" s="154">
        <v>8614597.6999999993</v>
      </c>
      <c r="G455" s="14">
        <v>0.01</v>
      </c>
      <c r="H455" s="10"/>
      <c r="I455" s="10"/>
    </row>
    <row r="456" spans="1:9">
      <c r="A456" s="10" t="s">
        <v>1033</v>
      </c>
      <c r="B456" s="124" t="s">
        <v>448</v>
      </c>
      <c r="C456" s="124" t="s">
        <v>361</v>
      </c>
      <c r="D456" s="12">
        <v>8650000</v>
      </c>
      <c r="E456" s="82">
        <v>0.98849022190000002</v>
      </c>
      <c r="F456" s="14">
        <v>8550440.4199999999</v>
      </c>
      <c r="G456" s="14">
        <v>0.01</v>
      </c>
      <c r="H456" s="10"/>
      <c r="I456" s="10"/>
    </row>
    <row r="457" spans="1:9">
      <c r="A457" s="10" t="s">
        <v>1034</v>
      </c>
      <c r="B457" s="124" t="s">
        <v>769</v>
      </c>
      <c r="C457" s="124" t="s">
        <v>361</v>
      </c>
      <c r="D457" s="12">
        <v>20000000</v>
      </c>
      <c r="E457" s="82">
        <v>0.93975294750000005</v>
      </c>
      <c r="F457" s="14">
        <v>18795058.949999999</v>
      </c>
      <c r="G457" s="14">
        <v>0.02</v>
      </c>
      <c r="H457" s="10"/>
      <c r="I457" s="10"/>
    </row>
    <row r="458" spans="1:9">
      <c r="A458" s="10" t="s">
        <v>1035</v>
      </c>
      <c r="B458" s="124" t="s">
        <v>697</v>
      </c>
      <c r="C458" s="124" t="s">
        <v>361</v>
      </c>
      <c r="D458" s="12">
        <v>20000000</v>
      </c>
      <c r="E458" s="82">
        <v>0.94290884220000004</v>
      </c>
      <c r="F458" s="14">
        <v>18858176.84</v>
      </c>
      <c r="G458" s="14">
        <v>0.03</v>
      </c>
      <c r="H458" s="10"/>
      <c r="I458" s="10"/>
    </row>
    <row r="459" spans="1:9">
      <c r="A459" s="10" t="s">
        <v>1036</v>
      </c>
      <c r="B459" s="124" t="s">
        <v>674</v>
      </c>
      <c r="C459" s="124" t="s">
        <v>361</v>
      </c>
      <c r="D459" s="12">
        <v>20000000</v>
      </c>
      <c r="E459" s="82">
        <v>0.94354261750000001</v>
      </c>
      <c r="F459" s="14">
        <v>18870852.350000001</v>
      </c>
      <c r="G459" s="14">
        <v>0.03</v>
      </c>
      <c r="H459" s="10"/>
      <c r="I459" s="10"/>
    </row>
    <row r="460" spans="1:9">
      <c r="A460" s="10" t="s">
        <v>1037</v>
      </c>
      <c r="B460" s="124" t="s">
        <v>812</v>
      </c>
      <c r="C460" s="124" t="s">
        <v>361</v>
      </c>
      <c r="D460" s="12">
        <v>20000000</v>
      </c>
      <c r="E460" s="82">
        <v>0.94417724449999996</v>
      </c>
      <c r="F460" s="14">
        <v>18883544.890000001</v>
      </c>
      <c r="G460" s="14">
        <v>0.03</v>
      </c>
      <c r="H460" s="10"/>
      <c r="I460" s="10"/>
    </row>
    <row r="461" spans="1:9">
      <c r="A461" s="10" t="s">
        <v>1038</v>
      </c>
      <c r="B461" s="124" t="s">
        <v>1039</v>
      </c>
      <c r="C461" s="124" t="s">
        <v>361</v>
      </c>
      <c r="D461" s="12">
        <v>20000000</v>
      </c>
      <c r="E461" s="82">
        <v>0.93912424940000006</v>
      </c>
      <c r="F461" s="14">
        <v>18782484.989999998</v>
      </c>
      <c r="G461" s="14">
        <v>0.02</v>
      </c>
      <c r="H461" s="10"/>
      <c r="I461" s="10"/>
    </row>
    <row r="462" spans="1:9">
      <c r="A462" s="10" t="s">
        <v>1040</v>
      </c>
      <c r="B462" s="124" t="s">
        <v>480</v>
      </c>
      <c r="C462" s="124" t="s">
        <v>361</v>
      </c>
      <c r="D462" s="12">
        <v>6000000</v>
      </c>
      <c r="E462" s="82">
        <v>0.99333244659999997</v>
      </c>
      <c r="F462" s="14">
        <v>5959994.6799999997</v>
      </c>
      <c r="G462" s="14">
        <v>0.01</v>
      </c>
      <c r="H462" s="10"/>
      <c r="I462" s="10"/>
    </row>
    <row r="463" spans="1:9">
      <c r="A463" s="10" t="s">
        <v>1041</v>
      </c>
      <c r="B463" s="124" t="s">
        <v>506</v>
      </c>
      <c r="C463" s="124" t="s">
        <v>361</v>
      </c>
      <c r="D463" s="14">
        <v>2870567.11</v>
      </c>
      <c r="E463" s="82">
        <v>0.99917875810000001</v>
      </c>
      <c r="F463" s="14">
        <v>2868209.68</v>
      </c>
      <c r="G463" s="12">
        <v>0</v>
      </c>
      <c r="H463" s="10"/>
      <c r="I463" s="10"/>
    </row>
    <row r="464" spans="1:9">
      <c r="A464" s="10" t="s">
        <v>1042</v>
      </c>
      <c r="B464" s="124" t="s">
        <v>490</v>
      </c>
      <c r="C464" s="124" t="s">
        <v>361</v>
      </c>
      <c r="D464" s="12">
        <v>125000000</v>
      </c>
      <c r="E464" s="82">
        <v>0.98049754060000005</v>
      </c>
      <c r="F464" s="14">
        <v>122562192.58</v>
      </c>
      <c r="G464" s="14">
        <v>0.16</v>
      </c>
      <c r="H464" s="10"/>
      <c r="I464" s="10"/>
    </row>
    <row r="465" spans="1:9">
      <c r="A465" s="10" t="s">
        <v>1044</v>
      </c>
      <c r="B465" s="124" t="s">
        <v>448</v>
      </c>
      <c r="C465" s="124" t="s">
        <v>155</v>
      </c>
      <c r="D465" s="12">
        <v>10000000</v>
      </c>
      <c r="E465" s="82">
        <v>0.98894549470000004</v>
      </c>
      <c r="F465" s="14">
        <v>9889454.9499999993</v>
      </c>
      <c r="G465" s="14">
        <v>0.01</v>
      </c>
      <c r="H465" s="10"/>
      <c r="I465" s="10"/>
    </row>
    <row r="466" spans="1:9">
      <c r="A466" s="10" t="s">
        <v>1045</v>
      </c>
      <c r="B466" s="124" t="s">
        <v>485</v>
      </c>
      <c r="C466" s="124" t="s">
        <v>155</v>
      </c>
      <c r="D466" s="12">
        <v>5000000</v>
      </c>
      <c r="E466" s="158">
        <v>0.98958900400000005</v>
      </c>
      <c r="F466" s="14">
        <v>4947945.0199999996</v>
      </c>
      <c r="G466" s="14">
        <v>0.01</v>
      </c>
      <c r="H466" s="10"/>
      <c r="I466" s="10"/>
    </row>
    <row r="467" spans="1:9">
      <c r="A467" s="10" t="s">
        <v>1046</v>
      </c>
      <c r="B467" s="124" t="s">
        <v>480</v>
      </c>
      <c r="C467" s="124" t="s">
        <v>155</v>
      </c>
      <c r="D467" s="12">
        <v>5000000</v>
      </c>
      <c r="E467" s="158">
        <v>0.99541836800000005</v>
      </c>
      <c r="F467" s="14">
        <v>4977091.84</v>
      </c>
      <c r="G467" s="14">
        <v>0.01</v>
      </c>
      <c r="H467" s="10"/>
      <c r="I467" s="10"/>
    </row>
    <row r="468" spans="1:9">
      <c r="A468" s="10" t="s">
        <v>1047</v>
      </c>
      <c r="B468" s="124" t="s">
        <v>438</v>
      </c>
      <c r="C468" s="124" t="s">
        <v>155</v>
      </c>
      <c r="D468" s="12">
        <v>5000000</v>
      </c>
      <c r="E468" s="158">
        <v>0.99411701600000002</v>
      </c>
      <c r="F468" s="14">
        <v>4970585.08</v>
      </c>
      <c r="G468" s="14">
        <v>0.01</v>
      </c>
      <c r="H468" s="10"/>
      <c r="I468" s="10"/>
    </row>
    <row r="469" spans="1:9">
      <c r="A469" s="10" t="s">
        <v>1048</v>
      </c>
      <c r="B469" s="124" t="s">
        <v>482</v>
      </c>
      <c r="C469" s="124" t="s">
        <v>155</v>
      </c>
      <c r="D469" s="12">
        <v>5000000</v>
      </c>
      <c r="E469" s="82">
        <v>0.99023334590000001</v>
      </c>
      <c r="F469" s="14">
        <v>4951166.7300000004</v>
      </c>
      <c r="G469" s="14">
        <v>0.01</v>
      </c>
      <c r="H469" s="10"/>
      <c r="I469" s="10"/>
    </row>
    <row r="470" spans="1:9">
      <c r="A470" s="10" t="s">
        <v>1049</v>
      </c>
      <c r="B470" s="124" t="s">
        <v>488</v>
      </c>
      <c r="C470" s="124" t="s">
        <v>155</v>
      </c>
      <c r="D470" s="12">
        <v>50000000</v>
      </c>
      <c r="E470" s="82">
        <v>0.98192188170000005</v>
      </c>
      <c r="F470" s="14">
        <v>49096094.090000004</v>
      </c>
      <c r="G470" s="14">
        <v>7.0000000000000007E-2</v>
      </c>
      <c r="H470" s="10"/>
      <c r="I470" s="10"/>
    </row>
    <row r="471" spans="1:9">
      <c r="A471" s="10" t="s">
        <v>1050</v>
      </c>
      <c r="B471" s="124" t="s">
        <v>490</v>
      </c>
      <c r="C471" s="124" t="s">
        <v>155</v>
      </c>
      <c r="D471" s="12">
        <v>50000000</v>
      </c>
      <c r="E471" s="82">
        <v>0.98107736209999996</v>
      </c>
      <c r="F471" s="14">
        <v>49053868.109999999</v>
      </c>
      <c r="G471" s="14">
        <v>7.0000000000000007E-2</v>
      </c>
      <c r="H471" s="10"/>
      <c r="I471" s="10"/>
    </row>
    <row r="472" spans="1:9">
      <c r="A472" s="10" t="s">
        <v>1051</v>
      </c>
      <c r="B472" s="124" t="s">
        <v>490</v>
      </c>
      <c r="C472" s="124" t="s">
        <v>155</v>
      </c>
      <c r="D472" s="12">
        <v>100000000</v>
      </c>
      <c r="E472" s="82">
        <v>0.98107736209999996</v>
      </c>
      <c r="F472" s="14">
        <v>98107736.209999993</v>
      </c>
      <c r="G472" s="14">
        <v>0.13</v>
      </c>
      <c r="H472" s="10"/>
      <c r="I472" s="10"/>
    </row>
    <row r="473" spans="1:9">
      <c r="A473" s="10" t="s">
        <v>1052</v>
      </c>
      <c r="B473" s="124" t="s">
        <v>518</v>
      </c>
      <c r="C473" s="124" t="s">
        <v>155</v>
      </c>
      <c r="D473" s="12">
        <v>20000000</v>
      </c>
      <c r="E473" s="82">
        <v>0.97476302510000001</v>
      </c>
      <c r="F473" s="154">
        <v>19495260.5</v>
      </c>
      <c r="G473" s="14">
        <v>0.03</v>
      </c>
      <c r="H473" s="10"/>
      <c r="I473" s="10"/>
    </row>
    <row r="474" spans="1:9">
      <c r="A474" s="10" t="s">
        <v>1053</v>
      </c>
      <c r="B474" s="124" t="s">
        <v>583</v>
      </c>
      <c r="C474" s="124" t="s">
        <v>155</v>
      </c>
      <c r="D474" s="14">
        <v>15040535.109999999</v>
      </c>
      <c r="E474" s="82">
        <v>0.95592290140000002</v>
      </c>
      <c r="F474" s="14">
        <v>14377591.960000001</v>
      </c>
      <c r="G474" s="14">
        <v>0.02</v>
      </c>
      <c r="H474" s="10"/>
      <c r="I474" s="10"/>
    </row>
    <row r="475" spans="1:9">
      <c r="A475" s="10" t="s">
        <v>1054</v>
      </c>
      <c r="B475" s="124" t="s">
        <v>502</v>
      </c>
      <c r="C475" s="124" t="s">
        <v>155</v>
      </c>
      <c r="D475" s="14">
        <v>15040535.109999999</v>
      </c>
      <c r="E475" s="82">
        <v>0.95099140280000005</v>
      </c>
      <c r="F475" s="14">
        <v>14303419.58</v>
      </c>
      <c r="G475" s="14">
        <v>0.02</v>
      </c>
      <c r="H475" s="10"/>
      <c r="I475" s="10"/>
    </row>
    <row r="476" spans="1:9">
      <c r="A476" s="10" t="s">
        <v>1055</v>
      </c>
      <c r="B476" s="124" t="s">
        <v>655</v>
      </c>
      <c r="C476" s="124" t="s">
        <v>155</v>
      </c>
      <c r="D476" s="12">
        <v>300000000</v>
      </c>
      <c r="E476" s="82">
        <v>0.95017454180000005</v>
      </c>
      <c r="F476" s="14">
        <v>285052362.54000002</v>
      </c>
      <c r="G476" s="14">
        <v>0.38</v>
      </c>
      <c r="H476" s="10"/>
      <c r="I476" s="10"/>
    </row>
    <row r="477" spans="1:9">
      <c r="A477" s="10" t="s">
        <v>1056</v>
      </c>
      <c r="B477" s="124" t="s">
        <v>883</v>
      </c>
      <c r="C477" s="124" t="s">
        <v>155</v>
      </c>
      <c r="D477" s="12">
        <v>85000000</v>
      </c>
      <c r="E477" s="82">
        <v>0.96425653259999999</v>
      </c>
      <c r="F477" s="14">
        <v>81961805.269999996</v>
      </c>
      <c r="G477" s="14">
        <v>0.11</v>
      </c>
      <c r="H477" s="10"/>
      <c r="I477" s="10"/>
    </row>
    <row r="478" spans="1:9">
      <c r="A478" s="10" t="s">
        <v>1057</v>
      </c>
      <c r="B478" s="124" t="s">
        <v>510</v>
      </c>
      <c r="C478" s="124" t="s">
        <v>155</v>
      </c>
      <c r="D478" s="12">
        <v>85000000</v>
      </c>
      <c r="E478" s="82">
        <v>0.99103991629999999</v>
      </c>
      <c r="F478" s="14">
        <v>84238392.890000001</v>
      </c>
      <c r="G478" s="14">
        <v>0.11</v>
      </c>
      <c r="H478" s="10"/>
      <c r="I478" s="10"/>
    </row>
    <row r="479" spans="1:9">
      <c r="A479" s="10" t="s">
        <v>1058</v>
      </c>
      <c r="B479" s="124" t="s">
        <v>480</v>
      </c>
      <c r="C479" s="124" t="s">
        <v>155</v>
      </c>
      <c r="D479" s="12">
        <v>5000000</v>
      </c>
      <c r="E479" s="82">
        <v>0.99371106190000003</v>
      </c>
      <c r="F479" s="14">
        <v>4968555.3099999996</v>
      </c>
      <c r="G479" s="14">
        <v>0.01</v>
      </c>
      <c r="H479" s="10"/>
      <c r="I479" s="10"/>
    </row>
    <row r="480" spans="1:9">
      <c r="A480" s="10" t="s">
        <v>1059</v>
      </c>
      <c r="B480" s="124" t="s">
        <v>438</v>
      </c>
      <c r="C480" s="124" t="s">
        <v>155</v>
      </c>
      <c r="D480" s="12">
        <v>5000000</v>
      </c>
      <c r="E480" s="82">
        <v>0.99192870590000004</v>
      </c>
      <c r="F480" s="14">
        <v>4959643.53</v>
      </c>
      <c r="G480" s="14">
        <v>0.01</v>
      </c>
      <c r="H480" s="10"/>
      <c r="I480" s="10"/>
    </row>
    <row r="481" spans="1:9">
      <c r="A481" s="10" t="s">
        <v>1060</v>
      </c>
      <c r="B481" s="124" t="s">
        <v>506</v>
      </c>
      <c r="C481" s="124" t="s">
        <v>155</v>
      </c>
      <c r="D481" s="12">
        <v>5000000</v>
      </c>
      <c r="E481" s="21">
        <v>0.99909671</v>
      </c>
      <c r="F481" s="14">
        <v>4995483.55</v>
      </c>
      <c r="G481" s="14">
        <v>0.01</v>
      </c>
      <c r="H481" s="10"/>
      <c r="I481" s="10"/>
    </row>
    <row r="482" spans="1:9">
      <c r="A482" s="10" t="s">
        <v>1061</v>
      </c>
      <c r="B482" s="124" t="s">
        <v>474</v>
      </c>
      <c r="C482" s="124" t="s">
        <v>155</v>
      </c>
      <c r="D482" s="12">
        <v>5000000</v>
      </c>
      <c r="E482" s="158">
        <v>0.99729500800000004</v>
      </c>
      <c r="F482" s="14">
        <v>4986475.04</v>
      </c>
      <c r="G482" s="14">
        <v>0.01</v>
      </c>
      <c r="H482" s="10"/>
      <c r="I482" s="10"/>
    </row>
    <row r="483" spans="1:9">
      <c r="A483" s="10" t="s">
        <v>1066</v>
      </c>
      <c r="B483" s="124" t="s">
        <v>474</v>
      </c>
      <c r="C483" s="124" t="s">
        <v>365</v>
      </c>
      <c r="D483" s="12">
        <v>6500000</v>
      </c>
      <c r="E483" s="82">
        <v>0.99713154309999996</v>
      </c>
      <c r="F483" s="14">
        <v>6481355.0300000003</v>
      </c>
      <c r="G483" s="14">
        <v>0.01</v>
      </c>
      <c r="H483" s="10"/>
      <c r="I483" s="10"/>
    </row>
    <row r="484" spans="1:9">
      <c r="A484" s="10" t="s">
        <v>1067</v>
      </c>
      <c r="B484" s="124" t="s">
        <v>516</v>
      </c>
      <c r="C484" s="124" t="s">
        <v>365</v>
      </c>
      <c r="D484" s="12">
        <v>10000000</v>
      </c>
      <c r="E484" s="82">
        <v>0.97813274979999998</v>
      </c>
      <c r="F484" s="154">
        <v>9781327.5</v>
      </c>
      <c r="G484" s="14">
        <v>0.01</v>
      </c>
      <c r="H484" s="10"/>
      <c r="I484" s="10"/>
    </row>
    <row r="485" spans="1:9">
      <c r="A485" s="10" t="s">
        <v>1068</v>
      </c>
      <c r="B485" s="124" t="s">
        <v>574</v>
      </c>
      <c r="C485" s="124" t="s">
        <v>365</v>
      </c>
      <c r="D485" s="12">
        <v>40000000</v>
      </c>
      <c r="E485" s="82">
        <v>0.96858093089999997</v>
      </c>
      <c r="F485" s="14">
        <v>38743237.240000002</v>
      </c>
      <c r="G485" s="14">
        <v>0.05</v>
      </c>
      <c r="H485" s="10"/>
      <c r="I485" s="10"/>
    </row>
    <row r="486" spans="1:9">
      <c r="A486" s="10" t="s">
        <v>1069</v>
      </c>
      <c r="B486" s="124" t="s">
        <v>883</v>
      </c>
      <c r="C486" s="124" t="s">
        <v>365</v>
      </c>
      <c r="D486" s="12">
        <v>40000000</v>
      </c>
      <c r="E486" s="82">
        <v>0.9653021168</v>
      </c>
      <c r="F486" s="14">
        <v>38612084.670000002</v>
      </c>
      <c r="G486" s="14">
        <v>0.05</v>
      </c>
      <c r="H486" s="10"/>
      <c r="I486" s="10"/>
    </row>
    <row r="487" spans="1:9">
      <c r="A487" s="10" t="s">
        <v>1070</v>
      </c>
      <c r="B487" s="124" t="s">
        <v>593</v>
      </c>
      <c r="C487" s="124" t="s">
        <v>365</v>
      </c>
      <c r="D487" s="12">
        <v>40000000</v>
      </c>
      <c r="E487" s="82">
        <v>0.96448585009999999</v>
      </c>
      <c r="F487" s="12">
        <v>38579434</v>
      </c>
      <c r="G487" s="14">
        <v>0.05</v>
      </c>
      <c r="H487" s="10"/>
      <c r="I487" s="10"/>
    </row>
    <row r="488" spans="1:9">
      <c r="A488" s="10" t="s">
        <v>1071</v>
      </c>
      <c r="B488" s="124" t="s">
        <v>728</v>
      </c>
      <c r="C488" s="124" t="s">
        <v>365</v>
      </c>
      <c r="D488" s="12">
        <v>1391500</v>
      </c>
      <c r="E488" s="82">
        <v>0.99824965139999999</v>
      </c>
      <c r="F488" s="14">
        <v>1389064.39</v>
      </c>
      <c r="G488" s="12">
        <v>0</v>
      </c>
      <c r="H488" s="10"/>
      <c r="I488" s="10"/>
    </row>
    <row r="489" spans="1:9">
      <c r="A489" s="10" t="s">
        <v>1073</v>
      </c>
      <c r="B489" s="124" t="s">
        <v>474</v>
      </c>
      <c r="C489" s="124" t="s">
        <v>365</v>
      </c>
      <c r="D489" s="14">
        <v>21607710.25</v>
      </c>
      <c r="E489" s="158">
        <v>0.99737676600000003</v>
      </c>
      <c r="F489" s="14">
        <v>21551028.170000002</v>
      </c>
      <c r="G489" s="14">
        <v>0.03</v>
      </c>
      <c r="H489" s="10"/>
      <c r="I489" s="10"/>
    </row>
    <row r="490" spans="1:9">
      <c r="A490" s="10" t="s">
        <v>1075</v>
      </c>
      <c r="B490" s="124" t="s">
        <v>506</v>
      </c>
      <c r="C490" s="124" t="s">
        <v>365</v>
      </c>
      <c r="D490" s="154">
        <v>2097348.4</v>
      </c>
      <c r="E490" s="82">
        <v>0.99912406060000003</v>
      </c>
      <c r="F490" s="14">
        <v>2095511.25</v>
      </c>
      <c r="G490" s="12">
        <v>0</v>
      </c>
      <c r="H490" s="10"/>
      <c r="I490" s="10"/>
    </row>
    <row r="491" spans="1:9">
      <c r="A491" s="10" t="s">
        <v>1076</v>
      </c>
      <c r="B491" s="124" t="s">
        <v>680</v>
      </c>
      <c r="C491" s="124" t="s">
        <v>365</v>
      </c>
      <c r="D491" s="14">
        <v>11829797.539999999</v>
      </c>
      <c r="E491" s="82">
        <v>0.96940403980000001</v>
      </c>
      <c r="F491" s="14">
        <v>11467853.529999999</v>
      </c>
      <c r="G491" s="14">
        <v>0.02</v>
      </c>
      <c r="H491" s="10"/>
      <c r="I491" s="10"/>
    </row>
    <row r="492" spans="1:9">
      <c r="A492" s="10" t="s">
        <v>1077</v>
      </c>
      <c r="B492" s="124" t="s">
        <v>680</v>
      </c>
      <c r="C492" s="124" t="s">
        <v>365</v>
      </c>
      <c r="D492" s="14">
        <v>16498838.289999999</v>
      </c>
      <c r="E492" s="82">
        <v>0.96940403980000001</v>
      </c>
      <c r="F492" s="14">
        <v>15994040.49</v>
      </c>
      <c r="G492" s="14">
        <v>0.02</v>
      </c>
      <c r="H492" s="10"/>
      <c r="I492" s="10"/>
    </row>
    <row r="493" spans="1:9">
      <c r="A493" s="10" t="s">
        <v>1078</v>
      </c>
      <c r="B493" s="124" t="s">
        <v>680</v>
      </c>
      <c r="C493" s="124" t="s">
        <v>365</v>
      </c>
      <c r="D493" s="154">
        <v>11490967.4</v>
      </c>
      <c r="E493" s="82">
        <v>0.96940403980000001</v>
      </c>
      <c r="F493" s="14">
        <v>11139390.220000001</v>
      </c>
      <c r="G493" s="14">
        <v>0.01</v>
      </c>
      <c r="H493" s="10"/>
      <c r="I493" s="10"/>
    </row>
    <row r="494" spans="1:9">
      <c r="A494" s="10" t="s">
        <v>1079</v>
      </c>
      <c r="B494" s="124" t="s">
        <v>660</v>
      </c>
      <c r="C494" s="124" t="s">
        <v>365</v>
      </c>
      <c r="D494" s="14">
        <v>11829797.539999999</v>
      </c>
      <c r="E494" s="82">
        <v>0.97022865329999997</v>
      </c>
      <c r="F494" s="14">
        <v>11477608.539999999</v>
      </c>
      <c r="G494" s="14">
        <v>0.02</v>
      </c>
      <c r="H494" s="10"/>
      <c r="I494" s="10"/>
    </row>
    <row r="495" spans="1:9">
      <c r="A495" s="10" t="s">
        <v>1080</v>
      </c>
      <c r="B495" s="124" t="s">
        <v>660</v>
      </c>
      <c r="C495" s="124" t="s">
        <v>365</v>
      </c>
      <c r="D495" s="14">
        <v>16498838.289999999</v>
      </c>
      <c r="E495" s="82">
        <v>0.97022865329999997</v>
      </c>
      <c r="F495" s="14">
        <v>16007645.66</v>
      </c>
      <c r="G495" s="14">
        <v>0.02</v>
      </c>
      <c r="H495" s="10"/>
      <c r="I495" s="10"/>
    </row>
    <row r="496" spans="1:9">
      <c r="A496" s="10" t="s">
        <v>1081</v>
      </c>
      <c r="B496" s="124" t="s">
        <v>524</v>
      </c>
      <c r="C496" s="124" t="s">
        <v>365</v>
      </c>
      <c r="D496" s="14">
        <v>11829797.539999999</v>
      </c>
      <c r="E496" s="82">
        <v>0.97105467010000002</v>
      </c>
      <c r="F496" s="14">
        <v>11487380.15</v>
      </c>
      <c r="G496" s="14">
        <v>0.02</v>
      </c>
      <c r="H496" s="10"/>
      <c r="I496" s="10"/>
    </row>
    <row r="497" spans="1:9">
      <c r="A497" s="10" t="s">
        <v>1082</v>
      </c>
      <c r="B497" s="124" t="s">
        <v>680</v>
      </c>
      <c r="C497" s="124" t="s">
        <v>365</v>
      </c>
      <c r="D497" s="14">
        <v>9142894.3200000003</v>
      </c>
      <c r="E497" s="82">
        <v>0.96940403980000001</v>
      </c>
      <c r="F497" s="14">
        <v>8863158.6899999995</v>
      </c>
      <c r="G497" s="14">
        <v>0.01</v>
      </c>
      <c r="H497" s="10"/>
      <c r="I497" s="10"/>
    </row>
    <row r="498" spans="1:9">
      <c r="A498" s="10" t="s">
        <v>1088</v>
      </c>
      <c r="B498" s="124" t="s">
        <v>490</v>
      </c>
      <c r="C498" s="124" t="s">
        <v>433</v>
      </c>
      <c r="D498" s="14">
        <v>2502550.36</v>
      </c>
      <c r="E498" s="82">
        <v>0.98049752720000005</v>
      </c>
      <c r="F498" s="14">
        <v>2453744.44</v>
      </c>
      <c r="G498" s="12">
        <v>0</v>
      </c>
      <c r="H498" s="10"/>
      <c r="I498" s="10"/>
    </row>
    <row r="499" spans="1:9">
      <c r="A499" s="10" t="s">
        <v>1089</v>
      </c>
      <c r="B499" s="124" t="s">
        <v>518</v>
      </c>
      <c r="C499" s="124" t="s">
        <v>433</v>
      </c>
      <c r="D499" s="14">
        <v>2502550.36</v>
      </c>
      <c r="E499" s="82">
        <v>0.97617082089999996</v>
      </c>
      <c r="F499" s="14">
        <v>2442916.64</v>
      </c>
      <c r="G499" s="12">
        <v>0</v>
      </c>
      <c r="H499" s="10"/>
      <c r="I499" s="10"/>
    </row>
    <row r="500" spans="1:9">
      <c r="A500" s="10" t="s">
        <v>1090</v>
      </c>
      <c r="B500" s="124" t="s">
        <v>522</v>
      </c>
      <c r="C500" s="124" t="s">
        <v>433</v>
      </c>
      <c r="D500" s="14">
        <v>2502550.36</v>
      </c>
      <c r="E500" s="82">
        <v>0.97359296279999996</v>
      </c>
      <c r="F500" s="14">
        <v>2436465.42</v>
      </c>
      <c r="G500" s="12">
        <v>0</v>
      </c>
      <c r="H500" s="10"/>
      <c r="I500" s="10"/>
    </row>
    <row r="501" spans="1:9">
      <c r="A501" s="10" t="s">
        <v>1091</v>
      </c>
      <c r="B501" s="124" t="s">
        <v>522</v>
      </c>
      <c r="C501" s="124" t="s">
        <v>433</v>
      </c>
      <c r="D501" s="14">
        <v>2502550.36</v>
      </c>
      <c r="E501" s="82">
        <v>0.97359296279999996</v>
      </c>
      <c r="F501" s="14">
        <v>2436465.42</v>
      </c>
      <c r="G501" s="12">
        <v>0</v>
      </c>
      <c r="H501" s="10"/>
      <c r="I501" s="10"/>
    </row>
    <row r="502" spans="1:9">
      <c r="A502" s="10" t="s">
        <v>1092</v>
      </c>
      <c r="B502" s="124" t="s">
        <v>766</v>
      </c>
      <c r="C502" s="124" t="s">
        <v>433</v>
      </c>
      <c r="D502" s="14">
        <v>2502550.36</v>
      </c>
      <c r="E502" s="82">
        <v>0.97273680019999997</v>
      </c>
      <c r="F502" s="14">
        <v>2434322.83</v>
      </c>
      <c r="G502" s="12">
        <v>0</v>
      </c>
      <c r="H502" s="10"/>
      <c r="I502" s="10"/>
    </row>
    <row r="503" spans="1:9">
      <c r="A503" s="10" t="s">
        <v>1093</v>
      </c>
      <c r="B503" s="124" t="s">
        <v>529</v>
      </c>
      <c r="C503" s="124" t="s">
        <v>433</v>
      </c>
      <c r="D503" s="14">
        <v>2502550.36</v>
      </c>
      <c r="E503" s="82">
        <v>0.98223903059999995</v>
      </c>
      <c r="F503" s="14">
        <v>2458102.64</v>
      </c>
      <c r="G503" s="12">
        <v>0</v>
      </c>
      <c r="H503" s="10"/>
      <c r="I503" s="10"/>
    </row>
    <row r="504" spans="1:9">
      <c r="A504" s="10" t="s">
        <v>1094</v>
      </c>
      <c r="B504" s="124" t="s">
        <v>529</v>
      </c>
      <c r="C504" s="124" t="s">
        <v>433</v>
      </c>
      <c r="D504" s="14">
        <v>2502550.36</v>
      </c>
      <c r="E504" s="82">
        <v>0.98223903059999995</v>
      </c>
      <c r="F504" s="14">
        <v>2458102.64</v>
      </c>
      <c r="G504" s="12">
        <v>0</v>
      </c>
      <c r="H504" s="10"/>
      <c r="I504" s="10"/>
    </row>
    <row r="505" spans="1:9">
      <c r="A505" s="10" t="s">
        <v>1095</v>
      </c>
      <c r="B505" s="124" t="s">
        <v>490</v>
      </c>
      <c r="C505" s="124" t="s">
        <v>433</v>
      </c>
      <c r="D505" s="14">
        <v>2502550.36</v>
      </c>
      <c r="E505" s="82">
        <v>0.98049752720000005</v>
      </c>
      <c r="F505" s="14">
        <v>2453744.44</v>
      </c>
      <c r="G505" s="12">
        <v>0</v>
      </c>
      <c r="H505" s="10"/>
      <c r="I505" s="10"/>
    </row>
    <row r="506" spans="1:9">
      <c r="A506" s="10" t="s">
        <v>1096</v>
      </c>
      <c r="B506" s="124" t="s">
        <v>516</v>
      </c>
      <c r="C506" s="124" t="s">
        <v>433</v>
      </c>
      <c r="D506" s="14">
        <v>2502550.36</v>
      </c>
      <c r="E506" s="82">
        <v>0.97876226150000001</v>
      </c>
      <c r="F506" s="14">
        <v>2449401.85</v>
      </c>
      <c r="G506" s="12">
        <v>0</v>
      </c>
      <c r="H506" s="10"/>
      <c r="I506" s="10"/>
    </row>
    <row r="507" spans="1:9">
      <c r="A507" s="10" t="s">
        <v>1097</v>
      </c>
      <c r="B507" s="124" t="s">
        <v>516</v>
      </c>
      <c r="C507" s="124" t="s">
        <v>433</v>
      </c>
      <c r="D507" s="14">
        <v>2502550.36</v>
      </c>
      <c r="E507" s="82">
        <v>0.97876226150000001</v>
      </c>
      <c r="F507" s="14">
        <v>2449401.85</v>
      </c>
      <c r="G507" s="12">
        <v>0</v>
      </c>
      <c r="H507" s="10"/>
      <c r="I507" s="10"/>
    </row>
    <row r="508" spans="1:9">
      <c r="A508" s="10" t="s">
        <v>1098</v>
      </c>
      <c r="B508" s="124" t="s">
        <v>518</v>
      </c>
      <c r="C508" s="124" t="s">
        <v>433</v>
      </c>
      <c r="D508" s="14">
        <v>2502550.36</v>
      </c>
      <c r="E508" s="82">
        <v>0.97617082089999996</v>
      </c>
      <c r="F508" s="14">
        <v>2442916.64</v>
      </c>
      <c r="G508" s="12">
        <v>0</v>
      </c>
      <c r="H508" s="10"/>
      <c r="I508" s="10"/>
    </row>
    <row r="509" spans="1:9">
      <c r="A509" s="10" t="s">
        <v>1099</v>
      </c>
      <c r="B509" s="124" t="s">
        <v>518</v>
      </c>
      <c r="C509" s="124" t="s">
        <v>433</v>
      </c>
      <c r="D509" s="12">
        <v>10000000</v>
      </c>
      <c r="E509" s="82">
        <v>0.97546644319999998</v>
      </c>
      <c r="F509" s="14">
        <v>9754664.4299999997</v>
      </c>
      <c r="G509" s="14">
        <v>0.01</v>
      </c>
      <c r="H509" s="10"/>
      <c r="I509" s="10"/>
    </row>
    <row r="510" spans="1:9">
      <c r="A510" s="10" t="s">
        <v>1105</v>
      </c>
      <c r="B510" s="124" t="s">
        <v>518</v>
      </c>
      <c r="C510" s="124" t="s">
        <v>362</v>
      </c>
      <c r="D510" s="12">
        <v>100000000</v>
      </c>
      <c r="E510" s="82">
        <v>0.97687615930000005</v>
      </c>
      <c r="F510" s="14">
        <v>97687615.930000007</v>
      </c>
      <c r="G510" s="14">
        <v>0.13</v>
      </c>
      <c r="H510" s="10"/>
      <c r="I510" s="10"/>
    </row>
    <row r="511" spans="1:9">
      <c r="A511" s="10" t="s">
        <v>1106</v>
      </c>
      <c r="B511" s="124" t="s">
        <v>485</v>
      </c>
      <c r="C511" s="124" t="s">
        <v>362</v>
      </c>
      <c r="D511" s="14">
        <v>2531175.63</v>
      </c>
      <c r="E511" s="82">
        <v>0.98702003130000004</v>
      </c>
      <c r="F511" s="14">
        <v>2498321.0499999998</v>
      </c>
      <c r="G511" s="12">
        <v>0</v>
      </c>
      <c r="H511" s="10"/>
      <c r="I511" s="10"/>
    </row>
    <row r="512" spans="1:9">
      <c r="A512" s="10" t="s">
        <v>1107</v>
      </c>
      <c r="B512" s="124" t="s">
        <v>506</v>
      </c>
      <c r="C512" s="124" t="s">
        <v>362</v>
      </c>
      <c r="D512" s="12">
        <v>1500000</v>
      </c>
      <c r="E512" s="21">
        <v>0.99917876000000005</v>
      </c>
      <c r="F512" s="14">
        <v>1498768.14</v>
      </c>
      <c r="G512" s="12">
        <v>0</v>
      </c>
      <c r="H512" s="10"/>
      <c r="I512" s="10"/>
    </row>
    <row r="513" spans="1:9">
      <c r="A513" s="10" t="s">
        <v>1108</v>
      </c>
      <c r="B513" s="124" t="s">
        <v>474</v>
      </c>
      <c r="C513" s="124" t="s">
        <v>362</v>
      </c>
      <c r="D513" s="12">
        <v>1500000</v>
      </c>
      <c r="E513" s="82">
        <v>0.99754032670000004</v>
      </c>
      <c r="F513" s="14">
        <v>1496310.49</v>
      </c>
      <c r="G513" s="12">
        <v>0</v>
      </c>
      <c r="H513" s="10"/>
      <c r="I513" s="10"/>
    </row>
    <row r="514" spans="1:9">
      <c r="A514" s="10" t="s">
        <v>1109</v>
      </c>
      <c r="B514" s="124" t="s">
        <v>474</v>
      </c>
      <c r="C514" s="124" t="s">
        <v>362</v>
      </c>
      <c r="D514" s="14">
        <v>11504835.23</v>
      </c>
      <c r="E514" s="158">
        <v>0.99729501899999995</v>
      </c>
      <c r="F514" s="14">
        <v>11473714.869999999</v>
      </c>
      <c r="G514" s="14">
        <v>0.02</v>
      </c>
      <c r="H514" s="10"/>
      <c r="I514" s="10"/>
    </row>
    <row r="515" spans="1:9">
      <c r="A515" s="10" t="s">
        <v>1110</v>
      </c>
      <c r="B515" s="124" t="s">
        <v>502</v>
      </c>
      <c r="C515" s="124" t="s">
        <v>362</v>
      </c>
      <c r="D515" s="14">
        <v>5898583.8099999996</v>
      </c>
      <c r="E515" s="82">
        <v>0.95099137879999995</v>
      </c>
      <c r="F515" s="14">
        <v>5609502.3499999996</v>
      </c>
      <c r="G515" s="14">
        <v>0.01</v>
      </c>
      <c r="H515" s="10"/>
      <c r="I515" s="10"/>
    </row>
    <row r="516" spans="1:9">
      <c r="A516" s="10" t="s">
        <v>1111</v>
      </c>
      <c r="B516" s="124" t="s">
        <v>516</v>
      </c>
      <c r="C516" s="124" t="s">
        <v>362</v>
      </c>
      <c r="D516" s="14">
        <v>24012581.18</v>
      </c>
      <c r="E516" s="82">
        <v>0.97876220670000003</v>
      </c>
      <c r="F516" s="14">
        <v>23502606.940000001</v>
      </c>
      <c r="G516" s="14">
        <v>0.03</v>
      </c>
      <c r="H516" s="10"/>
      <c r="I516" s="10"/>
    </row>
    <row r="517" spans="1:9">
      <c r="A517" s="10" t="s">
        <v>1112</v>
      </c>
      <c r="B517" s="124" t="s">
        <v>474</v>
      </c>
      <c r="C517" s="124" t="s">
        <v>362</v>
      </c>
      <c r="D517" s="14">
        <v>2113037.46</v>
      </c>
      <c r="E517" s="82">
        <v>0.99729501710000001</v>
      </c>
      <c r="F517" s="14">
        <v>2107321.73</v>
      </c>
      <c r="G517" s="12">
        <v>0</v>
      </c>
      <c r="H517" s="10"/>
      <c r="I517" s="10"/>
    </row>
    <row r="518" spans="1:9">
      <c r="A518" s="10" t="s">
        <v>1113</v>
      </c>
      <c r="B518" s="124" t="s">
        <v>504</v>
      </c>
      <c r="C518" s="124" t="s">
        <v>362</v>
      </c>
      <c r="D518" s="14">
        <v>4296661.99</v>
      </c>
      <c r="E518" s="82">
        <v>0.96257823190000003</v>
      </c>
      <c r="F518" s="154">
        <v>4135873.3</v>
      </c>
      <c r="G518" s="14">
        <v>0.01</v>
      </c>
      <c r="H518" s="10"/>
      <c r="I518" s="10"/>
    </row>
    <row r="519" spans="1:9">
      <c r="A519" s="10" t="s">
        <v>1114</v>
      </c>
      <c r="B519" s="124" t="s">
        <v>518</v>
      </c>
      <c r="C519" s="124" t="s">
        <v>362</v>
      </c>
      <c r="D519" s="12">
        <v>50000000</v>
      </c>
      <c r="E519" s="82">
        <v>0.97476300959999995</v>
      </c>
      <c r="F519" s="14">
        <v>48738150.479999997</v>
      </c>
      <c r="G519" s="14">
        <v>0.06</v>
      </c>
      <c r="H519" s="10"/>
      <c r="I519" s="10"/>
    </row>
    <row r="520" spans="1:9">
      <c r="A520" s="10" t="s">
        <v>1121</v>
      </c>
      <c r="B520" s="124" t="s">
        <v>485</v>
      </c>
      <c r="C520" s="124" t="s">
        <v>364</v>
      </c>
      <c r="D520" s="12">
        <v>1600000</v>
      </c>
      <c r="E520" s="82">
        <v>0.98830283109999995</v>
      </c>
      <c r="F520" s="14">
        <v>1581284.53</v>
      </c>
      <c r="G520" s="12">
        <v>0</v>
      </c>
      <c r="H520" s="10"/>
      <c r="I520" s="10"/>
    </row>
    <row r="521" spans="1:9">
      <c r="A521" s="10" t="s">
        <v>1122</v>
      </c>
      <c r="B521" s="124" t="s">
        <v>485</v>
      </c>
      <c r="C521" s="124" t="s">
        <v>364</v>
      </c>
      <c r="D521" s="12">
        <v>19000000</v>
      </c>
      <c r="E521" s="82">
        <v>0.98830283109999995</v>
      </c>
      <c r="F521" s="14">
        <v>18777753.789999999</v>
      </c>
      <c r="G521" s="14">
        <v>0.02</v>
      </c>
      <c r="H521" s="10"/>
      <c r="I521" s="10"/>
    </row>
    <row r="522" spans="1:9">
      <c r="A522" s="10" t="s">
        <v>1123</v>
      </c>
      <c r="B522" s="124" t="s">
        <v>485</v>
      </c>
      <c r="C522" s="124" t="s">
        <v>364</v>
      </c>
      <c r="D522" s="12">
        <v>8100000</v>
      </c>
      <c r="E522" s="82">
        <v>0.98830282940000003</v>
      </c>
      <c r="F522" s="14">
        <v>8005252.9199999999</v>
      </c>
      <c r="G522" s="14">
        <v>0.01</v>
      </c>
      <c r="H522" s="10"/>
      <c r="I522" s="10"/>
    </row>
    <row r="523" spans="1:9">
      <c r="A523" s="10" t="s">
        <v>1124</v>
      </c>
      <c r="B523" s="124" t="s">
        <v>485</v>
      </c>
      <c r="C523" s="124" t="s">
        <v>364</v>
      </c>
      <c r="D523" s="12">
        <v>2000000</v>
      </c>
      <c r="E523" s="82">
        <v>0.98830284479999997</v>
      </c>
      <c r="F523" s="14">
        <v>1976605.69</v>
      </c>
      <c r="G523" s="12">
        <v>0</v>
      </c>
      <c r="H523" s="10"/>
      <c r="I523" s="10"/>
    </row>
    <row r="524" spans="1:9">
      <c r="A524" s="10" t="s">
        <v>1125</v>
      </c>
      <c r="B524" s="124" t="s">
        <v>485</v>
      </c>
      <c r="C524" s="124" t="s">
        <v>364</v>
      </c>
      <c r="D524" s="12">
        <v>13000000</v>
      </c>
      <c r="E524" s="82">
        <v>0.98830283240000005</v>
      </c>
      <c r="F524" s="14">
        <v>12847936.82</v>
      </c>
      <c r="G524" s="14">
        <v>0.02</v>
      </c>
      <c r="H524" s="10"/>
      <c r="I524" s="10"/>
    </row>
    <row r="525" spans="1:9">
      <c r="A525" s="10" t="s">
        <v>1126</v>
      </c>
      <c r="B525" s="124" t="s">
        <v>485</v>
      </c>
      <c r="C525" s="124" t="s">
        <v>364</v>
      </c>
      <c r="D525" s="12">
        <v>15500000</v>
      </c>
      <c r="E525" s="82">
        <v>0.98830283109999995</v>
      </c>
      <c r="F525" s="14">
        <v>15318693.880000001</v>
      </c>
      <c r="G525" s="14">
        <v>0.02</v>
      </c>
      <c r="H525" s="10"/>
      <c r="I525" s="10"/>
    </row>
    <row r="526" spans="1:9">
      <c r="A526" s="10" t="s">
        <v>1127</v>
      </c>
      <c r="B526" s="124" t="s">
        <v>485</v>
      </c>
      <c r="C526" s="124" t="s">
        <v>364</v>
      </c>
      <c r="D526" s="12">
        <v>16300000</v>
      </c>
      <c r="E526" s="82">
        <v>0.98830283109999995</v>
      </c>
      <c r="F526" s="14">
        <v>16109336.15</v>
      </c>
      <c r="G526" s="14">
        <v>0.02</v>
      </c>
      <c r="H526" s="10"/>
      <c r="I526" s="10"/>
    </row>
    <row r="527" spans="1:9">
      <c r="A527" s="10" t="s">
        <v>1128</v>
      </c>
      <c r="B527" s="124" t="s">
        <v>485</v>
      </c>
      <c r="C527" s="124" t="s">
        <v>364</v>
      </c>
      <c r="D527" s="12">
        <v>23800000</v>
      </c>
      <c r="E527" s="82">
        <v>0.98830283109999995</v>
      </c>
      <c r="F527" s="14">
        <v>23521607.379999999</v>
      </c>
      <c r="G527" s="14">
        <v>0.03</v>
      </c>
      <c r="H527" s="10"/>
      <c r="I527" s="10"/>
    </row>
    <row r="528" spans="1:9">
      <c r="A528" s="10" t="s">
        <v>1129</v>
      </c>
      <c r="B528" s="124" t="s">
        <v>485</v>
      </c>
      <c r="C528" s="124" t="s">
        <v>364</v>
      </c>
      <c r="D528" s="12">
        <v>20000000</v>
      </c>
      <c r="E528" s="82">
        <v>0.98830283109999995</v>
      </c>
      <c r="F528" s="14">
        <v>19766056.620000001</v>
      </c>
      <c r="G528" s="14">
        <v>0.03</v>
      </c>
      <c r="H528" s="10"/>
      <c r="I528" s="10"/>
    </row>
    <row r="529" spans="1:9">
      <c r="A529" s="10" t="s">
        <v>1130</v>
      </c>
      <c r="B529" s="124" t="s">
        <v>485</v>
      </c>
      <c r="C529" s="124" t="s">
        <v>364</v>
      </c>
      <c r="D529" s="12">
        <v>12500000</v>
      </c>
      <c r="E529" s="82">
        <v>0.98830283279999998</v>
      </c>
      <c r="F529" s="14">
        <v>12353785.41</v>
      </c>
      <c r="G529" s="14">
        <v>0.02</v>
      </c>
      <c r="H529" s="10"/>
      <c r="I529" s="10"/>
    </row>
    <row r="530" spans="1:9">
      <c r="A530" s="10" t="s">
        <v>1131</v>
      </c>
      <c r="B530" s="124" t="s">
        <v>485</v>
      </c>
      <c r="C530" s="124" t="s">
        <v>364</v>
      </c>
      <c r="D530" s="12">
        <v>11500000</v>
      </c>
      <c r="E530" s="82">
        <v>0.98830283070000002</v>
      </c>
      <c r="F530" s="14">
        <v>11365482.550000001</v>
      </c>
      <c r="G530" s="14">
        <v>0.02</v>
      </c>
      <c r="H530" s="10"/>
      <c r="I530" s="10"/>
    </row>
    <row r="531" spans="1:9">
      <c r="A531" s="10" t="s">
        <v>1132</v>
      </c>
      <c r="B531" s="124" t="s">
        <v>485</v>
      </c>
      <c r="C531" s="124" t="s">
        <v>364</v>
      </c>
      <c r="D531" s="12">
        <v>29000000</v>
      </c>
      <c r="E531" s="82">
        <v>0.98830283109999995</v>
      </c>
      <c r="F531" s="154">
        <v>28660782.100000001</v>
      </c>
      <c r="G531" s="14">
        <v>0.04</v>
      </c>
      <c r="H531" s="10"/>
      <c r="I531" s="10"/>
    </row>
    <row r="532" spans="1:9">
      <c r="A532" s="10" t="s">
        <v>1133</v>
      </c>
      <c r="B532" s="124" t="s">
        <v>485</v>
      </c>
      <c r="C532" s="124" t="s">
        <v>364</v>
      </c>
      <c r="D532" s="12">
        <v>10795000</v>
      </c>
      <c r="E532" s="82">
        <v>0.98830282979999995</v>
      </c>
      <c r="F532" s="14">
        <v>10668729.050000001</v>
      </c>
      <c r="G532" s="14">
        <v>0.01</v>
      </c>
      <c r="H532" s="10"/>
      <c r="I532" s="10"/>
    </row>
    <row r="533" spans="1:9">
      <c r="A533" s="10" t="s">
        <v>1134</v>
      </c>
      <c r="B533" s="124" t="s">
        <v>485</v>
      </c>
      <c r="C533" s="124" t="s">
        <v>364</v>
      </c>
      <c r="D533" s="12">
        <v>20000000</v>
      </c>
      <c r="E533" s="82">
        <v>0.98830283109999995</v>
      </c>
      <c r="F533" s="14">
        <v>19766056.620000001</v>
      </c>
      <c r="G533" s="14">
        <v>0.03</v>
      </c>
      <c r="H533" s="10"/>
      <c r="I533" s="10"/>
    </row>
    <row r="534" spans="1:9">
      <c r="A534" s="10" t="s">
        <v>1135</v>
      </c>
      <c r="B534" s="124" t="s">
        <v>883</v>
      </c>
      <c r="C534" s="124" t="s">
        <v>364</v>
      </c>
      <c r="D534" s="14">
        <v>2502550.36</v>
      </c>
      <c r="E534" s="82">
        <v>0.96425649189999996</v>
      </c>
      <c r="F534" s="14">
        <v>2413100.4300000002</v>
      </c>
      <c r="G534" s="12">
        <v>0</v>
      </c>
      <c r="H534" s="10"/>
      <c r="I534" s="10"/>
    </row>
    <row r="535" spans="1:9">
      <c r="A535" s="10" t="s">
        <v>1136</v>
      </c>
      <c r="B535" s="124" t="s">
        <v>883</v>
      </c>
      <c r="C535" s="124" t="s">
        <v>364</v>
      </c>
      <c r="D535" s="14">
        <v>2502550.36</v>
      </c>
      <c r="E535" s="82">
        <v>0.96425649189999996</v>
      </c>
      <c r="F535" s="14">
        <v>2413100.4300000002</v>
      </c>
      <c r="G535" s="12">
        <v>0</v>
      </c>
      <c r="H535" s="10"/>
      <c r="I535" s="10"/>
    </row>
    <row r="536" spans="1:9">
      <c r="A536" s="10" t="s">
        <v>1137</v>
      </c>
      <c r="B536" s="124" t="s">
        <v>593</v>
      </c>
      <c r="C536" s="124" t="s">
        <v>364</v>
      </c>
      <c r="D536" s="14">
        <v>2502550.36</v>
      </c>
      <c r="E536" s="82">
        <v>0.96341667659999997</v>
      </c>
      <c r="F536" s="14">
        <v>2410998.75</v>
      </c>
      <c r="G536" s="12">
        <v>0</v>
      </c>
      <c r="H536" s="10"/>
      <c r="I536" s="10"/>
    </row>
    <row r="537" spans="1:9">
      <c r="A537" s="10" t="s">
        <v>1138</v>
      </c>
      <c r="B537" s="124" t="s">
        <v>524</v>
      </c>
      <c r="C537" s="124" t="s">
        <v>364</v>
      </c>
      <c r="D537" s="14">
        <v>2502550.36</v>
      </c>
      <c r="E537" s="82">
        <v>0.97017703550000001</v>
      </c>
      <c r="F537" s="14">
        <v>2427916.89</v>
      </c>
      <c r="G537" s="12">
        <v>0</v>
      </c>
      <c r="H537" s="10"/>
      <c r="I537" s="10"/>
    </row>
    <row r="538" spans="1:9">
      <c r="A538" s="10" t="s">
        <v>1139</v>
      </c>
      <c r="B538" s="124" t="s">
        <v>883</v>
      </c>
      <c r="C538" s="124" t="s">
        <v>364</v>
      </c>
      <c r="D538" s="12">
        <v>2250000</v>
      </c>
      <c r="E538" s="158">
        <v>0.96425649300000005</v>
      </c>
      <c r="F538" s="14">
        <v>2169577.11</v>
      </c>
      <c r="G538" s="12">
        <v>0</v>
      </c>
      <c r="H538" s="10"/>
      <c r="I538" s="10"/>
    </row>
    <row r="539" spans="1:9">
      <c r="A539" s="10" t="s">
        <v>1140</v>
      </c>
      <c r="B539" s="124" t="s">
        <v>766</v>
      </c>
      <c r="C539" s="124" t="s">
        <v>364</v>
      </c>
      <c r="D539" s="14">
        <v>2502550.36</v>
      </c>
      <c r="E539" s="82">
        <v>0.97273682839999998</v>
      </c>
      <c r="F539" s="154">
        <v>2434322.9</v>
      </c>
      <c r="G539" s="12">
        <v>0</v>
      </c>
      <c r="H539" s="10"/>
      <c r="I539" s="10"/>
    </row>
    <row r="540" spans="1:9">
      <c r="A540" s="10" t="s">
        <v>1141</v>
      </c>
      <c r="B540" s="124" t="s">
        <v>524</v>
      </c>
      <c r="C540" s="124" t="s">
        <v>364</v>
      </c>
      <c r="D540" s="14">
        <v>2502550.36</v>
      </c>
      <c r="E540" s="82">
        <v>0.97017703550000001</v>
      </c>
      <c r="F540" s="14">
        <v>2427916.89</v>
      </c>
      <c r="G540" s="12">
        <v>0</v>
      </c>
      <c r="H540" s="10"/>
      <c r="I540" s="10"/>
    </row>
    <row r="541" spans="1:9">
      <c r="A541" s="10" t="s">
        <v>1142</v>
      </c>
      <c r="B541" s="124" t="s">
        <v>660</v>
      </c>
      <c r="C541" s="124" t="s">
        <v>364</v>
      </c>
      <c r="D541" s="14">
        <v>2502550.36</v>
      </c>
      <c r="E541" s="82">
        <v>0.96932688710000003</v>
      </c>
      <c r="F541" s="14">
        <v>2425789.35</v>
      </c>
      <c r="G541" s="12">
        <v>0</v>
      </c>
      <c r="H541" s="10"/>
      <c r="I541" s="10"/>
    </row>
    <row r="542" spans="1:9">
      <c r="A542" s="10" t="s">
        <v>1143</v>
      </c>
      <c r="B542" s="124" t="s">
        <v>660</v>
      </c>
      <c r="C542" s="124" t="s">
        <v>364</v>
      </c>
      <c r="D542" s="14">
        <v>2502550.36</v>
      </c>
      <c r="E542" s="82">
        <v>0.96932688710000003</v>
      </c>
      <c r="F542" s="14">
        <v>2425789.35</v>
      </c>
      <c r="G542" s="12">
        <v>0</v>
      </c>
      <c r="H542" s="10"/>
      <c r="I542" s="10"/>
    </row>
    <row r="543" spans="1:9">
      <c r="A543" s="10" t="s">
        <v>1144</v>
      </c>
      <c r="B543" s="124" t="s">
        <v>474</v>
      </c>
      <c r="C543" s="124" t="s">
        <v>364</v>
      </c>
      <c r="D543" s="12">
        <v>100000000</v>
      </c>
      <c r="E543" s="82">
        <v>0.99754032010000004</v>
      </c>
      <c r="F543" s="14">
        <v>99754032.010000005</v>
      </c>
      <c r="G543" s="14">
        <v>0.13</v>
      </c>
      <c r="H543" s="10"/>
      <c r="I543" s="10"/>
    </row>
    <row r="544" spans="1:9">
      <c r="A544" s="10" t="s">
        <v>1145</v>
      </c>
      <c r="B544" s="124" t="s">
        <v>474</v>
      </c>
      <c r="C544" s="124" t="s">
        <v>364</v>
      </c>
      <c r="D544" s="12">
        <v>100000000</v>
      </c>
      <c r="E544" s="82">
        <v>0.99754032010000004</v>
      </c>
      <c r="F544" s="14">
        <v>99754032.010000005</v>
      </c>
      <c r="G544" s="14">
        <v>0.13</v>
      </c>
      <c r="H544" s="10"/>
      <c r="I544" s="10"/>
    </row>
    <row r="545" spans="1:9">
      <c r="A545" s="10" t="s">
        <v>1146</v>
      </c>
      <c r="B545" s="124" t="s">
        <v>474</v>
      </c>
      <c r="C545" s="124" t="s">
        <v>364</v>
      </c>
      <c r="D545" s="12">
        <v>100000000</v>
      </c>
      <c r="E545" s="82">
        <v>0.99754032010000004</v>
      </c>
      <c r="F545" s="14">
        <v>99754032.010000005</v>
      </c>
      <c r="G545" s="14">
        <v>0.13</v>
      </c>
      <c r="H545" s="10"/>
      <c r="I545" s="10"/>
    </row>
    <row r="546" spans="1:9">
      <c r="A546" s="10" t="s">
        <v>1147</v>
      </c>
      <c r="B546" s="124" t="s">
        <v>474</v>
      </c>
      <c r="C546" s="124" t="s">
        <v>364</v>
      </c>
      <c r="D546" s="12">
        <v>100000000</v>
      </c>
      <c r="E546" s="82">
        <v>0.99754032010000004</v>
      </c>
      <c r="F546" s="14">
        <v>99754032.010000005</v>
      </c>
      <c r="G546" s="14">
        <v>0.13</v>
      </c>
      <c r="H546" s="10"/>
      <c r="I546" s="10"/>
    </row>
    <row r="547" spans="1:9">
      <c r="A547" s="10" t="s">
        <v>1148</v>
      </c>
      <c r="B547" s="124" t="s">
        <v>474</v>
      </c>
      <c r="C547" s="124" t="s">
        <v>364</v>
      </c>
      <c r="D547" s="12">
        <v>100000000</v>
      </c>
      <c r="E547" s="82">
        <v>0.99754032010000004</v>
      </c>
      <c r="F547" s="14">
        <v>99754032.010000005</v>
      </c>
      <c r="G547" s="14">
        <v>0.13</v>
      </c>
      <c r="H547" s="10"/>
      <c r="I547" s="10"/>
    </row>
    <row r="548" spans="1:9">
      <c r="A548" s="10" t="s">
        <v>1149</v>
      </c>
      <c r="B548" s="124" t="s">
        <v>485</v>
      </c>
      <c r="C548" s="124" t="s">
        <v>364</v>
      </c>
      <c r="D548" s="12">
        <v>10000000</v>
      </c>
      <c r="E548" s="82">
        <v>0.9853147659</v>
      </c>
      <c r="F548" s="14">
        <v>9853147.6600000001</v>
      </c>
      <c r="G548" s="14">
        <v>0.01</v>
      </c>
      <c r="H548" s="10"/>
      <c r="I548" s="10"/>
    </row>
    <row r="549" spans="1:9">
      <c r="A549" s="10" t="s">
        <v>1150</v>
      </c>
      <c r="B549" s="124" t="s">
        <v>485</v>
      </c>
      <c r="C549" s="124" t="s">
        <v>364</v>
      </c>
      <c r="D549" s="12">
        <v>10000000</v>
      </c>
      <c r="E549" s="82">
        <v>0.9853147659</v>
      </c>
      <c r="F549" s="14">
        <v>9853147.6600000001</v>
      </c>
      <c r="G549" s="14">
        <v>0.01</v>
      </c>
      <c r="H549" s="10"/>
      <c r="I549" s="10"/>
    </row>
    <row r="550" spans="1:9">
      <c r="A550" s="10" t="s">
        <v>1151</v>
      </c>
      <c r="B550" s="124" t="s">
        <v>448</v>
      </c>
      <c r="C550" s="124" t="s">
        <v>364</v>
      </c>
      <c r="D550" s="12">
        <v>10000000</v>
      </c>
      <c r="E550" s="82">
        <v>0.98441129579999997</v>
      </c>
      <c r="F550" s="14">
        <v>9844112.9600000009</v>
      </c>
      <c r="G550" s="14">
        <v>0.01</v>
      </c>
      <c r="H550" s="10"/>
      <c r="I550" s="10"/>
    </row>
    <row r="551" spans="1:9">
      <c r="A551" s="10" t="s">
        <v>1153</v>
      </c>
      <c r="B551" s="124" t="s">
        <v>443</v>
      </c>
      <c r="C551" s="124" t="s">
        <v>366</v>
      </c>
      <c r="D551" s="12">
        <v>4300000</v>
      </c>
      <c r="E551" s="82">
        <v>0.99260309069999997</v>
      </c>
      <c r="F551" s="14">
        <v>4268193.29</v>
      </c>
      <c r="G551" s="14">
        <v>0.01</v>
      </c>
      <c r="H551" s="10"/>
      <c r="I551" s="10"/>
    </row>
    <row r="552" spans="1:9">
      <c r="A552" s="10" t="s">
        <v>1154</v>
      </c>
      <c r="B552" s="124" t="s">
        <v>580</v>
      </c>
      <c r="C552" s="124" t="s">
        <v>366</v>
      </c>
      <c r="D552" s="12">
        <v>4300000</v>
      </c>
      <c r="E552" s="82">
        <v>0.98712683950000002</v>
      </c>
      <c r="F552" s="14">
        <v>4244645.41</v>
      </c>
      <c r="G552" s="14">
        <v>0.01</v>
      </c>
      <c r="H552" s="10"/>
      <c r="I552" s="10"/>
    </row>
    <row r="553" spans="1:9">
      <c r="A553" s="10" t="s">
        <v>1155</v>
      </c>
      <c r="B553" s="124" t="s">
        <v>522</v>
      </c>
      <c r="C553" s="124" t="s">
        <v>366</v>
      </c>
      <c r="D553" s="12">
        <v>20000000</v>
      </c>
      <c r="E553" s="82">
        <v>0.97281455260000005</v>
      </c>
      <c r="F553" s="14">
        <v>19456291.050000001</v>
      </c>
      <c r="G553" s="14">
        <v>0.03</v>
      </c>
      <c r="H553" s="10"/>
      <c r="I553" s="10"/>
    </row>
    <row r="554" spans="1:9">
      <c r="A554" s="10" t="s">
        <v>1156</v>
      </c>
      <c r="B554" s="124" t="s">
        <v>504</v>
      </c>
      <c r="C554" s="124" t="s">
        <v>366</v>
      </c>
      <c r="D554" s="14">
        <v>990902.64</v>
      </c>
      <c r="E554" s="82">
        <v>0.96257824059999997</v>
      </c>
      <c r="F554" s="14">
        <v>953821.32</v>
      </c>
      <c r="G554" s="12">
        <v>0</v>
      </c>
      <c r="H554" s="10"/>
      <c r="I554" s="10"/>
    </row>
    <row r="555" spans="1:9">
      <c r="A555" s="10" t="s">
        <v>1157</v>
      </c>
      <c r="B555" s="124" t="s">
        <v>500</v>
      </c>
      <c r="C555" s="124" t="s">
        <v>366</v>
      </c>
      <c r="D555" s="12">
        <v>735765</v>
      </c>
      <c r="E555" s="158">
        <v>0.95674964100000004</v>
      </c>
      <c r="F555" s="154">
        <v>703942.9</v>
      </c>
      <c r="G555" s="12">
        <v>0</v>
      </c>
      <c r="H555" s="10"/>
      <c r="I555" s="10"/>
    </row>
    <row r="556" spans="1:9">
      <c r="A556" s="10" t="s">
        <v>1158</v>
      </c>
      <c r="B556" s="124" t="s">
        <v>502</v>
      </c>
      <c r="C556" s="124" t="s">
        <v>366</v>
      </c>
      <c r="D556" s="14">
        <v>2900162.75</v>
      </c>
      <c r="E556" s="82">
        <v>0.95099139150000001</v>
      </c>
      <c r="F556" s="14">
        <v>2758029.81</v>
      </c>
      <c r="G556" s="12">
        <v>0</v>
      </c>
      <c r="H556" s="10"/>
      <c r="I556" s="10"/>
    </row>
    <row r="557" spans="1:9">
      <c r="A557" s="10" t="s">
        <v>1159</v>
      </c>
      <c r="B557" s="124" t="s">
        <v>793</v>
      </c>
      <c r="C557" s="124" t="s">
        <v>366</v>
      </c>
      <c r="D557" s="12">
        <v>3320250</v>
      </c>
      <c r="E557" s="82">
        <v>0.94530201629999999</v>
      </c>
      <c r="F557" s="14">
        <v>3138639.02</v>
      </c>
      <c r="G557" s="12">
        <v>0</v>
      </c>
      <c r="H557" s="10"/>
      <c r="I557" s="10"/>
    </row>
    <row r="558" spans="1:9">
      <c r="A558" s="10" t="s">
        <v>1160</v>
      </c>
      <c r="B558" s="124" t="s">
        <v>1161</v>
      </c>
      <c r="C558" s="124" t="s">
        <v>366</v>
      </c>
      <c r="D558" s="12">
        <v>1392835</v>
      </c>
      <c r="E558" s="82">
        <v>0.94611063080000002</v>
      </c>
      <c r="F558" s="12">
        <v>1317776</v>
      </c>
      <c r="G558" s="12">
        <v>0</v>
      </c>
      <c r="H558" s="10"/>
      <c r="I558" s="10"/>
    </row>
    <row r="559" spans="1:9">
      <c r="A559" s="10" t="s">
        <v>1162</v>
      </c>
      <c r="B559" s="124" t="s">
        <v>587</v>
      </c>
      <c r="C559" s="124" t="s">
        <v>366</v>
      </c>
      <c r="D559" s="14">
        <v>5468322.6299999999</v>
      </c>
      <c r="E559" s="158">
        <v>0.95840780400000003</v>
      </c>
      <c r="F559" s="14">
        <v>5240883.08</v>
      </c>
      <c r="G559" s="14">
        <v>0.01</v>
      </c>
      <c r="H559" s="10"/>
      <c r="I559" s="10"/>
    </row>
    <row r="560" spans="1:9">
      <c r="A560" s="10" t="s">
        <v>1163</v>
      </c>
      <c r="B560" s="124" t="s">
        <v>446</v>
      </c>
      <c r="C560" s="124" t="s">
        <v>366</v>
      </c>
      <c r="D560" s="12">
        <v>25000000</v>
      </c>
      <c r="E560" s="82">
        <v>0.95757802540000003</v>
      </c>
      <c r="F560" s="14">
        <v>23939450.640000001</v>
      </c>
      <c r="G560" s="14">
        <v>0.03</v>
      </c>
      <c r="H560" s="10"/>
      <c r="I560" s="10"/>
    </row>
    <row r="561" spans="1:9">
      <c r="A561" s="10" t="s">
        <v>1164</v>
      </c>
      <c r="B561" s="124" t="s">
        <v>1161</v>
      </c>
      <c r="C561" s="124" t="s">
        <v>366</v>
      </c>
      <c r="D561" s="12">
        <v>50000000</v>
      </c>
      <c r="E561" s="82">
        <v>0.95389928769999999</v>
      </c>
      <c r="F561" s="14">
        <v>47694964.390000001</v>
      </c>
      <c r="G561" s="14">
        <v>0.06</v>
      </c>
      <c r="H561" s="10"/>
      <c r="I561" s="10"/>
    </row>
    <row r="562" spans="1:9">
      <c r="A562" s="10" t="s">
        <v>1165</v>
      </c>
      <c r="B562" s="124" t="s">
        <v>502</v>
      </c>
      <c r="C562" s="124" t="s">
        <v>366</v>
      </c>
      <c r="D562" s="12">
        <v>50000000</v>
      </c>
      <c r="E562" s="82">
        <v>0.95810585370000001</v>
      </c>
      <c r="F562" s="14">
        <v>47905292.689999998</v>
      </c>
      <c r="G562" s="14">
        <v>0.06</v>
      </c>
      <c r="H562" s="10"/>
      <c r="I562" s="10"/>
    </row>
    <row r="563" spans="1:9">
      <c r="A563" s="10" t="s">
        <v>1166</v>
      </c>
      <c r="B563" s="124" t="s">
        <v>510</v>
      </c>
      <c r="C563" s="124" t="s">
        <v>366</v>
      </c>
      <c r="D563" s="12">
        <v>50000000</v>
      </c>
      <c r="E563" s="82">
        <v>0.9907709012</v>
      </c>
      <c r="F563" s="14">
        <v>49538545.060000002</v>
      </c>
      <c r="G563" s="14">
        <v>7.0000000000000007E-2</v>
      </c>
      <c r="H563" s="10"/>
      <c r="I563" s="10"/>
    </row>
    <row r="564" spans="1:9">
      <c r="A564" s="10" t="s">
        <v>1172</v>
      </c>
      <c r="B564" s="124" t="s">
        <v>506</v>
      </c>
      <c r="C564" s="124" t="s">
        <v>363</v>
      </c>
      <c r="D564" s="154">
        <v>555886.5</v>
      </c>
      <c r="E564" s="82">
        <v>0.99917877119999998</v>
      </c>
      <c r="F564" s="14">
        <v>555429.99</v>
      </c>
      <c r="G564" s="12">
        <v>0</v>
      </c>
      <c r="H564" s="10"/>
      <c r="I564" s="10"/>
    </row>
    <row r="565" spans="1:9">
      <c r="A565" s="10" t="s">
        <v>1173</v>
      </c>
      <c r="B565" s="124" t="s">
        <v>441</v>
      </c>
      <c r="C565" s="124" t="s">
        <v>363</v>
      </c>
      <c r="D565" s="12">
        <v>100000000</v>
      </c>
      <c r="E565" s="82">
        <v>0.99509270329999999</v>
      </c>
      <c r="F565" s="14">
        <v>99509270.329999998</v>
      </c>
      <c r="G565" s="14">
        <v>0.13</v>
      </c>
      <c r="H565" s="10"/>
      <c r="I565" s="10"/>
    </row>
    <row r="566" spans="1:9">
      <c r="A566" s="10" t="s">
        <v>1174</v>
      </c>
      <c r="B566" s="124" t="s">
        <v>480</v>
      </c>
      <c r="C566" s="124" t="s">
        <v>363</v>
      </c>
      <c r="D566" s="12">
        <v>100000000</v>
      </c>
      <c r="E566" s="82">
        <v>0.99427949069999999</v>
      </c>
      <c r="F566" s="14">
        <v>99427949.069999993</v>
      </c>
      <c r="G566" s="14">
        <v>0.13</v>
      </c>
      <c r="H566" s="10"/>
      <c r="I566" s="10"/>
    </row>
    <row r="567" spans="1:9">
      <c r="A567" s="10" t="s">
        <v>1175</v>
      </c>
      <c r="B567" s="124" t="s">
        <v>474</v>
      </c>
      <c r="C567" s="124" t="s">
        <v>363</v>
      </c>
      <c r="D567" s="12">
        <v>100000000</v>
      </c>
      <c r="E567" s="158">
        <v>0.99754031399999998</v>
      </c>
      <c r="F567" s="154">
        <v>99754031.400000006</v>
      </c>
      <c r="G567" s="14">
        <v>0.13</v>
      </c>
      <c r="H567" s="10"/>
      <c r="I567" s="10"/>
    </row>
    <row r="568" spans="1:9">
      <c r="A568" s="10" t="s">
        <v>1176</v>
      </c>
      <c r="B568" s="124" t="s">
        <v>814</v>
      </c>
      <c r="C568" s="124" t="s">
        <v>363</v>
      </c>
      <c r="D568" s="12">
        <v>3948801</v>
      </c>
      <c r="E568" s="82">
        <v>0.92550332960000004</v>
      </c>
      <c r="F568" s="14">
        <v>3654628.47</v>
      </c>
      <c r="G568" s="12">
        <v>0</v>
      </c>
      <c r="H568" s="10"/>
      <c r="I568" s="10"/>
    </row>
    <row r="569" spans="1:9">
      <c r="A569" s="10" t="s">
        <v>1177</v>
      </c>
      <c r="B569" s="124" t="s">
        <v>1178</v>
      </c>
      <c r="C569" s="124" t="s">
        <v>363</v>
      </c>
      <c r="D569" s="12">
        <v>3948801</v>
      </c>
      <c r="E569" s="82">
        <v>0.90814093959999997</v>
      </c>
      <c r="F569" s="14">
        <v>3586067.85</v>
      </c>
      <c r="G569" s="12">
        <v>0</v>
      </c>
      <c r="H569" s="10"/>
      <c r="I569" s="10"/>
    </row>
    <row r="570" spans="1:9">
      <c r="A570" s="10" t="s">
        <v>1179</v>
      </c>
      <c r="B570" s="124" t="s">
        <v>1180</v>
      </c>
      <c r="C570" s="124" t="s">
        <v>363</v>
      </c>
      <c r="D570" s="12">
        <v>3948801</v>
      </c>
      <c r="E570" s="82">
        <v>0.89198442639999997</v>
      </c>
      <c r="F570" s="14">
        <v>3522268.99</v>
      </c>
      <c r="G570" s="12">
        <v>0</v>
      </c>
      <c r="H570" s="10"/>
      <c r="I570" s="10"/>
    </row>
    <row r="571" spans="1:9">
      <c r="A571" s="10" t="s">
        <v>1181</v>
      </c>
      <c r="B571" s="124" t="s">
        <v>1182</v>
      </c>
      <c r="C571" s="124" t="s">
        <v>363</v>
      </c>
      <c r="D571" s="12">
        <v>3948801</v>
      </c>
      <c r="E571" s="82">
        <v>0.87420972019999998</v>
      </c>
      <c r="F571" s="14">
        <v>3452080.22</v>
      </c>
      <c r="G571" s="12">
        <v>0</v>
      </c>
      <c r="H571" s="10"/>
      <c r="I571" s="10"/>
    </row>
    <row r="572" spans="1:9">
      <c r="A572" s="10" t="s">
        <v>1183</v>
      </c>
      <c r="B572" s="124" t="s">
        <v>651</v>
      </c>
      <c r="C572" s="124" t="s">
        <v>363</v>
      </c>
      <c r="D572" s="12">
        <v>50000000</v>
      </c>
      <c r="E572" s="82">
        <v>0.94339622820000002</v>
      </c>
      <c r="F572" s="14">
        <v>47169811.409999996</v>
      </c>
      <c r="G572" s="14">
        <v>0.06</v>
      </c>
      <c r="H572" s="10"/>
      <c r="I572" s="10"/>
    </row>
    <row r="573" spans="1:9">
      <c r="A573" s="10" t="s">
        <v>1184</v>
      </c>
      <c r="B573" s="124" t="s">
        <v>485</v>
      </c>
      <c r="C573" s="124" t="s">
        <v>363</v>
      </c>
      <c r="D573" s="12">
        <v>50000000</v>
      </c>
      <c r="E573" s="82">
        <v>0.98702004840000002</v>
      </c>
      <c r="F573" s="14">
        <v>49351002.420000002</v>
      </c>
      <c r="G573" s="14">
        <v>7.0000000000000007E-2</v>
      </c>
      <c r="H573" s="10"/>
      <c r="I573" s="10"/>
    </row>
    <row r="574" spans="1:9">
      <c r="A574" s="10" t="s">
        <v>1185</v>
      </c>
      <c r="B574" s="124" t="s">
        <v>500</v>
      </c>
      <c r="C574" s="124" t="s">
        <v>363</v>
      </c>
      <c r="D574" s="12">
        <v>50000000</v>
      </c>
      <c r="E574" s="158">
        <v>0.96052635500000005</v>
      </c>
      <c r="F574" s="14">
        <v>48026317.75</v>
      </c>
      <c r="G574" s="14">
        <v>0.06</v>
      </c>
      <c r="H574" s="10"/>
      <c r="I574" s="10"/>
    </row>
    <row r="575" spans="1:9">
      <c r="A575" s="10" t="s">
        <v>1186</v>
      </c>
      <c r="B575" s="124" t="s">
        <v>808</v>
      </c>
      <c r="C575" s="124" t="s">
        <v>363</v>
      </c>
      <c r="D575" s="12">
        <v>50000000</v>
      </c>
      <c r="E575" s="82">
        <v>0.92969956379999996</v>
      </c>
      <c r="F575" s="14">
        <v>46484978.189999998</v>
      </c>
      <c r="G575" s="14">
        <v>0.06</v>
      </c>
      <c r="H575" s="10"/>
      <c r="I575" s="10"/>
    </row>
    <row r="576" spans="1:9">
      <c r="A576" s="10" t="s">
        <v>1187</v>
      </c>
      <c r="B576" s="124" t="s">
        <v>522</v>
      </c>
      <c r="C576" s="124" t="s">
        <v>363</v>
      </c>
      <c r="D576" s="12">
        <v>100000000</v>
      </c>
      <c r="E576" s="158">
        <v>0.97437274299999999</v>
      </c>
      <c r="F576" s="154">
        <v>97437274.299999997</v>
      </c>
      <c r="G576" s="14">
        <v>0.13</v>
      </c>
      <c r="H576" s="10"/>
      <c r="I576" s="10"/>
    </row>
    <row r="577" spans="1:9">
      <c r="A577" s="10" t="s">
        <v>1195</v>
      </c>
      <c r="B577" s="124" t="s">
        <v>269</v>
      </c>
      <c r="C577" s="124" t="s">
        <v>279</v>
      </c>
      <c r="D577" s="12">
        <v>11500000</v>
      </c>
      <c r="E577" s="82">
        <v>0.9336949699</v>
      </c>
      <c r="F577" s="14">
        <v>10737492.15</v>
      </c>
      <c r="G577" s="14">
        <v>0.01</v>
      </c>
      <c r="H577" s="10"/>
      <c r="I577" s="10"/>
    </row>
    <row r="578" spans="1:9">
      <c r="A578" s="10" t="s">
        <v>1196</v>
      </c>
      <c r="B578" s="124" t="s">
        <v>647</v>
      </c>
      <c r="C578" s="124" t="s">
        <v>279</v>
      </c>
      <c r="D578" s="12">
        <v>11500000</v>
      </c>
      <c r="E578" s="158">
        <v>0.93455565100000004</v>
      </c>
      <c r="F578" s="14">
        <v>10747389.99</v>
      </c>
      <c r="G578" s="14">
        <v>0.01</v>
      </c>
      <c r="H578" s="10"/>
      <c r="I578" s="10"/>
    </row>
    <row r="579" spans="1:9">
      <c r="A579" s="10" t="s">
        <v>1192</v>
      </c>
      <c r="B579" s="124" t="s">
        <v>660</v>
      </c>
      <c r="C579" s="124" t="s">
        <v>279</v>
      </c>
      <c r="D579" s="12">
        <v>20000000</v>
      </c>
      <c r="E579" s="82">
        <v>0.96842671930000002</v>
      </c>
      <c r="F579" s="14">
        <v>19368534.390000001</v>
      </c>
      <c r="G579" s="14">
        <v>0.03</v>
      </c>
      <c r="H579" s="10"/>
      <c r="I579" s="10"/>
    </row>
    <row r="580" spans="1:9">
      <c r="A580" s="10" t="s">
        <v>1193</v>
      </c>
      <c r="B580" s="124" t="s">
        <v>766</v>
      </c>
      <c r="C580" s="124" t="s">
        <v>279</v>
      </c>
      <c r="D580" s="12">
        <v>100000000</v>
      </c>
      <c r="E580" s="82">
        <v>0.9735411034</v>
      </c>
      <c r="F580" s="14">
        <v>97354110.340000004</v>
      </c>
      <c r="G580" s="14">
        <v>0.13</v>
      </c>
      <c r="H580" s="10"/>
      <c r="I580" s="10"/>
    </row>
    <row r="581" spans="1:9">
      <c r="A581" s="10" t="s">
        <v>1194</v>
      </c>
      <c r="B581" s="124" t="s">
        <v>524</v>
      </c>
      <c r="C581" s="124" t="s">
        <v>279</v>
      </c>
      <c r="D581" s="12">
        <v>100000000</v>
      </c>
      <c r="E581" s="82">
        <v>0.97105469730000005</v>
      </c>
      <c r="F581" s="14">
        <v>97105469.730000004</v>
      </c>
      <c r="G581" s="14">
        <v>0.13</v>
      </c>
      <c r="H581" s="10"/>
      <c r="I581" s="10"/>
    </row>
    <row r="582" spans="1:9">
      <c r="A582" s="10" t="s">
        <v>1204</v>
      </c>
      <c r="B582" s="124" t="s">
        <v>583</v>
      </c>
      <c r="C582" s="124" t="s">
        <v>321</v>
      </c>
      <c r="D582" s="14">
        <v>2753548.09</v>
      </c>
      <c r="E582" s="82">
        <v>0.97017708189999996</v>
      </c>
      <c r="F582" s="14">
        <v>2671429.25</v>
      </c>
      <c r="G582" s="12">
        <v>0</v>
      </c>
      <c r="H582" s="10"/>
      <c r="I582" s="10"/>
    </row>
    <row r="583" spans="1:9">
      <c r="A583" s="10" t="s">
        <v>1205</v>
      </c>
      <c r="B583" s="124" t="s">
        <v>583</v>
      </c>
      <c r="C583" s="124" t="s">
        <v>321</v>
      </c>
      <c r="D583" s="14">
        <v>13824514.550000001</v>
      </c>
      <c r="E583" s="82">
        <v>0.97017708059999996</v>
      </c>
      <c r="F583" s="14">
        <v>13412227.17</v>
      </c>
      <c r="G583" s="14">
        <v>0.02</v>
      </c>
      <c r="H583" s="10"/>
      <c r="I583" s="10"/>
    </row>
    <row r="584" spans="1:9">
      <c r="A584" s="10" t="s">
        <v>1206</v>
      </c>
      <c r="B584" s="124" t="s">
        <v>583</v>
      </c>
      <c r="C584" s="124" t="s">
        <v>321</v>
      </c>
      <c r="D584" s="14">
        <v>4118494.87</v>
      </c>
      <c r="E584" s="82">
        <v>0.97017707539999998</v>
      </c>
      <c r="F584" s="14">
        <v>3995669.31</v>
      </c>
      <c r="G584" s="14">
        <v>0.01</v>
      </c>
      <c r="H584" s="10"/>
      <c r="I584" s="10"/>
    </row>
    <row r="585" spans="1:9">
      <c r="A585" s="10" t="s">
        <v>1207</v>
      </c>
      <c r="B585" s="124" t="s">
        <v>655</v>
      </c>
      <c r="C585" s="124" t="s">
        <v>321</v>
      </c>
      <c r="D585" s="14">
        <v>9164430.8599999994</v>
      </c>
      <c r="E585" s="82">
        <v>0.96622200810000003</v>
      </c>
      <c r="F585" s="14">
        <v>8854874.7899999991</v>
      </c>
      <c r="G585" s="14">
        <v>0.01</v>
      </c>
      <c r="H585" s="10"/>
      <c r="I585" s="10"/>
    </row>
    <row r="586" spans="1:9">
      <c r="A586" s="10" t="s">
        <v>1208</v>
      </c>
      <c r="B586" s="124" t="s">
        <v>583</v>
      </c>
      <c r="C586" s="124" t="s">
        <v>321</v>
      </c>
      <c r="D586" s="14">
        <v>2994215.75</v>
      </c>
      <c r="E586" s="82">
        <v>0.97017708589999996</v>
      </c>
      <c r="F586" s="14">
        <v>2904919.51</v>
      </c>
      <c r="G586" s="12">
        <v>0</v>
      </c>
      <c r="H586" s="10"/>
      <c r="I586" s="10"/>
    </row>
    <row r="587" spans="1:9">
      <c r="A587" s="10" t="s">
        <v>1209</v>
      </c>
      <c r="B587" s="124" t="s">
        <v>583</v>
      </c>
      <c r="C587" s="124" t="s">
        <v>321</v>
      </c>
      <c r="D587" s="14">
        <v>6602649.0700000003</v>
      </c>
      <c r="E587" s="82">
        <v>0.97017707929999997</v>
      </c>
      <c r="F587" s="14">
        <v>6405738.79</v>
      </c>
      <c r="G587" s="14">
        <v>0.01</v>
      </c>
      <c r="H587" s="10"/>
      <c r="I587" s="10"/>
    </row>
    <row r="588" spans="1:9">
      <c r="A588" s="10" t="s">
        <v>1210</v>
      </c>
      <c r="B588" s="124" t="s">
        <v>583</v>
      </c>
      <c r="C588" s="124" t="s">
        <v>321</v>
      </c>
      <c r="D588" s="14">
        <v>3715219.33</v>
      </c>
      <c r="E588" s="82">
        <v>0.97017707409999998</v>
      </c>
      <c r="F588" s="14">
        <v>3604420.62</v>
      </c>
      <c r="G588" s="12">
        <v>0</v>
      </c>
      <c r="H588" s="10"/>
      <c r="I588" s="10"/>
    </row>
    <row r="589" spans="1:9">
      <c r="A589" s="10" t="s">
        <v>1211</v>
      </c>
      <c r="B589" s="124" t="s">
        <v>583</v>
      </c>
      <c r="C589" s="124" t="s">
        <v>321</v>
      </c>
      <c r="D589" s="14">
        <v>4405109.3099999996</v>
      </c>
      <c r="E589" s="158">
        <v>0.97017707799999997</v>
      </c>
      <c r="F589" s="14">
        <v>4273736.08</v>
      </c>
      <c r="G589" s="14">
        <v>0.01</v>
      </c>
      <c r="H589" s="10"/>
      <c r="I589" s="10"/>
    </row>
    <row r="590" spans="1:9">
      <c r="A590" s="10" t="s">
        <v>1212</v>
      </c>
      <c r="B590" s="124" t="s">
        <v>680</v>
      </c>
      <c r="C590" s="124" t="s">
        <v>321</v>
      </c>
      <c r="D590" s="12">
        <v>12000000</v>
      </c>
      <c r="E590" s="82">
        <v>0.97593589089999999</v>
      </c>
      <c r="F590" s="14">
        <v>11711230.689999999</v>
      </c>
      <c r="G590" s="14">
        <v>0.02</v>
      </c>
      <c r="H590" s="10"/>
      <c r="I590" s="10"/>
    </row>
    <row r="591" spans="1:9">
      <c r="A591" s="10" t="s">
        <v>1213</v>
      </c>
      <c r="B591" s="124" t="s">
        <v>883</v>
      </c>
      <c r="C591" s="124" t="s">
        <v>321</v>
      </c>
      <c r="D591" s="12">
        <v>12000000</v>
      </c>
      <c r="E591" s="82">
        <v>0.97268490860000001</v>
      </c>
      <c r="F591" s="154">
        <v>11672218.9</v>
      </c>
      <c r="G591" s="14">
        <v>0.02</v>
      </c>
      <c r="H591" s="10"/>
      <c r="I591" s="10"/>
    </row>
    <row r="592" spans="1:9">
      <c r="A592" s="10" t="s">
        <v>1214</v>
      </c>
      <c r="B592" s="124" t="s">
        <v>948</v>
      </c>
      <c r="C592" s="124" t="s">
        <v>321</v>
      </c>
      <c r="D592" s="12">
        <v>12000000</v>
      </c>
      <c r="E592" s="82">
        <v>0.96560850009999999</v>
      </c>
      <c r="F592" s="12">
        <v>11587302</v>
      </c>
      <c r="G592" s="14">
        <v>0.02</v>
      </c>
      <c r="H592" s="10"/>
      <c r="I592" s="10"/>
    </row>
    <row r="593" spans="1:9">
      <c r="A593" s="10" t="s">
        <v>1215</v>
      </c>
      <c r="B593" s="124" t="s">
        <v>497</v>
      </c>
      <c r="C593" s="124" t="s">
        <v>321</v>
      </c>
      <c r="D593" s="12">
        <v>40000000</v>
      </c>
      <c r="E593" s="158">
        <v>0.96285750800000003</v>
      </c>
      <c r="F593" s="14">
        <v>38514300.32</v>
      </c>
      <c r="G593" s="14">
        <v>0.05</v>
      </c>
      <c r="H593" s="10"/>
      <c r="I593" s="10"/>
    </row>
    <row r="594" spans="1:9">
      <c r="A594" s="10" t="s">
        <v>1216</v>
      </c>
      <c r="B594" s="124" t="s">
        <v>504</v>
      </c>
      <c r="C594" s="124" t="s">
        <v>321</v>
      </c>
      <c r="D594" s="12">
        <v>40000000</v>
      </c>
      <c r="E594" s="82">
        <v>0.9636710235</v>
      </c>
      <c r="F594" s="14">
        <v>38546840.939999998</v>
      </c>
      <c r="G594" s="14">
        <v>0.05</v>
      </c>
      <c r="H594" s="10"/>
      <c r="I594" s="10"/>
    </row>
    <row r="595" spans="1:9">
      <c r="A595" s="10" t="s">
        <v>1217</v>
      </c>
      <c r="B595" s="124" t="s">
        <v>948</v>
      </c>
      <c r="C595" s="124" t="s">
        <v>321</v>
      </c>
      <c r="D595" s="12">
        <v>10000000</v>
      </c>
      <c r="E595" s="82">
        <v>0.95639874329999996</v>
      </c>
      <c r="F595" s="14">
        <v>9563987.4299999997</v>
      </c>
      <c r="G595" s="14">
        <v>0.01</v>
      </c>
      <c r="H595" s="10"/>
      <c r="I595" s="10"/>
    </row>
    <row r="596" spans="1:9">
      <c r="A596" s="10" t="s">
        <v>1218</v>
      </c>
      <c r="B596" s="124" t="s">
        <v>583</v>
      </c>
      <c r="C596" s="124" t="s">
        <v>321</v>
      </c>
      <c r="D596" s="12">
        <v>10000000</v>
      </c>
      <c r="E596" s="82">
        <v>0.9572013801</v>
      </c>
      <c r="F596" s="154">
        <v>9572013.8000000007</v>
      </c>
      <c r="G596" s="14">
        <v>0.01</v>
      </c>
      <c r="H596" s="10"/>
      <c r="I596" s="10"/>
    </row>
    <row r="597" spans="1:9">
      <c r="A597" s="10" t="s">
        <v>1219</v>
      </c>
      <c r="B597" s="124" t="s">
        <v>497</v>
      </c>
      <c r="C597" s="124" t="s">
        <v>321</v>
      </c>
      <c r="D597" s="14">
        <v>16498838.289999999</v>
      </c>
      <c r="E597" s="158">
        <v>0.96285750800000003</v>
      </c>
      <c r="F597" s="14">
        <v>15886030.32</v>
      </c>
      <c r="G597" s="14">
        <v>0.02</v>
      </c>
      <c r="H597" s="10"/>
      <c r="I597" s="10"/>
    </row>
    <row r="598" spans="1:9">
      <c r="A598" s="10" t="s">
        <v>1220</v>
      </c>
      <c r="B598" s="124" t="s">
        <v>1007</v>
      </c>
      <c r="C598" s="124" t="s">
        <v>321</v>
      </c>
      <c r="D598" s="14">
        <v>3742647.36</v>
      </c>
      <c r="E598" s="158">
        <v>0.96204536100000004</v>
      </c>
      <c r="F598" s="14">
        <v>3600596.53</v>
      </c>
      <c r="G598" s="12">
        <v>0</v>
      </c>
      <c r="H598" s="10"/>
      <c r="I598" s="10"/>
    </row>
    <row r="599" spans="1:9">
      <c r="A599" s="10" t="s">
        <v>1221</v>
      </c>
      <c r="B599" s="124" t="s">
        <v>497</v>
      </c>
      <c r="C599" s="124" t="s">
        <v>321</v>
      </c>
      <c r="D599" s="14">
        <v>11829797.539999999</v>
      </c>
      <c r="E599" s="158">
        <v>0.96285750800000003</v>
      </c>
      <c r="F599" s="14">
        <v>11390409.380000001</v>
      </c>
      <c r="G599" s="14">
        <v>0.02</v>
      </c>
      <c r="H599" s="10"/>
      <c r="I599" s="10"/>
    </row>
    <row r="600" spans="1:9">
      <c r="A600" s="10" t="s">
        <v>1222</v>
      </c>
      <c r="B600" s="124" t="s">
        <v>1007</v>
      </c>
      <c r="C600" s="124" t="s">
        <v>321</v>
      </c>
      <c r="D600" s="14">
        <v>11829797.539999999</v>
      </c>
      <c r="E600" s="82">
        <v>0.96204536439999999</v>
      </c>
      <c r="F600" s="14">
        <v>11380801.890000001</v>
      </c>
      <c r="G600" s="14">
        <v>0.02</v>
      </c>
      <c r="H600" s="10"/>
      <c r="I600" s="10"/>
    </row>
    <row r="601" spans="1:9">
      <c r="A601" s="10" t="s">
        <v>1223</v>
      </c>
      <c r="B601" s="124" t="s">
        <v>1007</v>
      </c>
      <c r="C601" s="124" t="s">
        <v>321</v>
      </c>
      <c r="D601" s="14">
        <v>11490967.439999999</v>
      </c>
      <c r="E601" s="82">
        <v>0.96204536439999999</v>
      </c>
      <c r="F601" s="14">
        <v>11054831.960000001</v>
      </c>
      <c r="G601" s="14">
        <v>0.01</v>
      </c>
      <c r="H601" s="10"/>
      <c r="I601" s="10"/>
    </row>
    <row r="602" spans="1:9">
      <c r="A602" s="10" t="s">
        <v>1224</v>
      </c>
      <c r="B602" s="124" t="s">
        <v>1007</v>
      </c>
      <c r="C602" s="124" t="s">
        <v>321</v>
      </c>
      <c r="D602" s="14">
        <v>11229494.109999999</v>
      </c>
      <c r="E602" s="82">
        <v>0.96204536439999999</v>
      </c>
      <c r="F602" s="14">
        <v>10803282.75</v>
      </c>
      <c r="G602" s="14">
        <v>0.01</v>
      </c>
      <c r="H602" s="10"/>
      <c r="I602" s="10"/>
    </row>
    <row r="603" spans="1:9">
      <c r="A603" s="10" t="s">
        <v>1225</v>
      </c>
      <c r="B603" s="124" t="s">
        <v>587</v>
      </c>
      <c r="C603" s="124" t="s">
        <v>321</v>
      </c>
      <c r="D603" s="14">
        <v>11829797.539999999</v>
      </c>
      <c r="E603" s="158">
        <v>0.95961725799999997</v>
      </c>
      <c r="F603" s="14">
        <v>11352077.880000001</v>
      </c>
      <c r="G603" s="14">
        <v>0.02</v>
      </c>
      <c r="H603" s="10"/>
      <c r="I603" s="10"/>
    </row>
    <row r="604" spans="1:9">
      <c r="A604" s="10" t="s">
        <v>1226</v>
      </c>
      <c r="B604" s="124" t="s">
        <v>587</v>
      </c>
      <c r="C604" s="124" t="s">
        <v>321</v>
      </c>
      <c r="D604" s="14">
        <v>11229494.109999999</v>
      </c>
      <c r="E604" s="158">
        <v>0.95961725799999997</v>
      </c>
      <c r="F604" s="14">
        <v>10776016.35</v>
      </c>
      <c r="G604" s="14">
        <v>0.01</v>
      </c>
      <c r="H604" s="10"/>
      <c r="I604" s="10"/>
    </row>
    <row r="605" spans="1:9">
      <c r="A605" s="10" t="s">
        <v>1227</v>
      </c>
      <c r="B605" s="124" t="s">
        <v>587</v>
      </c>
      <c r="C605" s="124" t="s">
        <v>321</v>
      </c>
      <c r="D605" s="14">
        <v>11490967.439999999</v>
      </c>
      <c r="E605" s="158">
        <v>0.95961725799999997</v>
      </c>
      <c r="F605" s="14">
        <v>11026930.67</v>
      </c>
      <c r="G605" s="14">
        <v>0.01</v>
      </c>
      <c r="H605" s="10"/>
      <c r="I605" s="10"/>
    </row>
    <row r="606" spans="1:9">
      <c r="A606" s="10" t="s">
        <v>1228</v>
      </c>
      <c r="B606" s="124" t="s">
        <v>490</v>
      </c>
      <c r="C606" s="124" t="s">
        <v>321</v>
      </c>
      <c r="D606" s="12">
        <v>27150000</v>
      </c>
      <c r="E606" s="82">
        <v>0.98107734759999998</v>
      </c>
      <c r="F606" s="14">
        <v>26636249.989999998</v>
      </c>
      <c r="G606" s="14">
        <v>0.04</v>
      </c>
      <c r="H606" s="10"/>
      <c r="I606" s="10"/>
    </row>
    <row r="607" spans="1:9">
      <c r="A607" s="10" t="s">
        <v>1229</v>
      </c>
      <c r="B607" s="124" t="s">
        <v>516</v>
      </c>
      <c r="C607" s="124" t="s">
        <v>321</v>
      </c>
      <c r="D607" s="14">
        <v>27125210.43</v>
      </c>
      <c r="E607" s="82">
        <v>0.97939259469999995</v>
      </c>
      <c r="F607" s="14">
        <v>26566230.219999999</v>
      </c>
      <c r="G607" s="14">
        <v>0.04</v>
      </c>
      <c r="H607" s="10"/>
      <c r="I607" s="10"/>
    </row>
    <row r="608" spans="1:9">
      <c r="A608" s="10" t="s">
        <v>1230</v>
      </c>
      <c r="B608" s="124" t="s">
        <v>490</v>
      </c>
      <c r="C608" s="124" t="s">
        <v>321</v>
      </c>
      <c r="D608" s="14">
        <v>2558197.12</v>
      </c>
      <c r="E608" s="82">
        <v>0.98107734930000001</v>
      </c>
      <c r="F608" s="14">
        <v>2509789.25</v>
      </c>
      <c r="G608" s="12">
        <v>0</v>
      </c>
      <c r="H608" s="10"/>
      <c r="I608" s="10"/>
    </row>
    <row r="609" spans="1:9">
      <c r="A609" s="10" t="s">
        <v>1231</v>
      </c>
      <c r="B609" s="124" t="s">
        <v>680</v>
      </c>
      <c r="C609" s="124" t="s">
        <v>321</v>
      </c>
      <c r="D609" s="14">
        <v>2558197.12</v>
      </c>
      <c r="E609" s="82">
        <v>0.96940409360000002</v>
      </c>
      <c r="F609" s="14">
        <v>2479926.7599999998</v>
      </c>
      <c r="G609" s="12">
        <v>0</v>
      </c>
      <c r="H609" s="10"/>
      <c r="I609" s="10"/>
    </row>
    <row r="610" spans="1:9">
      <c r="A610" s="10" t="s">
        <v>1232</v>
      </c>
      <c r="B610" s="124" t="s">
        <v>485</v>
      </c>
      <c r="C610" s="124" t="s">
        <v>321</v>
      </c>
      <c r="D610" s="14">
        <v>2558197.12</v>
      </c>
      <c r="E610" s="82">
        <v>0.98616666019999999</v>
      </c>
      <c r="F610" s="14">
        <v>2522808.71</v>
      </c>
      <c r="G610" s="12">
        <v>0</v>
      </c>
      <c r="H610" s="10"/>
      <c r="I610" s="10"/>
    </row>
    <row r="611" spans="1:9">
      <c r="A611" s="10" t="s">
        <v>1233</v>
      </c>
      <c r="B611" s="124" t="s">
        <v>441</v>
      </c>
      <c r="C611" s="124" t="s">
        <v>321</v>
      </c>
      <c r="D611" s="12">
        <v>1016376</v>
      </c>
      <c r="E611" s="158">
        <v>0.994767281</v>
      </c>
      <c r="F611" s="14">
        <v>1011057.59</v>
      </c>
      <c r="G611" s="12">
        <v>0</v>
      </c>
      <c r="H611" s="10"/>
      <c r="I611" s="10"/>
    </row>
    <row r="612" spans="1:9">
      <c r="A612" s="10" t="s">
        <v>1234</v>
      </c>
      <c r="B612" s="124" t="s">
        <v>474</v>
      </c>
      <c r="C612" s="124" t="s">
        <v>321</v>
      </c>
      <c r="D612" s="12">
        <v>1082000000</v>
      </c>
      <c r="E612" s="82">
        <v>0.99688645009999999</v>
      </c>
      <c r="F612" s="14">
        <v>1078631139.01</v>
      </c>
      <c r="G612" s="14">
        <v>1.43</v>
      </c>
      <c r="H612" s="10"/>
      <c r="I612" s="10"/>
    </row>
    <row r="613" spans="1:9">
      <c r="A613" s="10" t="s">
        <v>1235</v>
      </c>
      <c r="B613" s="124" t="s">
        <v>474</v>
      </c>
      <c r="C613" s="124" t="s">
        <v>321</v>
      </c>
      <c r="D613" s="12">
        <v>100000000</v>
      </c>
      <c r="E613" s="82">
        <v>0.99688645009999999</v>
      </c>
      <c r="F613" s="14">
        <v>99688645.010000005</v>
      </c>
      <c r="G613" s="14">
        <v>0.13</v>
      </c>
      <c r="H613" s="10"/>
      <c r="I613" s="10"/>
    </row>
    <row r="614" spans="1:9">
      <c r="A614" s="10" t="s">
        <v>1236</v>
      </c>
      <c r="B614" s="124" t="s">
        <v>474</v>
      </c>
      <c r="C614" s="124" t="s">
        <v>321</v>
      </c>
      <c r="D614" s="12">
        <v>10000000</v>
      </c>
      <c r="E614" s="158">
        <v>0.99745854099999998</v>
      </c>
      <c r="F614" s="14">
        <v>9974585.4100000001</v>
      </c>
      <c r="G614" s="14">
        <v>0.01</v>
      </c>
      <c r="H614" s="10"/>
      <c r="I614" s="10"/>
    </row>
    <row r="615" spans="1:9">
      <c r="A615" s="10" t="s">
        <v>1237</v>
      </c>
      <c r="B615" s="124" t="s">
        <v>504</v>
      </c>
      <c r="C615" s="124" t="s">
        <v>321</v>
      </c>
      <c r="D615" s="12">
        <v>20000000</v>
      </c>
      <c r="E615" s="82">
        <v>0.96257822640000001</v>
      </c>
      <c r="F615" s="14">
        <v>19251564.530000001</v>
      </c>
      <c r="G615" s="14">
        <v>0.03</v>
      </c>
      <c r="H615" s="10"/>
      <c r="I615" s="10"/>
    </row>
    <row r="616" spans="1:9">
      <c r="A616" s="10" t="s">
        <v>1238</v>
      </c>
      <c r="B616" s="124" t="s">
        <v>580</v>
      </c>
      <c r="C616" s="124" t="s">
        <v>321</v>
      </c>
      <c r="D616" s="12">
        <v>20000000</v>
      </c>
      <c r="E616" s="82">
        <v>0.98750072089999996</v>
      </c>
      <c r="F616" s="14">
        <v>19750014.420000002</v>
      </c>
      <c r="G616" s="14">
        <v>0.03</v>
      </c>
      <c r="H616" s="10"/>
      <c r="I616" s="10"/>
    </row>
    <row r="617" spans="1:9">
      <c r="A617" s="10" t="s">
        <v>1239</v>
      </c>
      <c r="B617" s="124" t="s">
        <v>728</v>
      </c>
      <c r="C617" s="124" t="s">
        <v>321</v>
      </c>
      <c r="D617" s="12">
        <v>100000000</v>
      </c>
      <c r="E617" s="158">
        <v>0.99835886200000001</v>
      </c>
      <c r="F617" s="154">
        <v>99835886.200000003</v>
      </c>
      <c r="G617" s="14">
        <v>0.13</v>
      </c>
      <c r="H617" s="10"/>
      <c r="I617" s="10"/>
    </row>
    <row r="618" spans="1:9">
      <c r="A618" s="10" t="s">
        <v>1240</v>
      </c>
      <c r="B618" s="124" t="s">
        <v>474</v>
      </c>
      <c r="C618" s="124" t="s">
        <v>321</v>
      </c>
      <c r="D618" s="12">
        <v>100000000</v>
      </c>
      <c r="E618" s="158">
        <v>0.99754032199999998</v>
      </c>
      <c r="F618" s="154">
        <v>99754032.200000003</v>
      </c>
      <c r="G618" s="14">
        <v>0.13</v>
      </c>
      <c r="H618" s="10"/>
      <c r="I618" s="10"/>
    </row>
    <row r="619" spans="1:9">
      <c r="A619" s="10" t="s">
        <v>1241</v>
      </c>
      <c r="B619" s="124" t="s">
        <v>506</v>
      </c>
      <c r="C619" s="124" t="s">
        <v>321</v>
      </c>
      <c r="D619" s="12">
        <v>100000000</v>
      </c>
      <c r="E619" s="82">
        <v>0.99917875850000004</v>
      </c>
      <c r="F619" s="14">
        <v>99917875.849999994</v>
      </c>
      <c r="G619" s="14">
        <v>0.13</v>
      </c>
      <c r="H619" s="10"/>
      <c r="I619" s="10"/>
    </row>
    <row r="620" spans="1:9">
      <c r="A620" s="10" t="s">
        <v>1242</v>
      </c>
      <c r="B620" s="124" t="s">
        <v>522</v>
      </c>
      <c r="C620" s="124" t="s">
        <v>321</v>
      </c>
      <c r="D620" s="12">
        <v>851000000</v>
      </c>
      <c r="E620" s="82">
        <v>0.98542118629999997</v>
      </c>
      <c r="F620" s="14">
        <v>838593429.53999996</v>
      </c>
      <c r="G620" s="14">
        <v>1.1100000000000001</v>
      </c>
      <c r="H620" s="10"/>
      <c r="I620" s="10"/>
    </row>
    <row r="621" spans="1:9">
      <c r="A621" s="10" t="s">
        <v>1245</v>
      </c>
      <c r="B621" s="124" t="s">
        <v>438</v>
      </c>
      <c r="C621" s="124" t="s">
        <v>403</v>
      </c>
      <c r="D621" s="12">
        <v>4750000</v>
      </c>
      <c r="E621" s="82">
        <v>0.99144374739999996</v>
      </c>
      <c r="F621" s="154">
        <v>4709357.8</v>
      </c>
      <c r="G621" s="14">
        <v>0.01</v>
      </c>
      <c r="H621" s="10"/>
      <c r="I621" s="10"/>
    </row>
    <row r="622" spans="1:9">
      <c r="A622" s="10" t="s">
        <v>1246</v>
      </c>
      <c r="B622" s="124" t="s">
        <v>480</v>
      </c>
      <c r="C622" s="124" t="s">
        <v>403</v>
      </c>
      <c r="D622" s="14">
        <v>4765832.3099999996</v>
      </c>
      <c r="E622" s="82">
        <v>0.99333244470000004</v>
      </c>
      <c r="F622" s="14">
        <v>4734055.8600000003</v>
      </c>
      <c r="G622" s="14">
        <v>0.01</v>
      </c>
      <c r="H622" s="10"/>
      <c r="I622" s="10"/>
    </row>
    <row r="623" spans="1:9">
      <c r="A623" s="10" t="s">
        <v>1247</v>
      </c>
      <c r="B623" s="124" t="s">
        <v>443</v>
      </c>
      <c r="C623" s="124" t="s">
        <v>403</v>
      </c>
      <c r="D623" s="12">
        <v>4750000</v>
      </c>
      <c r="E623" s="82">
        <v>0.99238717470000004</v>
      </c>
      <c r="F623" s="14">
        <v>4713839.08</v>
      </c>
      <c r="G623" s="14">
        <v>0.01</v>
      </c>
      <c r="H623" s="10"/>
      <c r="I623" s="10"/>
    </row>
    <row r="624" spans="1:9">
      <c r="A624" s="10" t="s">
        <v>1248</v>
      </c>
      <c r="B624" s="124" t="s">
        <v>522</v>
      </c>
      <c r="C624" s="124" t="s">
        <v>403</v>
      </c>
      <c r="D624" s="12">
        <v>362000000</v>
      </c>
      <c r="E624" s="82">
        <v>0.9854211759</v>
      </c>
      <c r="F624" s="14">
        <v>356722465.68000001</v>
      </c>
      <c r="G624" s="14">
        <v>0.47</v>
      </c>
      <c r="H624" s="10"/>
      <c r="I624" s="10"/>
    </row>
    <row r="625" spans="1:9">
      <c r="A625" s="10" t="s">
        <v>1249</v>
      </c>
      <c r="B625" s="124" t="s">
        <v>443</v>
      </c>
      <c r="C625" s="124" t="s">
        <v>403</v>
      </c>
      <c r="D625" s="12">
        <v>25000000</v>
      </c>
      <c r="E625" s="82">
        <v>0.99174003730000004</v>
      </c>
      <c r="F625" s="14">
        <v>24793500.93</v>
      </c>
      <c r="G625" s="14">
        <v>0.03</v>
      </c>
      <c r="H625" s="10"/>
      <c r="I625" s="10"/>
    </row>
    <row r="626" spans="1:9">
      <c r="A626" s="10" t="s">
        <v>1250</v>
      </c>
      <c r="B626" s="124" t="s">
        <v>480</v>
      </c>
      <c r="C626" s="124" t="s">
        <v>403</v>
      </c>
      <c r="D626" s="12">
        <v>20000000</v>
      </c>
      <c r="E626" s="82">
        <v>0.99276507390000002</v>
      </c>
      <c r="F626" s="14">
        <v>19855301.48</v>
      </c>
      <c r="G626" s="14">
        <v>0.03</v>
      </c>
      <c r="H626" s="10"/>
      <c r="I626" s="10"/>
    </row>
    <row r="627" spans="1:9">
      <c r="A627" s="10" t="s">
        <v>1251</v>
      </c>
      <c r="B627" s="124" t="s">
        <v>480</v>
      </c>
      <c r="C627" s="124" t="s">
        <v>403</v>
      </c>
      <c r="D627" s="12">
        <v>20000000</v>
      </c>
      <c r="E627" s="82">
        <v>0.99276507390000002</v>
      </c>
      <c r="F627" s="14">
        <v>19855301.48</v>
      </c>
      <c r="G627" s="14">
        <v>0.03</v>
      </c>
      <c r="H627" s="10"/>
      <c r="I627" s="10"/>
    </row>
    <row r="628" spans="1:9">
      <c r="A628" s="10" t="s">
        <v>1252</v>
      </c>
      <c r="B628" s="124" t="s">
        <v>438</v>
      </c>
      <c r="C628" s="124" t="s">
        <v>403</v>
      </c>
      <c r="D628" s="12">
        <v>20000000</v>
      </c>
      <c r="E628" s="158">
        <v>0.99071716300000001</v>
      </c>
      <c r="F628" s="14">
        <v>19814343.260000002</v>
      </c>
      <c r="G628" s="14">
        <v>0.03</v>
      </c>
      <c r="H628" s="10"/>
      <c r="I628" s="10"/>
    </row>
    <row r="629" spans="1:9">
      <c r="A629" s="10" t="s">
        <v>1253</v>
      </c>
      <c r="B629" s="124" t="s">
        <v>438</v>
      </c>
      <c r="C629" s="124" t="s">
        <v>403</v>
      </c>
      <c r="D629" s="12">
        <v>20000000</v>
      </c>
      <c r="E629" s="158">
        <v>0.99071716300000001</v>
      </c>
      <c r="F629" s="14">
        <v>19814343.260000002</v>
      </c>
      <c r="G629" s="14">
        <v>0.03</v>
      </c>
      <c r="H629" s="10"/>
      <c r="I629" s="10"/>
    </row>
    <row r="630" spans="1:9">
      <c r="A630" s="10" t="s">
        <v>1254</v>
      </c>
      <c r="B630" s="124" t="s">
        <v>438</v>
      </c>
      <c r="C630" s="124" t="s">
        <v>403</v>
      </c>
      <c r="D630" s="12">
        <v>20000000</v>
      </c>
      <c r="E630" s="158">
        <v>0.99071716300000001</v>
      </c>
      <c r="F630" s="14">
        <v>19814343.260000002</v>
      </c>
      <c r="G630" s="14">
        <v>0.03</v>
      </c>
      <c r="H630" s="10"/>
      <c r="I630" s="10"/>
    </row>
    <row r="631" spans="1:9">
      <c r="A631" s="10" t="s">
        <v>1255</v>
      </c>
      <c r="B631" s="124" t="s">
        <v>438</v>
      </c>
      <c r="C631" s="124" t="s">
        <v>403</v>
      </c>
      <c r="D631" s="12">
        <v>20000000</v>
      </c>
      <c r="E631" s="158">
        <v>0.99071716300000001</v>
      </c>
      <c r="F631" s="14">
        <v>19814343.260000002</v>
      </c>
      <c r="G631" s="14">
        <v>0.03</v>
      </c>
      <c r="H631" s="10"/>
      <c r="I631" s="10"/>
    </row>
    <row r="632" spans="1:9">
      <c r="A632" s="10" t="s">
        <v>1259</v>
      </c>
      <c r="B632" s="124" t="s">
        <v>520</v>
      </c>
      <c r="C632" s="124" t="s">
        <v>165</v>
      </c>
      <c r="D632" s="12">
        <v>2750004</v>
      </c>
      <c r="E632" s="82">
        <v>0.98052390109999998</v>
      </c>
      <c r="F632" s="14">
        <v>2696444.65</v>
      </c>
      <c r="G632" s="12">
        <v>0</v>
      </c>
      <c r="H632" s="10"/>
      <c r="I632" s="10"/>
    </row>
    <row r="633" spans="1:9">
      <c r="A633" s="10" t="s">
        <v>1260</v>
      </c>
      <c r="B633" s="124" t="s">
        <v>506</v>
      </c>
      <c r="C633" s="124" t="s">
        <v>165</v>
      </c>
      <c r="D633" s="12">
        <v>408135</v>
      </c>
      <c r="E633" s="82">
        <v>0.99931552059999995</v>
      </c>
      <c r="F633" s="14">
        <v>407855.64</v>
      </c>
      <c r="G633" s="12">
        <v>0</v>
      </c>
      <c r="H633" s="10"/>
      <c r="I633" s="10"/>
    </row>
    <row r="634" spans="1:9">
      <c r="A634" s="10" t="s">
        <v>1261</v>
      </c>
      <c r="B634" s="124" t="s">
        <v>474</v>
      </c>
      <c r="C634" s="124" t="s">
        <v>165</v>
      </c>
      <c r="D634" s="154">
        <v>1073337.5</v>
      </c>
      <c r="E634" s="82">
        <v>0.99794942409999998</v>
      </c>
      <c r="F634" s="14">
        <v>1071136.54</v>
      </c>
      <c r="G634" s="12">
        <v>0</v>
      </c>
      <c r="H634" s="10"/>
      <c r="I634" s="10"/>
    </row>
    <row r="635" spans="1:9">
      <c r="A635" s="10" t="s">
        <v>1262</v>
      </c>
      <c r="B635" s="124" t="s">
        <v>520</v>
      </c>
      <c r="C635" s="124" t="s">
        <v>165</v>
      </c>
      <c r="D635" s="12">
        <v>20000000</v>
      </c>
      <c r="E635" s="82">
        <v>0.97520580239999999</v>
      </c>
      <c r="F635" s="14">
        <v>19504116.050000001</v>
      </c>
      <c r="G635" s="14">
        <v>0.03</v>
      </c>
      <c r="H635" s="10"/>
      <c r="I635" s="10"/>
    </row>
    <row r="636" spans="1:9">
      <c r="A636" s="10" t="s">
        <v>1263</v>
      </c>
      <c r="B636" s="124" t="s">
        <v>520</v>
      </c>
      <c r="C636" s="124" t="s">
        <v>165</v>
      </c>
      <c r="D636" s="12">
        <v>20000000</v>
      </c>
      <c r="E636" s="82">
        <v>0.97520580239999999</v>
      </c>
      <c r="F636" s="14">
        <v>19504116.050000001</v>
      </c>
      <c r="G636" s="14">
        <v>0.03</v>
      </c>
      <c r="H636" s="10"/>
      <c r="I636" s="10"/>
    </row>
    <row r="637" spans="1:9">
      <c r="A637" s="10" t="s">
        <v>1264</v>
      </c>
      <c r="B637" s="124" t="s">
        <v>488</v>
      </c>
      <c r="C637" s="124" t="s">
        <v>165</v>
      </c>
      <c r="D637" s="12">
        <v>11371524</v>
      </c>
      <c r="E637" s="82">
        <v>0.98247699239999997</v>
      </c>
      <c r="F637" s="154">
        <v>11172260.699999999</v>
      </c>
      <c r="G637" s="14">
        <v>0.01</v>
      </c>
      <c r="H637" s="10"/>
      <c r="I637" s="10"/>
    </row>
    <row r="638" spans="1:9">
      <c r="A638" s="10" t="s">
        <v>1265</v>
      </c>
      <c r="B638" s="124" t="s">
        <v>510</v>
      </c>
      <c r="C638" s="124" t="s">
        <v>165</v>
      </c>
      <c r="D638" s="12">
        <v>2000000</v>
      </c>
      <c r="E638" s="21">
        <v>0.99184786999999996</v>
      </c>
      <c r="F638" s="14">
        <v>1983695.74</v>
      </c>
      <c r="G638" s="12">
        <v>0</v>
      </c>
      <c r="H638" s="10"/>
      <c r="I638" s="10"/>
    </row>
    <row r="639" spans="1:9">
      <c r="A639" s="10" t="s">
        <v>1266</v>
      </c>
      <c r="B639" s="124" t="s">
        <v>728</v>
      </c>
      <c r="C639" s="124" t="s">
        <v>165</v>
      </c>
      <c r="D639" s="12">
        <v>2000000</v>
      </c>
      <c r="E639" s="82">
        <v>0.99835886490000003</v>
      </c>
      <c r="F639" s="14">
        <v>1996717.73</v>
      </c>
      <c r="G639" s="12">
        <v>0</v>
      </c>
      <c r="H639" s="10"/>
      <c r="I639" s="10"/>
    </row>
    <row r="640" spans="1:9">
      <c r="A640" s="10" t="s">
        <v>1267</v>
      </c>
      <c r="B640" s="124" t="s">
        <v>516</v>
      </c>
      <c r="C640" s="124" t="s">
        <v>165</v>
      </c>
      <c r="D640" s="154">
        <v>1556161.8</v>
      </c>
      <c r="E640" s="82">
        <v>0.98065557160000005</v>
      </c>
      <c r="F640" s="14">
        <v>1526058.74</v>
      </c>
      <c r="G640" s="12">
        <v>0</v>
      </c>
      <c r="H640" s="10"/>
      <c r="I640" s="10"/>
    </row>
    <row r="641" spans="1:9">
      <c r="A641" s="10" t="s">
        <v>1268</v>
      </c>
      <c r="B641" s="124" t="s">
        <v>448</v>
      </c>
      <c r="C641" s="124" t="s">
        <v>165</v>
      </c>
      <c r="D641" s="12">
        <v>2000000</v>
      </c>
      <c r="E641" s="82">
        <v>0.9862199451</v>
      </c>
      <c r="F641" s="14">
        <v>1972439.89</v>
      </c>
      <c r="G641" s="12">
        <v>0</v>
      </c>
      <c r="H641" s="10"/>
      <c r="I641" s="10"/>
    </row>
    <row r="642" spans="1:9">
      <c r="A642" s="10" t="s">
        <v>1269</v>
      </c>
      <c r="B642" s="124" t="s">
        <v>660</v>
      </c>
      <c r="C642" s="124" t="s">
        <v>165</v>
      </c>
      <c r="D642" s="14">
        <v>4957748.6399999997</v>
      </c>
      <c r="E642" s="82">
        <v>0.97203728720000004</v>
      </c>
      <c r="F642" s="14">
        <v>4819116.54</v>
      </c>
      <c r="G642" s="14">
        <v>0.01</v>
      </c>
      <c r="H642" s="10"/>
      <c r="I642" s="10"/>
    </row>
    <row r="643" spans="1:9">
      <c r="A643" s="10" t="s">
        <v>1270</v>
      </c>
      <c r="B643" s="124" t="s">
        <v>474</v>
      </c>
      <c r="C643" s="124" t="s">
        <v>165</v>
      </c>
      <c r="D643" s="14">
        <v>4957748.6399999997</v>
      </c>
      <c r="E643" s="82">
        <v>0.99754032510000001</v>
      </c>
      <c r="F643" s="14">
        <v>4945554.1900000004</v>
      </c>
      <c r="G643" s="14">
        <v>0.01</v>
      </c>
      <c r="H643" s="10"/>
      <c r="I643" s="10"/>
    </row>
    <row r="644" spans="1:9">
      <c r="A644" s="10" t="s">
        <v>1271</v>
      </c>
      <c r="B644" s="124" t="s">
        <v>883</v>
      </c>
      <c r="C644" s="124" t="s">
        <v>165</v>
      </c>
      <c r="D644" s="12">
        <v>75000000</v>
      </c>
      <c r="E644" s="82">
        <v>0.96739999750000005</v>
      </c>
      <c r="F644" s="14">
        <v>72554999.810000002</v>
      </c>
      <c r="G644" s="154">
        <v>0.1</v>
      </c>
      <c r="H644" s="10"/>
      <c r="I644" s="10"/>
    </row>
    <row r="645" spans="1:9">
      <c r="A645" s="10" t="s">
        <v>1272</v>
      </c>
      <c r="B645" s="124" t="s">
        <v>443</v>
      </c>
      <c r="C645" s="124" t="s">
        <v>165</v>
      </c>
      <c r="D645" s="12">
        <v>75000000</v>
      </c>
      <c r="E645" s="82">
        <v>0.99346762749999995</v>
      </c>
      <c r="F645" s="14">
        <v>74510072.060000002</v>
      </c>
      <c r="G645" s="154">
        <v>0.1</v>
      </c>
      <c r="H645" s="10"/>
      <c r="I645" s="10"/>
    </row>
    <row r="646" spans="1:9">
      <c r="A646" s="10" t="s">
        <v>1273</v>
      </c>
      <c r="B646" s="124" t="s">
        <v>443</v>
      </c>
      <c r="C646" s="124" t="s">
        <v>165</v>
      </c>
      <c r="D646" s="14">
        <v>262422.81</v>
      </c>
      <c r="E646" s="158">
        <v>0.99346764099999996</v>
      </c>
      <c r="F646" s="14">
        <v>260708.57</v>
      </c>
      <c r="G646" s="12">
        <v>0</v>
      </c>
      <c r="H646" s="10"/>
      <c r="I646" s="10"/>
    </row>
    <row r="647" spans="1:9">
      <c r="A647" s="10" t="s">
        <v>1274</v>
      </c>
      <c r="B647" s="124" t="s">
        <v>443</v>
      </c>
      <c r="C647" s="124" t="s">
        <v>165</v>
      </c>
      <c r="D647" s="12">
        <v>100000000</v>
      </c>
      <c r="E647" s="82">
        <v>0.99346762749999995</v>
      </c>
      <c r="F647" s="14">
        <v>99346762.75</v>
      </c>
      <c r="G647" s="14">
        <v>0.13</v>
      </c>
      <c r="H647" s="10"/>
      <c r="I647" s="10"/>
    </row>
    <row r="648" spans="1:9">
      <c r="A648" s="10" t="s">
        <v>1275</v>
      </c>
      <c r="B648" s="124" t="s">
        <v>438</v>
      </c>
      <c r="C648" s="124" t="s">
        <v>165</v>
      </c>
      <c r="D648" s="12">
        <v>100000000</v>
      </c>
      <c r="E648" s="82">
        <v>0.99265706519999997</v>
      </c>
      <c r="F648" s="14">
        <v>99265706.519999996</v>
      </c>
      <c r="G648" s="14">
        <v>0.13</v>
      </c>
      <c r="H648" s="10"/>
      <c r="I648" s="10"/>
    </row>
    <row r="649" spans="1:9">
      <c r="A649" s="10" t="s">
        <v>1276</v>
      </c>
      <c r="B649" s="124" t="s">
        <v>510</v>
      </c>
      <c r="C649" s="124" t="s">
        <v>165</v>
      </c>
      <c r="D649" s="12">
        <v>100000000</v>
      </c>
      <c r="E649" s="82">
        <v>0.99184786709999995</v>
      </c>
      <c r="F649" s="14">
        <v>99184786.709999993</v>
      </c>
      <c r="G649" s="14">
        <v>0.13</v>
      </c>
      <c r="H649" s="10"/>
      <c r="I649" s="10"/>
    </row>
    <row r="650" spans="1:9">
      <c r="A650" s="10" t="s">
        <v>1280</v>
      </c>
      <c r="B650" s="124" t="s">
        <v>448</v>
      </c>
      <c r="C650" s="124" t="s">
        <v>391</v>
      </c>
      <c r="D650" s="12">
        <v>4000000</v>
      </c>
      <c r="E650" s="82">
        <v>0.98621995730000001</v>
      </c>
      <c r="F650" s="14">
        <v>3944879.83</v>
      </c>
      <c r="G650" s="14">
        <v>0.01</v>
      </c>
      <c r="H650" s="10"/>
      <c r="I650" s="10"/>
    </row>
    <row r="651" spans="1:9">
      <c r="A651" s="10" t="s">
        <v>1281</v>
      </c>
      <c r="B651" s="124" t="s">
        <v>580</v>
      </c>
      <c r="C651" s="124" t="s">
        <v>391</v>
      </c>
      <c r="D651" s="12">
        <v>4000000</v>
      </c>
      <c r="E651" s="82">
        <v>0.98862405760000005</v>
      </c>
      <c r="F651" s="14">
        <v>3954496.23</v>
      </c>
      <c r="G651" s="14">
        <v>0.01</v>
      </c>
      <c r="H651" s="10"/>
      <c r="I651" s="10"/>
    </row>
    <row r="652" spans="1:9">
      <c r="A652" s="10" t="s">
        <v>1282</v>
      </c>
      <c r="B652" s="124" t="s">
        <v>516</v>
      </c>
      <c r="C652" s="124" t="s">
        <v>391</v>
      </c>
      <c r="D652" s="12">
        <v>4000000</v>
      </c>
      <c r="E652" s="82">
        <v>0.98065559250000001</v>
      </c>
      <c r="F652" s="14">
        <v>3922622.37</v>
      </c>
      <c r="G652" s="14">
        <v>0.01</v>
      </c>
      <c r="H652" s="10"/>
      <c r="I652" s="10"/>
    </row>
    <row r="653" spans="1:9">
      <c r="A653" s="10" t="s">
        <v>1285</v>
      </c>
      <c r="B653" s="124" t="s">
        <v>1019</v>
      </c>
      <c r="C653" s="124" t="s">
        <v>391</v>
      </c>
      <c r="D653" s="12">
        <v>50000000</v>
      </c>
      <c r="E653" s="82">
        <v>0.94422611560000003</v>
      </c>
      <c r="F653" s="14">
        <v>47211305.780000001</v>
      </c>
      <c r="G653" s="14">
        <v>0.06</v>
      </c>
      <c r="H653" s="10"/>
      <c r="I653" s="10"/>
    </row>
    <row r="654" spans="1:9">
      <c r="A654" s="10" t="s">
        <v>1286</v>
      </c>
      <c r="B654" s="124" t="s">
        <v>808</v>
      </c>
      <c r="C654" s="124" t="s">
        <v>391</v>
      </c>
      <c r="D654" s="12">
        <v>50000000</v>
      </c>
      <c r="E654" s="82">
        <v>0.93407729289999997</v>
      </c>
      <c r="F654" s="14">
        <v>46703864.649999999</v>
      </c>
      <c r="G654" s="14">
        <v>0.06</v>
      </c>
      <c r="H654" s="10"/>
      <c r="I654" s="10"/>
    </row>
    <row r="655" spans="1:9">
      <c r="A655" s="10" t="s">
        <v>1294</v>
      </c>
      <c r="B655" s="124" t="s">
        <v>580</v>
      </c>
      <c r="C655" s="124" t="s">
        <v>391</v>
      </c>
      <c r="D655" s="12">
        <v>2250000</v>
      </c>
      <c r="E655" s="82">
        <v>0.98675318209999996</v>
      </c>
      <c r="F655" s="14">
        <v>2220194.66</v>
      </c>
      <c r="G655" s="12">
        <v>0</v>
      </c>
      <c r="H655" s="10"/>
      <c r="I655" s="10"/>
    </row>
    <row r="656" spans="1:9">
      <c r="A656" s="10" t="s">
        <v>1295</v>
      </c>
      <c r="B656" s="124" t="s">
        <v>728</v>
      </c>
      <c r="C656" s="124" t="s">
        <v>391</v>
      </c>
      <c r="D656" s="12">
        <v>1500000</v>
      </c>
      <c r="E656" s="82">
        <v>0.99808586659999998</v>
      </c>
      <c r="F656" s="154">
        <v>1497128.8</v>
      </c>
      <c r="G656" s="12">
        <v>0</v>
      </c>
      <c r="H656" s="10"/>
      <c r="I656" s="10"/>
    </row>
    <row r="657" spans="1:9">
      <c r="A657" s="10" t="s">
        <v>1284</v>
      </c>
      <c r="B657" s="124" t="s">
        <v>443</v>
      </c>
      <c r="C657" s="124" t="s">
        <v>391</v>
      </c>
      <c r="D657" s="12">
        <v>10000000</v>
      </c>
      <c r="E657" s="82">
        <v>0.99238719909999995</v>
      </c>
      <c r="F657" s="14">
        <v>9923871.9900000002</v>
      </c>
      <c r="G657" s="14">
        <v>0.01</v>
      </c>
      <c r="H657" s="10"/>
      <c r="I657" s="10"/>
    </row>
    <row r="658" spans="1:9">
      <c r="A658" s="10" t="s">
        <v>1292</v>
      </c>
      <c r="B658" s="124" t="s">
        <v>443</v>
      </c>
      <c r="C658" s="124" t="s">
        <v>391</v>
      </c>
      <c r="D658" s="12">
        <v>5200000</v>
      </c>
      <c r="E658" s="82">
        <v>0.99520124040000002</v>
      </c>
      <c r="F658" s="14">
        <v>5175046.45</v>
      </c>
      <c r="G658" s="14">
        <v>0.01</v>
      </c>
      <c r="H658" s="10"/>
      <c r="I658" s="10"/>
    </row>
    <row r="659" spans="1:9">
      <c r="A659" s="10" t="s">
        <v>1293</v>
      </c>
      <c r="B659" s="124" t="s">
        <v>593</v>
      </c>
      <c r="C659" s="124" t="s">
        <v>391</v>
      </c>
      <c r="D659" s="12">
        <v>5300000</v>
      </c>
      <c r="E659" s="82">
        <v>0.97530999979999999</v>
      </c>
      <c r="F659" s="12">
        <v>5169143</v>
      </c>
      <c r="G659" s="14">
        <v>0.01</v>
      </c>
      <c r="H659" s="10"/>
      <c r="I659" s="10"/>
    </row>
    <row r="660" spans="1:9">
      <c r="A660" s="10" t="s">
        <v>1283</v>
      </c>
      <c r="B660" s="124" t="s">
        <v>518</v>
      </c>
      <c r="C660" s="124" t="s">
        <v>391</v>
      </c>
      <c r="D660" s="12">
        <v>25000000</v>
      </c>
      <c r="E660" s="82">
        <v>0.97546641010000001</v>
      </c>
      <c r="F660" s="14">
        <v>24386660.25</v>
      </c>
      <c r="G660" s="14">
        <v>0.03</v>
      </c>
      <c r="H660" s="10"/>
      <c r="I660" s="10"/>
    </row>
    <row r="661" spans="1:9">
      <c r="A661" s="10" t="s">
        <v>1288</v>
      </c>
      <c r="B661" s="124" t="s">
        <v>438</v>
      </c>
      <c r="C661" s="124" t="s">
        <v>391</v>
      </c>
      <c r="D661" s="154">
        <v>64965211.600000001</v>
      </c>
      <c r="E661" s="82">
        <v>0.9931432483</v>
      </c>
      <c r="F661" s="14">
        <v>64519761.270000003</v>
      </c>
      <c r="G661" s="14">
        <v>0.09</v>
      </c>
      <c r="H661" s="10"/>
      <c r="I661" s="10"/>
    </row>
    <row r="662" spans="1:9">
      <c r="A662" s="10" t="s">
        <v>1289</v>
      </c>
      <c r="B662" s="124" t="s">
        <v>438</v>
      </c>
      <c r="C662" s="124" t="s">
        <v>391</v>
      </c>
      <c r="D662" s="154">
        <v>64965211.600000001</v>
      </c>
      <c r="E662" s="82">
        <v>0.9931432483</v>
      </c>
      <c r="F662" s="14">
        <v>64519761.270000003</v>
      </c>
      <c r="G662" s="14">
        <v>0.09</v>
      </c>
      <c r="H662" s="10"/>
      <c r="I662" s="10"/>
    </row>
    <row r="663" spans="1:9">
      <c r="A663" s="10" t="s">
        <v>1290</v>
      </c>
      <c r="B663" s="124" t="s">
        <v>728</v>
      </c>
      <c r="C663" s="124" t="s">
        <v>391</v>
      </c>
      <c r="D663" s="14">
        <v>62410311.859999999</v>
      </c>
      <c r="E663" s="82">
        <v>0.99846810750000003</v>
      </c>
      <c r="F663" s="14">
        <v>62314705.969999999</v>
      </c>
      <c r="G663" s="14">
        <v>0.08</v>
      </c>
      <c r="H663" s="10"/>
      <c r="I663" s="10"/>
    </row>
    <row r="664" spans="1:9">
      <c r="A664" s="10" t="s">
        <v>1296</v>
      </c>
      <c r="B664" s="124" t="s">
        <v>450</v>
      </c>
      <c r="C664" s="124" t="s">
        <v>435</v>
      </c>
      <c r="D664" s="14">
        <v>2600411.64</v>
      </c>
      <c r="E664" s="82">
        <v>0.93412513350000004</v>
      </c>
      <c r="F664" s="14">
        <v>2429109.87</v>
      </c>
      <c r="G664" s="12">
        <v>0</v>
      </c>
      <c r="H664" s="10"/>
      <c r="I664" s="10"/>
    </row>
    <row r="665" spans="1:9">
      <c r="A665" s="10" t="s">
        <v>1297</v>
      </c>
      <c r="B665" s="124" t="s">
        <v>793</v>
      </c>
      <c r="C665" s="124" t="s">
        <v>435</v>
      </c>
      <c r="D665" s="14">
        <v>2600411.64</v>
      </c>
      <c r="E665" s="82">
        <v>0.94530209460000003</v>
      </c>
      <c r="F665" s="14">
        <v>2458174.5699999998</v>
      </c>
      <c r="G665" s="12">
        <v>0</v>
      </c>
      <c r="H665" s="10"/>
      <c r="I665" s="10"/>
    </row>
    <row r="666" spans="1:9">
      <c r="A666" s="10" t="s">
        <v>1298</v>
      </c>
      <c r="B666" s="124" t="s">
        <v>822</v>
      </c>
      <c r="C666" s="124" t="s">
        <v>435</v>
      </c>
      <c r="D666" s="14">
        <v>6222591.4500000002</v>
      </c>
      <c r="E666" s="82">
        <v>0.91860881159999996</v>
      </c>
      <c r="F666" s="14">
        <v>5716127.3399999999</v>
      </c>
      <c r="G666" s="14">
        <v>0.01</v>
      </c>
      <c r="H666" s="10"/>
      <c r="I666" s="10"/>
    </row>
    <row r="667" spans="1:9">
      <c r="A667" s="10" t="s">
        <v>1299</v>
      </c>
      <c r="B667" s="124" t="s">
        <v>587</v>
      </c>
      <c r="C667" s="124" t="s">
        <v>435</v>
      </c>
      <c r="D667" s="14">
        <v>4069364.15</v>
      </c>
      <c r="E667" s="82">
        <v>0.95840773990000006</v>
      </c>
      <c r="F667" s="154">
        <v>3900110.1</v>
      </c>
      <c r="G667" s="14">
        <v>0.01</v>
      </c>
      <c r="H667" s="10"/>
      <c r="I667" s="10"/>
    </row>
    <row r="668" spans="1:9">
      <c r="A668" s="10" t="s">
        <v>1300</v>
      </c>
      <c r="B668" s="124" t="s">
        <v>883</v>
      </c>
      <c r="C668" s="124" t="s">
        <v>435</v>
      </c>
      <c r="D668" s="14">
        <v>7954930.75</v>
      </c>
      <c r="E668" s="82">
        <v>0.96425659429999999</v>
      </c>
      <c r="F668" s="14">
        <v>7670594.4299999997</v>
      </c>
      <c r="G668" s="14">
        <v>0.01</v>
      </c>
      <c r="H668" s="10"/>
      <c r="I668" s="10"/>
    </row>
    <row r="669" spans="1:9">
      <c r="A669" s="10" t="s">
        <v>1301</v>
      </c>
      <c r="B669" s="124" t="s">
        <v>593</v>
      </c>
      <c r="C669" s="124" t="s">
        <v>435</v>
      </c>
      <c r="D669" s="14">
        <v>7954930.75</v>
      </c>
      <c r="E669" s="82">
        <v>0.96341665949999999</v>
      </c>
      <c r="F669" s="14">
        <v>7663912.8099999996</v>
      </c>
      <c r="G669" s="14">
        <v>0.01</v>
      </c>
      <c r="H669" s="10"/>
      <c r="I669" s="10"/>
    </row>
    <row r="670" spans="1:9">
      <c r="A670" s="10" t="s">
        <v>1302</v>
      </c>
      <c r="B670" s="124" t="s">
        <v>520</v>
      </c>
      <c r="C670" s="124" t="s">
        <v>435</v>
      </c>
      <c r="D670" s="14">
        <v>7954930.75</v>
      </c>
      <c r="E670" s="82">
        <v>0.97445073289999995</v>
      </c>
      <c r="F670" s="154">
        <v>7751688.0999999996</v>
      </c>
      <c r="G670" s="14">
        <v>0.01</v>
      </c>
      <c r="H670" s="10"/>
      <c r="I670" s="10"/>
    </row>
    <row r="671" spans="1:9">
      <c r="A671" s="10" t="s">
        <v>1303</v>
      </c>
      <c r="B671" s="124" t="s">
        <v>769</v>
      </c>
      <c r="C671" s="124" t="s">
        <v>435</v>
      </c>
      <c r="D671" s="14">
        <v>9356284.2599999998</v>
      </c>
      <c r="E671" s="82">
        <v>0.92475307390000006</v>
      </c>
      <c r="F671" s="14">
        <v>8652252.6300000008</v>
      </c>
      <c r="G671" s="14">
        <v>0.01</v>
      </c>
      <c r="H671" s="10"/>
      <c r="I671" s="10"/>
    </row>
    <row r="672" spans="1:9">
      <c r="A672" s="10" t="s">
        <v>1304</v>
      </c>
      <c r="B672" s="124" t="s">
        <v>793</v>
      </c>
      <c r="C672" s="124" t="s">
        <v>435</v>
      </c>
      <c r="D672" s="14">
        <v>6512309.3700000001</v>
      </c>
      <c r="E672" s="82">
        <v>0.94530208680000005</v>
      </c>
      <c r="F672" s="14">
        <v>6156099.6399999997</v>
      </c>
      <c r="G672" s="14">
        <v>0.01</v>
      </c>
      <c r="H672" s="10"/>
      <c r="I672" s="10"/>
    </row>
    <row r="673" spans="1:9">
      <c r="A673" s="10" t="s">
        <v>1305</v>
      </c>
      <c r="B673" s="124" t="s">
        <v>754</v>
      </c>
      <c r="C673" s="124" t="s">
        <v>435</v>
      </c>
      <c r="D673" s="14">
        <v>6820314.5199999996</v>
      </c>
      <c r="E673" s="82">
        <v>0.93254987069999995</v>
      </c>
      <c r="F673" s="14">
        <v>6360283.4199999999</v>
      </c>
      <c r="G673" s="14">
        <v>0.01</v>
      </c>
      <c r="H673" s="10"/>
      <c r="I673" s="10"/>
    </row>
    <row r="674" spans="1:9">
      <c r="A674" s="10" t="s">
        <v>1306</v>
      </c>
      <c r="B674" s="124" t="s">
        <v>504</v>
      </c>
      <c r="C674" s="124" t="s">
        <v>435</v>
      </c>
      <c r="D674" s="12">
        <v>8951101</v>
      </c>
      <c r="E674" s="82">
        <v>0.96257818490000002</v>
      </c>
      <c r="F674" s="14">
        <v>8616134.5500000007</v>
      </c>
      <c r="G674" s="14">
        <v>0.01</v>
      </c>
      <c r="H674" s="10"/>
      <c r="I674" s="10"/>
    </row>
    <row r="675" spans="1:9">
      <c r="A675" s="10" t="s">
        <v>1307</v>
      </c>
      <c r="B675" s="124" t="s">
        <v>883</v>
      </c>
      <c r="C675" s="124" t="s">
        <v>435</v>
      </c>
      <c r="D675" s="12">
        <v>2500000</v>
      </c>
      <c r="E675" s="82">
        <v>0.96740006789999999</v>
      </c>
      <c r="F675" s="14">
        <v>2418500.17</v>
      </c>
      <c r="G675" s="12">
        <v>0</v>
      </c>
      <c r="H675" s="10"/>
      <c r="I675" s="10"/>
    </row>
    <row r="676" spans="1:9">
      <c r="A676" s="10" t="s">
        <v>1308</v>
      </c>
      <c r="B676" s="124" t="s">
        <v>497</v>
      </c>
      <c r="C676" s="124" t="s">
        <v>435</v>
      </c>
      <c r="D676" s="12">
        <v>2500000</v>
      </c>
      <c r="E676" s="82">
        <v>0.96509785650000002</v>
      </c>
      <c r="F676" s="14">
        <v>2412744.64</v>
      </c>
      <c r="G676" s="12">
        <v>0</v>
      </c>
      <c r="H676" s="10"/>
      <c r="I676" s="10"/>
    </row>
    <row r="677" spans="1:9">
      <c r="A677" s="10" t="s">
        <v>1309</v>
      </c>
      <c r="B677" s="124" t="s">
        <v>529</v>
      </c>
      <c r="C677" s="124" t="s">
        <v>435</v>
      </c>
      <c r="D677" s="12">
        <v>2500000</v>
      </c>
      <c r="E677" s="82">
        <v>0.98382755209999995</v>
      </c>
      <c r="F677" s="14">
        <v>2459568.88</v>
      </c>
      <c r="G677" s="12">
        <v>0</v>
      </c>
      <c r="H677" s="10"/>
      <c r="I677" s="10"/>
    </row>
    <row r="678" spans="1:9">
      <c r="A678" s="10" t="s">
        <v>1310</v>
      </c>
      <c r="B678" s="124" t="s">
        <v>583</v>
      </c>
      <c r="C678" s="124" t="s">
        <v>435</v>
      </c>
      <c r="D678" s="12">
        <v>2500000</v>
      </c>
      <c r="E678" s="82">
        <v>0.95976863589999994</v>
      </c>
      <c r="F678" s="14">
        <v>2399421.59</v>
      </c>
      <c r="G678" s="12">
        <v>0</v>
      </c>
      <c r="H678" s="10"/>
      <c r="I678" s="10"/>
    </row>
    <row r="679" spans="1:9">
      <c r="A679" s="10" t="s">
        <v>1311</v>
      </c>
      <c r="B679" s="124" t="s">
        <v>516</v>
      </c>
      <c r="C679" s="124" t="s">
        <v>435</v>
      </c>
      <c r="D679" s="12">
        <v>2500000</v>
      </c>
      <c r="E679" s="82">
        <v>0.98065561970000004</v>
      </c>
      <c r="F679" s="14">
        <v>2451639.0499999998</v>
      </c>
      <c r="G679" s="12">
        <v>0</v>
      </c>
      <c r="H679" s="10"/>
      <c r="I679" s="10"/>
    </row>
    <row r="680" spans="1:9">
      <c r="A680" s="10" t="s">
        <v>1312</v>
      </c>
      <c r="B680" s="124" t="s">
        <v>518</v>
      </c>
      <c r="C680" s="124" t="s">
        <v>435</v>
      </c>
      <c r="D680" s="12">
        <v>2500000</v>
      </c>
      <c r="E680" s="82">
        <v>0.97829008760000002</v>
      </c>
      <c r="F680" s="14">
        <v>2445725.2200000002</v>
      </c>
      <c r="G680" s="12">
        <v>0</v>
      </c>
      <c r="H680" s="10"/>
      <c r="I680" s="10"/>
    </row>
    <row r="681" spans="1:9">
      <c r="A681" s="10" t="s">
        <v>1313</v>
      </c>
      <c r="B681" s="124" t="s">
        <v>522</v>
      </c>
      <c r="C681" s="124" t="s">
        <v>435</v>
      </c>
      <c r="D681" s="12">
        <v>2500000</v>
      </c>
      <c r="E681" s="82">
        <v>0.97593593609999996</v>
      </c>
      <c r="F681" s="14">
        <v>2439839.84</v>
      </c>
      <c r="G681" s="12">
        <v>0</v>
      </c>
      <c r="H681" s="10"/>
      <c r="I681" s="10"/>
    </row>
    <row r="682" spans="1:9">
      <c r="A682" s="10" t="s">
        <v>1314</v>
      </c>
      <c r="B682" s="124" t="s">
        <v>593</v>
      </c>
      <c r="C682" s="124" t="s">
        <v>435</v>
      </c>
      <c r="D682" s="12">
        <v>2500000</v>
      </c>
      <c r="E682" s="82">
        <v>0.96663144410000001</v>
      </c>
      <c r="F682" s="14">
        <v>2416578.61</v>
      </c>
      <c r="G682" s="12">
        <v>0</v>
      </c>
      <c r="H682" s="10"/>
      <c r="I682" s="10"/>
    </row>
    <row r="683" spans="1:9">
      <c r="A683" s="10" t="s">
        <v>1315</v>
      </c>
      <c r="B683" s="124" t="s">
        <v>580</v>
      </c>
      <c r="C683" s="124" t="s">
        <v>435</v>
      </c>
      <c r="D683" s="12">
        <v>2500000</v>
      </c>
      <c r="E683" s="158">
        <v>0.98862407600000002</v>
      </c>
      <c r="F683" s="14">
        <v>2471560.19</v>
      </c>
      <c r="G683" s="12">
        <v>0</v>
      </c>
      <c r="H683" s="10"/>
      <c r="I683" s="10"/>
    </row>
    <row r="684" spans="1:9">
      <c r="A684" s="10" t="s">
        <v>1316</v>
      </c>
      <c r="B684" s="124" t="s">
        <v>482</v>
      </c>
      <c r="C684" s="124" t="s">
        <v>435</v>
      </c>
      <c r="D684" s="12">
        <v>2500000</v>
      </c>
      <c r="E684" s="82">
        <v>0.98782138789999996</v>
      </c>
      <c r="F684" s="14">
        <v>2469553.4700000002</v>
      </c>
      <c r="G684" s="12">
        <v>0</v>
      </c>
      <c r="H684" s="10"/>
      <c r="I684" s="10"/>
    </row>
    <row r="685" spans="1:9">
      <c r="A685" s="10" t="s">
        <v>1317</v>
      </c>
      <c r="B685" s="124" t="s">
        <v>587</v>
      </c>
      <c r="C685" s="124" t="s">
        <v>435</v>
      </c>
      <c r="D685" s="12">
        <v>2500000</v>
      </c>
      <c r="E685" s="82">
        <v>0.96204534450000001</v>
      </c>
      <c r="F685" s="14">
        <v>2405113.36</v>
      </c>
      <c r="G685" s="12">
        <v>0</v>
      </c>
      <c r="H685" s="10"/>
      <c r="I685" s="10"/>
    </row>
    <row r="686" spans="1:9">
      <c r="A686" s="10" t="s">
        <v>1318</v>
      </c>
      <c r="B686" s="124" t="s">
        <v>448</v>
      </c>
      <c r="C686" s="124" t="s">
        <v>435</v>
      </c>
      <c r="D686" s="12">
        <v>2500000</v>
      </c>
      <c r="E686" s="21">
        <v>0.98621998</v>
      </c>
      <c r="F686" s="14">
        <v>2465549.9500000002</v>
      </c>
      <c r="G686" s="12">
        <v>0</v>
      </c>
      <c r="H686" s="10"/>
      <c r="I686" s="10"/>
    </row>
    <row r="687" spans="1:9">
      <c r="A687" s="10" t="s">
        <v>1319</v>
      </c>
      <c r="B687" s="124" t="s">
        <v>488</v>
      </c>
      <c r="C687" s="124" t="s">
        <v>435</v>
      </c>
      <c r="D687" s="12">
        <v>2500000</v>
      </c>
      <c r="E687" s="82">
        <v>0.9830326238</v>
      </c>
      <c r="F687" s="14">
        <v>2457581.56</v>
      </c>
      <c r="G687" s="12">
        <v>0</v>
      </c>
      <c r="H687" s="10"/>
      <c r="I687" s="10"/>
    </row>
    <row r="688" spans="1:9">
      <c r="A688" s="10" t="s">
        <v>1320</v>
      </c>
      <c r="B688" s="124" t="s">
        <v>948</v>
      </c>
      <c r="C688" s="124" t="s">
        <v>435</v>
      </c>
      <c r="D688" s="12">
        <v>2500000</v>
      </c>
      <c r="E688" s="82">
        <v>0.95901221979999995</v>
      </c>
      <c r="F688" s="14">
        <v>2397530.5499999998</v>
      </c>
      <c r="G688" s="12">
        <v>0</v>
      </c>
      <c r="H688" s="10"/>
      <c r="I688" s="10"/>
    </row>
    <row r="689" spans="1:9">
      <c r="A689" s="10" t="s">
        <v>1321</v>
      </c>
      <c r="B689" s="124" t="s">
        <v>950</v>
      </c>
      <c r="C689" s="124" t="s">
        <v>435</v>
      </c>
      <c r="D689" s="12">
        <v>2500000</v>
      </c>
      <c r="E689" s="82">
        <v>0.95599802810000001</v>
      </c>
      <c r="F689" s="14">
        <v>2389995.0699999998</v>
      </c>
      <c r="G689" s="12">
        <v>0</v>
      </c>
      <c r="H689" s="10"/>
      <c r="I689" s="10"/>
    </row>
    <row r="690" spans="1:9">
      <c r="A690" s="10" t="s">
        <v>1322</v>
      </c>
      <c r="B690" s="124" t="s">
        <v>750</v>
      </c>
      <c r="C690" s="124" t="s">
        <v>435</v>
      </c>
      <c r="D690" s="12">
        <v>2500000</v>
      </c>
      <c r="E690" s="82">
        <v>0.95374967629999996</v>
      </c>
      <c r="F690" s="14">
        <v>2384374.19</v>
      </c>
      <c r="G690" s="12">
        <v>0</v>
      </c>
      <c r="H690" s="10"/>
      <c r="I690" s="10"/>
    </row>
    <row r="691" spans="1:9">
      <c r="A691" s="10" t="s">
        <v>1323</v>
      </c>
      <c r="B691" s="124" t="s">
        <v>520</v>
      </c>
      <c r="C691" s="124" t="s">
        <v>435</v>
      </c>
      <c r="D691" s="12">
        <v>2500000</v>
      </c>
      <c r="E691" s="82">
        <v>0.97671932009999995</v>
      </c>
      <c r="F691" s="154">
        <v>2441798.2999999998</v>
      </c>
      <c r="G691" s="12">
        <v>0</v>
      </c>
      <c r="H691" s="10"/>
      <c r="I691" s="10"/>
    </row>
    <row r="692" spans="1:9">
      <c r="A692" s="10" t="s">
        <v>1324</v>
      </c>
      <c r="B692" s="124" t="s">
        <v>567</v>
      </c>
      <c r="C692" s="124" t="s">
        <v>435</v>
      </c>
      <c r="D692" s="12">
        <v>2500000</v>
      </c>
      <c r="E692" s="82">
        <v>0.95151201630000004</v>
      </c>
      <c r="F692" s="14">
        <v>2378780.04</v>
      </c>
      <c r="G692" s="12">
        <v>0</v>
      </c>
      <c r="H692" s="10"/>
      <c r="I692" s="10"/>
    </row>
    <row r="693" spans="1:9">
      <c r="A693" s="10" t="s">
        <v>1325</v>
      </c>
      <c r="B693" s="124" t="s">
        <v>766</v>
      </c>
      <c r="C693" s="124" t="s">
        <v>435</v>
      </c>
      <c r="D693" s="12">
        <v>2500000</v>
      </c>
      <c r="E693" s="158">
        <v>0.97515369600000001</v>
      </c>
      <c r="F693" s="14">
        <v>2437884.2400000002</v>
      </c>
      <c r="G693" s="12">
        <v>0</v>
      </c>
      <c r="H693" s="10"/>
      <c r="I693" s="10"/>
    </row>
    <row r="694" spans="1:9">
      <c r="A694" s="10" t="s">
        <v>1326</v>
      </c>
      <c r="B694" s="124" t="s">
        <v>524</v>
      </c>
      <c r="C694" s="124" t="s">
        <v>435</v>
      </c>
      <c r="D694" s="12">
        <v>2500000</v>
      </c>
      <c r="E694" s="82">
        <v>0.97281460379999996</v>
      </c>
      <c r="F694" s="14">
        <v>2432036.5099999998</v>
      </c>
      <c r="G694" s="12">
        <v>0</v>
      </c>
      <c r="H694" s="10"/>
      <c r="I694" s="10"/>
    </row>
    <row r="695" spans="1:9">
      <c r="A695" s="10" t="s">
        <v>1327</v>
      </c>
      <c r="B695" s="124" t="s">
        <v>660</v>
      </c>
      <c r="C695" s="124" t="s">
        <v>435</v>
      </c>
      <c r="D695" s="12">
        <v>12000000</v>
      </c>
      <c r="E695" s="82">
        <v>0.97203735250000001</v>
      </c>
      <c r="F695" s="14">
        <v>11664448.23</v>
      </c>
      <c r="G695" s="14">
        <v>0.02</v>
      </c>
      <c r="H695" s="10"/>
      <c r="I695" s="10"/>
    </row>
    <row r="696" spans="1:9">
      <c r="A696" s="10" t="s">
        <v>1328</v>
      </c>
      <c r="B696" s="124" t="s">
        <v>485</v>
      </c>
      <c r="C696" s="124" t="s">
        <v>435</v>
      </c>
      <c r="D696" s="12">
        <v>150000000</v>
      </c>
      <c r="E696" s="82">
        <v>0.98702006590000002</v>
      </c>
      <c r="F696" s="14">
        <v>148053009.88999999</v>
      </c>
      <c r="G696" s="154">
        <v>0.2</v>
      </c>
      <c r="H696" s="10"/>
      <c r="I696" s="10"/>
    </row>
    <row r="697" spans="1:9">
      <c r="A697" s="10" t="s">
        <v>1329</v>
      </c>
      <c r="B697" s="124" t="s">
        <v>482</v>
      </c>
      <c r="C697" s="124" t="s">
        <v>435</v>
      </c>
      <c r="D697" s="12">
        <v>150000000</v>
      </c>
      <c r="E697" s="82">
        <v>0.98782138630000005</v>
      </c>
      <c r="F697" s="14">
        <v>148173207.94999999</v>
      </c>
      <c r="G697" s="154">
        <v>0.2</v>
      </c>
      <c r="H697" s="10"/>
      <c r="I697" s="10"/>
    </row>
    <row r="698" spans="1:9">
      <c r="A698" s="10" t="s">
        <v>1343</v>
      </c>
      <c r="B698" s="124" t="s">
        <v>680</v>
      </c>
      <c r="C698" s="124" t="s">
        <v>349</v>
      </c>
      <c r="D698" s="12">
        <v>25000000</v>
      </c>
      <c r="E698" s="158">
        <v>0.96479179699999995</v>
      </c>
      <c r="F698" s="14">
        <v>24119794.93</v>
      </c>
      <c r="G698" s="14">
        <v>0.03</v>
      </c>
      <c r="H698" s="10"/>
      <c r="I698" s="10"/>
    </row>
    <row r="699" spans="1:9">
      <c r="A699" s="10" t="s">
        <v>1344</v>
      </c>
      <c r="B699" s="124" t="s">
        <v>593</v>
      </c>
      <c r="C699" s="124" t="s">
        <v>349</v>
      </c>
      <c r="D699" s="12">
        <v>25000000</v>
      </c>
      <c r="E699" s="82">
        <v>0.95916344040000001</v>
      </c>
      <c r="F699" s="14">
        <v>23979086.010000002</v>
      </c>
      <c r="G699" s="14">
        <v>0.03</v>
      </c>
      <c r="H699" s="10"/>
      <c r="I699" s="10"/>
    </row>
    <row r="700" spans="1:9">
      <c r="A700" s="10" t="s">
        <v>1345</v>
      </c>
      <c r="B700" s="124" t="s">
        <v>766</v>
      </c>
      <c r="C700" s="124" t="s">
        <v>349</v>
      </c>
      <c r="D700" s="12">
        <v>15000000</v>
      </c>
      <c r="E700" s="82">
        <v>0.96953289180000002</v>
      </c>
      <c r="F700" s="14">
        <v>14542993.380000001</v>
      </c>
      <c r="G700" s="14">
        <v>0.02</v>
      </c>
      <c r="H700" s="10"/>
      <c r="I700" s="10"/>
    </row>
    <row r="701" spans="1:9">
      <c r="A701" s="10" t="s">
        <v>1346</v>
      </c>
      <c r="B701" s="124" t="s">
        <v>660</v>
      </c>
      <c r="C701" s="124" t="s">
        <v>349</v>
      </c>
      <c r="D701" s="12">
        <v>15000000</v>
      </c>
      <c r="E701" s="158">
        <v>0.965736331</v>
      </c>
      <c r="F701" s="14">
        <v>14486044.970000001</v>
      </c>
      <c r="G701" s="14">
        <v>0.02</v>
      </c>
      <c r="H701" s="10"/>
      <c r="I701" s="10"/>
    </row>
    <row r="702" spans="1:9">
      <c r="A702" s="10" t="s">
        <v>1347</v>
      </c>
      <c r="B702" s="124" t="s">
        <v>574</v>
      </c>
      <c r="C702" s="124" t="s">
        <v>349</v>
      </c>
      <c r="D702" s="12">
        <v>20000000</v>
      </c>
      <c r="E702" s="82">
        <v>0.96384910759999998</v>
      </c>
      <c r="F702" s="14">
        <v>19276982.149999999</v>
      </c>
      <c r="G702" s="14">
        <v>0.03</v>
      </c>
      <c r="H702" s="10"/>
      <c r="I702" s="10"/>
    </row>
    <row r="703" spans="1:9">
      <c r="A703" s="10" t="s">
        <v>1348</v>
      </c>
      <c r="B703" s="124" t="s">
        <v>883</v>
      </c>
      <c r="C703" s="124" t="s">
        <v>349</v>
      </c>
      <c r="D703" s="12">
        <v>20000000</v>
      </c>
      <c r="E703" s="158">
        <v>0.96009683499999998</v>
      </c>
      <c r="F703" s="154">
        <v>19201936.699999999</v>
      </c>
      <c r="G703" s="14">
        <v>0.03</v>
      </c>
      <c r="H703" s="10"/>
      <c r="I703" s="10"/>
    </row>
    <row r="704" spans="1:9">
      <c r="A704" s="10" t="s">
        <v>1332</v>
      </c>
      <c r="B704" s="124" t="s">
        <v>766</v>
      </c>
      <c r="C704" s="124" t="s">
        <v>349</v>
      </c>
      <c r="D704" s="12">
        <v>2500000</v>
      </c>
      <c r="E704" s="82">
        <v>0.97515373559999996</v>
      </c>
      <c r="F704" s="14">
        <v>2437884.34</v>
      </c>
      <c r="G704" s="12">
        <v>0</v>
      </c>
      <c r="H704" s="10"/>
      <c r="I704" s="10"/>
    </row>
    <row r="705" spans="1:9">
      <c r="A705" s="10" t="s">
        <v>1333</v>
      </c>
      <c r="B705" s="124" t="s">
        <v>441</v>
      </c>
      <c r="C705" s="124" t="s">
        <v>349</v>
      </c>
      <c r="D705" s="12">
        <v>2500000</v>
      </c>
      <c r="E705" s="158">
        <v>0.99509271600000004</v>
      </c>
      <c r="F705" s="14">
        <v>2487731.79</v>
      </c>
      <c r="G705" s="12">
        <v>0</v>
      </c>
      <c r="H705" s="10"/>
      <c r="I705" s="10"/>
    </row>
    <row r="706" spans="1:9">
      <c r="A706" s="10" t="s">
        <v>1334</v>
      </c>
      <c r="B706" s="124" t="s">
        <v>580</v>
      </c>
      <c r="C706" s="124" t="s">
        <v>349</v>
      </c>
      <c r="D706" s="12">
        <v>2500000</v>
      </c>
      <c r="E706" s="82">
        <v>0.9886240959</v>
      </c>
      <c r="F706" s="14">
        <v>2471560.2400000002</v>
      </c>
      <c r="G706" s="12">
        <v>0</v>
      </c>
      <c r="H706" s="10"/>
      <c r="I706" s="10"/>
    </row>
    <row r="707" spans="1:9">
      <c r="A707" s="10" t="s">
        <v>1335</v>
      </c>
      <c r="B707" s="124" t="s">
        <v>529</v>
      </c>
      <c r="C707" s="124" t="s">
        <v>349</v>
      </c>
      <c r="D707" s="12">
        <v>2500000</v>
      </c>
      <c r="E707" s="82">
        <v>0.98382749589999996</v>
      </c>
      <c r="F707" s="14">
        <v>2459568.7400000002</v>
      </c>
      <c r="G707" s="12">
        <v>0</v>
      </c>
      <c r="H707" s="10"/>
      <c r="I707" s="10"/>
    </row>
    <row r="708" spans="1:9">
      <c r="A708" s="10" t="s">
        <v>1336</v>
      </c>
      <c r="B708" s="124" t="s">
        <v>488</v>
      </c>
      <c r="C708" s="124" t="s">
        <v>349</v>
      </c>
      <c r="D708" s="12">
        <v>2500000</v>
      </c>
      <c r="E708" s="82">
        <v>0.98303265210000002</v>
      </c>
      <c r="F708" s="14">
        <v>2457581.63</v>
      </c>
      <c r="G708" s="12">
        <v>0</v>
      </c>
      <c r="H708" s="10"/>
      <c r="I708" s="10"/>
    </row>
    <row r="709" spans="1:9">
      <c r="A709" s="10" t="s">
        <v>1337</v>
      </c>
      <c r="B709" s="124" t="s">
        <v>518</v>
      </c>
      <c r="C709" s="124" t="s">
        <v>349</v>
      </c>
      <c r="D709" s="12">
        <v>2500000</v>
      </c>
      <c r="E709" s="82">
        <v>0.97829000759999996</v>
      </c>
      <c r="F709" s="14">
        <v>2445725.02</v>
      </c>
      <c r="G709" s="12">
        <v>0</v>
      </c>
      <c r="H709" s="10"/>
      <c r="I709" s="10"/>
    </row>
    <row r="710" spans="1:9">
      <c r="A710" s="10" t="s">
        <v>1338</v>
      </c>
      <c r="B710" s="124" t="s">
        <v>728</v>
      </c>
      <c r="C710" s="124" t="s">
        <v>349</v>
      </c>
      <c r="D710" s="12">
        <v>2500000</v>
      </c>
      <c r="E710" s="158">
        <v>0.99835887199999995</v>
      </c>
      <c r="F710" s="14">
        <v>2495897.1800000002</v>
      </c>
      <c r="G710" s="12">
        <v>0</v>
      </c>
      <c r="H710" s="10"/>
      <c r="I710" s="10"/>
    </row>
    <row r="711" spans="1:9">
      <c r="A711" s="10" t="s">
        <v>1339</v>
      </c>
      <c r="B711" s="124" t="s">
        <v>474</v>
      </c>
      <c r="C711" s="124" t="s">
        <v>349</v>
      </c>
      <c r="D711" s="12">
        <v>2500000</v>
      </c>
      <c r="E711" s="158">
        <v>0.99754032400000003</v>
      </c>
      <c r="F711" s="14">
        <v>2493850.81</v>
      </c>
      <c r="G711" s="12">
        <v>0</v>
      </c>
      <c r="H711" s="10"/>
      <c r="I711" s="10"/>
    </row>
    <row r="712" spans="1:9">
      <c r="A712" s="10" t="s">
        <v>1355</v>
      </c>
      <c r="B712" s="124" t="s">
        <v>443</v>
      </c>
      <c r="C712" s="124" t="s">
        <v>349</v>
      </c>
      <c r="D712" s="12">
        <v>30000000</v>
      </c>
      <c r="E712" s="82">
        <v>0.99281907439999995</v>
      </c>
      <c r="F712" s="14">
        <v>29784572.23</v>
      </c>
      <c r="G712" s="14">
        <v>0.04</v>
      </c>
      <c r="H712" s="10"/>
      <c r="I712" s="10"/>
    </row>
    <row r="713" spans="1:9">
      <c r="A713" s="10" t="s">
        <v>1356</v>
      </c>
      <c r="B713" s="124" t="s">
        <v>500</v>
      </c>
      <c r="C713" s="124" t="s">
        <v>349</v>
      </c>
      <c r="D713" s="12">
        <v>25000000</v>
      </c>
      <c r="E713" s="82">
        <v>0.95674978649999998</v>
      </c>
      <c r="F713" s="14">
        <v>23918744.66</v>
      </c>
      <c r="G713" s="14">
        <v>0.03</v>
      </c>
      <c r="H713" s="10"/>
      <c r="I713" s="10"/>
    </row>
    <row r="714" spans="1:9">
      <c r="A714" s="10" t="s">
        <v>1357</v>
      </c>
      <c r="B714" s="124" t="s">
        <v>697</v>
      </c>
      <c r="C714" s="124" t="s">
        <v>349</v>
      </c>
      <c r="D714" s="12">
        <v>25000000</v>
      </c>
      <c r="E714" s="82">
        <v>0.92863506790000006</v>
      </c>
      <c r="F714" s="154">
        <v>23215876.699999999</v>
      </c>
      <c r="G714" s="14">
        <v>0.03</v>
      </c>
      <c r="H714" s="10"/>
      <c r="I714" s="10"/>
    </row>
    <row r="715" spans="1:9">
      <c r="A715" s="10" t="s">
        <v>1358</v>
      </c>
      <c r="B715" s="124" t="s">
        <v>647</v>
      </c>
      <c r="C715" s="124" t="s">
        <v>349</v>
      </c>
      <c r="D715" s="12">
        <v>25000000</v>
      </c>
      <c r="E715" s="82">
        <v>0.93968025639999997</v>
      </c>
      <c r="F715" s="14">
        <v>23492006.41</v>
      </c>
      <c r="G715" s="14">
        <v>0.03</v>
      </c>
      <c r="H715" s="10"/>
      <c r="I715" s="10"/>
    </row>
    <row r="716" spans="1:9">
      <c r="A716" s="10" t="s">
        <v>1359</v>
      </c>
      <c r="B716" s="124" t="s">
        <v>497</v>
      </c>
      <c r="C716" s="124" t="s">
        <v>349</v>
      </c>
      <c r="D716" s="12">
        <v>30000000</v>
      </c>
      <c r="E716" s="82">
        <v>0.9617412058</v>
      </c>
      <c r="F716" s="14">
        <v>28852236.170000002</v>
      </c>
      <c r="G716" s="14">
        <v>0.04</v>
      </c>
      <c r="H716" s="10"/>
      <c r="I716" s="10"/>
    </row>
    <row r="717" spans="1:9">
      <c r="A717" s="10" t="s">
        <v>1361</v>
      </c>
      <c r="B717" s="124" t="s">
        <v>1360</v>
      </c>
      <c r="C717" s="124" t="s">
        <v>349</v>
      </c>
      <c r="D717" s="12">
        <v>25000000</v>
      </c>
      <c r="E717" s="82">
        <v>0.93570560749999998</v>
      </c>
      <c r="F717" s="14">
        <v>23392640.190000001</v>
      </c>
      <c r="G717" s="14">
        <v>0.03</v>
      </c>
      <c r="H717" s="10"/>
      <c r="I717" s="10"/>
    </row>
    <row r="718" spans="1:9">
      <c r="A718" s="10" t="s">
        <v>1350</v>
      </c>
      <c r="B718" s="124" t="s">
        <v>754</v>
      </c>
      <c r="C718" s="124" t="s">
        <v>349</v>
      </c>
      <c r="D718" s="12">
        <v>25000000</v>
      </c>
      <c r="E718" s="82">
        <v>0.93254991840000001</v>
      </c>
      <c r="F718" s="14">
        <v>23313747.960000001</v>
      </c>
      <c r="G718" s="14">
        <v>0.03</v>
      </c>
      <c r="H718" s="10"/>
      <c r="I718" s="10"/>
    </row>
    <row r="719" spans="1:9">
      <c r="A719" s="10" t="s">
        <v>1351</v>
      </c>
      <c r="B719" s="124" t="s">
        <v>502</v>
      </c>
      <c r="C719" s="124" t="s">
        <v>349</v>
      </c>
      <c r="D719" s="12">
        <v>25000000</v>
      </c>
      <c r="E719" s="82">
        <v>0.95099150870000004</v>
      </c>
      <c r="F719" s="14">
        <v>23774787.719999999</v>
      </c>
      <c r="G719" s="14">
        <v>0.03</v>
      </c>
      <c r="H719" s="10"/>
      <c r="I719" s="10"/>
    </row>
    <row r="720" spans="1:9">
      <c r="A720" s="10" t="s">
        <v>1352</v>
      </c>
      <c r="B720" s="124" t="s">
        <v>438</v>
      </c>
      <c r="C720" s="124" t="s">
        <v>349</v>
      </c>
      <c r="D720" s="12">
        <v>25000000</v>
      </c>
      <c r="E720" s="158">
        <v>0.99023331599999997</v>
      </c>
      <c r="F720" s="154">
        <v>24755832.899999999</v>
      </c>
      <c r="G720" s="14">
        <v>0.03</v>
      </c>
      <c r="H720" s="10"/>
      <c r="I720" s="10"/>
    </row>
    <row r="721" spans="1:9">
      <c r="A721" s="10" t="s">
        <v>1340</v>
      </c>
      <c r="B721" s="124" t="s">
        <v>482</v>
      </c>
      <c r="C721" s="124" t="s">
        <v>349</v>
      </c>
      <c r="D721" s="12">
        <v>42000000</v>
      </c>
      <c r="E721" s="82">
        <v>0.98462371479999999</v>
      </c>
      <c r="F721" s="14">
        <v>41354196.020000003</v>
      </c>
      <c r="G721" s="14">
        <v>0.05</v>
      </c>
      <c r="H721" s="10"/>
      <c r="I721" s="10"/>
    </row>
    <row r="722" spans="1:9">
      <c r="A722" s="10" t="s">
        <v>1341</v>
      </c>
      <c r="B722" s="124" t="s">
        <v>482</v>
      </c>
      <c r="C722" s="124" t="s">
        <v>349</v>
      </c>
      <c r="D722" s="12">
        <v>42000000</v>
      </c>
      <c r="E722" s="82">
        <v>0.98462371479999999</v>
      </c>
      <c r="F722" s="14">
        <v>41354196.020000003</v>
      </c>
      <c r="G722" s="14">
        <v>0.05</v>
      </c>
      <c r="H722" s="10"/>
      <c r="I722" s="10"/>
    </row>
    <row r="723" spans="1:9">
      <c r="A723" s="10" t="s">
        <v>1342</v>
      </c>
      <c r="B723" s="124" t="s">
        <v>510</v>
      </c>
      <c r="C723" s="124" t="s">
        <v>349</v>
      </c>
      <c r="D723" s="12">
        <v>20000000</v>
      </c>
      <c r="E723" s="82">
        <v>0.98969635560000002</v>
      </c>
      <c r="F723" s="14">
        <v>19793927.109999999</v>
      </c>
      <c r="G723" s="14">
        <v>0.03</v>
      </c>
      <c r="H723" s="10"/>
      <c r="I723" s="10"/>
    </row>
    <row r="724" spans="1:9">
      <c r="A724" s="10" t="s">
        <v>1349</v>
      </c>
      <c r="B724" s="124" t="s">
        <v>520</v>
      </c>
      <c r="C724" s="124" t="s">
        <v>349</v>
      </c>
      <c r="D724" s="12">
        <v>100000000</v>
      </c>
      <c r="E724" s="82">
        <v>0.97445076310000001</v>
      </c>
      <c r="F724" s="14">
        <v>97445076.310000002</v>
      </c>
      <c r="G724" s="14">
        <v>0.13</v>
      </c>
      <c r="H724" s="10"/>
      <c r="I724" s="10"/>
    </row>
    <row r="725" spans="1:9">
      <c r="A725" s="10" t="s">
        <v>1353</v>
      </c>
      <c r="B725" s="124" t="s">
        <v>510</v>
      </c>
      <c r="C725" s="124" t="s">
        <v>349</v>
      </c>
      <c r="D725" s="14">
        <v>55696615.780000001</v>
      </c>
      <c r="E725" s="82">
        <v>0.99238719929999997</v>
      </c>
      <c r="F725" s="14">
        <v>55272608.539999999</v>
      </c>
      <c r="G725" s="14">
        <v>7.0000000000000007E-2</v>
      </c>
      <c r="H725" s="10"/>
      <c r="I725" s="10"/>
    </row>
    <row r="726" spans="1:9">
      <c r="A726" s="10" t="s">
        <v>1354</v>
      </c>
      <c r="B726" s="124" t="s">
        <v>510</v>
      </c>
      <c r="C726" s="124" t="s">
        <v>349</v>
      </c>
      <c r="D726" s="14">
        <v>55696615.780000001</v>
      </c>
      <c r="E726" s="82">
        <v>0.99238719929999997</v>
      </c>
      <c r="F726" s="14">
        <v>55272608.539999999</v>
      </c>
      <c r="G726" s="14">
        <v>7.0000000000000007E-2</v>
      </c>
      <c r="H726" s="10"/>
      <c r="I726" s="10"/>
    </row>
    <row r="727" spans="1:9">
      <c r="A727" s="10" t="s">
        <v>1362</v>
      </c>
      <c r="B727" s="124" t="s">
        <v>448</v>
      </c>
      <c r="C727" s="124" t="s">
        <v>548</v>
      </c>
      <c r="D727" s="12">
        <v>2500000</v>
      </c>
      <c r="E727" s="82">
        <v>0.98621999220000001</v>
      </c>
      <c r="F727" s="14">
        <v>2465549.98</v>
      </c>
      <c r="G727" s="12">
        <v>0</v>
      </c>
      <c r="H727" s="10"/>
      <c r="I727" s="10"/>
    </row>
    <row r="728" spans="1:9">
      <c r="A728" s="10" t="s">
        <v>1363</v>
      </c>
      <c r="B728" s="124" t="s">
        <v>474</v>
      </c>
      <c r="C728" s="124" t="s">
        <v>548</v>
      </c>
      <c r="D728" s="12">
        <v>2500000</v>
      </c>
      <c r="E728" s="21">
        <v>0.99754032000000004</v>
      </c>
      <c r="F728" s="154">
        <v>2493850.7999999998</v>
      </c>
      <c r="G728" s="12">
        <v>0</v>
      </c>
      <c r="H728" s="10"/>
      <c r="I728" s="10"/>
    </row>
    <row r="729" spans="1:9">
      <c r="A729" s="10" t="s">
        <v>1364</v>
      </c>
      <c r="B729" s="124" t="s">
        <v>529</v>
      </c>
      <c r="C729" s="124" t="s">
        <v>548</v>
      </c>
      <c r="D729" s="12">
        <v>2000000</v>
      </c>
      <c r="E729" s="82">
        <v>0.98382755479999995</v>
      </c>
      <c r="F729" s="14">
        <v>1967655.11</v>
      </c>
      <c r="G729" s="12">
        <v>0</v>
      </c>
      <c r="H729" s="10"/>
      <c r="I729" s="10"/>
    </row>
    <row r="730" spans="1:9">
      <c r="A730" s="10" t="s">
        <v>1365</v>
      </c>
      <c r="B730" s="124" t="s">
        <v>728</v>
      </c>
      <c r="C730" s="124" t="s">
        <v>548</v>
      </c>
      <c r="D730" s="12">
        <v>2500000</v>
      </c>
      <c r="E730" s="158">
        <v>0.99835887199999995</v>
      </c>
      <c r="F730" s="14">
        <v>2495897.1800000002</v>
      </c>
      <c r="G730" s="12">
        <v>0</v>
      </c>
      <c r="H730" s="10"/>
      <c r="I730" s="10"/>
    </row>
    <row r="731" spans="1:9">
      <c r="A731" s="10" t="s">
        <v>1366</v>
      </c>
      <c r="B731" s="124" t="s">
        <v>482</v>
      </c>
      <c r="C731" s="124" t="s">
        <v>548</v>
      </c>
      <c r="D731" s="12">
        <v>42000000</v>
      </c>
      <c r="E731" s="82">
        <v>0.98462370129999999</v>
      </c>
      <c r="F731" s="14">
        <v>41354195.450000003</v>
      </c>
      <c r="G731" s="14">
        <v>0.05</v>
      </c>
      <c r="H731" s="10"/>
      <c r="I731" s="10"/>
    </row>
    <row r="732" spans="1:9">
      <c r="A732" s="10" t="s">
        <v>1367</v>
      </c>
      <c r="B732" s="124" t="s">
        <v>485</v>
      </c>
      <c r="C732" s="124" t="s">
        <v>548</v>
      </c>
      <c r="D732" s="12">
        <v>43000000</v>
      </c>
      <c r="E732" s="82">
        <v>0.9836154748</v>
      </c>
      <c r="F732" s="14">
        <v>42295465.420000002</v>
      </c>
      <c r="G732" s="14">
        <v>0.06</v>
      </c>
      <c r="H732" s="10"/>
      <c r="I732" s="10"/>
    </row>
    <row r="733" spans="1:9">
      <c r="A733" s="10" t="s">
        <v>1368</v>
      </c>
      <c r="B733" s="124" t="s">
        <v>680</v>
      </c>
      <c r="C733" s="124" t="s">
        <v>548</v>
      </c>
      <c r="D733" s="12">
        <v>68000000</v>
      </c>
      <c r="E733" s="82">
        <v>0.96479177410000005</v>
      </c>
      <c r="F733" s="14">
        <v>65605840.640000001</v>
      </c>
      <c r="G733" s="14">
        <v>0.09</v>
      </c>
      <c r="H733" s="10"/>
      <c r="I733" s="10"/>
    </row>
    <row r="734" spans="1:9">
      <c r="A734" s="10" t="s">
        <v>1369</v>
      </c>
      <c r="B734" s="124" t="s">
        <v>448</v>
      </c>
      <c r="C734" s="124" t="s">
        <v>548</v>
      </c>
      <c r="D734" s="14">
        <v>4764805.54</v>
      </c>
      <c r="E734" s="158">
        <v>0.987580876</v>
      </c>
      <c r="F734" s="14">
        <v>4705630.83</v>
      </c>
      <c r="G734" s="14">
        <v>0.01</v>
      </c>
      <c r="H734" s="10"/>
      <c r="I734" s="10"/>
    </row>
    <row r="735" spans="1:9">
      <c r="A735" s="10" t="s">
        <v>1370</v>
      </c>
      <c r="B735" s="124" t="s">
        <v>482</v>
      </c>
      <c r="C735" s="124" t="s">
        <v>548</v>
      </c>
      <c r="D735" s="12">
        <v>250000000</v>
      </c>
      <c r="E735" s="82">
        <v>0.98582040680000005</v>
      </c>
      <c r="F735" s="154">
        <v>246455101.69999999</v>
      </c>
      <c r="G735" s="14">
        <v>0.33</v>
      </c>
      <c r="H735" s="10"/>
      <c r="I735" s="10"/>
    </row>
    <row r="736" spans="1:9">
      <c r="A736" s="10" t="s">
        <v>1371</v>
      </c>
      <c r="B736" s="124" t="s">
        <v>474</v>
      </c>
      <c r="C736" s="124" t="s">
        <v>548</v>
      </c>
      <c r="D736" s="12">
        <v>250000000</v>
      </c>
      <c r="E736" s="82">
        <v>0.9971315489</v>
      </c>
      <c r="F736" s="14">
        <v>249282887.22999999</v>
      </c>
      <c r="G736" s="14">
        <v>0.33</v>
      </c>
      <c r="H736" s="10"/>
      <c r="I736" s="10"/>
    </row>
    <row r="737" spans="1:9">
      <c r="A737" s="10" t="s">
        <v>1372</v>
      </c>
      <c r="B737" s="124" t="s">
        <v>655</v>
      </c>
      <c r="C737" s="124" t="s">
        <v>548</v>
      </c>
      <c r="D737" s="12">
        <v>250000000</v>
      </c>
      <c r="E737" s="82">
        <v>0.94731385130000001</v>
      </c>
      <c r="F737" s="14">
        <v>236828462.83000001</v>
      </c>
      <c r="G737" s="14">
        <v>0.31</v>
      </c>
      <c r="H737" s="10"/>
      <c r="I737" s="10"/>
    </row>
    <row r="738" spans="1:9">
      <c r="A738" s="10" t="s">
        <v>1373</v>
      </c>
      <c r="B738" s="124" t="s">
        <v>527</v>
      </c>
      <c r="C738" s="124" t="s">
        <v>548</v>
      </c>
      <c r="D738" s="12">
        <v>250000000</v>
      </c>
      <c r="E738" s="82">
        <v>0.9738527964</v>
      </c>
      <c r="F738" s="154">
        <v>243463199.09999999</v>
      </c>
      <c r="G738" s="14">
        <v>0.32</v>
      </c>
      <c r="H738" s="10"/>
      <c r="I738" s="10"/>
    </row>
    <row r="739" spans="1:9">
      <c r="A739" s="10" t="s">
        <v>1374</v>
      </c>
      <c r="B739" s="124" t="s">
        <v>482</v>
      </c>
      <c r="C739" s="124" t="s">
        <v>548</v>
      </c>
      <c r="D739" s="12">
        <v>47215422</v>
      </c>
      <c r="E739" s="82">
        <v>0.98661982790000002</v>
      </c>
      <c r="F739" s="14">
        <v>46583671.530000001</v>
      </c>
      <c r="G739" s="14">
        <v>0.06</v>
      </c>
      <c r="H739" s="10"/>
      <c r="I739" s="10"/>
    </row>
    <row r="740" spans="1:9">
      <c r="A740" s="10" t="s">
        <v>1375</v>
      </c>
      <c r="B740" s="124" t="s">
        <v>529</v>
      </c>
      <c r="C740" s="124" t="s">
        <v>548</v>
      </c>
      <c r="D740" s="12">
        <v>41359418</v>
      </c>
      <c r="E740" s="82">
        <v>0.98223904120000005</v>
      </c>
      <c r="F740" s="14">
        <v>40624835.079999998</v>
      </c>
      <c r="G740" s="14">
        <v>0.05</v>
      </c>
      <c r="H740" s="10"/>
      <c r="I740" s="10"/>
    </row>
    <row r="741" spans="1:9">
      <c r="A741" s="10" t="s">
        <v>1376</v>
      </c>
      <c r="B741" s="124" t="s">
        <v>257</v>
      </c>
      <c r="C741" s="124" t="s">
        <v>548</v>
      </c>
      <c r="D741" s="12">
        <v>25000000</v>
      </c>
      <c r="E741" s="82">
        <v>0.91254567559999999</v>
      </c>
      <c r="F741" s="14">
        <v>22813641.890000001</v>
      </c>
      <c r="G741" s="14">
        <v>0.03</v>
      </c>
      <c r="H741" s="10"/>
      <c r="I741" s="10"/>
    </row>
    <row r="742" spans="1:9">
      <c r="A742" s="10" t="s">
        <v>1377</v>
      </c>
      <c r="B742" s="124" t="s">
        <v>1378</v>
      </c>
      <c r="C742" s="124" t="s">
        <v>548</v>
      </c>
      <c r="D742" s="12">
        <v>25000000</v>
      </c>
      <c r="E742" s="82">
        <v>0.90581973049999998</v>
      </c>
      <c r="F742" s="14">
        <v>22645493.260000002</v>
      </c>
      <c r="G742" s="14">
        <v>0.03</v>
      </c>
      <c r="H742" s="10"/>
      <c r="I742" s="10"/>
    </row>
    <row r="743" spans="1:9">
      <c r="A743" s="10" t="s">
        <v>1379</v>
      </c>
      <c r="B743" s="124" t="s">
        <v>500</v>
      </c>
      <c r="C743" s="124" t="s">
        <v>548</v>
      </c>
      <c r="D743" s="154">
        <v>7158904.5</v>
      </c>
      <c r="E743" s="82">
        <v>0.96306076480000002</v>
      </c>
      <c r="F743" s="14">
        <v>6894460.04</v>
      </c>
      <c r="G743" s="14">
        <v>0.01</v>
      </c>
      <c r="H743" s="10"/>
      <c r="I743" s="10"/>
    </row>
    <row r="744" spans="1:9">
      <c r="A744" s="10" t="s">
        <v>1380</v>
      </c>
      <c r="B744" s="124" t="s">
        <v>448</v>
      </c>
      <c r="C744" s="124" t="s">
        <v>548</v>
      </c>
      <c r="D744" s="14">
        <v>6838855.7400000002</v>
      </c>
      <c r="E744" s="82">
        <v>0.98712682760000003</v>
      </c>
      <c r="F744" s="14">
        <v>6750817.9699999997</v>
      </c>
      <c r="G744" s="14">
        <v>0.01</v>
      </c>
      <c r="H744" s="10"/>
      <c r="I744" s="10"/>
    </row>
    <row r="745" spans="1:9">
      <c r="A745" s="10" t="s">
        <v>1381</v>
      </c>
      <c r="B745" s="124" t="s">
        <v>485</v>
      </c>
      <c r="C745" s="124" t="s">
        <v>548</v>
      </c>
      <c r="D745" s="154">
        <v>5138761.4000000004</v>
      </c>
      <c r="E745" s="82">
        <v>0.98787491270000005</v>
      </c>
      <c r="F745" s="14">
        <v>5076453.47</v>
      </c>
      <c r="G745" s="14">
        <v>0.01</v>
      </c>
      <c r="H745" s="10"/>
      <c r="I745" s="10"/>
    </row>
    <row r="746" spans="1:9">
      <c r="A746" s="10" t="s">
        <v>1382</v>
      </c>
      <c r="B746" s="124" t="s">
        <v>480</v>
      </c>
      <c r="C746" s="124" t="s">
        <v>548</v>
      </c>
      <c r="D746" s="14">
        <v>8584260.9900000002</v>
      </c>
      <c r="E746" s="82">
        <v>0.99465883089999996</v>
      </c>
      <c r="F746" s="12">
        <v>8538411</v>
      </c>
      <c r="G746" s="14">
        <v>0.01</v>
      </c>
      <c r="H746" s="10"/>
      <c r="I746" s="10"/>
    </row>
    <row r="747" spans="1:9">
      <c r="A747" s="10" t="s">
        <v>1383</v>
      </c>
      <c r="B747" s="124" t="s">
        <v>480</v>
      </c>
      <c r="C747" s="124" t="s">
        <v>548</v>
      </c>
      <c r="D747" s="14">
        <v>8584260.9900000002</v>
      </c>
      <c r="E747" s="82">
        <v>0.99465883089999996</v>
      </c>
      <c r="F747" s="12">
        <v>8538411</v>
      </c>
      <c r="G747" s="14">
        <v>0.01</v>
      </c>
      <c r="H747" s="10"/>
      <c r="I747" s="10"/>
    </row>
    <row r="748" spans="1:9">
      <c r="A748" s="10" t="s">
        <v>1384</v>
      </c>
      <c r="B748" s="124" t="s">
        <v>500</v>
      </c>
      <c r="C748" s="124" t="s">
        <v>548</v>
      </c>
      <c r="D748" s="14">
        <v>15011972.220000001</v>
      </c>
      <c r="E748" s="82">
        <v>0.96306076480000002</v>
      </c>
      <c r="F748" s="14">
        <v>14457441.449999999</v>
      </c>
      <c r="G748" s="14">
        <v>0.02</v>
      </c>
      <c r="H748" s="10"/>
      <c r="I748" s="10"/>
    </row>
    <row r="749" spans="1:9">
      <c r="A749" s="10" t="s">
        <v>1385</v>
      </c>
      <c r="B749" s="124" t="s">
        <v>485</v>
      </c>
      <c r="C749" s="124" t="s">
        <v>548</v>
      </c>
      <c r="D749" s="14">
        <v>19156984.969999999</v>
      </c>
      <c r="E749" s="82">
        <v>0.98787491189999999</v>
      </c>
      <c r="F749" s="14">
        <v>18924704.84</v>
      </c>
      <c r="G749" s="14">
        <v>0.03</v>
      </c>
      <c r="H749" s="10"/>
      <c r="I749" s="10"/>
    </row>
    <row r="750" spans="1:9">
      <c r="A750" s="10" t="s">
        <v>1386</v>
      </c>
      <c r="B750" s="124" t="s">
        <v>485</v>
      </c>
      <c r="C750" s="124" t="s">
        <v>548</v>
      </c>
      <c r="D750" s="154">
        <v>51998969.399999999</v>
      </c>
      <c r="E750" s="82">
        <v>0.98787491189999999</v>
      </c>
      <c r="F750" s="14">
        <v>51368477.310000002</v>
      </c>
      <c r="G750" s="14">
        <v>7.0000000000000007E-2</v>
      </c>
      <c r="H750" s="10"/>
      <c r="I750" s="10"/>
    </row>
    <row r="751" spans="1:9">
      <c r="A751" s="10" t="s">
        <v>1387</v>
      </c>
      <c r="B751" s="124" t="s">
        <v>500</v>
      </c>
      <c r="C751" s="124" t="s">
        <v>548</v>
      </c>
      <c r="D751" s="154">
        <v>8829623.3000000007</v>
      </c>
      <c r="E751" s="82">
        <v>0.96306076480000002</v>
      </c>
      <c r="F751" s="14">
        <v>8503463.7699999996</v>
      </c>
      <c r="G751" s="14">
        <v>0.01</v>
      </c>
      <c r="H751" s="10"/>
      <c r="I751" s="10"/>
    </row>
    <row r="752" spans="1:9">
      <c r="A752" s="10" t="s">
        <v>1388</v>
      </c>
      <c r="B752" s="124" t="s">
        <v>450</v>
      </c>
      <c r="C752" s="124" t="s">
        <v>548</v>
      </c>
      <c r="D752" s="14">
        <v>10746145.48</v>
      </c>
      <c r="E752" s="82">
        <v>0.94354269069999996</v>
      </c>
      <c r="F752" s="14">
        <v>10139447.02</v>
      </c>
      <c r="G752" s="14">
        <v>0.01</v>
      </c>
      <c r="H752" s="10"/>
      <c r="I752" s="10"/>
    </row>
    <row r="753" spans="1:9">
      <c r="A753" s="10" t="s">
        <v>1389</v>
      </c>
      <c r="B753" s="124" t="s">
        <v>448</v>
      </c>
      <c r="C753" s="124" t="s">
        <v>548</v>
      </c>
      <c r="D753" s="14">
        <v>9836282.4499999993</v>
      </c>
      <c r="E753" s="82">
        <v>0.98712683170000004</v>
      </c>
      <c r="F753" s="14">
        <v>9709658.3300000001</v>
      </c>
      <c r="G753" s="14">
        <v>0.01</v>
      </c>
      <c r="H753" s="10"/>
      <c r="I753" s="10"/>
    </row>
    <row r="754" spans="1:9">
      <c r="A754" s="10" t="s">
        <v>1390</v>
      </c>
      <c r="B754" s="124" t="s">
        <v>443</v>
      </c>
      <c r="C754" s="124" t="s">
        <v>548</v>
      </c>
      <c r="D754" s="14">
        <v>10524359.310000001</v>
      </c>
      <c r="E754" s="82">
        <v>0.99390045049999998</v>
      </c>
      <c r="F754" s="14">
        <v>10460165.460000001</v>
      </c>
      <c r="G754" s="14">
        <v>0.01</v>
      </c>
      <c r="H754" s="10"/>
      <c r="I754" s="10"/>
    </row>
    <row r="755" spans="1:9">
      <c r="A755" s="10" t="s">
        <v>1391</v>
      </c>
      <c r="B755" s="124" t="s">
        <v>450</v>
      </c>
      <c r="C755" s="124" t="s">
        <v>548</v>
      </c>
      <c r="D755" s="154">
        <v>8521998.5999999996</v>
      </c>
      <c r="E755" s="82">
        <v>0.94354269069999996</v>
      </c>
      <c r="F755" s="14">
        <v>8040869.4900000002</v>
      </c>
      <c r="G755" s="14">
        <v>0.01</v>
      </c>
      <c r="H755" s="10"/>
      <c r="I755" s="10"/>
    </row>
    <row r="756" spans="1:9">
      <c r="A756" s="10" t="s">
        <v>1392</v>
      </c>
      <c r="B756" s="124" t="s">
        <v>448</v>
      </c>
      <c r="C756" s="124" t="s">
        <v>548</v>
      </c>
      <c r="D756" s="14">
        <v>5532603.9199999999</v>
      </c>
      <c r="E756" s="82">
        <v>0.98712682809999996</v>
      </c>
      <c r="F756" s="14">
        <v>5461381.7599999998</v>
      </c>
      <c r="G756" s="14">
        <v>0.01</v>
      </c>
      <c r="H756" s="10"/>
      <c r="I756" s="10"/>
    </row>
    <row r="757" spans="1:9">
      <c r="A757" s="10" t="s">
        <v>1393</v>
      </c>
      <c r="B757" s="124" t="s">
        <v>448</v>
      </c>
      <c r="C757" s="124" t="s">
        <v>548</v>
      </c>
      <c r="D757" s="14">
        <v>6838855.7400000002</v>
      </c>
      <c r="E757" s="82">
        <v>0.98712682760000003</v>
      </c>
      <c r="F757" s="14">
        <v>6750817.9699999997</v>
      </c>
      <c r="G757" s="14">
        <v>0.01</v>
      </c>
      <c r="H757" s="10"/>
      <c r="I757" s="10"/>
    </row>
    <row r="758" spans="1:9">
      <c r="A758" s="10" t="s">
        <v>1394</v>
      </c>
      <c r="B758" s="124" t="s">
        <v>480</v>
      </c>
      <c r="C758" s="124" t="s">
        <v>548</v>
      </c>
      <c r="D758" s="14">
        <v>8584260.9900000002</v>
      </c>
      <c r="E758" s="82">
        <v>0.99465883089999996</v>
      </c>
      <c r="F758" s="12">
        <v>8538411</v>
      </c>
      <c r="G758" s="14">
        <v>0.01</v>
      </c>
      <c r="H758" s="10"/>
      <c r="I758" s="10"/>
    </row>
    <row r="759" spans="1:9">
      <c r="A759" s="10" t="s">
        <v>1396</v>
      </c>
      <c r="B759" s="124" t="s">
        <v>506</v>
      </c>
      <c r="C759" s="124" t="s">
        <v>548</v>
      </c>
      <c r="D759" s="12">
        <v>12000000</v>
      </c>
      <c r="E759" s="158">
        <v>0.99923346499999999</v>
      </c>
      <c r="F759" s="14">
        <v>11990801.58</v>
      </c>
      <c r="G759" s="14">
        <v>0.02</v>
      </c>
      <c r="H759" s="10"/>
      <c r="I759" s="10"/>
    </row>
    <row r="760" spans="1:9">
      <c r="A760" s="10" t="s">
        <v>1397</v>
      </c>
      <c r="B760" s="124" t="s">
        <v>500</v>
      </c>
      <c r="C760" s="124" t="s">
        <v>548</v>
      </c>
      <c r="D760" s="14">
        <v>16797939.449999999</v>
      </c>
      <c r="E760" s="82">
        <v>0.96306076480000002</v>
      </c>
      <c r="F760" s="14">
        <v>16177436.41</v>
      </c>
      <c r="G760" s="14">
        <v>0.02</v>
      </c>
      <c r="H760" s="10"/>
      <c r="I760" s="10"/>
    </row>
    <row r="761" spans="1:9">
      <c r="A761" s="10" t="s">
        <v>1398</v>
      </c>
      <c r="B761" s="124" t="s">
        <v>438</v>
      </c>
      <c r="C761" s="124" t="s">
        <v>548</v>
      </c>
      <c r="D761" s="12">
        <v>19247714</v>
      </c>
      <c r="E761" s="82">
        <v>0.99314326509999995</v>
      </c>
      <c r="F761" s="14">
        <v>19115737.530000001</v>
      </c>
      <c r="G761" s="14">
        <v>0.03</v>
      </c>
      <c r="H761" s="10"/>
      <c r="I761" s="10"/>
    </row>
    <row r="762" spans="1:9">
      <c r="A762" s="10" t="s">
        <v>1399</v>
      </c>
      <c r="B762" s="124" t="s">
        <v>506</v>
      </c>
      <c r="C762" s="124" t="s">
        <v>548</v>
      </c>
      <c r="D762" s="14">
        <v>11902483.460000001</v>
      </c>
      <c r="E762" s="158">
        <v>0.99923346499999999</v>
      </c>
      <c r="F762" s="14">
        <v>11893359.789999999</v>
      </c>
      <c r="G762" s="14">
        <v>0.02</v>
      </c>
      <c r="H762" s="10"/>
      <c r="I762" s="10"/>
    </row>
    <row r="763" spans="1:9">
      <c r="A763" s="10" t="s">
        <v>1400</v>
      </c>
      <c r="B763" s="124" t="s">
        <v>529</v>
      </c>
      <c r="C763" s="124" t="s">
        <v>548</v>
      </c>
      <c r="D763" s="12">
        <v>20600000</v>
      </c>
      <c r="E763" s="82">
        <v>0.98488943240000004</v>
      </c>
      <c r="F763" s="14">
        <v>20288722.309999999</v>
      </c>
      <c r="G763" s="14">
        <v>0.03</v>
      </c>
      <c r="H763" s="10"/>
      <c r="I763" s="10"/>
    </row>
    <row r="764" spans="1:9">
      <c r="A764" s="10" t="s">
        <v>1401</v>
      </c>
      <c r="B764" s="124" t="s">
        <v>583</v>
      </c>
      <c r="C764" s="124" t="s">
        <v>548</v>
      </c>
      <c r="D764" s="14">
        <v>20279181.25</v>
      </c>
      <c r="E764" s="158">
        <v>0.962349758</v>
      </c>
      <c r="F764" s="14">
        <v>19515665.170000002</v>
      </c>
      <c r="G764" s="14">
        <v>0.03</v>
      </c>
      <c r="H764" s="10"/>
      <c r="I764" s="10"/>
    </row>
    <row r="765" spans="1:9">
      <c r="A765" s="10" t="s">
        <v>1402</v>
      </c>
      <c r="B765" s="124" t="s">
        <v>474</v>
      </c>
      <c r="C765" s="124" t="s">
        <v>548</v>
      </c>
      <c r="D765" s="12">
        <v>19300000</v>
      </c>
      <c r="E765" s="82">
        <v>0.99770392230000005</v>
      </c>
      <c r="F765" s="154">
        <v>19255685.699999999</v>
      </c>
      <c r="G765" s="14">
        <v>0.03</v>
      </c>
      <c r="H765" s="10"/>
      <c r="I765" s="10"/>
    </row>
    <row r="766" spans="1:9">
      <c r="A766" s="10" t="s">
        <v>1403</v>
      </c>
      <c r="B766" s="124" t="s">
        <v>438</v>
      </c>
      <c r="C766" s="124" t="s">
        <v>548</v>
      </c>
      <c r="D766" s="12">
        <v>9800000</v>
      </c>
      <c r="E766" s="82">
        <v>0.99314326529999997</v>
      </c>
      <c r="F766" s="12">
        <v>9732804</v>
      </c>
      <c r="G766" s="14">
        <v>0.01</v>
      </c>
      <c r="H766" s="10"/>
      <c r="I766" s="10"/>
    </row>
    <row r="767" spans="1:9">
      <c r="A767" s="10" t="s">
        <v>1405</v>
      </c>
      <c r="B767" s="124" t="s">
        <v>443</v>
      </c>
      <c r="C767" s="124" t="s">
        <v>548</v>
      </c>
      <c r="D767" s="14">
        <v>9778370.3499999996</v>
      </c>
      <c r="E767" s="82">
        <v>0.99390045090000001</v>
      </c>
      <c r="F767" s="154">
        <v>9718726.6999999993</v>
      </c>
      <c r="G767" s="14">
        <v>0.01</v>
      </c>
      <c r="H767" s="10"/>
      <c r="I767" s="10"/>
    </row>
    <row r="768" spans="1:9">
      <c r="A768" s="10" t="s">
        <v>1406</v>
      </c>
      <c r="B768" s="124" t="s">
        <v>728</v>
      </c>
      <c r="C768" s="124" t="s">
        <v>548</v>
      </c>
      <c r="D768" s="12">
        <v>19300000</v>
      </c>
      <c r="E768" s="82">
        <v>0.99846811189999995</v>
      </c>
      <c r="F768" s="14">
        <v>19270434.559999999</v>
      </c>
      <c r="G768" s="14">
        <v>0.03</v>
      </c>
      <c r="H768" s="10"/>
      <c r="I768" s="10"/>
    </row>
    <row r="769" spans="1:9">
      <c r="A769" s="10" t="s">
        <v>1407</v>
      </c>
      <c r="B769" s="124" t="s">
        <v>506</v>
      </c>
      <c r="C769" s="124" t="s">
        <v>548</v>
      </c>
      <c r="D769" s="14">
        <v>19222299.34</v>
      </c>
      <c r="E769" s="82">
        <v>0.99923346469999996</v>
      </c>
      <c r="F769" s="14">
        <v>19207564.77</v>
      </c>
      <c r="G769" s="14">
        <v>0.03</v>
      </c>
      <c r="H769" s="10"/>
      <c r="I769" s="10"/>
    </row>
    <row r="770" spans="1:9">
      <c r="A770" s="10" t="s">
        <v>1408</v>
      </c>
      <c r="B770" s="124" t="s">
        <v>506</v>
      </c>
      <c r="C770" s="124" t="s">
        <v>548</v>
      </c>
      <c r="D770" s="12">
        <v>5225717</v>
      </c>
      <c r="E770" s="82">
        <v>0.99923346589999995</v>
      </c>
      <c r="F770" s="14">
        <v>5221711.3099999996</v>
      </c>
      <c r="G770" s="14">
        <v>0.01</v>
      </c>
      <c r="H770" s="10"/>
      <c r="I770" s="10"/>
    </row>
    <row r="771" spans="1:9">
      <c r="A771" s="10" t="s">
        <v>1409</v>
      </c>
      <c r="B771" s="124" t="s">
        <v>522</v>
      </c>
      <c r="C771" s="124" t="s">
        <v>548</v>
      </c>
      <c r="D771" s="12">
        <v>5225722</v>
      </c>
      <c r="E771" s="82">
        <v>0.97750402729999997</v>
      </c>
      <c r="F771" s="154">
        <v>5108164.3</v>
      </c>
      <c r="G771" s="14">
        <v>0.01</v>
      </c>
      <c r="H771" s="10"/>
      <c r="I771" s="10"/>
    </row>
    <row r="772" spans="1:9">
      <c r="A772" s="10" t="s">
        <v>1411</v>
      </c>
      <c r="B772" s="124" t="s">
        <v>527</v>
      </c>
      <c r="C772" s="124" t="s">
        <v>548</v>
      </c>
      <c r="D772" s="12">
        <v>5225717</v>
      </c>
      <c r="E772" s="82">
        <v>0.97897227139999998</v>
      </c>
      <c r="F772" s="14">
        <v>5115832.04</v>
      </c>
      <c r="G772" s="14">
        <v>0.01</v>
      </c>
      <c r="H772" s="10"/>
      <c r="I772" s="10"/>
    </row>
    <row r="773" spans="1:9">
      <c r="A773" s="10" t="s">
        <v>1412</v>
      </c>
      <c r="B773" s="124" t="s">
        <v>728</v>
      </c>
      <c r="C773" s="124" t="s">
        <v>548</v>
      </c>
      <c r="D773" s="12">
        <v>5225717</v>
      </c>
      <c r="E773" s="82">
        <v>0.99846811260000001</v>
      </c>
      <c r="F773" s="14">
        <v>5217711.79</v>
      </c>
      <c r="G773" s="14">
        <v>0.01</v>
      </c>
      <c r="H773" s="10"/>
      <c r="I773" s="10"/>
    </row>
    <row r="774" spans="1:9">
      <c r="A774" s="10" t="s">
        <v>1413</v>
      </c>
      <c r="B774" s="124" t="s">
        <v>520</v>
      </c>
      <c r="C774" s="124" t="s">
        <v>548</v>
      </c>
      <c r="D774" s="12">
        <v>5225717</v>
      </c>
      <c r="E774" s="158">
        <v>0.97823759700000001</v>
      </c>
      <c r="F774" s="14">
        <v>5111992.84</v>
      </c>
      <c r="G774" s="14">
        <v>0.01</v>
      </c>
      <c r="H774" s="10"/>
      <c r="I774" s="10"/>
    </row>
    <row r="775" spans="1:9">
      <c r="A775" s="10" t="s">
        <v>1414</v>
      </c>
      <c r="B775" s="124" t="s">
        <v>520</v>
      </c>
      <c r="C775" s="124" t="s">
        <v>548</v>
      </c>
      <c r="D775" s="14">
        <v>12995399.76</v>
      </c>
      <c r="E775" s="82">
        <v>0.97823759929999998</v>
      </c>
      <c r="F775" s="14">
        <v>12712588.66</v>
      </c>
      <c r="G775" s="14">
        <v>0.02</v>
      </c>
      <c r="H775" s="10"/>
      <c r="I775" s="10"/>
    </row>
    <row r="776" spans="1:9">
      <c r="A776" s="10" t="s">
        <v>1416</v>
      </c>
      <c r="B776" s="124" t="s">
        <v>950</v>
      </c>
      <c r="C776" s="124" t="s">
        <v>548</v>
      </c>
      <c r="D776" s="14">
        <v>7098063.4299999997</v>
      </c>
      <c r="E776" s="82">
        <v>0.95881068069999997</v>
      </c>
      <c r="F776" s="14">
        <v>6805699.0300000003</v>
      </c>
      <c r="G776" s="14">
        <v>0.01</v>
      </c>
      <c r="H776" s="10"/>
      <c r="I776" s="10"/>
    </row>
    <row r="777" spans="1:9">
      <c r="A777" s="10" t="s">
        <v>1417</v>
      </c>
      <c r="B777" s="124" t="s">
        <v>488</v>
      </c>
      <c r="C777" s="124" t="s">
        <v>548</v>
      </c>
      <c r="D777" s="14">
        <v>7098063.4299999997</v>
      </c>
      <c r="E777" s="82">
        <v>0.98414585990000003</v>
      </c>
      <c r="F777" s="14">
        <v>6985529.7400000002</v>
      </c>
      <c r="G777" s="14">
        <v>0.01</v>
      </c>
      <c r="H777" s="10"/>
      <c r="I777" s="10"/>
    </row>
    <row r="778" spans="1:9">
      <c r="A778" s="10" t="s">
        <v>1418</v>
      </c>
      <c r="B778" s="124" t="s">
        <v>441</v>
      </c>
      <c r="C778" s="124" t="s">
        <v>548</v>
      </c>
      <c r="D778" s="14">
        <v>7523782.9100000001</v>
      </c>
      <c r="E778" s="82">
        <v>0.9954183673</v>
      </c>
      <c r="F778" s="154">
        <v>7489311.7000000002</v>
      </c>
      <c r="G778" s="14">
        <v>0.01</v>
      </c>
      <c r="H778" s="10"/>
      <c r="I778" s="10"/>
    </row>
    <row r="779" spans="1:9">
      <c r="A779" s="10" t="s">
        <v>1420</v>
      </c>
      <c r="B779" s="124" t="s">
        <v>474</v>
      </c>
      <c r="C779" s="124" t="s">
        <v>548</v>
      </c>
      <c r="D779" s="12">
        <v>5437493</v>
      </c>
      <c r="E779" s="82">
        <v>0.99770392159999999</v>
      </c>
      <c r="F779" s="14">
        <v>5425008.0899999999</v>
      </c>
      <c r="G779" s="14">
        <v>0.01</v>
      </c>
      <c r="H779" s="10"/>
      <c r="I779" s="10"/>
    </row>
    <row r="780" spans="1:9">
      <c r="A780" s="10" t="s">
        <v>1421</v>
      </c>
      <c r="B780" s="124" t="s">
        <v>269</v>
      </c>
      <c r="C780" s="124" t="s">
        <v>548</v>
      </c>
      <c r="D780" s="12">
        <v>15000000</v>
      </c>
      <c r="E780" s="82">
        <v>0.94765820109999999</v>
      </c>
      <c r="F780" s="14">
        <v>14214873.02</v>
      </c>
      <c r="G780" s="14">
        <v>0.02</v>
      </c>
      <c r="H780" s="10"/>
      <c r="I780" s="10"/>
    </row>
    <row r="781" spans="1:9">
      <c r="A781" s="10" t="s">
        <v>1437</v>
      </c>
      <c r="B781" s="124" t="s">
        <v>778</v>
      </c>
      <c r="C781" s="124" t="s">
        <v>397</v>
      </c>
      <c r="D781" s="14">
        <v>20007806.68</v>
      </c>
      <c r="E781" s="82">
        <v>0.9178465401</v>
      </c>
      <c r="F781" s="14">
        <v>18364096.140000001</v>
      </c>
      <c r="G781" s="14">
        <v>0.02</v>
      </c>
      <c r="H781" s="10"/>
      <c r="I781" s="10"/>
    </row>
    <row r="782" spans="1:9">
      <c r="A782" s="10" t="s">
        <v>1438</v>
      </c>
      <c r="B782" s="124" t="s">
        <v>593</v>
      </c>
      <c r="C782" s="124" t="s">
        <v>397</v>
      </c>
      <c r="D782" s="12">
        <v>40000000</v>
      </c>
      <c r="E782" s="82">
        <v>0.95599791619999996</v>
      </c>
      <c r="F782" s="14">
        <v>38239916.649999999</v>
      </c>
      <c r="G782" s="14">
        <v>0.05</v>
      </c>
      <c r="H782" s="10"/>
      <c r="I782" s="10"/>
    </row>
    <row r="783" spans="1:9">
      <c r="A783" s="10" t="s">
        <v>1439</v>
      </c>
      <c r="B783" s="124" t="s">
        <v>485</v>
      </c>
      <c r="C783" s="124" t="s">
        <v>397</v>
      </c>
      <c r="D783" s="14">
        <v>463612.88</v>
      </c>
      <c r="E783" s="82">
        <v>0.9848893541</v>
      </c>
      <c r="F783" s="14">
        <v>456607.39</v>
      </c>
      <c r="G783" s="12">
        <v>0</v>
      </c>
      <c r="H783" s="10"/>
      <c r="I783" s="10"/>
    </row>
    <row r="784" spans="1:9">
      <c r="A784" s="10" t="s">
        <v>1440</v>
      </c>
      <c r="B784" s="124" t="s">
        <v>514</v>
      </c>
      <c r="C784" s="124" t="s">
        <v>397</v>
      </c>
      <c r="D784" s="12">
        <v>1000000</v>
      </c>
      <c r="E784" s="82">
        <v>0.97962911009999998</v>
      </c>
      <c r="F784" s="14">
        <v>979629.11</v>
      </c>
      <c r="G784" s="12">
        <v>0</v>
      </c>
      <c r="H784" s="10"/>
      <c r="I784" s="10"/>
    </row>
    <row r="785" spans="1:9">
      <c r="A785" s="10" t="s">
        <v>1441</v>
      </c>
      <c r="B785" s="124" t="s">
        <v>516</v>
      </c>
      <c r="C785" s="124" t="s">
        <v>397</v>
      </c>
      <c r="D785" s="12">
        <v>1000000</v>
      </c>
      <c r="E785" s="82">
        <v>0.97876221990000001</v>
      </c>
      <c r="F785" s="14">
        <v>978762.22</v>
      </c>
      <c r="G785" s="12">
        <v>0</v>
      </c>
      <c r="H785" s="10"/>
      <c r="I785" s="10"/>
    </row>
    <row r="786" spans="1:9">
      <c r="A786" s="10" t="s">
        <v>1442</v>
      </c>
      <c r="B786" s="124" t="s">
        <v>518</v>
      </c>
      <c r="C786" s="124" t="s">
        <v>397</v>
      </c>
      <c r="D786" s="12">
        <v>1000000</v>
      </c>
      <c r="E786" s="82">
        <v>0.97617074969999995</v>
      </c>
      <c r="F786" s="14">
        <v>976170.75</v>
      </c>
      <c r="G786" s="12">
        <v>0</v>
      </c>
      <c r="H786" s="10"/>
      <c r="I786" s="10"/>
    </row>
    <row r="787" spans="1:9">
      <c r="A787" s="10" t="s">
        <v>1443</v>
      </c>
      <c r="B787" s="124" t="s">
        <v>527</v>
      </c>
      <c r="C787" s="124" t="s">
        <v>397</v>
      </c>
      <c r="D787" s="12">
        <v>1400000</v>
      </c>
      <c r="E787" s="82">
        <v>0.97531007169999995</v>
      </c>
      <c r="F787" s="154">
        <v>1365434.1</v>
      </c>
      <c r="G787" s="12">
        <v>0</v>
      </c>
      <c r="H787" s="10"/>
      <c r="I787" s="10"/>
    </row>
    <row r="788" spans="1:9">
      <c r="A788" s="10" t="s">
        <v>1444</v>
      </c>
      <c r="B788" s="124" t="s">
        <v>999</v>
      </c>
      <c r="C788" s="124" t="s">
        <v>397</v>
      </c>
      <c r="D788" s="12">
        <v>25000000</v>
      </c>
      <c r="E788" s="82">
        <v>0.91047419490000003</v>
      </c>
      <c r="F788" s="14">
        <v>22761854.870000001</v>
      </c>
      <c r="G788" s="14">
        <v>0.03</v>
      </c>
      <c r="H788" s="10"/>
      <c r="I788" s="10"/>
    </row>
    <row r="789" spans="1:9">
      <c r="A789" s="10" t="s">
        <v>1445</v>
      </c>
      <c r="B789" s="124" t="s">
        <v>778</v>
      </c>
      <c r="C789" s="124" t="s">
        <v>397</v>
      </c>
      <c r="D789" s="12">
        <v>25000000</v>
      </c>
      <c r="E789" s="82">
        <v>0.9087967455</v>
      </c>
      <c r="F789" s="14">
        <v>22719918.640000001</v>
      </c>
      <c r="G789" s="14">
        <v>0.03</v>
      </c>
      <c r="H789" s="10"/>
      <c r="I789" s="10"/>
    </row>
    <row r="790" spans="1:9">
      <c r="A790" s="10" t="s">
        <v>1446</v>
      </c>
      <c r="B790" s="124" t="s">
        <v>510</v>
      </c>
      <c r="C790" s="124" t="s">
        <v>397</v>
      </c>
      <c r="D790" s="12">
        <v>40000000</v>
      </c>
      <c r="E790" s="82">
        <v>0.99130911529999999</v>
      </c>
      <c r="F790" s="14">
        <v>39652364.609999999</v>
      </c>
      <c r="G790" s="14">
        <v>0.05</v>
      </c>
      <c r="H790" s="10"/>
      <c r="I790" s="10"/>
    </row>
    <row r="791" spans="1:9">
      <c r="A791" s="10" t="s">
        <v>1447</v>
      </c>
      <c r="B791" s="124" t="s">
        <v>490</v>
      </c>
      <c r="C791" s="124" t="s">
        <v>397</v>
      </c>
      <c r="D791" s="12">
        <v>3300000</v>
      </c>
      <c r="E791" s="82">
        <v>0.98223901840000005</v>
      </c>
      <c r="F791" s="14">
        <v>3241388.76</v>
      </c>
      <c r="G791" s="12">
        <v>0</v>
      </c>
      <c r="H791" s="10"/>
      <c r="I791" s="10"/>
    </row>
    <row r="792" spans="1:9">
      <c r="A792" s="10" t="s">
        <v>1448</v>
      </c>
      <c r="B792" s="124" t="s">
        <v>441</v>
      </c>
      <c r="C792" s="124" t="s">
        <v>397</v>
      </c>
      <c r="D792" s="12">
        <v>3300000</v>
      </c>
      <c r="E792" s="82">
        <v>0.99509272419999995</v>
      </c>
      <c r="F792" s="14">
        <v>3283805.99</v>
      </c>
      <c r="G792" s="12">
        <v>0</v>
      </c>
      <c r="H792" s="10"/>
      <c r="I792" s="10"/>
    </row>
    <row r="793" spans="1:9">
      <c r="A793" s="10" t="s">
        <v>1449</v>
      </c>
      <c r="B793" s="124" t="s">
        <v>443</v>
      </c>
      <c r="C793" s="124" t="s">
        <v>397</v>
      </c>
      <c r="D793" s="12">
        <v>3300000</v>
      </c>
      <c r="E793" s="82">
        <v>0.99346763039999997</v>
      </c>
      <c r="F793" s="14">
        <v>3278443.18</v>
      </c>
      <c r="G793" s="12">
        <v>0</v>
      </c>
      <c r="H793" s="10"/>
      <c r="I793" s="10"/>
    </row>
    <row r="794" spans="1:9">
      <c r="A794" s="10" t="s">
        <v>1450</v>
      </c>
      <c r="B794" s="124" t="s">
        <v>438</v>
      </c>
      <c r="C794" s="124" t="s">
        <v>397</v>
      </c>
      <c r="D794" s="12">
        <v>3300000</v>
      </c>
      <c r="E794" s="82">
        <v>0.99265706050000002</v>
      </c>
      <c r="F794" s="154">
        <v>3275768.3</v>
      </c>
      <c r="G794" s="12">
        <v>0</v>
      </c>
      <c r="H794" s="10"/>
      <c r="I794" s="10"/>
    </row>
    <row r="795" spans="1:9">
      <c r="A795" s="10" t="s">
        <v>1451</v>
      </c>
      <c r="B795" s="124" t="s">
        <v>488</v>
      </c>
      <c r="C795" s="124" t="s">
        <v>397</v>
      </c>
      <c r="D795" s="12">
        <v>3300000</v>
      </c>
      <c r="E795" s="82">
        <v>0.98303266050000004</v>
      </c>
      <c r="F795" s="14">
        <v>3244007.78</v>
      </c>
      <c r="G795" s="12">
        <v>0</v>
      </c>
      <c r="H795" s="10"/>
      <c r="I795" s="10"/>
    </row>
    <row r="796" spans="1:9">
      <c r="A796" s="10" t="s">
        <v>1452</v>
      </c>
      <c r="B796" s="124" t="s">
        <v>518</v>
      </c>
      <c r="C796" s="124" t="s">
        <v>397</v>
      </c>
      <c r="D796" s="12">
        <v>3300000</v>
      </c>
      <c r="E796" s="82">
        <v>0.97829001540000005</v>
      </c>
      <c r="F796" s="14">
        <v>3228357.05</v>
      </c>
      <c r="G796" s="12">
        <v>0</v>
      </c>
      <c r="H796" s="10"/>
      <c r="I796" s="10"/>
    </row>
    <row r="797" spans="1:9">
      <c r="A797" s="10" t="s">
        <v>1453</v>
      </c>
      <c r="B797" s="124" t="s">
        <v>520</v>
      </c>
      <c r="C797" s="124" t="s">
        <v>397</v>
      </c>
      <c r="D797" s="12">
        <v>3300000</v>
      </c>
      <c r="E797" s="82">
        <v>0.97671936029999995</v>
      </c>
      <c r="F797" s="14">
        <v>3223173.89</v>
      </c>
      <c r="G797" s="12">
        <v>0</v>
      </c>
      <c r="H797" s="10"/>
      <c r="I797" s="10"/>
    </row>
    <row r="798" spans="1:9">
      <c r="A798" s="10" t="s">
        <v>1454</v>
      </c>
      <c r="B798" s="124" t="s">
        <v>506</v>
      </c>
      <c r="C798" s="124" t="s">
        <v>397</v>
      </c>
      <c r="D798" s="12">
        <v>3300000</v>
      </c>
      <c r="E798" s="82">
        <v>0.99917876059999999</v>
      </c>
      <c r="F798" s="14">
        <v>3297289.91</v>
      </c>
      <c r="G798" s="12">
        <v>0</v>
      </c>
      <c r="H798" s="10"/>
      <c r="I798" s="10"/>
    </row>
    <row r="799" spans="1:9">
      <c r="A799" s="10" t="s">
        <v>1455</v>
      </c>
      <c r="B799" s="124" t="s">
        <v>524</v>
      </c>
      <c r="C799" s="124" t="s">
        <v>397</v>
      </c>
      <c r="D799" s="12">
        <v>3800000</v>
      </c>
      <c r="E799" s="82">
        <v>0.97281452629999998</v>
      </c>
      <c r="F799" s="154">
        <v>3696695.2</v>
      </c>
      <c r="G799" s="12">
        <v>0</v>
      </c>
      <c r="H799" s="10"/>
      <c r="I799" s="10"/>
    </row>
    <row r="800" spans="1:9">
      <c r="A800" s="10" t="s">
        <v>1456</v>
      </c>
      <c r="B800" s="124" t="s">
        <v>443</v>
      </c>
      <c r="C800" s="124" t="s">
        <v>397</v>
      </c>
      <c r="D800" s="14">
        <v>10044547.85</v>
      </c>
      <c r="E800" s="82">
        <v>0.99281907940000003</v>
      </c>
      <c r="F800" s="14">
        <v>9972418.75</v>
      </c>
      <c r="G800" s="14">
        <v>0.01</v>
      </c>
      <c r="H800" s="10"/>
      <c r="I800" s="10"/>
    </row>
    <row r="801" spans="1:9">
      <c r="A801" s="10" t="s">
        <v>1457</v>
      </c>
      <c r="B801" s="124" t="s">
        <v>506</v>
      </c>
      <c r="C801" s="124" t="s">
        <v>397</v>
      </c>
      <c r="D801" s="14">
        <v>1716831.66</v>
      </c>
      <c r="E801" s="82">
        <v>0.99909670819999996</v>
      </c>
      <c r="F801" s="14">
        <v>1715280.86</v>
      </c>
      <c r="G801" s="12">
        <v>0</v>
      </c>
      <c r="H801" s="10"/>
      <c r="I801" s="10"/>
    </row>
    <row r="802" spans="1:9">
      <c r="A802" s="10" t="s">
        <v>1458</v>
      </c>
      <c r="B802" s="124" t="s">
        <v>506</v>
      </c>
      <c r="C802" s="124" t="s">
        <v>397</v>
      </c>
      <c r="D802" s="14">
        <v>21884339.98</v>
      </c>
      <c r="E802" s="82">
        <v>0.99909670890000002</v>
      </c>
      <c r="F802" s="14">
        <v>21864572.050000001</v>
      </c>
      <c r="G802" s="14">
        <v>0.03</v>
      </c>
      <c r="H802" s="10"/>
      <c r="I802" s="10"/>
    </row>
    <row r="803" spans="1:9">
      <c r="A803" s="10" t="s">
        <v>1472</v>
      </c>
      <c r="B803" s="124" t="s">
        <v>448</v>
      </c>
      <c r="C803" s="124" t="s">
        <v>414</v>
      </c>
      <c r="D803" s="12">
        <v>3455000</v>
      </c>
      <c r="E803" s="158">
        <v>0.983960116</v>
      </c>
      <c r="F803" s="154">
        <v>3399582.2</v>
      </c>
      <c r="G803" s="12">
        <v>0</v>
      </c>
      <c r="H803" s="10"/>
      <c r="I803" s="10"/>
    </row>
    <row r="804" spans="1:9">
      <c r="A804" s="10" t="s">
        <v>1473</v>
      </c>
      <c r="B804" s="124" t="s">
        <v>529</v>
      </c>
      <c r="C804" s="124" t="s">
        <v>414</v>
      </c>
      <c r="D804" s="12">
        <v>2112995</v>
      </c>
      <c r="E804" s="82">
        <v>0.98118283790000005</v>
      </c>
      <c r="F804" s="14">
        <v>2073234.43</v>
      </c>
      <c r="G804" s="12">
        <v>0</v>
      </c>
      <c r="H804" s="10"/>
      <c r="I804" s="10"/>
    </row>
    <row r="805" spans="1:9">
      <c r="A805" s="10" t="s">
        <v>1474</v>
      </c>
      <c r="B805" s="124" t="s">
        <v>488</v>
      </c>
      <c r="C805" s="124" t="s">
        <v>414</v>
      </c>
      <c r="D805" s="14">
        <v>4359563.53</v>
      </c>
      <c r="E805" s="158">
        <v>0.98026051700000005</v>
      </c>
      <c r="F805" s="12">
        <v>4273508</v>
      </c>
      <c r="G805" s="14">
        <v>0.01</v>
      </c>
      <c r="H805" s="10"/>
      <c r="I805" s="10"/>
    </row>
    <row r="806" spans="1:9">
      <c r="A806" s="10" t="s">
        <v>1475</v>
      </c>
      <c r="B806" s="124" t="s">
        <v>518</v>
      </c>
      <c r="C806" s="124" t="s">
        <v>414</v>
      </c>
      <c r="D806" s="14">
        <v>3072441.47</v>
      </c>
      <c r="E806" s="82">
        <v>0.97476304049999996</v>
      </c>
      <c r="F806" s="14">
        <v>2994902.39</v>
      </c>
      <c r="G806" s="12">
        <v>0</v>
      </c>
      <c r="H806" s="10"/>
      <c r="I806" s="10"/>
    </row>
    <row r="807" spans="1:9">
      <c r="A807" s="10" t="s">
        <v>1476</v>
      </c>
      <c r="B807" s="124" t="s">
        <v>502</v>
      </c>
      <c r="C807" s="124" t="s">
        <v>414</v>
      </c>
      <c r="D807" s="12">
        <v>150000000</v>
      </c>
      <c r="E807" s="82">
        <v>0.95810587089999999</v>
      </c>
      <c r="F807" s="14">
        <v>143715880.63999999</v>
      </c>
      <c r="G807" s="14">
        <v>0.19</v>
      </c>
      <c r="H807" s="10"/>
      <c r="I807" s="10"/>
    </row>
    <row r="808" spans="1:9">
      <c r="A808" s="10" t="s">
        <v>1477</v>
      </c>
      <c r="B808" s="124" t="s">
        <v>697</v>
      </c>
      <c r="C808" s="124" t="s">
        <v>414</v>
      </c>
      <c r="D808" s="12">
        <v>150000000</v>
      </c>
      <c r="E808" s="82">
        <v>0.9387860965</v>
      </c>
      <c r="F808" s="14">
        <v>140817914.47999999</v>
      </c>
      <c r="G808" s="14">
        <v>0.19</v>
      </c>
      <c r="H808" s="10"/>
      <c r="I808" s="10"/>
    </row>
    <row r="809" spans="1:9">
      <c r="A809" s="10" t="s">
        <v>1478</v>
      </c>
      <c r="B809" s="124" t="s">
        <v>518</v>
      </c>
      <c r="C809" s="124" t="s">
        <v>414</v>
      </c>
      <c r="D809" s="12">
        <v>100000000</v>
      </c>
      <c r="E809" s="82">
        <v>0.97829004939999997</v>
      </c>
      <c r="F809" s="14">
        <v>97829004.939999998</v>
      </c>
      <c r="G809" s="14">
        <v>0.13</v>
      </c>
      <c r="H809" s="10"/>
      <c r="I809" s="10"/>
    </row>
    <row r="810" spans="1:9">
      <c r="A810" s="10" t="s">
        <v>1479</v>
      </c>
      <c r="B810" s="124" t="s">
        <v>518</v>
      </c>
      <c r="C810" s="124" t="s">
        <v>414</v>
      </c>
      <c r="D810" s="12">
        <v>100000000</v>
      </c>
      <c r="E810" s="82">
        <v>0.97829004939999997</v>
      </c>
      <c r="F810" s="14">
        <v>97829004.939999998</v>
      </c>
      <c r="G810" s="14">
        <v>0.13</v>
      </c>
      <c r="H810" s="10"/>
      <c r="I810" s="10"/>
    </row>
    <row r="811" spans="1:9">
      <c r="A811" s="10" t="s">
        <v>1480</v>
      </c>
      <c r="B811" s="124" t="s">
        <v>527</v>
      </c>
      <c r="C811" s="124" t="s">
        <v>414</v>
      </c>
      <c r="D811" s="12">
        <v>100000000</v>
      </c>
      <c r="E811" s="82">
        <v>0.97750403620000004</v>
      </c>
      <c r="F811" s="14">
        <v>97750403.620000005</v>
      </c>
      <c r="G811" s="14">
        <v>0.13</v>
      </c>
      <c r="H811" s="10"/>
      <c r="I811" s="10"/>
    </row>
    <row r="812" spans="1:9">
      <c r="A812" s="10" t="s">
        <v>1481</v>
      </c>
      <c r="B812" s="124" t="s">
        <v>527</v>
      </c>
      <c r="C812" s="124" t="s">
        <v>414</v>
      </c>
      <c r="D812" s="12">
        <v>100000000</v>
      </c>
      <c r="E812" s="82">
        <v>0.97750403620000004</v>
      </c>
      <c r="F812" s="14">
        <v>97750403.620000005</v>
      </c>
      <c r="G812" s="14">
        <v>0.13</v>
      </c>
      <c r="H812" s="10"/>
      <c r="I812" s="10"/>
    </row>
    <row r="813" spans="1:9">
      <c r="A813" s="10" t="s">
        <v>1482</v>
      </c>
      <c r="B813" s="124" t="s">
        <v>812</v>
      </c>
      <c r="C813" s="124" t="s">
        <v>414</v>
      </c>
      <c r="D813" s="12">
        <v>20000000</v>
      </c>
      <c r="E813" s="82">
        <v>0.92239268259999996</v>
      </c>
      <c r="F813" s="14">
        <v>18447853.649999999</v>
      </c>
      <c r="G813" s="14">
        <v>0.02</v>
      </c>
      <c r="H813" s="10"/>
      <c r="I813" s="10"/>
    </row>
    <row r="814" spans="1:9">
      <c r="A814" s="10" t="s">
        <v>1483</v>
      </c>
      <c r="B814" s="124" t="s">
        <v>1007</v>
      </c>
      <c r="C814" s="124" t="s">
        <v>414</v>
      </c>
      <c r="D814" s="12">
        <v>50000000</v>
      </c>
      <c r="E814" s="82">
        <v>0.96204540890000001</v>
      </c>
      <c r="F814" s="14">
        <v>48102270.450000003</v>
      </c>
      <c r="G814" s="14">
        <v>0.06</v>
      </c>
      <c r="H814" s="10"/>
      <c r="I814" s="10"/>
    </row>
    <row r="815" spans="1:9">
      <c r="A815" s="10" t="s">
        <v>1484</v>
      </c>
      <c r="B815" s="124" t="s">
        <v>660</v>
      </c>
      <c r="C815" s="124" t="s">
        <v>414</v>
      </c>
      <c r="D815" s="12">
        <v>50000000</v>
      </c>
      <c r="E815" s="82">
        <v>0.97022863520000002</v>
      </c>
      <c r="F815" s="14">
        <v>48511431.759999998</v>
      </c>
      <c r="G815" s="14">
        <v>0.06</v>
      </c>
      <c r="H815" s="10"/>
      <c r="I815" s="10"/>
    </row>
    <row r="816" spans="1:9">
      <c r="A816" s="10" t="s">
        <v>1485</v>
      </c>
      <c r="B816" s="124" t="s">
        <v>1486</v>
      </c>
      <c r="C816" s="124" t="s">
        <v>414</v>
      </c>
      <c r="D816" s="12">
        <v>50000000</v>
      </c>
      <c r="E816" s="158">
        <v>0.91361922699999998</v>
      </c>
      <c r="F816" s="14">
        <v>45680961.350000001</v>
      </c>
      <c r="G816" s="14">
        <v>0.06</v>
      </c>
      <c r="H816" s="10"/>
      <c r="I816" s="10"/>
    </row>
    <row r="817" spans="1:9">
      <c r="A817" s="10" t="s">
        <v>1487</v>
      </c>
      <c r="B817" s="124" t="s">
        <v>1161</v>
      </c>
      <c r="C817" s="124" t="s">
        <v>414</v>
      </c>
      <c r="D817" s="12">
        <v>40000000</v>
      </c>
      <c r="E817" s="82">
        <v>0.95233134239999995</v>
      </c>
      <c r="F817" s="154">
        <v>38093253.700000003</v>
      </c>
      <c r="G817" s="14">
        <v>0.05</v>
      </c>
      <c r="H817" s="10"/>
      <c r="I817" s="10"/>
    </row>
    <row r="818" spans="1:9">
      <c r="A818" s="10" t="s">
        <v>1488</v>
      </c>
      <c r="B818" s="124" t="s">
        <v>502</v>
      </c>
      <c r="C818" s="124" t="s">
        <v>414</v>
      </c>
      <c r="D818" s="12">
        <v>150000000</v>
      </c>
      <c r="E818" s="82">
        <v>0.95810587089999999</v>
      </c>
      <c r="F818" s="14">
        <v>143715880.63999999</v>
      </c>
      <c r="G818" s="14">
        <v>0.19</v>
      </c>
      <c r="H818" s="10"/>
      <c r="I818" s="10"/>
    </row>
    <row r="819" spans="1:9">
      <c r="A819" s="10" t="s">
        <v>1489</v>
      </c>
      <c r="B819" s="124" t="s">
        <v>527</v>
      </c>
      <c r="C819" s="124" t="s">
        <v>414</v>
      </c>
      <c r="D819" s="12">
        <v>150000000</v>
      </c>
      <c r="E819" s="82">
        <v>0.97897223089999996</v>
      </c>
      <c r="F819" s="14">
        <v>146845834.63999999</v>
      </c>
      <c r="G819" s="154">
        <v>0.2</v>
      </c>
      <c r="H819" s="10"/>
      <c r="I819" s="10"/>
    </row>
    <row r="820" spans="1:9">
      <c r="A820" s="10" t="s">
        <v>1491</v>
      </c>
      <c r="B820" s="124" t="s">
        <v>504</v>
      </c>
      <c r="C820" s="124" t="s">
        <v>414</v>
      </c>
      <c r="D820" s="12">
        <v>150000000</v>
      </c>
      <c r="E820" s="82">
        <v>0.96806705739999999</v>
      </c>
      <c r="F820" s="14">
        <v>145210058.61000001</v>
      </c>
      <c r="G820" s="14">
        <v>0.19</v>
      </c>
      <c r="H820" s="10"/>
      <c r="I820" s="10"/>
    </row>
    <row r="821" spans="1:9">
      <c r="A821" s="10" t="s">
        <v>1492</v>
      </c>
      <c r="B821" s="124" t="s">
        <v>446</v>
      </c>
      <c r="C821" s="124" t="s">
        <v>414</v>
      </c>
      <c r="D821" s="12">
        <v>150000000</v>
      </c>
      <c r="E821" s="82">
        <v>0.96377276420000002</v>
      </c>
      <c r="F821" s="14">
        <v>144565914.63</v>
      </c>
      <c r="G821" s="14">
        <v>0.19</v>
      </c>
      <c r="H821" s="10"/>
      <c r="I821" s="10"/>
    </row>
    <row r="822" spans="1:9">
      <c r="A822" s="10" t="s">
        <v>1493</v>
      </c>
      <c r="B822" s="124" t="s">
        <v>488</v>
      </c>
      <c r="C822" s="124" t="s">
        <v>414</v>
      </c>
      <c r="D822" s="12">
        <v>150000000</v>
      </c>
      <c r="E822" s="82">
        <v>0.98414582319999999</v>
      </c>
      <c r="F822" s="14">
        <v>147621873.47999999</v>
      </c>
      <c r="G822" s="154">
        <v>0.2</v>
      </c>
      <c r="H822" s="10"/>
      <c r="I822" s="10"/>
    </row>
    <row r="823" spans="1:9">
      <c r="A823" s="10" t="s">
        <v>1494</v>
      </c>
      <c r="B823" s="124" t="s">
        <v>1161</v>
      </c>
      <c r="C823" s="124" t="s">
        <v>414</v>
      </c>
      <c r="D823" s="12">
        <v>150000000</v>
      </c>
      <c r="E823" s="82">
        <v>0.95389931120000004</v>
      </c>
      <c r="F823" s="14">
        <v>143084896.68000001</v>
      </c>
      <c r="G823" s="14">
        <v>0.19</v>
      </c>
      <c r="H823" s="10"/>
      <c r="I823" s="10"/>
    </row>
    <row r="824" spans="1:9">
      <c r="A824" s="10" t="s">
        <v>1496</v>
      </c>
      <c r="B824" s="124" t="s">
        <v>497</v>
      </c>
      <c r="C824" s="124" t="s">
        <v>414</v>
      </c>
      <c r="D824" s="12">
        <v>50000000</v>
      </c>
      <c r="E824" s="82">
        <v>0.96734876879999998</v>
      </c>
      <c r="F824" s="14">
        <v>48367438.439999998</v>
      </c>
      <c r="G824" s="14">
        <v>0.06</v>
      </c>
      <c r="H824" s="10"/>
      <c r="I824" s="10"/>
    </row>
    <row r="825" spans="1:9">
      <c r="A825" s="10" t="s">
        <v>1497</v>
      </c>
      <c r="B825" s="124" t="s">
        <v>1360</v>
      </c>
      <c r="C825" s="124" t="s">
        <v>414</v>
      </c>
      <c r="D825" s="12">
        <v>850000000</v>
      </c>
      <c r="E825" s="82">
        <v>0.94491043139999997</v>
      </c>
      <c r="F825" s="14">
        <v>803173866.69000006</v>
      </c>
      <c r="G825" s="14">
        <v>1.07</v>
      </c>
      <c r="H825" s="10"/>
      <c r="I825" s="10"/>
    </row>
    <row r="826" spans="1:9">
      <c r="A826" s="10" t="s">
        <v>1498</v>
      </c>
      <c r="B826" s="124" t="s">
        <v>485</v>
      </c>
      <c r="C826" s="124" t="s">
        <v>414</v>
      </c>
      <c r="D826" s="12">
        <v>50000000</v>
      </c>
      <c r="E826" s="82">
        <v>0.98787488280000002</v>
      </c>
      <c r="F826" s="14">
        <v>49393744.140000001</v>
      </c>
      <c r="G826" s="14">
        <v>7.0000000000000007E-2</v>
      </c>
      <c r="H826" s="10"/>
      <c r="I826" s="10"/>
    </row>
    <row r="827" spans="1:9">
      <c r="A827" s="10" t="s">
        <v>1499</v>
      </c>
      <c r="B827" s="124" t="s">
        <v>482</v>
      </c>
      <c r="C827" s="124" t="s">
        <v>414</v>
      </c>
      <c r="D827" s="14">
        <v>43906518.189999998</v>
      </c>
      <c r="E827" s="82">
        <v>0.98862410020000002</v>
      </c>
      <c r="F827" s="14">
        <v>43407042.039999999</v>
      </c>
      <c r="G827" s="14">
        <v>0.06</v>
      </c>
      <c r="H827" s="10"/>
      <c r="I827" s="10"/>
    </row>
    <row r="828" spans="1:9">
      <c r="A828" s="10" t="s">
        <v>1500</v>
      </c>
      <c r="B828" s="124" t="s">
        <v>482</v>
      </c>
      <c r="C828" s="124" t="s">
        <v>414</v>
      </c>
      <c r="D828" s="14">
        <v>42705929.289999999</v>
      </c>
      <c r="E828" s="82">
        <v>0.98862410020000002</v>
      </c>
      <c r="F828" s="14">
        <v>42220110.920000002</v>
      </c>
      <c r="G828" s="14">
        <v>0.06</v>
      </c>
      <c r="H828" s="10"/>
      <c r="I828" s="10"/>
    </row>
    <row r="829" spans="1:9">
      <c r="A829" s="10" t="s">
        <v>1501</v>
      </c>
      <c r="B829" s="124" t="s">
        <v>482</v>
      </c>
      <c r="C829" s="124" t="s">
        <v>414</v>
      </c>
      <c r="D829" s="14">
        <v>43306223.729999997</v>
      </c>
      <c r="E829" s="82">
        <v>0.98862410020000002</v>
      </c>
      <c r="F829" s="14">
        <v>42813576.469999999</v>
      </c>
      <c r="G829" s="14">
        <v>0.06</v>
      </c>
      <c r="H829" s="10"/>
      <c r="I829" s="10"/>
    </row>
    <row r="830" spans="1:9">
      <c r="A830" s="10" t="s">
        <v>1508</v>
      </c>
      <c r="B830" s="124" t="s">
        <v>446</v>
      </c>
      <c r="C830" s="124" t="s">
        <v>476</v>
      </c>
      <c r="D830" s="12">
        <v>25000000</v>
      </c>
      <c r="E830" s="82">
        <v>0.95512244810000002</v>
      </c>
      <c r="F830" s="154">
        <v>23878061.199999999</v>
      </c>
      <c r="G830" s="14">
        <v>0.03</v>
      </c>
      <c r="H830" s="10"/>
      <c r="I830" s="10"/>
    </row>
    <row r="831" spans="1:9">
      <c r="A831" s="10" t="s">
        <v>1509</v>
      </c>
      <c r="B831" s="124" t="s">
        <v>485</v>
      </c>
      <c r="C831" s="124" t="s">
        <v>476</v>
      </c>
      <c r="D831" s="12">
        <v>20000000</v>
      </c>
      <c r="E831" s="82">
        <v>0.98488943240000004</v>
      </c>
      <c r="F831" s="14">
        <v>19697788.649999999</v>
      </c>
      <c r="G831" s="14">
        <v>0.03</v>
      </c>
      <c r="H831" s="10"/>
      <c r="I831" s="10"/>
    </row>
    <row r="832" spans="1:9">
      <c r="A832" s="10" t="s">
        <v>1510</v>
      </c>
      <c r="B832" s="124" t="s">
        <v>529</v>
      </c>
      <c r="C832" s="124" t="s">
        <v>476</v>
      </c>
      <c r="D832" s="12">
        <v>20000000</v>
      </c>
      <c r="E832" s="82">
        <v>0.98118286060000004</v>
      </c>
      <c r="F832" s="14">
        <v>19623657.210000001</v>
      </c>
      <c r="G832" s="14">
        <v>0.03</v>
      </c>
      <c r="H832" s="10"/>
      <c r="I832" s="10"/>
    </row>
    <row r="833" spans="1:9">
      <c r="A833" s="10" t="s">
        <v>1511</v>
      </c>
      <c r="B833" s="124" t="s">
        <v>482</v>
      </c>
      <c r="C833" s="124" t="s">
        <v>476</v>
      </c>
      <c r="D833" s="12">
        <v>10950000</v>
      </c>
      <c r="E833" s="158">
        <v>0.98862405200000003</v>
      </c>
      <c r="F833" s="14">
        <v>10825433.369999999</v>
      </c>
      <c r="G833" s="14">
        <v>0.01</v>
      </c>
      <c r="H833" s="10"/>
      <c r="I833" s="10"/>
    </row>
    <row r="834" spans="1:9">
      <c r="A834" s="10" t="s">
        <v>1513</v>
      </c>
      <c r="B834" s="124" t="s">
        <v>485</v>
      </c>
      <c r="C834" s="124" t="s">
        <v>476</v>
      </c>
      <c r="D834" s="12">
        <v>40000000</v>
      </c>
      <c r="E834" s="158">
        <v>0.98531482299999995</v>
      </c>
      <c r="F834" s="14">
        <v>39412592.920000002</v>
      </c>
      <c r="G834" s="14">
        <v>0.05</v>
      </c>
      <c r="H834" s="10"/>
      <c r="I834" s="10"/>
    </row>
    <row r="835" spans="1:9">
      <c r="A835" s="10" t="s">
        <v>1514</v>
      </c>
      <c r="B835" s="124" t="s">
        <v>819</v>
      </c>
      <c r="C835" s="124" t="s">
        <v>476</v>
      </c>
      <c r="D835" s="12">
        <v>2000000</v>
      </c>
      <c r="E835" s="82">
        <v>0.93333681440000005</v>
      </c>
      <c r="F835" s="14">
        <v>1866673.63</v>
      </c>
      <c r="G835" s="12">
        <v>0</v>
      </c>
      <c r="H835" s="10"/>
      <c r="I835" s="10"/>
    </row>
    <row r="836" spans="1:9">
      <c r="A836" s="10" t="s">
        <v>1515</v>
      </c>
      <c r="B836" s="124" t="s">
        <v>474</v>
      </c>
      <c r="C836" s="124" t="s">
        <v>476</v>
      </c>
      <c r="D836" s="12">
        <v>2000000</v>
      </c>
      <c r="E836" s="82">
        <v>0.99729501490000005</v>
      </c>
      <c r="F836" s="14">
        <v>1994590.03</v>
      </c>
      <c r="G836" s="12">
        <v>0</v>
      </c>
      <c r="H836" s="10"/>
      <c r="I836" s="10"/>
    </row>
    <row r="837" spans="1:9">
      <c r="A837" s="10" t="s">
        <v>1516</v>
      </c>
      <c r="B837" s="124" t="s">
        <v>680</v>
      </c>
      <c r="C837" s="124" t="s">
        <v>476</v>
      </c>
      <c r="D837" s="12">
        <v>2000000</v>
      </c>
      <c r="E837" s="82">
        <v>0.96847806989999996</v>
      </c>
      <c r="F837" s="14">
        <v>1936956.14</v>
      </c>
      <c r="G837" s="12">
        <v>0</v>
      </c>
      <c r="H837" s="10"/>
      <c r="I837" s="10"/>
    </row>
    <row r="838" spans="1:9">
      <c r="A838" s="10" t="s">
        <v>1517</v>
      </c>
      <c r="B838" s="124" t="s">
        <v>997</v>
      </c>
      <c r="C838" s="124" t="s">
        <v>476</v>
      </c>
      <c r="D838" s="12">
        <v>2000000</v>
      </c>
      <c r="E838" s="82">
        <v>0.90139056039999998</v>
      </c>
      <c r="F838" s="14">
        <v>1802781.12</v>
      </c>
      <c r="G838" s="12">
        <v>0</v>
      </c>
      <c r="H838" s="10"/>
      <c r="I838" s="10"/>
    </row>
    <row r="839" spans="1:9">
      <c r="A839" s="10" t="s">
        <v>1518</v>
      </c>
      <c r="B839" s="124" t="s">
        <v>1519</v>
      </c>
      <c r="C839" s="124" t="s">
        <v>476</v>
      </c>
      <c r="D839" s="12">
        <v>2000000</v>
      </c>
      <c r="E839" s="82">
        <v>0.89700431869999997</v>
      </c>
      <c r="F839" s="14">
        <v>1794008.64</v>
      </c>
      <c r="G839" s="12">
        <v>0</v>
      </c>
      <c r="H839" s="10"/>
      <c r="I839" s="10"/>
    </row>
    <row r="840" spans="1:9">
      <c r="A840" s="10" t="s">
        <v>1520</v>
      </c>
      <c r="B840" s="124" t="s">
        <v>520</v>
      </c>
      <c r="C840" s="124" t="s">
        <v>476</v>
      </c>
      <c r="D840" s="12">
        <v>7000000</v>
      </c>
      <c r="E840" s="82">
        <v>0.97369687019999995</v>
      </c>
      <c r="F840" s="14">
        <v>6815878.0899999999</v>
      </c>
      <c r="G840" s="14">
        <v>0.01</v>
      </c>
      <c r="H840" s="10"/>
      <c r="I840" s="10"/>
    </row>
    <row r="841" spans="1:9">
      <c r="A841" s="10" t="s">
        <v>1521</v>
      </c>
      <c r="B841" s="124" t="s">
        <v>522</v>
      </c>
      <c r="C841" s="124" t="s">
        <v>476</v>
      </c>
      <c r="D841" s="12">
        <v>7000000</v>
      </c>
      <c r="E841" s="82">
        <v>0.97281461250000001</v>
      </c>
      <c r="F841" s="14">
        <v>6809702.29</v>
      </c>
      <c r="G841" s="14">
        <v>0.01</v>
      </c>
      <c r="H841" s="10"/>
      <c r="I841" s="10"/>
    </row>
    <row r="842" spans="1:9">
      <c r="A842" s="10" t="s">
        <v>1576</v>
      </c>
      <c r="B842" s="124" t="s">
        <v>750</v>
      </c>
      <c r="C842" s="124" t="s">
        <v>322</v>
      </c>
      <c r="D842" s="12">
        <v>26000000</v>
      </c>
      <c r="E842" s="82">
        <v>0.95228159889999997</v>
      </c>
      <c r="F842" s="14">
        <v>24759321.57</v>
      </c>
      <c r="G842" s="14">
        <v>0.03</v>
      </c>
      <c r="H842" s="10"/>
      <c r="I842" s="10"/>
    </row>
    <row r="843" spans="1:9">
      <c r="A843" s="10" t="s">
        <v>1577</v>
      </c>
      <c r="B843" s="124" t="s">
        <v>593</v>
      </c>
      <c r="C843" s="124" t="s">
        <v>322</v>
      </c>
      <c r="D843" s="12">
        <v>10000000</v>
      </c>
      <c r="E843" s="82">
        <v>0.96663147530000004</v>
      </c>
      <c r="F843" s="14">
        <v>9666314.75</v>
      </c>
      <c r="G843" s="14">
        <v>0.01</v>
      </c>
      <c r="H843" s="10"/>
      <c r="I843" s="10"/>
    </row>
    <row r="844" spans="1:9">
      <c r="A844" s="10" t="s">
        <v>1578</v>
      </c>
      <c r="B844" s="124" t="s">
        <v>497</v>
      </c>
      <c r="C844" s="124" t="s">
        <v>322</v>
      </c>
      <c r="D844" s="12">
        <v>10000000</v>
      </c>
      <c r="E844" s="158">
        <v>0.96509787899999999</v>
      </c>
      <c r="F844" s="14">
        <v>9650978.7899999991</v>
      </c>
      <c r="G844" s="14">
        <v>0.01</v>
      </c>
      <c r="H844" s="10"/>
      <c r="I844" s="10"/>
    </row>
    <row r="845" spans="1:9">
      <c r="A845" s="10" t="s">
        <v>1579</v>
      </c>
      <c r="B845" s="124" t="s">
        <v>504</v>
      </c>
      <c r="C845" s="124" t="s">
        <v>322</v>
      </c>
      <c r="D845" s="12">
        <v>10000000</v>
      </c>
      <c r="E845" s="82">
        <v>0.96586406869999997</v>
      </c>
      <c r="F845" s="14">
        <v>9658640.6899999995</v>
      </c>
      <c r="G845" s="14">
        <v>0.01</v>
      </c>
      <c r="H845" s="10"/>
      <c r="I845" s="10"/>
    </row>
    <row r="846" spans="1:9">
      <c r="A846" s="10" t="s">
        <v>1580</v>
      </c>
      <c r="B846" s="124" t="s">
        <v>587</v>
      </c>
      <c r="C846" s="124" t="s">
        <v>322</v>
      </c>
      <c r="D846" s="12">
        <v>40000000</v>
      </c>
      <c r="E846" s="21">
        <v>0.96204537000000001</v>
      </c>
      <c r="F846" s="154">
        <v>38481814.799999997</v>
      </c>
      <c r="G846" s="14">
        <v>0.05</v>
      </c>
      <c r="H846" s="10"/>
      <c r="I846" s="10"/>
    </row>
    <row r="847" spans="1:9">
      <c r="A847" s="10" t="s">
        <v>1581</v>
      </c>
      <c r="B847" s="124" t="s">
        <v>485</v>
      </c>
      <c r="C847" s="124" t="s">
        <v>322</v>
      </c>
      <c r="D847" s="12">
        <v>40000000</v>
      </c>
      <c r="E847" s="82">
        <v>0.98702001169999998</v>
      </c>
      <c r="F847" s="14">
        <v>39480800.469999999</v>
      </c>
      <c r="G847" s="14">
        <v>0.05</v>
      </c>
      <c r="H847" s="10"/>
      <c r="I847" s="10"/>
    </row>
    <row r="848" spans="1:9">
      <c r="A848" s="10" t="s">
        <v>1582</v>
      </c>
      <c r="B848" s="124" t="s">
        <v>504</v>
      </c>
      <c r="C848" s="124" t="s">
        <v>322</v>
      </c>
      <c r="D848" s="12">
        <v>11000000</v>
      </c>
      <c r="E848" s="82">
        <v>0.96586406869999997</v>
      </c>
      <c r="F848" s="14">
        <v>10624504.76</v>
      </c>
      <c r="G848" s="14">
        <v>0.01</v>
      </c>
      <c r="H848" s="10"/>
      <c r="I848" s="10"/>
    </row>
    <row r="849" spans="1:9">
      <c r="A849" s="10" t="s">
        <v>1583</v>
      </c>
      <c r="B849" s="124" t="s">
        <v>680</v>
      </c>
      <c r="C849" s="124" t="s">
        <v>322</v>
      </c>
      <c r="D849" s="12">
        <v>11000000</v>
      </c>
      <c r="E849" s="82">
        <v>0.97126137619999997</v>
      </c>
      <c r="F849" s="14">
        <v>10683875.140000001</v>
      </c>
      <c r="G849" s="14">
        <v>0.01</v>
      </c>
      <c r="H849" s="10"/>
      <c r="I849" s="10"/>
    </row>
    <row r="850" spans="1:9">
      <c r="A850" s="10" t="s">
        <v>1584</v>
      </c>
      <c r="B850" s="124" t="s">
        <v>520</v>
      </c>
      <c r="C850" s="124" t="s">
        <v>322</v>
      </c>
      <c r="D850" s="12">
        <v>11000000</v>
      </c>
      <c r="E850" s="82">
        <v>0.97671934360000001</v>
      </c>
      <c r="F850" s="14">
        <v>10743912.779999999</v>
      </c>
      <c r="G850" s="14">
        <v>0.01</v>
      </c>
      <c r="H850" s="10"/>
      <c r="I850" s="10"/>
    </row>
    <row r="851" spans="1:9">
      <c r="A851" s="10" t="s">
        <v>1585</v>
      </c>
      <c r="B851" s="124" t="s">
        <v>506</v>
      </c>
      <c r="C851" s="124" t="s">
        <v>322</v>
      </c>
      <c r="D851" s="12">
        <v>9000000</v>
      </c>
      <c r="E851" s="82">
        <v>0.99923346550000003</v>
      </c>
      <c r="F851" s="14">
        <v>8993101.1899999995</v>
      </c>
      <c r="G851" s="14">
        <v>0.01</v>
      </c>
      <c r="H851" s="10"/>
      <c r="I851" s="10"/>
    </row>
    <row r="852" spans="1:9">
      <c r="A852" s="10" t="s">
        <v>1558</v>
      </c>
      <c r="B852" s="124" t="s">
        <v>482</v>
      </c>
      <c r="C852" s="124" t="s">
        <v>322</v>
      </c>
      <c r="D852" s="12">
        <v>5000000</v>
      </c>
      <c r="E852" s="82">
        <v>0.98782139989999995</v>
      </c>
      <c r="F852" s="12">
        <v>4939107</v>
      </c>
      <c r="G852" s="14">
        <v>0.01</v>
      </c>
      <c r="H852" s="10"/>
      <c r="I852" s="10"/>
    </row>
    <row r="853" spans="1:9">
      <c r="A853" s="10" t="s">
        <v>1559</v>
      </c>
      <c r="B853" s="124" t="s">
        <v>488</v>
      </c>
      <c r="C853" s="124" t="s">
        <v>322</v>
      </c>
      <c r="D853" s="12">
        <v>5000000</v>
      </c>
      <c r="E853" s="82">
        <v>0.98303264820000003</v>
      </c>
      <c r="F853" s="14">
        <v>4915163.24</v>
      </c>
      <c r="G853" s="14">
        <v>0.01</v>
      </c>
      <c r="H853" s="10"/>
      <c r="I853" s="10"/>
    </row>
    <row r="854" spans="1:9">
      <c r="A854" s="10" t="s">
        <v>1560</v>
      </c>
      <c r="B854" s="124" t="s">
        <v>527</v>
      </c>
      <c r="C854" s="124" t="s">
        <v>322</v>
      </c>
      <c r="D854" s="12">
        <v>5000000</v>
      </c>
      <c r="E854" s="82">
        <v>0.97750409780000003</v>
      </c>
      <c r="F854" s="14">
        <v>4887520.49</v>
      </c>
      <c r="G854" s="14">
        <v>0.01</v>
      </c>
      <c r="H854" s="10"/>
      <c r="I854" s="10"/>
    </row>
    <row r="855" spans="1:9">
      <c r="A855" s="10" t="s">
        <v>1561</v>
      </c>
      <c r="B855" s="124" t="s">
        <v>883</v>
      </c>
      <c r="C855" s="124" t="s">
        <v>322</v>
      </c>
      <c r="D855" s="12">
        <v>10000000</v>
      </c>
      <c r="E855" s="82">
        <v>0.96739996910000003</v>
      </c>
      <c r="F855" s="14">
        <v>9673999.6899999995</v>
      </c>
      <c r="G855" s="14">
        <v>0.01</v>
      </c>
      <c r="H855" s="10"/>
      <c r="I855" s="10"/>
    </row>
    <row r="856" spans="1:9">
      <c r="A856" s="10" t="s">
        <v>1562</v>
      </c>
      <c r="B856" s="124" t="s">
        <v>948</v>
      </c>
      <c r="C856" s="124" t="s">
        <v>322</v>
      </c>
      <c r="D856" s="12">
        <v>10000000</v>
      </c>
      <c r="E856" s="82">
        <v>0.95901210849999996</v>
      </c>
      <c r="F856" s="14">
        <v>9590121.0899999999</v>
      </c>
      <c r="G856" s="14">
        <v>0.01</v>
      </c>
      <c r="H856" s="10"/>
      <c r="I856" s="10"/>
    </row>
    <row r="857" spans="1:9">
      <c r="A857" s="10" t="s">
        <v>1563</v>
      </c>
      <c r="B857" s="124" t="s">
        <v>948</v>
      </c>
      <c r="C857" s="124" t="s">
        <v>322</v>
      </c>
      <c r="D857" s="12">
        <v>15000000</v>
      </c>
      <c r="E857" s="82">
        <v>0.95770363260000002</v>
      </c>
      <c r="F857" s="14">
        <v>14365554.49</v>
      </c>
      <c r="G857" s="14">
        <v>0.02</v>
      </c>
      <c r="H857" s="10"/>
      <c r="I857" s="10"/>
    </row>
    <row r="858" spans="1:9">
      <c r="A858" s="10" t="s">
        <v>1564</v>
      </c>
      <c r="B858" s="124" t="s">
        <v>655</v>
      </c>
      <c r="C858" s="124" t="s">
        <v>322</v>
      </c>
      <c r="D858" s="12">
        <v>15000000</v>
      </c>
      <c r="E858" s="82">
        <v>0.95305245810000006</v>
      </c>
      <c r="F858" s="14">
        <v>14295786.869999999</v>
      </c>
      <c r="G858" s="14">
        <v>0.02</v>
      </c>
      <c r="H858" s="10"/>
      <c r="I858" s="10"/>
    </row>
    <row r="859" spans="1:9">
      <c r="A859" s="10" t="s">
        <v>1565</v>
      </c>
      <c r="B859" s="124" t="s">
        <v>500</v>
      </c>
      <c r="C859" s="124" t="s">
        <v>322</v>
      </c>
      <c r="D859" s="12">
        <v>15000000</v>
      </c>
      <c r="E859" s="82">
        <v>0.95926422950000001</v>
      </c>
      <c r="F859" s="14">
        <v>14388963.439999999</v>
      </c>
      <c r="G859" s="14">
        <v>0.02</v>
      </c>
      <c r="H859" s="10"/>
      <c r="I859" s="10"/>
    </row>
    <row r="860" spans="1:9">
      <c r="A860" s="10" t="s">
        <v>1566</v>
      </c>
      <c r="B860" s="124" t="s">
        <v>567</v>
      </c>
      <c r="C860" s="124" t="s">
        <v>322</v>
      </c>
      <c r="D860" s="12">
        <v>15000000</v>
      </c>
      <c r="E860" s="82">
        <v>0.94997664179999997</v>
      </c>
      <c r="F860" s="14">
        <v>14249649.630000001</v>
      </c>
      <c r="G860" s="14">
        <v>0.02</v>
      </c>
      <c r="H860" s="10"/>
      <c r="I860" s="10"/>
    </row>
    <row r="861" spans="1:9">
      <c r="A861" s="10" t="s">
        <v>1567</v>
      </c>
      <c r="B861" s="124" t="s">
        <v>502</v>
      </c>
      <c r="C861" s="124" t="s">
        <v>322</v>
      </c>
      <c r="D861" s="12">
        <v>15000000</v>
      </c>
      <c r="E861" s="82">
        <v>0.9538245662</v>
      </c>
      <c r="F861" s="14">
        <v>14307368.49</v>
      </c>
      <c r="G861" s="14">
        <v>0.02</v>
      </c>
      <c r="H861" s="10"/>
      <c r="I861" s="10"/>
    </row>
    <row r="862" spans="1:9">
      <c r="A862" s="10" t="s">
        <v>1568</v>
      </c>
      <c r="B862" s="124" t="s">
        <v>506</v>
      </c>
      <c r="C862" s="124" t="s">
        <v>322</v>
      </c>
      <c r="D862" s="12">
        <v>14000000</v>
      </c>
      <c r="E862" s="82">
        <v>0.99923346570000005</v>
      </c>
      <c r="F862" s="14">
        <v>13989268.52</v>
      </c>
      <c r="G862" s="14">
        <v>0.02</v>
      </c>
      <c r="H862" s="10"/>
      <c r="I862" s="10"/>
    </row>
    <row r="863" spans="1:9">
      <c r="A863" s="10" t="s">
        <v>1569</v>
      </c>
      <c r="B863" s="124" t="s">
        <v>500</v>
      </c>
      <c r="C863" s="124" t="s">
        <v>322</v>
      </c>
      <c r="D863" s="12">
        <v>3000000</v>
      </c>
      <c r="E863" s="82">
        <v>0.96052641689999996</v>
      </c>
      <c r="F863" s="14">
        <v>2881579.25</v>
      </c>
      <c r="G863" s="12">
        <v>0</v>
      </c>
      <c r="H863" s="10"/>
      <c r="I863" s="10"/>
    </row>
    <row r="864" spans="1:9">
      <c r="A864" s="10" t="s">
        <v>1570</v>
      </c>
      <c r="B864" s="124" t="s">
        <v>593</v>
      </c>
      <c r="C864" s="124" t="s">
        <v>322</v>
      </c>
      <c r="D864" s="12">
        <v>3000000</v>
      </c>
      <c r="E864" s="82">
        <v>0.96663147640000002</v>
      </c>
      <c r="F864" s="14">
        <v>2899894.43</v>
      </c>
      <c r="G864" s="12">
        <v>0</v>
      </c>
      <c r="H864" s="10"/>
      <c r="I864" s="10"/>
    </row>
    <row r="865" spans="1:9">
      <c r="A865" s="10" t="s">
        <v>1571</v>
      </c>
      <c r="B865" s="124" t="s">
        <v>514</v>
      </c>
      <c r="C865" s="124" t="s">
        <v>322</v>
      </c>
      <c r="D865" s="12">
        <v>3000000</v>
      </c>
      <c r="E865" s="82">
        <v>0.98144662969999996</v>
      </c>
      <c r="F865" s="14">
        <v>2944339.89</v>
      </c>
      <c r="G865" s="12">
        <v>0</v>
      </c>
      <c r="H865" s="10"/>
      <c r="I865" s="10"/>
    </row>
    <row r="866" spans="1:9">
      <c r="A866" s="10" t="s">
        <v>1572</v>
      </c>
      <c r="B866" s="124" t="s">
        <v>520</v>
      </c>
      <c r="C866" s="124" t="s">
        <v>322</v>
      </c>
      <c r="D866" s="12">
        <v>3000000</v>
      </c>
      <c r="E866" s="82">
        <v>0.97671934660000004</v>
      </c>
      <c r="F866" s="14">
        <v>2930158.04</v>
      </c>
      <c r="G866" s="12">
        <v>0</v>
      </c>
      <c r="H866" s="10"/>
      <c r="I866" s="10"/>
    </row>
    <row r="867" spans="1:9">
      <c r="A867" s="10" t="s">
        <v>1573</v>
      </c>
      <c r="B867" s="124" t="s">
        <v>446</v>
      </c>
      <c r="C867" s="124" t="s">
        <v>322</v>
      </c>
      <c r="D867" s="12">
        <v>25000000</v>
      </c>
      <c r="E867" s="82">
        <v>0.96128536409999998</v>
      </c>
      <c r="F867" s="154">
        <v>24032134.100000001</v>
      </c>
      <c r="G867" s="14">
        <v>0.03</v>
      </c>
      <c r="H867" s="10"/>
      <c r="I867" s="10"/>
    </row>
    <row r="868" spans="1:9">
      <c r="A868" s="10" t="s">
        <v>1574</v>
      </c>
      <c r="B868" s="124" t="s">
        <v>660</v>
      </c>
      <c r="C868" s="124" t="s">
        <v>322</v>
      </c>
      <c r="D868" s="12">
        <v>25000000</v>
      </c>
      <c r="E868" s="82">
        <v>0.97203738240000004</v>
      </c>
      <c r="F868" s="14">
        <v>24300934.559999999</v>
      </c>
      <c r="G868" s="14">
        <v>0.03</v>
      </c>
      <c r="H868" s="10"/>
      <c r="I868" s="10"/>
    </row>
    <row r="869" spans="1:9">
      <c r="A869" s="10" t="s">
        <v>1575</v>
      </c>
      <c r="B869" s="124" t="s">
        <v>1161</v>
      </c>
      <c r="C869" s="124" t="s">
        <v>322</v>
      </c>
      <c r="D869" s="12">
        <v>25000000</v>
      </c>
      <c r="E869" s="82">
        <v>0.95076845109999997</v>
      </c>
      <c r="F869" s="14">
        <v>23769211.280000001</v>
      </c>
      <c r="G869" s="14">
        <v>0.03</v>
      </c>
      <c r="H869" s="10"/>
      <c r="I869" s="10"/>
    </row>
    <row r="870" spans="1:9">
      <c r="A870" s="10" t="s">
        <v>1551</v>
      </c>
      <c r="B870" s="124" t="s">
        <v>1550</v>
      </c>
      <c r="C870" s="124" t="s">
        <v>322</v>
      </c>
      <c r="D870" s="12">
        <v>25000000</v>
      </c>
      <c r="E870" s="82">
        <v>0.88036679620000002</v>
      </c>
      <c r="F870" s="14">
        <v>22009169.91</v>
      </c>
      <c r="G870" s="14">
        <v>0.03</v>
      </c>
      <c r="H870" s="10"/>
      <c r="I870" s="10"/>
    </row>
    <row r="871" spans="1:9">
      <c r="A871" s="10" t="s">
        <v>1552</v>
      </c>
      <c r="B871" s="124" t="s">
        <v>750</v>
      </c>
      <c r="C871" s="124" t="s">
        <v>322</v>
      </c>
      <c r="D871" s="12">
        <v>25000000</v>
      </c>
      <c r="E871" s="82">
        <v>0.95081800189999999</v>
      </c>
      <c r="F871" s="14">
        <v>23770450.050000001</v>
      </c>
      <c r="G871" s="14">
        <v>0.03</v>
      </c>
      <c r="H871" s="10"/>
      <c r="I871" s="10"/>
    </row>
    <row r="872" spans="1:9">
      <c r="A872" s="10" t="s">
        <v>1553</v>
      </c>
      <c r="B872" s="124" t="s">
        <v>485</v>
      </c>
      <c r="C872" s="124" t="s">
        <v>322</v>
      </c>
      <c r="D872" s="12">
        <v>25000000</v>
      </c>
      <c r="E872" s="82">
        <v>0.98702001169999998</v>
      </c>
      <c r="F872" s="14">
        <v>24675500.289999999</v>
      </c>
      <c r="G872" s="14">
        <v>0.03</v>
      </c>
      <c r="H872" s="10"/>
      <c r="I872" s="10"/>
    </row>
    <row r="873" spans="1:9">
      <c r="A873" s="10" t="s">
        <v>1554</v>
      </c>
      <c r="B873" s="124" t="s">
        <v>520</v>
      </c>
      <c r="C873" s="124" t="s">
        <v>322</v>
      </c>
      <c r="D873" s="12">
        <v>25000000</v>
      </c>
      <c r="E873" s="82">
        <v>0.97671934360000001</v>
      </c>
      <c r="F873" s="14">
        <v>24417983.59</v>
      </c>
      <c r="G873" s="14">
        <v>0.03</v>
      </c>
      <c r="H873" s="10"/>
      <c r="I873" s="10"/>
    </row>
    <row r="874" spans="1:9">
      <c r="A874" s="10" t="s">
        <v>1555</v>
      </c>
      <c r="B874" s="124" t="s">
        <v>529</v>
      </c>
      <c r="C874" s="124" t="s">
        <v>322</v>
      </c>
      <c r="D874" s="12">
        <v>42000000</v>
      </c>
      <c r="E874" s="82">
        <v>0.97960289270000001</v>
      </c>
      <c r="F874" s="14">
        <v>41143321.490000002</v>
      </c>
      <c r="G874" s="14">
        <v>0.05</v>
      </c>
      <c r="H874" s="10"/>
      <c r="I874" s="10"/>
    </row>
    <row r="875" spans="1:9">
      <c r="A875" s="10" t="s">
        <v>1556</v>
      </c>
      <c r="B875" s="124" t="s">
        <v>490</v>
      </c>
      <c r="C875" s="124" t="s">
        <v>322</v>
      </c>
      <c r="D875" s="12">
        <v>40400000</v>
      </c>
      <c r="E875" s="82">
        <v>0.97760878539999996</v>
      </c>
      <c r="F875" s="14">
        <v>39495394.93</v>
      </c>
      <c r="G875" s="14">
        <v>0.05</v>
      </c>
      <c r="H875" s="10"/>
      <c r="I875" s="10"/>
    </row>
    <row r="876" spans="1:9">
      <c r="A876" s="10" t="s">
        <v>1557</v>
      </c>
      <c r="B876" s="124" t="s">
        <v>490</v>
      </c>
      <c r="C876" s="124" t="s">
        <v>322</v>
      </c>
      <c r="D876" s="12">
        <v>40400000</v>
      </c>
      <c r="E876" s="82">
        <v>0.97760878539999996</v>
      </c>
      <c r="F876" s="14">
        <v>39495394.93</v>
      </c>
      <c r="G876" s="14">
        <v>0.05</v>
      </c>
      <c r="H876" s="10"/>
      <c r="I876" s="10"/>
    </row>
    <row r="877" spans="1:9">
      <c r="A877" s="10" t="s">
        <v>1529</v>
      </c>
      <c r="B877" s="124" t="s">
        <v>948</v>
      </c>
      <c r="C877" s="124" t="s">
        <v>322</v>
      </c>
      <c r="D877" s="12">
        <v>100000000</v>
      </c>
      <c r="E877" s="82">
        <v>0.95379954379999998</v>
      </c>
      <c r="F877" s="14">
        <v>95379954.379999995</v>
      </c>
      <c r="G877" s="14">
        <v>0.13</v>
      </c>
      <c r="H877" s="10"/>
      <c r="I877" s="10"/>
    </row>
    <row r="878" spans="1:9">
      <c r="A878" s="10" t="s">
        <v>1530</v>
      </c>
      <c r="B878" s="124" t="s">
        <v>438</v>
      </c>
      <c r="C878" s="124" t="s">
        <v>322</v>
      </c>
      <c r="D878" s="14">
        <v>48082135.859999999</v>
      </c>
      <c r="E878" s="82">
        <v>0.9931432724</v>
      </c>
      <c r="F878" s="14">
        <v>47752449.75</v>
      </c>
      <c r="G878" s="14">
        <v>0.06</v>
      </c>
      <c r="H878" s="10"/>
      <c r="I878" s="10"/>
    </row>
    <row r="879" spans="1:9">
      <c r="A879" s="10" t="s">
        <v>1531</v>
      </c>
      <c r="B879" s="124" t="s">
        <v>438</v>
      </c>
      <c r="C879" s="124" t="s">
        <v>322</v>
      </c>
      <c r="D879" s="14">
        <v>48082135.859999999</v>
      </c>
      <c r="E879" s="82">
        <v>0.9931432724</v>
      </c>
      <c r="F879" s="14">
        <v>47752449.75</v>
      </c>
      <c r="G879" s="14">
        <v>0.06</v>
      </c>
      <c r="H879" s="10"/>
      <c r="I879" s="10"/>
    </row>
    <row r="880" spans="1:9">
      <c r="A880" s="10" t="s">
        <v>1532</v>
      </c>
      <c r="B880" s="124" t="s">
        <v>438</v>
      </c>
      <c r="C880" s="124" t="s">
        <v>322</v>
      </c>
      <c r="D880" s="14">
        <v>48082135.859999999</v>
      </c>
      <c r="E880" s="82">
        <v>0.9931432724</v>
      </c>
      <c r="F880" s="14">
        <v>47752449.75</v>
      </c>
      <c r="G880" s="14">
        <v>0.06</v>
      </c>
      <c r="H880" s="10"/>
      <c r="I880" s="10"/>
    </row>
    <row r="881" spans="1:9">
      <c r="A881" s="10" t="s">
        <v>1533</v>
      </c>
      <c r="B881" s="124" t="s">
        <v>438</v>
      </c>
      <c r="C881" s="124" t="s">
        <v>322</v>
      </c>
      <c r="D881" s="14">
        <v>48082135.859999999</v>
      </c>
      <c r="E881" s="82">
        <v>0.9931432724</v>
      </c>
      <c r="F881" s="14">
        <v>47752449.75</v>
      </c>
      <c r="G881" s="14">
        <v>0.06</v>
      </c>
      <c r="H881" s="10"/>
      <c r="I881" s="10"/>
    </row>
    <row r="882" spans="1:9">
      <c r="A882" s="10" t="s">
        <v>1534</v>
      </c>
      <c r="B882" s="124" t="s">
        <v>438</v>
      </c>
      <c r="C882" s="124" t="s">
        <v>322</v>
      </c>
      <c r="D882" s="14">
        <v>68400163.159999996</v>
      </c>
      <c r="E882" s="82">
        <v>0.9931432724</v>
      </c>
      <c r="F882" s="14">
        <v>67931161.870000005</v>
      </c>
      <c r="G882" s="14">
        <v>0.09</v>
      </c>
      <c r="H882" s="10"/>
      <c r="I882" s="10"/>
    </row>
    <row r="883" spans="1:9">
      <c r="A883" s="10" t="s">
        <v>1535</v>
      </c>
      <c r="B883" s="124" t="s">
        <v>438</v>
      </c>
      <c r="C883" s="124" t="s">
        <v>322</v>
      </c>
      <c r="D883" s="14">
        <v>48082135.859999999</v>
      </c>
      <c r="E883" s="82">
        <v>0.9931432724</v>
      </c>
      <c r="F883" s="14">
        <v>47752449.75</v>
      </c>
      <c r="G883" s="14">
        <v>0.06</v>
      </c>
      <c r="H883" s="10"/>
      <c r="I883" s="10"/>
    </row>
    <row r="884" spans="1:9">
      <c r="A884" s="10" t="s">
        <v>1536</v>
      </c>
      <c r="B884" s="124" t="s">
        <v>438</v>
      </c>
      <c r="C884" s="124" t="s">
        <v>322</v>
      </c>
      <c r="D884" s="14">
        <v>48082135.859999999</v>
      </c>
      <c r="E884" s="82">
        <v>0.9931432724</v>
      </c>
      <c r="F884" s="14">
        <v>47752449.75</v>
      </c>
      <c r="G884" s="14">
        <v>0.06</v>
      </c>
      <c r="H884" s="10"/>
      <c r="I884" s="10"/>
    </row>
    <row r="885" spans="1:9">
      <c r="A885" s="10" t="s">
        <v>1537</v>
      </c>
      <c r="B885" s="124" t="s">
        <v>438</v>
      </c>
      <c r="C885" s="124" t="s">
        <v>322</v>
      </c>
      <c r="D885" s="14">
        <v>48082135.859999999</v>
      </c>
      <c r="E885" s="82">
        <v>0.9931432724</v>
      </c>
      <c r="F885" s="14">
        <v>47752449.75</v>
      </c>
      <c r="G885" s="14">
        <v>0.06</v>
      </c>
      <c r="H885" s="10"/>
      <c r="I885" s="10"/>
    </row>
    <row r="886" spans="1:9">
      <c r="A886" s="10" t="s">
        <v>1538</v>
      </c>
      <c r="B886" s="124" t="s">
        <v>438</v>
      </c>
      <c r="C886" s="124" t="s">
        <v>322</v>
      </c>
      <c r="D886" s="14">
        <v>48082135.859999999</v>
      </c>
      <c r="E886" s="82">
        <v>0.9931432724</v>
      </c>
      <c r="F886" s="14">
        <v>47752449.75</v>
      </c>
      <c r="G886" s="14">
        <v>0.06</v>
      </c>
      <c r="H886" s="10"/>
      <c r="I886" s="10"/>
    </row>
    <row r="887" spans="1:9">
      <c r="A887" s="10" t="s">
        <v>1539</v>
      </c>
      <c r="B887" s="124" t="s">
        <v>438</v>
      </c>
      <c r="C887" s="124" t="s">
        <v>322</v>
      </c>
      <c r="D887" s="14">
        <v>68400163.150000006</v>
      </c>
      <c r="E887" s="82">
        <v>0.9931432724</v>
      </c>
      <c r="F887" s="14">
        <v>67931161.859999999</v>
      </c>
      <c r="G887" s="14">
        <v>0.09</v>
      </c>
      <c r="H887" s="10"/>
      <c r="I887" s="10"/>
    </row>
    <row r="888" spans="1:9">
      <c r="A888" s="10" t="s">
        <v>1540</v>
      </c>
      <c r="B888" s="124" t="s">
        <v>438</v>
      </c>
      <c r="C888" s="124" t="s">
        <v>322</v>
      </c>
      <c r="D888" s="14">
        <v>48082135.869999997</v>
      </c>
      <c r="E888" s="82">
        <v>0.9931432724</v>
      </c>
      <c r="F888" s="14">
        <v>47752449.759999998</v>
      </c>
      <c r="G888" s="14">
        <v>0.06</v>
      </c>
      <c r="H888" s="10"/>
      <c r="I888" s="10"/>
    </row>
    <row r="889" spans="1:9">
      <c r="A889" s="10" t="s">
        <v>1541</v>
      </c>
      <c r="B889" s="124" t="s">
        <v>438</v>
      </c>
      <c r="C889" s="124" t="s">
        <v>322</v>
      </c>
      <c r="D889" s="14">
        <v>48082135.859999999</v>
      </c>
      <c r="E889" s="82">
        <v>0.9931432724</v>
      </c>
      <c r="F889" s="14">
        <v>47752449.75</v>
      </c>
      <c r="G889" s="14">
        <v>0.06</v>
      </c>
      <c r="H889" s="10"/>
      <c r="I889" s="10"/>
    </row>
    <row r="890" spans="1:9">
      <c r="A890" s="10" t="s">
        <v>1526</v>
      </c>
      <c r="B890" s="124" t="s">
        <v>1525</v>
      </c>
      <c r="C890" s="124" t="s">
        <v>322</v>
      </c>
      <c r="D890" s="12">
        <v>50000000</v>
      </c>
      <c r="E890" s="82">
        <v>0.90552746319999999</v>
      </c>
      <c r="F890" s="14">
        <v>45276373.159999996</v>
      </c>
      <c r="G890" s="14">
        <v>0.06</v>
      </c>
      <c r="H890" s="10"/>
      <c r="I890" s="10"/>
    </row>
    <row r="891" spans="1:9">
      <c r="A891" s="10" t="s">
        <v>1527</v>
      </c>
      <c r="B891" s="124" t="s">
        <v>257</v>
      </c>
      <c r="C891" s="124" t="s">
        <v>322</v>
      </c>
      <c r="D891" s="12">
        <v>50000000</v>
      </c>
      <c r="E891" s="82">
        <v>0.92479989750000002</v>
      </c>
      <c r="F891" s="14">
        <v>46239994.880000003</v>
      </c>
      <c r="G891" s="14">
        <v>0.06</v>
      </c>
      <c r="H891" s="10"/>
      <c r="I891" s="10"/>
    </row>
    <row r="892" spans="1:9">
      <c r="A892" s="10" t="s">
        <v>1528</v>
      </c>
      <c r="B892" s="124" t="s">
        <v>522</v>
      </c>
      <c r="C892" s="124" t="s">
        <v>322</v>
      </c>
      <c r="D892" s="12">
        <v>50000000</v>
      </c>
      <c r="E892" s="158">
        <v>0.97750403600000002</v>
      </c>
      <c r="F892" s="154">
        <v>48875201.799999997</v>
      </c>
      <c r="G892" s="14">
        <v>0.06</v>
      </c>
      <c r="H892" s="10"/>
      <c r="I892" s="10"/>
    </row>
    <row r="893" spans="1:9">
      <c r="A893" s="10" t="s">
        <v>1543</v>
      </c>
      <c r="B893" s="124" t="s">
        <v>450</v>
      </c>
      <c r="C893" s="124" t="s">
        <v>322</v>
      </c>
      <c r="D893" s="12">
        <v>150000000</v>
      </c>
      <c r="E893" s="82">
        <v>0.93412499920000003</v>
      </c>
      <c r="F893" s="14">
        <v>140118749.88</v>
      </c>
      <c r="G893" s="14">
        <v>0.19</v>
      </c>
      <c r="H893" s="10"/>
      <c r="I893" s="10"/>
    </row>
    <row r="894" spans="1:9">
      <c r="A894" s="10" t="s">
        <v>1544</v>
      </c>
      <c r="B894" s="124" t="s">
        <v>587</v>
      </c>
      <c r="C894" s="124" t="s">
        <v>322</v>
      </c>
      <c r="D894" s="12">
        <v>25000000</v>
      </c>
      <c r="E894" s="82">
        <v>0.95840776890000001</v>
      </c>
      <c r="F894" s="14">
        <v>23960194.219999999</v>
      </c>
      <c r="G894" s="14">
        <v>0.03</v>
      </c>
      <c r="H894" s="10"/>
      <c r="I894" s="10"/>
    </row>
    <row r="895" spans="1:9">
      <c r="A895" s="10" t="s">
        <v>1545</v>
      </c>
      <c r="B895" s="124" t="s">
        <v>527</v>
      </c>
      <c r="C895" s="124" t="s">
        <v>322</v>
      </c>
      <c r="D895" s="12">
        <v>25000000</v>
      </c>
      <c r="E895" s="82">
        <v>0.97531004759999995</v>
      </c>
      <c r="F895" s="14">
        <v>24382751.190000001</v>
      </c>
      <c r="G895" s="14">
        <v>0.03</v>
      </c>
      <c r="H895" s="10"/>
      <c r="I895" s="10"/>
    </row>
    <row r="896" spans="1:9">
      <c r="A896" s="10" t="s">
        <v>1548</v>
      </c>
      <c r="B896" s="124" t="s">
        <v>1547</v>
      </c>
      <c r="C896" s="124" t="s">
        <v>322</v>
      </c>
      <c r="D896" s="12">
        <v>20000000</v>
      </c>
      <c r="E896" s="82">
        <v>0.90123459569999997</v>
      </c>
      <c r="F896" s="14">
        <v>18024691.91</v>
      </c>
      <c r="G896" s="14">
        <v>0.02</v>
      </c>
      <c r="H896" s="10"/>
      <c r="I896" s="10"/>
    </row>
    <row r="897" spans="1:9">
      <c r="A897" s="10" t="s">
        <v>1549</v>
      </c>
      <c r="B897" s="124" t="s">
        <v>808</v>
      </c>
      <c r="C897" s="124" t="s">
        <v>322</v>
      </c>
      <c r="D897" s="12">
        <v>20000000</v>
      </c>
      <c r="E897" s="82">
        <v>0.92536257379999998</v>
      </c>
      <c r="F897" s="14">
        <v>18507251.48</v>
      </c>
      <c r="G897" s="14">
        <v>0.02</v>
      </c>
      <c r="H897" s="10"/>
      <c r="I897" s="10"/>
    </row>
    <row r="898" spans="1:9">
      <c r="A898" s="10" t="s">
        <v>1587</v>
      </c>
      <c r="B898" s="124" t="s">
        <v>522</v>
      </c>
      <c r="C898" s="124" t="s">
        <v>325</v>
      </c>
      <c r="D898" s="12">
        <v>3000000</v>
      </c>
      <c r="E898" s="82">
        <v>0.97593585630000002</v>
      </c>
      <c r="F898" s="14">
        <v>2927807.57</v>
      </c>
      <c r="G898" s="12">
        <v>0</v>
      </c>
      <c r="H898" s="10"/>
      <c r="I898" s="10"/>
    </row>
    <row r="899" spans="1:9">
      <c r="A899" s="10" t="s">
        <v>1588</v>
      </c>
      <c r="B899" s="124" t="s">
        <v>485</v>
      </c>
      <c r="C899" s="124" t="s">
        <v>325</v>
      </c>
      <c r="D899" s="12">
        <v>3000000</v>
      </c>
      <c r="E899" s="82">
        <v>0.98702001679999996</v>
      </c>
      <c r="F899" s="14">
        <v>2961060.05</v>
      </c>
      <c r="G899" s="12">
        <v>0</v>
      </c>
      <c r="H899" s="10"/>
      <c r="I899" s="10"/>
    </row>
    <row r="900" spans="1:9">
      <c r="A900" s="10" t="s">
        <v>1589</v>
      </c>
      <c r="B900" s="124" t="s">
        <v>527</v>
      </c>
      <c r="C900" s="124" t="s">
        <v>325</v>
      </c>
      <c r="D900" s="12">
        <v>6500000</v>
      </c>
      <c r="E900" s="158">
        <v>0.97385283199999995</v>
      </c>
      <c r="F900" s="14">
        <v>6330043.4100000001</v>
      </c>
      <c r="G900" s="14">
        <v>0.01</v>
      </c>
      <c r="H900" s="10"/>
      <c r="I900" s="10"/>
    </row>
    <row r="901" spans="1:9">
      <c r="A901" s="10" t="s">
        <v>1590</v>
      </c>
      <c r="B901" s="124" t="s">
        <v>766</v>
      </c>
      <c r="C901" s="124" t="s">
        <v>325</v>
      </c>
      <c r="D901" s="12">
        <v>6500000</v>
      </c>
      <c r="E901" s="82">
        <v>0.97113209820000002</v>
      </c>
      <c r="F901" s="14">
        <v>6312358.6399999997</v>
      </c>
      <c r="G901" s="14">
        <v>0.01</v>
      </c>
      <c r="H901" s="10"/>
      <c r="I901" s="10"/>
    </row>
    <row r="902" spans="1:9">
      <c r="A902" s="10" t="s">
        <v>1591</v>
      </c>
      <c r="B902" s="124" t="s">
        <v>448</v>
      </c>
      <c r="C902" s="124" t="s">
        <v>325</v>
      </c>
      <c r="D902" s="14">
        <v>55065217.939999998</v>
      </c>
      <c r="E902" s="82">
        <v>0.98712685069999995</v>
      </c>
      <c r="F902" s="14">
        <v>54356355.170000002</v>
      </c>
      <c r="G902" s="14">
        <v>7.0000000000000007E-2</v>
      </c>
      <c r="H902" s="10"/>
      <c r="I902" s="10"/>
    </row>
    <row r="903" spans="1:9">
      <c r="A903" s="10" t="s">
        <v>1592</v>
      </c>
      <c r="B903" s="124" t="s">
        <v>448</v>
      </c>
      <c r="C903" s="124" t="s">
        <v>325</v>
      </c>
      <c r="D903" s="14">
        <v>55065217.939999998</v>
      </c>
      <c r="E903" s="82">
        <v>0.98712685069999995</v>
      </c>
      <c r="F903" s="14">
        <v>54356355.170000002</v>
      </c>
      <c r="G903" s="14">
        <v>7.0000000000000007E-2</v>
      </c>
      <c r="H903" s="10"/>
      <c r="I903" s="10"/>
    </row>
    <row r="904" spans="1:9">
      <c r="A904" s="10" t="s">
        <v>1593</v>
      </c>
      <c r="B904" s="124" t="s">
        <v>806</v>
      </c>
      <c r="C904" s="124" t="s">
        <v>325</v>
      </c>
      <c r="D904" s="12">
        <v>25000000</v>
      </c>
      <c r="E904" s="82">
        <v>0.90805071169999996</v>
      </c>
      <c r="F904" s="14">
        <v>22701267.789999999</v>
      </c>
      <c r="G904" s="14">
        <v>0.03</v>
      </c>
      <c r="H904" s="10"/>
      <c r="I904" s="10"/>
    </row>
    <row r="905" spans="1:9">
      <c r="A905" s="10" t="s">
        <v>1594</v>
      </c>
      <c r="B905" s="124" t="s">
        <v>883</v>
      </c>
      <c r="C905" s="124" t="s">
        <v>325</v>
      </c>
      <c r="D905" s="12">
        <v>105000000</v>
      </c>
      <c r="E905" s="82">
        <v>0.96530205930000001</v>
      </c>
      <c r="F905" s="14">
        <v>101356716.23</v>
      </c>
      <c r="G905" s="14">
        <v>0.13</v>
      </c>
      <c r="H905" s="10"/>
      <c r="I905" s="10"/>
    </row>
    <row r="906" spans="1:9">
      <c r="A906" s="10" t="s">
        <v>1595</v>
      </c>
      <c r="B906" s="124" t="s">
        <v>443</v>
      </c>
      <c r="C906" s="124" t="s">
        <v>325</v>
      </c>
      <c r="D906" s="12">
        <v>104500000</v>
      </c>
      <c r="E906" s="82">
        <v>0.99303516589999996</v>
      </c>
      <c r="F906" s="14">
        <v>103772174.84</v>
      </c>
      <c r="G906" s="14">
        <v>0.14000000000000001</v>
      </c>
      <c r="H906" s="10"/>
      <c r="I906" s="10"/>
    </row>
    <row r="907" spans="1:9">
      <c r="A907" s="10" t="s">
        <v>1596</v>
      </c>
      <c r="B907" s="124" t="s">
        <v>448</v>
      </c>
      <c r="C907" s="124" t="s">
        <v>325</v>
      </c>
      <c r="D907" s="12">
        <v>269000000</v>
      </c>
      <c r="E907" s="158">
        <v>0.98260925200000004</v>
      </c>
      <c r="F907" s="14">
        <v>264321888.78999999</v>
      </c>
      <c r="G907" s="14">
        <v>0.35</v>
      </c>
      <c r="H907" s="10"/>
      <c r="I907" s="10"/>
    </row>
    <row r="908" spans="1:9">
      <c r="A908" s="10" t="s">
        <v>1597</v>
      </c>
      <c r="B908" s="124" t="s">
        <v>728</v>
      </c>
      <c r="C908" s="124" t="s">
        <v>325</v>
      </c>
      <c r="D908" s="12">
        <v>298500000</v>
      </c>
      <c r="E908" s="82">
        <v>0.99792215080000002</v>
      </c>
      <c r="F908" s="14">
        <v>297879762.00999999</v>
      </c>
      <c r="G908" s="154">
        <v>0.4</v>
      </c>
      <c r="H908" s="10"/>
      <c r="I908" s="10"/>
    </row>
    <row r="909" spans="1:9">
      <c r="A909" s="10" t="s">
        <v>1599</v>
      </c>
      <c r="B909" s="124" t="s">
        <v>728</v>
      </c>
      <c r="C909" s="124" t="s">
        <v>325</v>
      </c>
      <c r="D909" s="12">
        <v>2000000</v>
      </c>
      <c r="E909" s="21">
        <v>0.99824966000000004</v>
      </c>
      <c r="F909" s="14">
        <v>1996499.32</v>
      </c>
      <c r="G909" s="12">
        <v>0</v>
      </c>
      <c r="H909" s="10"/>
      <c r="I909" s="10"/>
    </row>
    <row r="910" spans="1:9">
      <c r="A910" s="10" t="s">
        <v>1600</v>
      </c>
      <c r="B910" s="124" t="s">
        <v>287</v>
      </c>
      <c r="C910" s="124" t="s">
        <v>325</v>
      </c>
      <c r="D910" s="12">
        <v>10000000</v>
      </c>
      <c r="E910" s="82">
        <v>0.90750881859999999</v>
      </c>
      <c r="F910" s="14">
        <v>9075088.1899999995</v>
      </c>
      <c r="G910" s="14">
        <v>0.01</v>
      </c>
      <c r="H910" s="10"/>
      <c r="I910" s="10"/>
    </row>
    <row r="911" spans="1:9">
      <c r="A911" s="10" t="s">
        <v>1601</v>
      </c>
      <c r="B911" s="124" t="s">
        <v>257</v>
      </c>
      <c r="C911" s="124" t="s">
        <v>325</v>
      </c>
      <c r="D911" s="12">
        <v>10000000</v>
      </c>
      <c r="E911" s="82">
        <v>0.91740821910000003</v>
      </c>
      <c r="F911" s="14">
        <v>9174082.1899999995</v>
      </c>
      <c r="G911" s="14">
        <v>0.01</v>
      </c>
      <c r="H911" s="10"/>
      <c r="I911" s="10"/>
    </row>
    <row r="912" spans="1:9">
      <c r="A912" s="10" t="s">
        <v>1602</v>
      </c>
      <c r="B912" s="124" t="s">
        <v>520</v>
      </c>
      <c r="C912" s="124" t="s">
        <v>325</v>
      </c>
      <c r="D912" s="12">
        <v>50000000</v>
      </c>
      <c r="E912" s="82">
        <v>0.9736969191</v>
      </c>
      <c r="F912" s="14">
        <v>48684845.960000001</v>
      </c>
      <c r="G912" s="14">
        <v>0.06</v>
      </c>
      <c r="H912" s="10"/>
      <c r="I912" s="10"/>
    </row>
    <row r="913" spans="1:9">
      <c r="A913" s="10" t="s">
        <v>1603</v>
      </c>
      <c r="B913" s="124" t="s">
        <v>728</v>
      </c>
      <c r="C913" s="124" t="s">
        <v>325</v>
      </c>
      <c r="D913" s="12">
        <v>12936672</v>
      </c>
      <c r="E913" s="158">
        <v>0.99819505900000005</v>
      </c>
      <c r="F913" s="14">
        <v>12913322.07</v>
      </c>
      <c r="G913" s="14">
        <v>0.02</v>
      </c>
      <c r="H913" s="10"/>
      <c r="I913" s="10"/>
    </row>
    <row r="914" spans="1:9">
      <c r="A914" s="10" t="s">
        <v>1606</v>
      </c>
      <c r="B914" s="124" t="s">
        <v>812</v>
      </c>
      <c r="C914" s="124" t="s">
        <v>163</v>
      </c>
      <c r="D914" s="12">
        <v>50000000</v>
      </c>
      <c r="E914" s="82">
        <v>0.9361374751</v>
      </c>
      <c r="F914" s="14">
        <v>46806873.759999998</v>
      </c>
      <c r="G914" s="14">
        <v>0.06</v>
      </c>
      <c r="H914" s="10"/>
      <c r="I914" s="10"/>
    </row>
    <row r="915" spans="1:9">
      <c r="A915" s="10" t="s">
        <v>1607</v>
      </c>
      <c r="B915" s="124" t="s">
        <v>674</v>
      </c>
      <c r="C915" s="124" t="s">
        <v>163</v>
      </c>
      <c r="D915" s="12">
        <v>50000000</v>
      </c>
      <c r="E915" s="82">
        <v>0.93541786739999999</v>
      </c>
      <c r="F915" s="14">
        <v>46770893.369999997</v>
      </c>
      <c r="G915" s="14">
        <v>0.06</v>
      </c>
      <c r="H915" s="10"/>
      <c r="I915" s="10"/>
    </row>
    <row r="916" spans="1:9">
      <c r="A916" s="10" t="s">
        <v>1608</v>
      </c>
      <c r="B916" s="124" t="s">
        <v>697</v>
      </c>
      <c r="C916" s="124" t="s">
        <v>163</v>
      </c>
      <c r="D916" s="12">
        <v>50000000</v>
      </c>
      <c r="E916" s="82">
        <v>0.93469918919999995</v>
      </c>
      <c r="F916" s="14">
        <v>46734959.460000001</v>
      </c>
      <c r="G916" s="14">
        <v>0.06</v>
      </c>
      <c r="H916" s="10"/>
      <c r="I916" s="10"/>
    </row>
    <row r="917" spans="1:9">
      <c r="A917" s="10" t="s">
        <v>1609</v>
      </c>
      <c r="B917" s="124" t="s">
        <v>697</v>
      </c>
      <c r="C917" s="124" t="s">
        <v>163</v>
      </c>
      <c r="D917" s="12">
        <v>50000000</v>
      </c>
      <c r="E917" s="82">
        <v>0.93469918919999995</v>
      </c>
      <c r="F917" s="14">
        <v>46734959.460000001</v>
      </c>
      <c r="G917" s="14">
        <v>0.06</v>
      </c>
      <c r="H917" s="10"/>
      <c r="I917" s="10"/>
    </row>
    <row r="918" spans="1:9">
      <c r="A918" s="10" t="s">
        <v>1610</v>
      </c>
      <c r="B918" s="124" t="s">
        <v>769</v>
      </c>
      <c r="C918" s="124" t="s">
        <v>163</v>
      </c>
      <c r="D918" s="12">
        <v>50000000</v>
      </c>
      <c r="E918" s="82">
        <v>0.9311224682</v>
      </c>
      <c r="F918" s="14">
        <v>46556123.409999996</v>
      </c>
      <c r="G918" s="14">
        <v>0.06</v>
      </c>
      <c r="H918" s="10"/>
      <c r="I918" s="10"/>
    </row>
    <row r="919" spans="1:9">
      <c r="A919" s="10" t="s">
        <v>1611</v>
      </c>
      <c r="B919" s="124" t="s">
        <v>778</v>
      </c>
      <c r="C919" s="124" t="s">
        <v>163</v>
      </c>
      <c r="D919" s="12">
        <v>50000000</v>
      </c>
      <c r="E919" s="82">
        <v>0.92475309289999996</v>
      </c>
      <c r="F919" s="14">
        <v>46237654.649999999</v>
      </c>
      <c r="G919" s="14">
        <v>0.06</v>
      </c>
      <c r="H919" s="10"/>
      <c r="I919" s="10"/>
    </row>
    <row r="920" spans="1:9">
      <c r="A920" s="10" t="s">
        <v>1612</v>
      </c>
      <c r="B920" s="124" t="s">
        <v>697</v>
      </c>
      <c r="C920" s="124" t="s">
        <v>163</v>
      </c>
      <c r="D920" s="12">
        <v>50000000</v>
      </c>
      <c r="E920" s="82">
        <v>0.93469918919999995</v>
      </c>
      <c r="F920" s="14">
        <v>46734959.460000001</v>
      </c>
      <c r="G920" s="14">
        <v>0.06</v>
      </c>
      <c r="H920" s="10"/>
      <c r="I920" s="10"/>
    </row>
    <row r="921" spans="1:9">
      <c r="A921" s="10" t="s">
        <v>1613</v>
      </c>
      <c r="B921" s="124" t="s">
        <v>769</v>
      </c>
      <c r="C921" s="124" t="s">
        <v>163</v>
      </c>
      <c r="D921" s="12">
        <v>50000000</v>
      </c>
      <c r="E921" s="82">
        <v>0.9311224682</v>
      </c>
      <c r="F921" s="14">
        <v>46556123.409999996</v>
      </c>
      <c r="G921" s="14">
        <v>0.06</v>
      </c>
      <c r="H921" s="10"/>
      <c r="I921" s="10"/>
    </row>
    <row r="922" spans="1:9">
      <c r="A922" s="10" t="s">
        <v>1614</v>
      </c>
      <c r="B922" s="124" t="s">
        <v>1039</v>
      </c>
      <c r="C922" s="124" t="s">
        <v>163</v>
      </c>
      <c r="D922" s="12">
        <v>50000000</v>
      </c>
      <c r="E922" s="82">
        <v>0.93041054909999998</v>
      </c>
      <c r="F922" s="14">
        <v>46520527.460000001</v>
      </c>
      <c r="G922" s="14">
        <v>0.06</v>
      </c>
      <c r="H922" s="10"/>
      <c r="I922" s="10"/>
    </row>
    <row r="923" spans="1:9">
      <c r="A923" s="10" t="s">
        <v>1615</v>
      </c>
      <c r="B923" s="124" t="s">
        <v>808</v>
      </c>
      <c r="C923" s="124" t="s">
        <v>163</v>
      </c>
      <c r="D923" s="12">
        <v>50000000</v>
      </c>
      <c r="E923" s="82">
        <v>0.92969953979999997</v>
      </c>
      <c r="F923" s="14">
        <v>46484976.990000002</v>
      </c>
      <c r="G923" s="14">
        <v>0.06</v>
      </c>
      <c r="H923" s="10"/>
      <c r="I923" s="10"/>
    </row>
    <row r="924" spans="1:9">
      <c r="A924" s="10" t="s">
        <v>1616</v>
      </c>
      <c r="B924" s="124" t="s">
        <v>999</v>
      </c>
      <c r="C924" s="124" t="s">
        <v>163</v>
      </c>
      <c r="D924" s="12">
        <v>50000000</v>
      </c>
      <c r="E924" s="82">
        <v>0.92616090709999999</v>
      </c>
      <c r="F924" s="14">
        <v>46308045.359999999</v>
      </c>
      <c r="G924" s="14">
        <v>0.06</v>
      </c>
      <c r="H924" s="10"/>
      <c r="I924" s="10"/>
    </row>
    <row r="925" spans="1:9">
      <c r="A925" s="10" t="s">
        <v>1617</v>
      </c>
      <c r="B925" s="124" t="s">
        <v>822</v>
      </c>
      <c r="C925" s="124" t="s">
        <v>163</v>
      </c>
      <c r="D925" s="12">
        <v>50000000</v>
      </c>
      <c r="E925" s="158">
        <v>0.92545655500000001</v>
      </c>
      <c r="F925" s="14">
        <v>46272827.75</v>
      </c>
      <c r="G925" s="14">
        <v>0.06</v>
      </c>
      <c r="H925" s="10"/>
      <c r="I925" s="10"/>
    </row>
    <row r="926" spans="1:9">
      <c r="A926" s="10" t="s">
        <v>1618</v>
      </c>
      <c r="B926" s="124" t="s">
        <v>514</v>
      </c>
      <c r="C926" s="124" t="s">
        <v>163</v>
      </c>
      <c r="D926" s="14">
        <v>1066766.07</v>
      </c>
      <c r="E926" s="82">
        <v>0.97842117319999999</v>
      </c>
      <c r="F926" s="14">
        <v>1043746.51</v>
      </c>
      <c r="G926" s="12">
        <v>0</v>
      </c>
      <c r="H926" s="10"/>
      <c r="I926" s="10"/>
    </row>
    <row r="927" spans="1:9">
      <c r="A927" s="10" t="s">
        <v>1619</v>
      </c>
      <c r="B927" s="124" t="s">
        <v>500</v>
      </c>
      <c r="C927" s="124" t="s">
        <v>163</v>
      </c>
      <c r="D927" s="12">
        <v>15000000</v>
      </c>
      <c r="E927" s="82">
        <v>0.9542483772</v>
      </c>
      <c r="F927" s="14">
        <v>14313725.66</v>
      </c>
      <c r="G927" s="14">
        <v>0.02</v>
      </c>
      <c r="H927" s="10"/>
      <c r="I927" s="10"/>
    </row>
    <row r="928" spans="1:9">
      <c r="A928" s="10" t="s">
        <v>1620</v>
      </c>
      <c r="B928" s="124" t="s">
        <v>950</v>
      </c>
      <c r="C928" s="124" t="s">
        <v>163</v>
      </c>
      <c r="D928" s="12">
        <v>20000000</v>
      </c>
      <c r="E928" s="82">
        <v>0.94903803890000005</v>
      </c>
      <c r="F928" s="14">
        <v>18980760.780000001</v>
      </c>
      <c r="G928" s="14">
        <v>0.03</v>
      </c>
      <c r="H928" s="10"/>
      <c r="I928" s="10"/>
    </row>
    <row r="929" spans="1:9">
      <c r="A929" s="10" t="s">
        <v>1621</v>
      </c>
      <c r="B929" s="124" t="s">
        <v>497</v>
      </c>
      <c r="C929" s="124" t="s">
        <v>163</v>
      </c>
      <c r="D929" s="154">
        <v>1555000.5</v>
      </c>
      <c r="E929" s="82">
        <v>0.95840785210000001</v>
      </c>
      <c r="F929" s="14">
        <v>1490324.69</v>
      </c>
      <c r="G929" s="12">
        <v>0</v>
      </c>
      <c r="H929" s="10"/>
      <c r="I929" s="10"/>
    </row>
    <row r="930" spans="1:9">
      <c r="A930" s="10" t="s">
        <v>1622</v>
      </c>
      <c r="B930" s="124" t="s">
        <v>948</v>
      </c>
      <c r="C930" s="124" t="s">
        <v>163</v>
      </c>
      <c r="D930" s="154">
        <v>1555000.5</v>
      </c>
      <c r="E930" s="82">
        <v>0.95121453030000003</v>
      </c>
      <c r="F930" s="14">
        <v>1479139.07</v>
      </c>
      <c r="G930" s="12">
        <v>0</v>
      </c>
      <c r="H930" s="10"/>
      <c r="I930" s="10"/>
    </row>
    <row r="931" spans="1:9">
      <c r="A931" s="10" t="s">
        <v>1623</v>
      </c>
      <c r="B931" s="124" t="s">
        <v>950</v>
      </c>
      <c r="C931" s="124" t="s">
        <v>163</v>
      </c>
      <c r="D931" s="154">
        <v>1555000.5</v>
      </c>
      <c r="E931" s="82">
        <v>0.9476581905</v>
      </c>
      <c r="F931" s="14">
        <v>1473608.96</v>
      </c>
      <c r="G931" s="12">
        <v>0</v>
      </c>
      <c r="H931" s="10"/>
      <c r="I931" s="10"/>
    </row>
    <row r="932" spans="1:9">
      <c r="A932" s="10" t="s">
        <v>1624</v>
      </c>
      <c r="B932" s="124" t="s">
        <v>883</v>
      </c>
      <c r="C932" s="124" t="s">
        <v>163</v>
      </c>
      <c r="D932" s="154">
        <v>1555000.5</v>
      </c>
      <c r="E932" s="82">
        <v>0.96113342729999995</v>
      </c>
      <c r="F932" s="14">
        <v>1494562.96</v>
      </c>
      <c r="G932" s="12">
        <v>0</v>
      </c>
      <c r="H932" s="10"/>
      <c r="I932" s="10"/>
    </row>
    <row r="933" spans="1:9">
      <c r="A933" s="10" t="s">
        <v>1625</v>
      </c>
      <c r="B933" s="124" t="s">
        <v>593</v>
      </c>
      <c r="C933" s="124" t="s">
        <v>163</v>
      </c>
      <c r="D933" s="14">
        <v>4213657.9800000004</v>
      </c>
      <c r="E933" s="82">
        <v>0.96022313410000004</v>
      </c>
      <c r="F933" s="14">
        <v>4046051.87</v>
      </c>
      <c r="G933" s="14">
        <v>0.01</v>
      </c>
      <c r="H933" s="10"/>
      <c r="I933" s="10"/>
    </row>
    <row r="934" spans="1:9">
      <c r="A934" s="10" t="s">
        <v>1626</v>
      </c>
      <c r="B934" s="124" t="s">
        <v>593</v>
      </c>
      <c r="C934" s="124" t="s">
        <v>163</v>
      </c>
      <c r="D934" s="154">
        <v>1555000.5</v>
      </c>
      <c r="E934" s="158">
        <v>0.96022313199999998</v>
      </c>
      <c r="F934" s="14">
        <v>1493147.45</v>
      </c>
      <c r="G934" s="12">
        <v>0</v>
      </c>
      <c r="H934" s="10"/>
      <c r="I934" s="10"/>
    </row>
    <row r="935" spans="1:9">
      <c r="A935" s="10" t="s">
        <v>1627</v>
      </c>
      <c r="B935" s="124" t="s">
        <v>504</v>
      </c>
      <c r="C935" s="124" t="s">
        <v>163</v>
      </c>
      <c r="D935" s="154">
        <v>3256800.5</v>
      </c>
      <c r="E935" s="158">
        <v>0.95931471700000004</v>
      </c>
      <c r="F935" s="14">
        <v>3124296.65</v>
      </c>
      <c r="G935" s="12">
        <v>0</v>
      </c>
      <c r="H935" s="10"/>
      <c r="I935" s="10"/>
    </row>
    <row r="936" spans="1:9">
      <c r="A936" s="10" t="s">
        <v>1628</v>
      </c>
      <c r="B936" s="124" t="s">
        <v>504</v>
      </c>
      <c r="C936" s="124" t="s">
        <v>163</v>
      </c>
      <c r="D936" s="14">
        <v>2510000.36</v>
      </c>
      <c r="E936" s="82">
        <v>0.95931470720000001</v>
      </c>
      <c r="F936" s="14">
        <v>2407880.2599999998</v>
      </c>
      <c r="G936" s="12">
        <v>0</v>
      </c>
      <c r="H936" s="10"/>
      <c r="I936" s="10"/>
    </row>
    <row r="937" spans="1:9">
      <c r="A937" s="10" t="s">
        <v>1629</v>
      </c>
      <c r="B937" s="124" t="s">
        <v>504</v>
      </c>
      <c r="C937" s="124" t="s">
        <v>163</v>
      </c>
      <c r="D937" s="14">
        <v>2510000.36</v>
      </c>
      <c r="E937" s="82">
        <v>0.95931470720000001</v>
      </c>
      <c r="F937" s="14">
        <v>2407880.2599999998</v>
      </c>
      <c r="G937" s="12">
        <v>0</v>
      </c>
      <c r="H937" s="10"/>
      <c r="I937" s="10"/>
    </row>
    <row r="938" spans="1:9">
      <c r="A938" s="10" t="s">
        <v>1630</v>
      </c>
      <c r="B938" s="124" t="s">
        <v>497</v>
      </c>
      <c r="C938" s="124" t="s">
        <v>163</v>
      </c>
      <c r="D938" s="14">
        <v>2510000.36</v>
      </c>
      <c r="E938" s="158">
        <v>0.95840785100000003</v>
      </c>
      <c r="F938" s="14">
        <v>2405604.0499999998</v>
      </c>
      <c r="G938" s="12">
        <v>0</v>
      </c>
      <c r="H938" s="10"/>
      <c r="I938" s="10"/>
    </row>
    <row r="939" spans="1:9">
      <c r="A939" s="10" t="s">
        <v>1631</v>
      </c>
      <c r="B939" s="124" t="s">
        <v>950</v>
      </c>
      <c r="C939" s="124" t="s">
        <v>163</v>
      </c>
      <c r="D939" s="14">
        <v>3789564.21</v>
      </c>
      <c r="E939" s="82">
        <v>0.94765819740000001</v>
      </c>
      <c r="F939" s="14">
        <v>3591211.59</v>
      </c>
      <c r="G939" s="12">
        <v>0</v>
      </c>
      <c r="H939" s="10"/>
      <c r="I939" s="10"/>
    </row>
    <row r="940" spans="1:9">
      <c r="A940" s="10" t="s">
        <v>1632</v>
      </c>
      <c r="B940" s="124" t="s">
        <v>883</v>
      </c>
      <c r="C940" s="124" t="s">
        <v>163</v>
      </c>
      <c r="D940" s="14">
        <v>2510000.36</v>
      </c>
      <c r="E940" s="82">
        <v>0.96113343139999996</v>
      </c>
      <c r="F940" s="14">
        <v>2412445.2599999998</v>
      </c>
      <c r="G940" s="12">
        <v>0</v>
      </c>
      <c r="H940" s="10"/>
      <c r="I940" s="10"/>
    </row>
    <row r="941" spans="1:9">
      <c r="A941" s="10" t="s">
        <v>1633</v>
      </c>
      <c r="B941" s="124" t="s">
        <v>593</v>
      </c>
      <c r="C941" s="124" t="s">
        <v>163</v>
      </c>
      <c r="D941" s="14">
        <v>3789564.21</v>
      </c>
      <c r="E941" s="82">
        <v>0.96022313309999996</v>
      </c>
      <c r="F941" s="14">
        <v>3638827.22</v>
      </c>
      <c r="G941" s="12">
        <v>0</v>
      </c>
      <c r="H941" s="10"/>
      <c r="I941" s="10"/>
    </row>
    <row r="942" spans="1:9">
      <c r="A942" s="10" t="s">
        <v>1634</v>
      </c>
      <c r="B942" s="124" t="s">
        <v>593</v>
      </c>
      <c r="C942" s="124" t="s">
        <v>163</v>
      </c>
      <c r="D942" s="14">
        <v>2510000.36</v>
      </c>
      <c r="E942" s="82">
        <v>0.9602231256</v>
      </c>
      <c r="F942" s="14">
        <v>2410160.39</v>
      </c>
      <c r="G942" s="12">
        <v>0</v>
      </c>
      <c r="H942" s="10"/>
      <c r="I942" s="10"/>
    </row>
    <row r="943" spans="1:9">
      <c r="A943" s="10" t="s">
        <v>1635</v>
      </c>
      <c r="B943" s="124" t="s">
        <v>488</v>
      </c>
      <c r="C943" s="124" t="s">
        <v>163</v>
      </c>
      <c r="D943" s="12">
        <v>215500000</v>
      </c>
      <c r="E943" s="82">
        <v>0.97860475260000002</v>
      </c>
      <c r="F943" s="14">
        <v>210889324.19</v>
      </c>
      <c r="G943" s="14">
        <v>0.28000000000000003</v>
      </c>
      <c r="H943" s="10"/>
      <c r="I943" s="10"/>
    </row>
    <row r="944" spans="1:9">
      <c r="A944" s="10" t="s">
        <v>1636</v>
      </c>
      <c r="B944" s="124" t="s">
        <v>680</v>
      </c>
      <c r="C944" s="124" t="s">
        <v>163</v>
      </c>
      <c r="D944" s="12">
        <v>2500000</v>
      </c>
      <c r="E944" s="82">
        <v>0.96847815969999995</v>
      </c>
      <c r="F944" s="154">
        <v>2421195.4</v>
      </c>
      <c r="G944" s="12">
        <v>0</v>
      </c>
      <c r="H944" s="10"/>
      <c r="I944" s="10"/>
    </row>
    <row r="945" spans="1:9">
      <c r="A945" s="10" t="s">
        <v>1637</v>
      </c>
      <c r="B945" s="124" t="s">
        <v>883</v>
      </c>
      <c r="C945" s="124" t="s">
        <v>163</v>
      </c>
      <c r="D945" s="12">
        <v>2500000</v>
      </c>
      <c r="E945" s="82">
        <v>0.96425654829999996</v>
      </c>
      <c r="F945" s="14">
        <v>2410641.37</v>
      </c>
      <c r="G945" s="12">
        <v>0</v>
      </c>
      <c r="H945" s="10"/>
      <c r="I945" s="10"/>
    </row>
    <row r="946" spans="1:9">
      <c r="A946" s="10" t="s">
        <v>1638</v>
      </c>
      <c r="B946" s="124" t="s">
        <v>593</v>
      </c>
      <c r="C946" s="124" t="s">
        <v>163</v>
      </c>
      <c r="D946" s="12">
        <v>2500000</v>
      </c>
      <c r="E946" s="82">
        <v>0.96341661249999999</v>
      </c>
      <c r="F946" s="14">
        <v>2408541.5299999998</v>
      </c>
      <c r="G946" s="12">
        <v>0</v>
      </c>
      <c r="H946" s="10"/>
      <c r="I946" s="10"/>
    </row>
    <row r="947" spans="1:9">
      <c r="A947" s="10" t="s">
        <v>1639</v>
      </c>
      <c r="B947" s="124" t="s">
        <v>504</v>
      </c>
      <c r="C947" s="124" t="s">
        <v>163</v>
      </c>
      <c r="D947" s="12">
        <v>2500000</v>
      </c>
      <c r="E947" s="82">
        <v>0.96257828420000002</v>
      </c>
      <c r="F947" s="14">
        <v>2406445.71</v>
      </c>
      <c r="G947" s="12">
        <v>0</v>
      </c>
      <c r="H947" s="10"/>
      <c r="I947" s="10"/>
    </row>
    <row r="948" spans="1:9">
      <c r="A948" s="10" t="s">
        <v>1640</v>
      </c>
      <c r="B948" s="124" t="s">
        <v>504</v>
      </c>
      <c r="C948" s="124" t="s">
        <v>163</v>
      </c>
      <c r="D948" s="12">
        <v>2500000</v>
      </c>
      <c r="E948" s="82">
        <v>0.96257828420000002</v>
      </c>
      <c r="F948" s="14">
        <v>2406445.71</v>
      </c>
      <c r="G948" s="12">
        <v>0</v>
      </c>
      <c r="H948" s="10"/>
      <c r="I948" s="10"/>
    </row>
    <row r="949" spans="1:9">
      <c r="A949" s="10" t="s">
        <v>1641</v>
      </c>
      <c r="B949" s="124" t="s">
        <v>497</v>
      </c>
      <c r="C949" s="124" t="s">
        <v>163</v>
      </c>
      <c r="D949" s="12">
        <v>2500000</v>
      </c>
      <c r="E949" s="82">
        <v>0.96174125150000001</v>
      </c>
      <c r="F949" s="14">
        <v>2404353.13</v>
      </c>
      <c r="G949" s="12">
        <v>0</v>
      </c>
      <c r="H949" s="10"/>
      <c r="I949" s="10"/>
    </row>
    <row r="950" spans="1:9">
      <c r="A950" s="10" t="s">
        <v>1642</v>
      </c>
      <c r="B950" s="124" t="s">
        <v>1007</v>
      </c>
      <c r="C950" s="124" t="s">
        <v>163</v>
      </c>
      <c r="D950" s="12">
        <v>2500000</v>
      </c>
      <c r="E950" s="82">
        <v>0.96090568779999996</v>
      </c>
      <c r="F950" s="14">
        <v>2402264.2200000002</v>
      </c>
      <c r="G950" s="12">
        <v>0</v>
      </c>
      <c r="H950" s="10"/>
      <c r="I950" s="10"/>
    </row>
    <row r="951" spans="1:9">
      <c r="A951" s="10" t="s">
        <v>1643</v>
      </c>
      <c r="B951" s="124" t="s">
        <v>587</v>
      </c>
      <c r="C951" s="124" t="s">
        <v>163</v>
      </c>
      <c r="D951" s="12">
        <v>2500000</v>
      </c>
      <c r="E951" s="82">
        <v>0.95840783169999999</v>
      </c>
      <c r="F951" s="14">
        <v>2396019.58</v>
      </c>
      <c r="G951" s="12">
        <v>0</v>
      </c>
      <c r="H951" s="10"/>
      <c r="I951" s="10"/>
    </row>
    <row r="952" spans="1:9">
      <c r="A952" s="10" t="s">
        <v>1644</v>
      </c>
      <c r="B952" s="124" t="s">
        <v>446</v>
      </c>
      <c r="C952" s="124" t="s">
        <v>163</v>
      </c>
      <c r="D952" s="12">
        <v>2500000</v>
      </c>
      <c r="E952" s="82">
        <v>0.95757804390000001</v>
      </c>
      <c r="F952" s="14">
        <v>2393945.11</v>
      </c>
      <c r="G952" s="12">
        <v>0</v>
      </c>
      <c r="H952" s="10"/>
      <c r="I952" s="10"/>
    </row>
    <row r="953" spans="1:9">
      <c r="A953" s="10" t="s">
        <v>1645</v>
      </c>
      <c r="B953" s="124" t="s">
        <v>500</v>
      </c>
      <c r="C953" s="124" t="s">
        <v>163</v>
      </c>
      <c r="D953" s="12">
        <v>2500000</v>
      </c>
      <c r="E953" s="82">
        <v>0.95674968739999999</v>
      </c>
      <c r="F953" s="14">
        <v>2391874.2200000002</v>
      </c>
      <c r="G953" s="12">
        <v>0</v>
      </c>
      <c r="H953" s="10"/>
      <c r="I953" s="10"/>
    </row>
    <row r="954" spans="1:9">
      <c r="A954" s="10" t="s">
        <v>1646</v>
      </c>
      <c r="B954" s="124" t="s">
        <v>583</v>
      </c>
      <c r="C954" s="124" t="s">
        <v>163</v>
      </c>
      <c r="D954" s="12">
        <v>2500000</v>
      </c>
      <c r="E954" s="82">
        <v>0.95592292820000002</v>
      </c>
      <c r="F954" s="14">
        <v>2389807.3199999998</v>
      </c>
      <c r="G954" s="12">
        <v>0</v>
      </c>
      <c r="H954" s="10"/>
      <c r="I954" s="10"/>
    </row>
    <row r="955" spans="1:9">
      <c r="A955" s="10" t="s">
        <v>1647</v>
      </c>
      <c r="B955" s="124" t="s">
        <v>948</v>
      </c>
      <c r="C955" s="124" t="s">
        <v>163</v>
      </c>
      <c r="D955" s="12">
        <v>2500000</v>
      </c>
      <c r="E955" s="82">
        <v>0.9550974324</v>
      </c>
      <c r="F955" s="14">
        <v>2387743.58</v>
      </c>
      <c r="G955" s="12">
        <v>0</v>
      </c>
      <c r="H955" s="10"/>
      <c r="I955" s="10"/>
    </row>
    <row r="956" spans="1:9">
      <c r="A956" s="10" t="s">
        <v>1648</v>
      </c>
      <c r="B956" s="124" t="s">
        <v>950</v>
      </c>
      <c r="C956" s="124" t="s">
        <v>163</v>
      </c>
      <c r="D956" s="12">
        <v>2500000</v>
      </c>
      <c r="E956" s="158">
        <v>0.95180981600000003</v>
      </c>
      <c r="F956" s="14">
        <v>2379524.54</v>
      </c>
      <c r="G956" s="12">
        <v>0</v>
      </c>
      <c r="H956" s="10"/>
      <c r="I956" s="10"/>
    </row>
    <row r="957" spans="1:9">
      <c r="A957" s="10" t="s">
        <v>1649</v>
      </c>
      <c r="B957" s="124" t="s">
        <v>502</v>
      </c>
      <c r="C957" s="124" t="s">
        <v>163</v>
      </c>
      <c r="D957" s="12">
        <v>2500000</v>
      </c>
      <c r="E957" s="82">
        <v>0.95099139570000002</v>
      </c>
      <c r="F957" s="14">
        <v>2377478.4900000002</v>
      </c>
      <c r="G957" s="12">
        <v>0</v>
      </c>
      <c r="H957" s="10"/>
      <c r="I957" s="10"/>
    </row>
    <row r="958" spans="1:9">
      <c r="A958" s="10" t="s">
        <v>1650</v>
      </c>
      <c r="B958" s="124" t="s">
        <v>655</v>
      </c>
      <c r="C958" s="124" t="s">
        <v>163</v>
      </c>
      <c r="D958" s="12">
        <v>2500000</v>
      </c>
      <c r="E958" s="82">
        <v>0.95017457630000002</v>
      </c>
      <c r="F958" s="14">
        <v>2375436.44</v>
      </c>
      <c r="G958" s="12">
        <v>0</v>
      </c>
      <c r="H958" s="10"/>
      <c r="I958" s="10"/>
    </row>
    <row r="959" spans="1:9">
      <c r="A959" s="10" t="s">
        <v>1651</v>
      </c>
      <c r="B959" s="124" t="s">
        <v>750</v>
      </c>
      <c r="C959" s="124" t="s">
        <v>163</v>
      </c>
      <c r="D959" s="12">
        <v>2500000</v>
      </c>
      <c r="E959" s="82">
        <v>0.94935895960000005</v>
      </c>
      <c r="F959" s="154">
        <v>2373397.4</v>
      </c>
      <c r="G959" s="12">
        <v>0</v>
      </c>
      <c r="H959" s="10"/>
      <c r="I959" s="10"/>
    </row>
    <row r="960" spans="1:9">
      <c r="A960" s="10" t="s">
        <v>1652</v>
      </c>
      <c r="B960" s="124" t="s">
        <v>567</v>
      </c>
      <c r="C960" s="124" t="s">
        <v>163</v>
      </c>
      <c r="D960" s="12">
        <v>2500000</v>
      </c>
      <c r="E960" s="82">
        <v>0.94692070409999995</v>
      </c>
      <c r="F960" s="14">
        <v>2367301.7599999998</v>
      </c>
      <c r="G960" s="12">
        <v>0</v>
      </c>
      <c r="H960" s="10"/>
      <c r="I960" s="10"/>
    </row>
    <row r="961" spans="1:9">
      <c r="A961" s="10" t="s">
        <v>1653</v>
      </c>
      <c r="B961" s="124" t="s">
        <v>1161</v>
      </c>
      <c r="C961" s="124" t="s">
        <v>163</v>
      </c>
      <c r="D961" s="12">
        <v>2500000</v>
      </c>
      <c r="E961" s="82">
        <v>0.94611067250000003</v>
      </c>
      <c r="F961" s="14">
        <v>2365276.6800000002</v>
      </c>
      <c r="G961" s="12">
        <v>0</v>
      </c>
      <c r="H961" s="10"/>
      <c r="I961" s="10"/>
    </row>
    <row r="962" spans="1:9">
      <c r="A962" s="10" t="s">
        <v>1654</v>
      </c>
      <c r="B962" s="124" t="s">
        <v>793</v>
      </c>
      <c r="C962" s="124" t="s">
        <v>163</v>
      </c>
      <c r="D962" s="12">
        <v>2500000</v>
      </c>
      <c r="E962" s="82">
        <v>0.94530201629999999</v>
      </c>
      <c r="F962" s="14">
        <v>2363255.04</v>
      </c>
      <c r="G962" s="12">
        <v>0</v>
      </c>
      <c r="H962" s="10"/>
      <c r="I962" s="10"/>
    </row>
    <row r="963" spans="1:9">
      <c r="A963" s="10" t="s">
        <v>1655</v>
      </c>
      <c r="B963" s="124" t="s">
        <v>574</v>
      </c>
      <c r="C963" s="124" t="s">
        <v>163</v>
      </c>
      <c r="D963" s="12">
        <v>2500000</v>
      </c>
      <c r="E963" s="82">
        <v>0.96763084430000001</v>
      </c>
      <c r="F963" s="14">
        <v>2419077.11</v>
      </c>
      <c r="G963" s="12">
        <v>0</v>
      </c>
      <c r="H963" s="10"/>
      <c r="I963" s="10"/>
    </row>
    <row r="964" spans="1:9">
      <c r="A964" s="10" t="s">
        <v>1656</v>
      </c>
      <c r="B964" s="124" t="s">
        <v>766</v>
      </c>
      <c r="C964" s="124" t="s">
        <v>163</v>
      </c>
      <c r="D964" s="12">
        <v>2500000</v>
      </c>
      <c r="E964" s="82">
        <v>0.97273676809999998</v>
      </c>
      <c r="F964" s="14">
        <v>2431841.92</v>
      </c>
      <c r="G964" s="12">
        <v>0</v>
      </c>
      <c r="H964" s="10"/>
      <c r="I964" s="10"/>
    </row>
    <row r="965" spans="1:9">
      <c r="A965" s="10" t="s">
        <v>1657</v>
      </c>
      <c r="B965" s="124" t="s">
        <v>524</v>
      </c>
      <c r="C965" s="124" t="s">
        <v>163</v>
      </c>
      <c r="D965" s="12">
        <v>2500000</v>
      </c>
      <c r="E965" s="82">
        <v>0.97017708810000003</v>
      </c>
      <c r="F965" s="14">
        <v>2425442.7200000002</v>
      </c>
      <c r="G965" s="12">
        <v>0</v>
      </c>
      <c r="H965" s="10"/>
      <c r="I965" s="10"/>
    </row>
    <row r="966" spans="1:9">
      <c r="A966" s="10" t="s">
        <v>1658</v>
      </c>
      <c r="B966" s="124" t="s">
        <v>438</v>
      </c>
      <c r="C966" s="124" t="s">
        <v>163</v>
      </c>
      <c r="D966" s="12">
        <v>187200000</v>
      </c>
      <c r="E966" s="82">
        <v>0.99023333650000001</v>
      </c>
      <c r="F966" s="14">
        <v>185371680.59</v>
      </c>
      <c r="G966" s="14">
        <v>0.25</v>
      </c>
      <c r="H966" s="10"/>
      <c r="I966" s="10"/>
    </row>
    <row r="967" spans="1:9">
      <c r="A967" s="10" t="s">
        <v>1659</v>
      </c>
      <c r="B967" s="124" t="s">
        <v>506</v>
      </c>
      <c r="C967" s="124" t="s">
        <v>163</v>
      </c>
      <c r="D967" s="14">
        <v>42880531.420000002</v>
      </c>
      <c r="E967" s="82">
        <v>0.99909671089999996</v>
      </c>
      <c r="F967" s="154">
        <v>42841797.899999999</v>
      </c>
      <c r="G967" s="14">
        <v>0.06</v>
      </c>
      <c r="H967" s="10"/>
      <c r="I967" s="10"/>
    </row>
    <row r="968" spans="1:9">
      <c r="A968" s="10" t="s">
        <v>1660</v>
      </c>
      <c r="B968" s="124" t="s">
        <v>660</v>
      </c>
      <c r="C968" s="124" t="s">
        <v>163</v>
      </c>
      <c r="D968" s="14">
        <v>44921898.869999997</v>
      </c>
      <c r="E968" s="82">
        <v>0.96932680790000003</v>
      </c>
      <c r="F968" s="14">
        <v>43544000.840000004</v>
      </c>
      <c r="G968" s="14">
        <v>0.06</v>
      </c>
      <c r="H968" s="10"/>
      <c r="I968" s="10"/>
    </row>
    <row r="969" spans="1:9">
      <c r="A969" s="10" t="s">
        <v>1661</v>
      </c>
      <c r="B969" s="124" t="s">
        <v>443</v>
      </c>
      <c r="C969" s="124" t="s">
        <v>163</v>
      </c>
      <c r="D969" s="14">
        <v>56057920.039999999</v>
      </c>
      <c r="E969" s="82">
        <v>0.99281909260000001</v>
      </c>
      <c r="F969" s="14">
        <v>55655373.310000002</v>
      </c>
      <c r="G969" s="14">
        <v>7.0000000000000007E-2</v>
      </c>
      <c r="H969" s="10"/>
      <c r="I969" s="10"/>
    </row>
    <row r="970" spans="1:9">
      <c r="A970" s="10" t="s">
        <v>1662</v>
      </c>
      <c r="B970" s="124" t="s">
        <v>1007</v>
      </c>
      <c r="C970" s="124" t="s">
        <v>163</v>
      </c>
      <c r="D970" s="14">
        <v>100071435.06999999</v>
      </c>
      <c r="E970" s="82">
        <v>0.96090569010000004</v>
      </c>
      <c r="F970" s="14">
        <v>96159211.379999995</v>
      </c>
      <c r="G970" s="14">
        <v>0.13</v>
      </c>
      <c r="H970" s="10"/>
      <c r="I970" s="10"/>
    </row>
    <row r="971" spans="1:9">
      <c r="A971" s="10" t="s">
        <v>1663</v>
      </c>
      <c r="B971" s="124" t="s">
        <v>438</v>
      </c>
      <c r="C971" s="124" t="s">
        <v>163</v>
      </c>
      <c r="D971" s="14">
        <v>38402544.32</v>
      </c>
      <c r="E971" s="82">
        <v>0.99192870749999995</v>
      </c>
      <c r="F971" s="14">
        <v>38092586.149999999</v>
      </c>
      <c r="G971" s="14">
        <v>0.05</v>
      </c>
      <c r="H971" s="10"/>
      <c r="I971" s="10"/>
    </row>
    <row r="972" spans="1:9">
      <c r="A972" s="10" t="s">
        <v>1664</v>
      </c>
      <c r="B972" s="124" t="s">
        <v>485</v>
      </c>
      <c r="C972" s="124" t="s">
        <v>163</v>
      </c>
      <c r="D972" s="14">
        <v>24760170.170000002</v>
      </c>
      <c r="E972" s="82">
        <v>0.9857405548</v>
      </c>
      <c r="F972" s="14">
        <v>24407103.879999999</v>
      </c>
      <c r="G972" s="14">
        <v>0.03</v>
      </c>
      <c r="H972" s="10"/>
      <c r="I972" s="10"/>
    </row>
    <row r="973" spans="1:9">
      <c r="A973" s="10" t="s">
        <v>1674</v>
      </c>
      <c r="B973" s="124" t="s">
        <v>482</v>
      </c>
      <c r="C973" s="124" t="s">
        <v>424</v>
      </c>
      <c r="D973" s="14">
        <v>18239769.260000002</v>
      </c>
      <c r="E973" s="82">
        <v>0.98702009010000002</v>
      </c>
      <c r="F973" s="154">
        <v>18003018.699999999</v>
      </c>
      <c r="G973" s="14">
        <v>0.02</v>
      </c>
      <c r="H973" s="10"/>
      <c r="I973" s="10"/>
    </row>
    <row r="974" spans="1:9">
      <c r="A974" s="10" t="s">
        <v>1675</v>
      </c>
      <c r="B974" s="124" t="s">
        <v>488</v>
      </c>
      <c r="C974" s="124" t="s">
        <v>424</v>
      </c>
      <c r="D974" s="14">
        <v>18239769.260000002</v>
      </c>
      <c r="E974" s="82">
        <v>0.98192190720000005</v>
      </c>
      <c r="F974" s="14">
        <v>17910029.02</v>
      </c>
      <c r="G974" s="14">
        <v>0.02</v>
      </c>
      <c r="H974" s="10"/>
      <c r="I974" s="10"/>
    </row>
    <row r="975" spans="1:9">
      <c r="A975" s="10" t="s">
        <v>1676</v>
      </c>
      <c r="B975" s="124" t="s">
        <v>518</v>
      </c>
      <c r="C975" s="124" t="s">
        <v>424</v>
      </c>
      <c r="D975" s="14">
        <v>35466704.420000002</v>
      </c>
      <c r="E975" s="158">
        <v>0.97829007700000004</v>
      </c>
      <c r="F975" s="12">
        <v>34696725</v>
      </c>
      <c r="G975" s="14">
        <v>0.05</v>
      </c>
      <c r="H975" s="10"/>
      <c r="I975" s="10"/>
    </row>
    <row r="976" spans="1:9">
      <c r="A976" s="10" t="s">
        <v>1678</v>
      </c>
      <c r="B976" s="124" t="s">
        <v>510</v>
      </c>
      <c r="C976" s="124" t="s">
        <v>417</v>
      </c>
      <c r="D976" s="12">
        <v>17357571</v>
      </c>
      <c r="E976" s="82">
        <v>0.99130910780000003</v>
      </c>
      <c r="F976" s="14">
        <v>17206718.219999999</v>
      </c>
      <c r="G976" s="14">
        <v>0.02</v>
      </c>
      <c r="H976" s="10"/>
      <c r="I976" s="10"/>
    </row>
    <row r="977" spans="1:9">
      <c r="A977" s="10" t="s">
        <v>1680</v>
      </c>
      <c r="B977" s="124" t="s">
        <v>697</v>
      </c>
      <c r="C977" s="124" t="s">
        <v>417</v>
      </c>
      <c r="D977" s="12">
        <v>5800000</v>
      </c>
      <c r="E977" s="82">
        <v>0.9286350377</v>
      </c>
      <c r="F977" s="14">
        <v>5386083.2199999997</v>
      </c>
      <c r="G977" s="14">
        <v>0.01</v>
      </c>
      <c r="H977" s="10"/>
      <c r="I977" s="10"/>
    </row>
    <row r="978" spans="1:9">
      <c r="A978" s="10" t="s">
        <v>1681</v>
      </c>
      <c r="B978" s="124" t="s">
        <v>793</v>
      </c>
      <c r="C978" s="124" t="s">
        <v>417</v>
      </c>
      <c r="D978" s="12">
        <v>5800000</v>
      </c>
      <c r="E978" s="82">
        <v>0.94530212120000001</v>
      </c>
      <c r="F978" s="154">
        <v>5482752.2999999998</v>
      </c>
      <c r="G978" s="14">
        <v>0.01</v>
      </c>
      <c r="H978" s="10"/>
      <c r="I978" s="10"/>
    </row>
    <row r="979" spans="1:9">
      <c r="A979" s="10" t="s">
        <v>1682</v>
      </c>
      <c r="B979" s="124" t="s">
        <v>950</v>
      </c>
      <c r="C979" s="124" t="s">
        <v>417</v>
      </c>
      <c r="D979" s="12">
        <v>5800000</v>
      </c>
      <c r="E979" s="82">
        <v>0.95180991329999998</v>
      </c>
      <c r="F979" s="154">
        <v>5520497.5</v>
      </c>
      <c r="G979" s="14">
        <v>0.01</v>
      </c>
      <c r="H979" s="10"/>
      <c r="I979" s="10"/>
    </row>
    <row r="980" spans="1:9">
      <c r="A980" s="10" t="s">
        <v>1683</v>
      </c>
      <c r="B980" s="124" t="s">
        <v>474</v>
      </c>
      <c r="C980" s="124" t="s">
        <v>417</v>
      </c>
      <c r="D980" s="12">
        <v>200000000</v>
      </c>
      <c r="E980" s="82">
        <v>0.99737677359999999</v>
      </c>
      <c r="F980" s="14">
        <v>199475354.72</v>
      </c>
      <c r="G980" s="14">
        <v>0.27</v>
      </c>
      <c r="H980" s="10"/>
      <c r="I980" s="10"/>
    </row>
    <row r="981" spans="1:9">
      <c r="A981" s="10" t="s">
        <v>1684</v>
      </c>
      <c r="B981" s="124" t="s">
        <v>660</v>
      </c>
      <c r="C981" s="124" t="s">
        <v>417</v>
      </c>
      <c r="D981" s="12">
        <v>200000000</v>
      </c>
      <c r="E981" s="82">
        <v>0.97022870559999996</v>
      </c>
      <c r="F981" s="14">
        <v>194045741.12</v>
      </c>
      <c r="G981" s="14">
        <v>0.26</v>
      </c>
      <c r="H981" s="10"/>
      <c r="I981" s="10"/>
    </row>
    <row r="982" spans="1:9">
      <c r="A982" s="10" t="s">
        <v>1685</v>
      </c>
      <c r="B982" s="124" t="s">
        <v>950</v>
      </c>
      <c r="C982" s="124" t="s">
        <v>425</v>
      </c>
      <c r="D982" s="12">
        <v>100000000</v>
      </c>
      <c r="E982" s="82">
        <v>0.9490381135</v>
      </c>
      <c r="F982" s="14">
        <v>94903811.349999994</v>
      </c>
      <c r="G982" s="14">
        <v>0.13</v>
      </c>
      <c r="H982" s="10"/>
      <c r="I982" s="10"/>
    </row>
    <row r="983" spans="1:9">
      <c r="A983" s="10" t="s">
        <v>1686</v>
      </c>
      <c r="B983" s="124" t="s">
        <v>524</v>
      </c>
      <c r="C983" s="124" t="s">
        <v>425</v>
      </c>
      <c r="D983" s="12">
        <v>247000000</v>
      </c>
      <c r="E983" s="82">
        <v>0.96581301210000003</v>
      </c>
      <c r="F983" s="14">
        <v>238555813.99000001</v>
      </c>
      <c r="G983" s="14">
        <v>0.32</v>
      </c>
      <c r="H983" s="10"/>
      <c r="I983" s="10"/>
    </row>
    <row r="984" spans="1:9">
      <c r="A984" s="10" t="s">
        <v>1687</v>
      </c>
      <c r="B984" s="124" t="s">
        <v>504</v>
      </c>
      <c r="C984" s="124" t="s">
        <v>425</v>
      </c>
      <c r="D984" s="12">
        <v>10000000</v>
      </c>
      <c r="E984" s="82">
        <v>0.96148786460000002</v>
      </c>
      <c r="F984" s="14">
        <v>9614878.6500000004</v>
      </c>
      <c r="G984" s="14">
        <v>0.01</v>
      </c>
      <c r="H984" s="10"/>
      <c r="I984" s="10"/>
    </row>
    <row r="985" spans="1:9">
      <c r="A985" s="10" t="s">
        <v>1688</v>
      </c>
      <c r="B985" s="124" t="s">
        <v>446</v>
      </c>
      <c r="C985" s="124" t="s">
        <v>425</v>
      </c>
      <c r="D985" s="12">
        <v>10000000</v>
      </c>
      <c r="E985" s="82">
        <v>0.95634871020000001</v>
      </c>
      <c r="F985" s="154">
        <v>9563487.0999999996</v>
      </c>
      <c r="G985" s="14">
        <v>0.01</v>
      </c>
      <c r="H985" s="10"/>
      <c r="I985" s="10"/>
    </row>
    <row r="986" spans="1:9">
      <c r="A986" s="10" t="s">
        <v>1689</v>
      </c>
      <c r="B986" s="124" t="s">
        <v>680</v>
      </c>
      <c r="C986" s="124" t="s">
        <v>425</v>
      </c>
      <c r="D986" s="12">
        <v>10000000</v>
      </c>
      <c r="E986" s="82">
        <v>0.96755385530000004</v>
      </c>
      <c r="F986" s="14">
        <v>9675538.5500000007</v>
      </c>
      <c r="G986" s="14">
        <v>0.01</v>
      </c>
      <c r="H986" s="10"/>
      <c r="I986" s="10"/>
    </row>
    <row r="987" spans="1:9">
      <c r="A987" s="10" t="s">
        <v>1690</v>
      </c>
      <c r="B987" s="124" t="s">
        <v>593</v>
      </c>
      <c r="C987" s="124" t="s">
        <v>425</v>
      </c>
      <c r="D987" s="12">
        <v>10000000</v>
      </c>
      <c r="E987" s="82">
        <v>0.96234982179999995</v>
      </c>
      <c r="F987" s="14">
        <v>9623498.2200000007</v>
      </c>
      <c r="G987" s="14">
        <v>0.01</v>
      </c>
      <c r="H987" s="10"/>
      <c r="I987" s="10"/>
    </row>
    <row r="988" spans="1:9">
      <c r="A988" s="10" t="s">
        <v>1691</v>
      </c>
      <c r="B988" s="124" t="s">
        <v>580</v>
      </c>
      <c r="C988" s="124" t="s">
        <v>425</v>
      </c>
      <c r="D988" s="12">
        <v>10000000</v>
      </c>
      <c r="E988" s="158">
        <v>0.98712681300000005</v>
      </c>
      <c r="F988" s="14">
        <v>9871268.1300000008</v>
      </c>
      <c r="G988" s="14">
        <v>0.01</v>
      </c>
      <c r="H988" s="10"/>
      <c r="I988" s="10"/>
    </row>
    <row r="989" spans="1:9">
      <c r="A989" s="10" t="s">
        <v>1692</v>
      </c>
      <c r="B989" s="124" t="s">
        <v>529</v>
      </c>
      <c r="C989" s="124" t="s">
        <v>425</v>
      </c>
      <c r="D989" s="12">
        <v>10000000</v>
      </c>
      <c r="E989" s="82">
        <v>0.98171067469999995</v>
      </c>
      <c r="F989" s="14">
        <v>9817106.75</v>
      </c>
      <c r="G989" s="14">
        <v>0.01</v>
      </c>
      <c r="H989" s="10"/>
      <c r="I989" s="10"/>
    </row>
    <row r="990" spans="1:9">
      <c r="A990" s="10" t="s">
        <v>1693</v>
      </c>
      <c r="B990" s="124" t="s">
        <v>583</v>
      </c>
      <c r="C990" s="124" t="s">
        <v>425</v>
      </c>
      <c r="D990" s="12">
        <v>10000000</v>
      </c>
      <c r="E990" s="82">
        <v>0.95464772509999996</v>
      </c>
      <c r="F990" s="14">
        <v>9546477.25</v>
      </c>
      <c r="G990" s="14">
        <v>0.01</v>
      </c>
      <c r="H990" s="10"/>
      <c r="I990" s="10"/>
    </row>
    <row r="991" spans="1:9">
      <c r="A991" s="10" t="s">
        <v>1694</v>
      </c>
      <c r="B991" s="124" t="s">
        <v>516</v>
      </c>
      <c r="C991" s="124" t="s">
        <v>425</v>
      </c>
      <c r="D991" s="12">
        <v>10000000</v>
      </c>
      <c r="E991" s="82">
        <v>0.97813277679999999</v>
      </c>
      <c r="F991" s="14">
        <v>9781327.7699999996</v>
      </c>
      <c r="G991" s="14">
        <v>0.01</v>
      </c>
      <c r="H991" s="10"/>
      <c r="I991" s="10"/>
    </row>
    <row r="992" spans="1:9">
      <c r="A992" s="10" t="s">
        <v>1695</v>
      </c>
      <c r="B992" s="124" t="s">
        <v>655</v>
      </c>
      <c r="C992" s="124" t="s">
        <v>425</v>
      </c>
      <c r="D992" s="12">
        <v>10000000</v>
      </c>
      <c r="E992" s="82">
        <v>0.94874198939999999</v>
      </c>
      <c r="F992" s="14">
        <v>9487419.8900000006</v>
      </c>
      <c r="G992" s="14">
        <v>0.01</v>
      </c>
      <c r="H992" s="10"/>
      <c r="I992" s="10"/>
    </row>
    <row r="993" spans="1:9">
      <c r="A993" s="10" t="s">
        <v>1696</v>
      </c>
      <c r="B993" s="124" t="s">
        <v>520</v>
      </c>
      <c r="C993" s="124" t="s">
        <v>425</v>
      </c>
      <c r="D993" s="12">
        <v>10000000</v>
      </c>
      <c r="E993" s="82">
        <v>0.97369687620000001</v>
      </c>
      <c r="F993" s="14">
        <v>9736968.7599999998</v>
      </c>
      <c r="G993" s="14">
        <v>0.01</v>
      </c>
      <c r="H993" s="10"/>
      <c r="I993" s="10"/>
    </row>
    <row r="994" spans="1:9">
      <c r="A994" s="10" t="s">
        <v>1697</v>
      </c>
      <c r="B994" s="124" t="s">
        <v>808</v>
      </c>
      <c r="C994" s="124" t="s">
        <v>425</v>
      </c>
      <c r="D994" s="12">
        <v>25000000</v>
      </c>
      <c r="E994" s="82">
        <v>0.91469547529999995</v>
      </c>
      <c r="F994" s="14">
        <v>22867386.879999999</v>
      </c>
      <c r="G994" s="14">
        <v>0.03</v>
      </c>
      <c r="H994" s="10"/>
      <c r="I994" s="10"/>
    </row>
    <row r="995" spans="1:9">
      <c r="A995" s="10" t="s">
        <v>1698</v>
      </c>
      <c r="B995" s="124" t="s">
        <v>1699</v>
      </c>
      <c r="C995" s="124" t="s">
        <v>425</v>
      </c>
      <c r="D995" s="12">
        <v>25000000</v>
      </c>
      <c r="E995" s="82">
        <v>0.87494318410000005</v>
      </c>
      <c r="F995" s="154">
        <v>21873579.600000001</v>
      </c>
      <c r="G995" s="14">
        <v>0.03</v>
      </c>
      <c r="H995" s="10"/>
      <c r="I995" s="10"/>
    </row>
    <row r="996" spans="1:9">
      <c r="A996" s="10" t="s">
        <v>1700</v>
      </c>
      <c r="B996" s="124" t="s">
        <v>814</v>
      </c>
      <c r="C996" s="124" t="s">
        <v>425</v>
      </c>
      <c r="D996" s="12">
        <v>25000000</v>
      </c>
      <c r="E996" s="82">
        <v>0.89722478849999998</v>
      </c>
      <c r="F996" s="14">
        <v>22430619.710000001</v>
      </c>
      <c r="G996" s="14">
        <v>0.03</v>
      </c>
      <c r="H996" s="10"/>
      <c r="I996" s="10"/>
    </row>
    <row r="997" spans="1:9">
      <c r="A997" s="10" t="s">
        <v>1701</v>
      </c>
      <c r="B997" s="124" t="s">
        <v>1378</v>
      </c>
      <c r="C997" s="124" t="s">
        <v>425</v>
      </c>
      <c r="D997" s="12">
        <v>25000000</v>
      </c>
      <c r="E997" s="158">
        <v>0.89559577400000001</v>
      </c>
      <c r="F997" s="14">
        <v>22389894.350000001</v>
      </c>
      <c r="G997" s="14">
        <v>0.03</v>
      </c>
      <c r="H997" s="10"/>
      <c r="I997" s="10"/>
    </row>
    <row r="998" spans="1:9">
      <c r="A998" s="10" t="s">
        <v>1702</v>
      </c>
      <c r="B998" s="124" t="s">
        <v>1486</v>
      </c>
      <c r="C998" s="124" t="s">
        <v>425</v>
      </c>
      <c r="D998" s="12">
        <v>50000000</v>
      </c>
      <c r="E998" s="82">
        <v>0.90552754570000005</v>
      </c>
      <c r="F998" s="14">
        <v>45276377.289999999</v>
      </c>
      <c r="G998" s="14">
        <v>0.06</v>
      </c>
      <c r="H998" s="10"/>
      <c r="I998" s="10"/>
    </row>
    <row r="999" spans="1:9">
      <c r="A999" s="10" t="s">
        <v>1703</v>
      </c>
      <c r="B999" s="124" t="s">
        <v>1704</v>
      </c>
      <c r="C999" s="124" t="s">
        <v>425</v>
      </c>
      <c r="D999" s="12">
        <v>50000000</v>
      </c>
      <c r="E999" s="82">
        <v>0.90052316669999999</v>
      </c>
      <c r="F999" s="14">
        <v>45026158.340000004</v>
      </c>
      <c r="G999" s="14">
        <v>0.06</v>
      </c>
      <c r="H999" s="10"/>
      <c r="I999" s="10"/>
    </row>
    <row r="1000" spans="1:9">
      <c r="A1000" s="10" t="s">
        <v>1705</v>
      </c>
      <c r="B1000" s="124" t="s">
        <v>583</v>
      </c>
      <c r="C1000" s="124" t="s">
        <v>425</v>
      </c>
      <c r="D1000" s="12">
        <v>25000000</v>
      </c>
      <c r="E1000" s="82">
        <v>0.95084276479999996</v>
      </c>
      <c r="F1000" s="14">
        <v>23771069.120000001</v>
      </c>
      <c r="G1000" s="14">
        <v>0.03</v>
      </c>
      <c r="H1000" s="10"/>
      <c r="I1000" s="10"/>
    </row>
    <row r="1001" spans="1:9">
      <c r="A1001" s="10" t="s">
        <v>1706</v>
      </c>
      <c r="B1001" s="124" t="s">
        <v>948</v>
      </c>
      <c r="C1001" s="124" t="s">
        <v>425</v>
      </c>
      <c r="D1001" s="12">
        <v>25000000</v>
      </c>
      <c r="E1001" s="158">
        <v>0.949927305</v>
      </c>
      <c r="F1001" s="14">
        <v>23748182.629999999</v>
      </c>
      <c r="G1001" s="14">
        <v>0.03</v>
      </c>
      <c r="H1001" s="10"/>
      <c r="I1001" s="10"/>
    </row>
    <row r="1002" spans="1:9">
      <c r="A1002" s="10" t="s">
        <v>1707</v>
      </c>
      <c r="B1002" s="124" t="s">
        <v>502</v>
      </c>
      <c r="C1002" s="124" t="s">
        <v>425</v>
      </c>
      <c r="D1002" s="12">
        <v>25000000</v>
      </c>
      <c r="E1002" s="82">
        <v>0.94537553669999996</v>
      </c>
      <c r="F1002" s="14">
        <v>23634388.420000002</v>
      </c>
      <c r="G1002" s="14">
        <v>0.03</v>
      </c>
      <c r="H1002" s="10"/>
      <c r="I1002" s="10"/>
    </row>
    <row r="1003" spans="1:9">
      <c r="A1003" s="10" t="s">
        <v>1708</v>
      </c>
      <c r="B1003" s="124" t="s">
        <v>750</v>
      </c>
      <c r="C1003" s="124" t="s">
        <v>425</v>
      </c>
      <c r="D1003" s="12">
        <v>25000000</v>
      </c>
      <c r="E1003" s="82">
        <v>0.94356714019999999</v>
      </c>
      <c r="F1003" s="14">
        <v>23589178.510000002</v>
      </c>
      <c r="G1003" s="14">
        <v>0.03</v>
      </c>
      <c r="H1003" s="10"/>
      <c r="I1003" s="10"/>
    </row>
    <row r="1004" spans="1:9">
      <c r="A1004" s="10" t="s">
        <v>1709</v>
      </c>
      <c r="B1004" s="124" t="s">
        <v>500</v>
      </c>
      <c r="C1004" s="124" t="s">
        <v>425</v>
      </c>
      <c r="D1004" s="12">
        <v>25000000</v>
      </c>
      <c r="E1004" s="82">
        <v>0.9517601899</v>
      </c>
      <c r="F1004" s="14">
        <v>23794004.75</v>
      </c>
      <c r="G1004" s="14">
        <v>0.03</v>
      </c>
      <c r="H1004" s="10"/>
      <c r="I1004" s="10"/>
    </row>
    <row r="1005" spans="1:9">
      <c r="A1005" s="10" t="s">
        <v>1710</v>
      </c>
      <c r="B1005" s="124" t="s">
        <v>950</v>
      </c>
      <c r="C1005" s="124" t="s">
        <v>425</v>
      </c>
      <c r="D1005" s="12">
        <v>25000000</v>
      </c>
      <c r="E1005" s="158">
        <v>0.946282438</v>
      </c>
      <c r="F1005" s="14">
        <v>23657060.949999999</v>
      </c>
      <c r="G1005" s="14">
        <v>0.03</v>
      </c>
      <c r="H1005" s="10"/>
      <c r="I1005" s="10"/>
    </row>
    <row r="1006" spans="1:9">
      <c r="A1006" s="10" t="s">
        <v>1711</v>
      </c>
      <c r="B1006" s="124" t="s">
        <v>655</v>
      </c>
      <c r="C1006" s="124" t="s">
        <v>425</v>
      </c>
      <c r="D1006" s="12">
        <v>25000000</v>
      </c>
      <c r="E1006" s="21">
        <v>0.94447037</v>
      </c>
      <c r="F1006" s="14">
        <v>23611759.25</v>
      </c>
      <c r="G1006" s="14">
        <v>0.03</v>
      </c>
      <c r="H1006" s="10"/>
      <c r="I1006" s="10"/>
    </row>
    <row r="1007" spans="1:9">
      <c r="A1007" s="10" t="s">
        <v>1712</v>
      </c>
      <c r="B1007" s="124" t="s">
        <v>655</v>
      </c>
      <c r="C1007" s="124" t="s">
        <v>425</v>
      </c>
      <c r="D1007" s="14">
        <v>3087576.27</v>
      </c>
      <c r="E1007" s="82">
        <v>0.94731383570000005</v>
      </c>
      <c r="F1007" s="14">
        <v>2924903.72</v>
      </c>
      <c r="G1007" s="12">
        <v>0</v>
      </c>
      <c r="H1007" s="10"/>
      <c r="I1007" s="10"/>
    </row>
    <row r="1008" spans="1:9">
      <c r="A1008" s="10" t="s">
        <v>1713</v>
      </c>
      <c r="B1008" s="124" t="s">
        <v>446</v>
      </c>
      <c r="C1008" s="124" t="s">
        <v>425</v>
      </c>
      <c r="D1008" s="14">
        <v>3087576.27</v>
      </c>
      <c r="E1008" s="82">
        <v>0.95512246889999997</v>
      </c>
      <c r="F1008" s="14">
        <v>2949013.47</v>
      </c>
      <c r="G1008" s="12">
        <v>0</v>
      </c>
      <c r="H1008" s="10"/>
      <c r="I1008" s="10"/>
    </row>
    <row r="1009" spans="1:9">
      <c r="A1009" s="10" t="s">
        <v>1714</v>
      </c>
      <c r="B1009" s="124" t="s">
        <v>574</v>
      </c>
      <c r="C1009" s="124" t="s">
        <v>425</v>
      </c>
      <c r="D1009" s="12">
        <v>200000000</v>
      </c>
      <c r="E1009" s="82">
        <v>0.96668255729999997</v>
      </c>
      <c r="F1009" s="14">
        <v>193336511.46000001</v>
      </c>
      <c r="G1009" s="14">
        <v>0.26</v>
      </c>
      <c r="H1009" s="10"/>
      <c r="I1009" s="10"/>
    </row>
    <row r="1010" spans="1:9">
      <c r="A1010" s="10" t="s">
        <v>1715</v>
      </c>
      <c r="B1010" s="124" t="s">
        <v>527</v>
      </c>
      <c r="C1010" s="124" t="s">
        <v>425</v>
      </c>
      <c r="D1010" s="12">
        <v>20000194</v>
      </c>
      <c r="E1010" s="82">
        <v>0.97531002570000003</v>
      </c>
      <c r="F1010" s="14">
        <v>19506389.719999999</v>
      </c>
      <c r="G1010" s="14">
        <v>0.03</v>
      </c>
      <c r="H1010" s="10"/>
      <c r="I1010" s="10"/>
    </row>
    <row r="1011" spans="1:9">
      <c r="A1011" s="10" t="s">
        <v>1716</v>
      </c>
      <c r="B1011" s="124" t="s">
        <v>1039</v>
      </c>
      <c r="C1011" s="124" t="s">
        <v>425</v>
      </c>
      <c r="D1011" s="12">
        <v>20000194</v>
      </c>
      <c r="E1011" s="82">
        <v>0.92398049760000001</v>
      </c>
      <c r="F1011" s="154">
        <v>18479789.199999999</v>
      </c>
      <c r="G1011" s="14">
        <v>0.02</v>
      </c>
      <c r="H1011" s="10"/>
      <c r="I1011" s="10"/>
    </row>
    <row r="1012" spans="1:9">
      <c r="A1012" s="10" t="s">
        <v>1717</v>
      </c>
      <c r="B1012" s="124" t="s">
        <v>655</v>
      </c>
      <c r="C1012" s="124" t="s">
        <v>425</v>
      </c>
      <c r="D1012" s="12">
        <v>20000194</v>
      </c>
      <c r="E1012" s="82">
        <v>0.95017446149999996</v>
      </c>
      <c r="F1012" s="14">
        <v>19003673.559999999</v>
      </c>
      <c r="G1012" s="14">
        <v>0.03</v>
      </c>
      <c r="H1012" s="10"/>
      <c r="I1012" s="10"/>
    </row>
    <row r="1013" spans="1:9">
      <c r="A1013" s="10" t="s">
        <v>1718</v>
      </c>
      <c r="B1013" s="124" t="s">
        <v>514</v>
      </c>
      <c r="C1013" s="124" t="s">
        <v>425</v>
      </c>
      <c r="D1013" s="12">
        <v>3250000</v>
      </c>
      <c r="E1013" s="82">
        <v>0.97781837240000002</v>
      </c>
      <c r="F1013" s="14">
        <v>3177909.71</v>
      </c>
      <c r="G1013" s="12">
        <v>0</v>
      </c>
      <c r="H1013" s="10"/>
      <c r="I1013" s="10"/>
    </row>
    <row r="1014" spans="1:9">
      <c r="A1014" s="10" t="s">
        <v>1719</v>
      </c>
      <c r="B1014" s="124" t="s">
        <v>518</v>
      </c>
      <c r="C1014" s="124" t="s">
        <v>425</v>
      </c>
      <c r="D1014" s="12">
        <v>3250000</v>
      </c>
      <c r="E1014" s="82">
        <v>0.97406074490000005</v>
      </c>
      <c r="F1014" s="14">
        <v>3165697.42</v>
      </c>
      <c r="G1014" s="12">
        <v>0</v>
      </c>
      <c r="H1014" s="10"/>
      <c r="I1014" s="10"/>
    </row>
    <row r="1015" spans="1:9">
      <c r="A1015" s="10" t="s">
        <v>1720</v>
      </c>
      <c r="B1015" s="124" t="s">
        <v>516</v>
      </c>
      <c r="C1015" s="124" t="s">
        <v>425</v>
      </c>
      <c r="D1015" s="12">
        <v>3250000</v>
      </c>
      <c r="E1015" s="82">
        <v>0.97687621209999997</v>
      </c>
      <c r="F1015" s="14">
        <v>3174847.69</v>
      </c>
      <c r="G1015" s="12">
        <v>0</v>
      </c>
      <c r="H1015" s="10"/>
      <c r="I1015" s="10"/>
    </row>
    <row r="1016" spans="1:9">
      <c r="A1016" s="10" t="s">
        <v>1721</v>
      </c>
      <c r="B1016" s="124" t="s">
        <v>527</v>
      </c>
      <c r="C1016" s="124" t="s">
        <v>425</v>
      </c>
      <c r="D1016" s="12">
        <v>3250000</v>
      </c>
      <c r="E1016" s="82">
        <v>0.97312580579999997</v>
      </c>
      <c r="F1016" s="14">
        <v>3162658.87</v>
      </c>
      <c r="G1016" s="12">
        <v>0</v>
      </c>
      <c r="H1016" s="10"/>
      <c r="I1016" s="10"/>
    </row>
    <row r="1017" spans="1:9">
      <c r="A1017" s="10" t="s">
        <v>1722</v>
      </c>
      <c r="B1017" s="124" t="s">
        <v>529</v>
      </c>
      <c r="C1017" s="124" t="s">
        <v>425</v>
      </c>
      <c r="D1017" s="12">
        <v>2954385</v>
      </c>
      <c r="E1017" s="82">
        <v>0.98065564579999998</v>
      </c>
      <c r="F1017" s="14">
        <v>2897234.33</v>
      </c>
      <c r="G1017" s="12">
        <v>0</v>
      </c>
      <c r="H1017" s="10"/>
      <c r="I1017" s="10"/>
    </row>
    <row r="1018" spans="1:9">
      <c r="A1018" s="10" t="s">
        <v>1729</v>
      </c>
      <c r="B1018" s="124" t="s">
        <v>443</v>
      </c>
      <c r="C1018" s="124" t="s">
        <v>398</v>
      </c>
      <c r="D1018" s="12">
        <v>100000000</v>
      </c>
      <c r="E1018" s="82">
        <v>0.99260308119999996</v>
      </c>
      <c r="F1018" s="14">
        <v>99260308.120000005</v>
      </c>
      <c r="G1018" s="14">
        <v>0.13</v>
      </c>
      <c r="H1018" s="10"/>
      <c r="I1018" s="10"/>
    </row>
    <row r="1019" spans="1:9">
      <c r="A1019" s="10" t="s">
        <v>1730</v>
      </c>
      <c r="B1019" s="124" t="s">
        <v>750</v>
      </c>
      <c r="C1019" s="124" t="s">
        <v>398</v>
      </c>
      <c r="D1019" s="12">
        <v>15000000</v>
      </c>
      <c r="E1019" s="82">
        <v>0.94645408789999996</v>
      </c>
      <c r="F1019" s="14">
        <v>14196811.32</v>
      </c>
      <c r="G1019" s="14">
        <v>0.02</v>
      </c>
      <c r="H1019" s="10"/>
      <c r="I1019" s="10"/>
    </row>
    <row r="1020" spans="1:9">
      <c r="A1020" s="10" t="s">
        <v>1731</v>
      </c>
      <c r="B1020" s="124" t="s">
        <v>750</v>
      </c>
      <c r="C1020" s="124" t="s">
        <v>398</v>
      </c>
      <c r="D1020" s="12">
        <v>50000000</v>
      </c>
      <c r="E1020" s="82">
        <v>0.94790427060000004</v>
      </c>
      <c r="F1020" s="14">
        <v>47395213.530000001</v>
      </c>
      <c r="G1020" s="14">
        <v>0.06</v>
      </c>
      <c r="H1020" s="10"/>
      <c r="I1020" s="10"/>
    </row>
    <row r="1021" spans="1:9">
      <c r="A1021" s="10" t="s">
        <v>1732</v>
      </c>
      <c r="B1021" s="124" t="s">
        <v>480</v>
      </c>
      <c r="C1021" s="124" t="s">
        <v>398</v>
      </c>
      <c r="D1021" s="12">
        <v>3000000</v>
      </c>
      <c r="E1021" s="82">
        <v>0.99390047329999998</v>
      </c>
      <c r="F1021" s="14">
        <v>2981701.42</v>
      </c>
      <c r="G1021" s="12">
        <v>0</v>
      </c>
      <c r="H1021" s="10"/>
      <c r="I1021" s="10"/>
    </row>
    <row r="1022" spans="1:9">
      <c r="A1022" s="10" t="s">
        <v>1733</v>
      </c>
      <c r="B1022" s="124" t="s">
        <v>680</v>
      </c>
      <c r="C1022" s="124" t="s">
        <v>398</v>
      </c>
      <c r="D1022" s="12">
        <v>3000000</v>
      </c>
      <c r="E1022" s="82">
        <v>0.96940409360000002</v>
      </c>
      <c r="F1022" s="14">
        <v>2908212.28</v>
      </c>
      <c r="G1022" s="12">
        <v>0</v>
      </c>
      <c r="H1022" s="10"/>
      <c r="I1022" s="10"/>
    </row>
    <row r="1023" spans="1:9">
      <c r="A1023" s="10" t="s">
        <v>1734</v>
      </c>
      <c r="B1023" s="124" t="s">
        <v>883</v>
      </c>
      <c r="C1023" s="124" t="s">
        <v>398</v>
      </c>
      <c r="D1023" s="12">
        <v>3000000</v>
      </c>
      <c r="E1023" s="82">
        <v>0.96530204980000001</v>
      </c>
      <c r="F1023" s="14">
        <v>2895906.15</v>
      </c>
      <c r="G1023" s="12">
        <v>0</v>
      </c>
      <c r="H1023" s="10"/>
      <c r="I1023" s="10"/>
    </row>
    <row r="1024" spans="1:9">
      <c r="A1024" s="10" t="s">
        <v>1735</v>
      </c>
      <c r="B1024" s="124" t="s">
        <v>438</v>
      </c>
      <c r="C1024" s="124" t="s">
        <v>398</v>
      </c>
      <c r="D1024" s="12">
        <v>3000000</v>
      </c>
      <c r="E1024" s="82">
        <v>0.99217142329999997</v>
      </c>
      <c r="F1024" s="14">
        <v>2976514.27</v>
      </c>
      <c r="G1024" s="12">
        <v>0</v>
      </c>
      <c r="H1024" s="10"/>
      <c r="I1024" s="10"/>
    </row>
    <row r="1025" spans="1:9">
      <c r="A1025" s="10" t="s">
        <v>1736</v>
      </c>
      <c r="B1025" s="124" t="s">
        <v>580</v>
      </c>
      <c r="C1025" s="124" t="s">
        <v>398</v>
      </c>
      <c r="D1025" s="12">
        <v>3000000</v>
      </c>
      <c r="E1025" s="82">
        <v>0.98787490649999998</v>
      </c>
      <c r="F1025" s="14">
        <v>2963624.72</v>
      </c>
      <c r="G1025" s="12">
        <v>0</v>
      </c>
      <c r="H1025" s="10"/>
      <c r="I1025" s="10"/>
    </row>
    <row r="1026" spans="1:9">
      <c r="A1026" s="10" t="s">
        <v>1737</v>
      </c>
      <c r="B1026" s="124" t="s">
        <v>516</v>
      </c>
      <c r="C1026" s="124" t="s">
        <v>398</v>
      </c>
      <c r="D1026" s="12">
        <v>3000000</v>
      </c>
      <c r="E1026" s="158">
        <v>0.97939261300000002</v>
      </c>
      <c r="F1026" s="14">
        <v>2938177.84</v>
      </c>
      <c r="G1026" s="12">
        <v>0</v>
      </c>
      <c r="H1026" s="10"/>
      <c r="I1026" s="10"/>
    </row>
    <row r="1027" spans="1:9">
      <c r="A1027" s="10" t="s">
        <v>1738</v>
      </c>
      <c r="B1027" s="124" t="s">
        <v>527</v>
      </c>
      <c r="C1027" s="124" t="s">
        <v>398</v>
      </c>
      <c r="D1027" s="12">
        <v>3000000</v>
      </c>
      <c r="E1027" s="82">
        <v>0.97604031690000004</v>
      </c>
      <c r="F1027" s="14">
        <v>2928120.95</v>
      </c>
      <c r="G1027" s="12">
        <v>0</v>
      </c>
      <c r="H1027" s="10"/>
      <c r="I1027" s="10"/>
    </row>
    <row r="1028" spans="1:9">
      <c r="A1028" s="10" t="s">
        <v>1739</v>
      </c>
      <c r="B1028" s="124" t="s">
        <v>522</v>
      </c>
      <c r="C1028" s="124" t="s">
        <v>398</v>
      </c>
      <c r="D1028" s="12">
        <v>3000000</v>
      </c>
      <c r="E1028" s="82">
        <v>0.9743726868</v>
      </c>
      <c r="F1028" s="14">
        <v>2923118.06</v>
      </c>
      <c r="G1028" s="12">
        <v>0</v>
      </c>
      <c r="H1028" s="10"/>
      <c r="I1028" s="10"/>
    </row>
    <row r="1029" spans="1:9">
      <c r="A1029" s="10" t="s">
        <v>1740</v>
      </c>
      <c r="B1029" s="124" t="s">
        <v>766</v>
      </c>
      <c r="C1029" s="124" t="s">
        <v>398</v>
      </c>
      <c r="D1029" s="12">
        <v>3000000</v>
      </c>
      <c r="E1029" s="82">
        <v>0.97354115330000002</v>
      </c>
      <c r="F1029" s="14">
        <v>2920623.46</v>
      </c>
      <c r="G1029" s="12">
        <v>0</v>
      </c>
      <c r="H1029" s="10"/>
      <c r="I1029" s="10"/>
    </row>
    <row r="1030" spans="1:9">
      <c r="A1030" s="10" t="s">
        <v>1741</v>
      </c>
      <c r="B1030" s="124" t="s">
        <v>504</v>
      </c>
      <c r="C1030" s="124" t="s">
        <v>398</v>
      </c>
      <c r="D1030" s="12">
        <v>3000000</v>
      </c>
      <c r="E1030" s="82">
        <v>0.96367102680000005</v>
      </c>
      <c r="F1030" s="14">
        <v>2891013.08</v>
      </c>
      <c r="G1030" s="12">
        <v>0</v>
      </c>
      <c r="H1030" s="10"/>
      <c r="I1030" s="10"/>
    </row>
    <row r="1031" spans="1:9">
      <c r="A1031" s="10" t="s">
        <v>1742</v>
      </c>
      <c r="B1031" s="124" t="s">
        <v>504</v>
      </c>
      <c r="C1031" s="124" t="s">
        <v>398</v>
      </c>
      <c r="D1031" s="12">
        <v>3000000</v>
      </c>
      <c r="E1031" s="82">
        <v>0.96367102680000005</v>
      </c>
      <c r="F1031" s="14">
        <v>2891013.08</v>
      </c>
      <c r="G1031" s="12">
        <v>0</v>
      </c>
      <c r="H1031" s="10"/>
      <c r="I1031" s="10"/>
    </row>
    <row r="1032" spans="1:9">
      <c r="A1032" s="10" t="s">
        <v>1743</v>
      </c>
      <c r="B1032" s="124" t="s">
        <v>446</v>
      </c>
      <c r="C1032" s="124" t="s">
        <v>398</v>
      </c>
      <c r="D1032" s="12">
        <v>3000000</v>
      </c>
      <c r="E1032" s="82">
        <v>0.95881071620000002</v>
      </c>
      <c r="F1032" s="14">
        <v>2876432.15</v>
      </c>
      <c r="G1032" s="12">
        <v>0</v>
      </c>
      <c r="H1032" s="10"/>
      <c r="I1032" s="10"/>
    </row>
    <row r="1033" spans="1:9">
      <c r="A1033" s="10" t="s">
        <v>1744</v>
      </c>
      <c r="B1033" s="124" t="s">
        <v>500</v>
      </c>
      <c r="C1033" s="124" t="s">
        <v>398</v>
      </c>
      <c r="D1033" s="12">
        <v>3000000</v>
      </c>
      <c r="E1033" s="82">
        <v>0.95800537630000004</v>
      </c>
      <c r="F1033" s="14">
        <v>2874016.13</v>
      </c>
      <c r="G1033" s="12">
        <v>0</v>
      </c>
      <c r="H1033" s="10"/>
      <c r="I1033" s="10"/>
    </row>
    <row r="1034" spans="1:9">
      <c r="A1034" s="10" t="s">
        <v>1745</v>
      </c>
      <c r="B1034" s="124" t="s">
        <v>950</v>
      </c>
      <c r="C1034" s="124" t="s">
        <v>398</v>
      </c>
      <c r="D1034" s="12">
        <v>3000000</v>
      </c>
      <c r="E1034" s="82">
        <v>0.95320172290000005</v>
      </c>
      <c r="F1034" s="14">
        <v>2859605.17</v>
      </c>
      <c r="G1034" s="12">
        <v>0</v>
      </c>
      <c r="H1034" s="10"/>
      <c r="I1034" s="10"/>
    </row>
    <row r="1035" spans="1:9">
      <c r="A1035" s="10" t="s">
        <v>1746</v>
      </c>
      <c r="B1035" s="124" t="s">
        <v>793</v>
      </c>
      <c r="C1035" s="124" t="s">
        <v>398</v>
      </c>
      <c r="D1035" s="12">
        <v>3500000</v>
      </c>
      <c r="E1035" s="82">
        <v>0.94687159649999997</v>
      </c>
      <c r="F1035" s="14">
        <v>3314050.59</v>
      </c>
      <c r="G1035" s="12">
        <v>0</v>
      </c>
      <c r="H1035" s="10"/>
      <c r="I1035" s="10"/>
    </row>
    <row r="1036" spans="1:9">
      <c r="A1036" s="10" t="s">
        <v>1747</v>
      </c>
      <c r="B1036" s="124" t="s">
        <v>510</v>
      </c>
      <c r="C1036" s="124" t="s">
        <v>398</v>
      </c>
      <c r="D1036" s="12">
        <v>3000000</v>
      </c>
      <c r="E1036" s="82">
        <v>0.99130911990000004</v>
      </c>
      <c r="F1036" s="14">
        <v>2973927.36</v>
      </c>
      <c r="G1036" s="12">
        <v>0</v>
      </c>
      <c r="H1036" s="10"/>
      <c r="I1036" s="10"/>
    </row>
    <row r="1037" spans="1:9">
      <c r="A1037" s="10" t="s">
        <v>1748</v>
      </c>
      <c r="B1037" s="124" t="s">
        <v>482</v>
      </c>
      <c r="C1037" s="124" t="s">
        <v>398</v>
      </c>
      <c r="D1037" s="12">
        <v>3000000</v>
      </c>
      <c r="E1037" s="82">
        <v>0.98702003319999998</v>
      </c>
      <c r="F1037" s="154">
        <v>2961060.1</v>
      </c>
      <c r="G1037" s="12">
        <v>0</v>
      </c>
      <c r="H1037" s="10"/>
      <c r="I1037" s="10"/>
    </row>
    <row r="1038" spans="1:9">
      <c r="A1038" s="10" t="s">
        <v>1749</v>
      </c>
      <c r="B1038" s="124" t="s">
        <v>488</v>
      </c>
      <c r="C1038" s="124" t="s">
        <v>398</v>
      </c>
      <c r="D1038" s="12">
        <v>3000000</v>
      </c>
      <c r="E1038" s="82">
        <v>0.98192195319999998</v>
      </c>
      <c r="F1038" s="14">
        <v>2945765.86</v>
      </c>
      <c r="G1038" s="12">
        <v>0</v>
      </c>
      <c r="H1038" s="10"/>
      <c r="I1038" s="10"/>
    </row>
    <row r="1039" spans="1:9">
      <c r="A1039" s="10" t="s">
        <v>1750</v>
      </c>
      <c r="B1039" s="124" t="s">
        <v>514</v>
      </c>
      <c r="C1039" s="124" t="s">
        <v>398</v>
      </c>
      <c r="D1039" s="12">
        <v>3000000</v>
      </c>
      <c r="E1039" s="82">
        <v>0.98023419349999996</v>
      </c>
      <c r="F1039" s="14">
        <v>2940702.58</v>
      </c>
      <c r="G1039" s="12">
        <v>0</v>
      </c>
      <c r="H1039" s="10"/>
      <c r="I1039" s="10"/>
    </row>
    <row r="1040" spans="1:9">
      <c r="A1040" s="10" t="s">
        <v>1751</v>
      </c>
      <c r="B1040" s="124" t="s">
        <v>518</v>
      </c>
      <c r="C1040" s="124" t="s">
        <v>398</v>
      </c>
      <c r="D1040" s="12">
        <v>3000000</v>
      </c>
      <c r="E1040" s="82">
        <v>0.97687615019999996</v>
      </c>
      <c r="F1040" s="14">
        <v>2930628.45</v>
      </c>
      <c r="G1040" s="12">
        <v>0</v>
      </c>
      <c r="H1040" s="10"/>
      <c r="I1040" s="10"/>
    </row>
    <row r="1041" spans="1:9">
      <c r="A1041" s="10" t="s">
        <v>1752</v>
      </c>
      <c r="B1041" s="124" t="s">
        <v>524</v>
      </c>
      <c r="C1041" s="124" t="s">
        <v>398</v>
      </c>
      <c r="D1041" s="12">
        <v>3000000</v>
      </c>
      <c r="E1041" s="82">
        <v>0.97105461029999995</v>
      </c>
      <c r="F1041" s="14">
        <v>2913163.83</v>
      </c>
      <c r="G1041" s="12">
        <v>0</v>
      </c>
      <c r="H1041" s="10"/>
      <c r="I1041" s="10"/>
    </row>
    <row r="1042" spans="1:9">
      <c r="A1042" s="10" t="s">
        <v>1753</v>
      </c>
      <c r="B1042" s="124" t="s">
        <v>574</v>
      </c>
      <c r="C1042" s="124" t="s">
        <v>398</v>
      </c>
      <c r="D1042" s="12">
        <v>3000000</v>
      </c>
      <c r="E1042" s="21">
        <v>0.96858087000000004</v>
      </c>
      <c r="F1042" s="14">
        <v>2905742.61</v>
      </c>
      <c r="G1042" s="12">
        <v>0</v>
      </c>
      <c r="H1042" s="10"/>
      <c r="I1042" s="10"/>
    </row>
    <row r="1043" spans="1:9">
      <c r="A1043" s="10" t="s">
        <v>1754</v>
      </c>
      <c r="B1043" s="124" t="s">
        <v>593</v>
      </c>
      <c r="C1043" s="124" t="s">
        <v>398</v>
      </c>
      <c r="D1043" s="12">
        <v>3000000</v>
      </c>
      <c r="E1043" s="82">
        <v>0.96448592609999995</v>
      </c>
      <c r="F1043" s="14">
        <v>2893457.78</v>
      </c>
      <c r="G1043" s="12">
        <v>0</v>
      </c>
      <c r="H1043" s="10"/>
      <c r="I1043" s="10"/>
    </row>
    <row r="1044" spans="1:9">
      <c r="A1044" s="10" t="s">
        <v>1755</v>
      </c>
      <c r="B1044" s="124" t="s">
        <v>497</v>
      </c>
      <c r="C1044" s="124" t="s">
        <v>398</v>
      </c>
      <c r="D1044" s="12">
        <v>3000000</v>
      </c>
      <c r="E1044" s="82">
        <v>0.9628575036</v>
      </c>
      <c r="F1044" s="14">
        <v>2888572.51</v>
      </c>
      <c r="G1044" s="12">
        <v>0</v>
      </c>
      <c r="H1044" s="10"/>
      <c r="I1044" s="10"/>
    </row>
    <row r="1045" spans="1:9">
      <c r="A1045" s="10" t="s">
        <v>1756</v>
      </c>
      <c r="B1045" s="124" t="s">
        <v>1007</v>
      </c>
      <c r="C1045" s="124" t="s">
        <v>398</v>
      </c>
      <c r="D1045" s="12">
        <v>3000000</v>
      </c>
      <c r="E1045" s="82">
        <v>0.96204534959999999</v>
      </c>
      <c r="F1045" s="14">
        <v>2886136.05</v>
      </c>
      <c r="G1045" s="12">
        <v>0</v>
      </c>
      <c r="H1045" s="10"/>
      <c r="I1045" s="10"/>
    </row>
    <row r="1046" spans="1:9">
      <c r="A1046" s="10" t="s">
        <v>1757</v>
      </c>
      <c r="B1046" s="124" t="s">
        <v>587</v>
      </c>
      <c r="C1046" s="124" t="s">
        <v>398</v>
      </c>
      <c r="D1046" s="12">
        <v>3000000</v>
      </c>
      <c r="E1046" s="82">
        <v>0.95961724349999999</v>
      </c>
      <c r="F1046" s="14">
        <v>2878851.73</v>
      </c>
      <c r="G1046" s="12">
        <v>0</v>
      </c>
      <c r="H1046" s="10"/>
      <c r="I1046" s="10"/>
    </row>
    <row r="1047" spans="1:9">
      <c r="A1047" s="10" t="s">
        <v>1758</v>
      </c>
      <c r="B1047" s="124" t="s">
        <v>583</v>
      </c>
      <c r="C1047" s="124" t="s">
        <v>398</v>
      </c>
      <c r="D1047" s="12">
        <v>3000000</v>
      </c>
      <c r="E1047" s="82">
        <v>0.9572013801</v>
      </c>
      <c r="F1047" s="14">
        <v>2871604.14</v>
      </c>
      <c r="G1047" s="12">
        <v>0</v>
      </c>
      <c r="H1047" s="10"/>
      <c r="I1047" s="10"/>
    </row>
    <row r="1048" spans="1:9">
      <c r="A1048" s="10" t="s">
        <v>1759</v>
      </c>
      <c r="B1048" s="124" t="s">
        <v>948</v>
      </c>
      <c r="C1048" s="124" t="s">
        <v>398</v>
      </c>
      <c r="D1048" s="12">
        <v>3000000</v>
      </c>
      <c r="E1048" s="82">
        <v>0.95639873679999998</v>
      </c>
      <c r="F1048" s="14">
        <v>2869196.21</v>
      </c>
      <c r="G1048" s="12">
        <v>0</v>
      </c>
      <c r="H1048" s="10"/>
      <c r="I1048" s="10"/>
    </row>
    <row r="1049" spans="1:9">
      <c r="A1049" s="10" t="s">
        <v>1760</v>
      </c>
      <c r="B1049" s="124" t="s">
        <v>750</v>
      </c>
      <c r="C1049" s="124" t="s">
        <v>398</v>
      </c>
      <c r="D1049" s="12">
        <v>3000000</v>
      </c>
      <c r="E1049" s="82">
        <v>0.95081801359999996</v>
      </c>
      <c r="F1049" s="14">
        <v>2852454.04</v>
      </c>
      <c r="G1049" s="12">
        <v>0</v>
      </c>
      <c r="H1049" s="10"/>
      <c r="I1049" s="10"/>
    </row>
    <row r="1050" spans="1:9">
      <c r="A1050" s="10" t="s">
        <v>1761</v>
      </c>
      <c r="B1050" s="124" t="s">
        <v>567</v>
      </c>
      <c r="C1050" s="124" t="s">
        <v>398</v>
      </c>
      <c r="D1050" s="12">
        <v>3000000</v>
      </c>
      <c r="E1050" s="21">
        <v>0.94844618999999997</v>
      </c>
      <c r="F1050" s="14">
        <v>2845338.57</v>
      </c>
      <c r="G1050" s="12">
        <v>0</v>
      </c>
      <c r="H1050" s="10"/>
      <c r="I1050" s="10"/>
    </row>
    <row r="1051" spans="1:9">
      <c r="A1051" s="10" t="s">
        <v>1762</v>
      </c>
      <c r="B1051" s="124" t="s">
        <v>1161</v>
      </c>
      <c r="C1051" s="124" t="s">
        <v>398</v>
      </c>
      <c r="D1051" s="12">
        <v>3500000</v>
      </c>
      <c r="E1051" s="82">
        <v>0.94765813939999999</v>
      </c>
      <c r="F1051" s="14">
        <v>3316803.49</v>
      </c>
      <c r="G1051" s="12">
        <v>0</v>
      </c>
      <c r="H1051" s="10"/>
      <c r="I1051" s="10"/>
    </row>
    <row r="1052" spans="1:9">
      <c r="A1052" s="10" t="s">
        <v>1763</v>
      </c>
      <c r="B1052" s="124" t="s">
        <v>502</v>
      </c>
      <c r="C1052" s="124" t="s">
        <v>398</v>
      </c>
      <c r="D1052" s="12">
        <v>3000000</v>
      </c>
      <c r="E1052" s="82">
        <v>0.95240594619999996</v>
      </c>
      <c r="F1052" s="14">
        <v>2857217.84</v>
      </c>
      <c r="G1052" s="12">
        <v>0</v>
      </c>
      <c r="H1052" s="10"/>
      <c r="I1052" s="10"/>
    </row>
    <row r="1053" spans="1:9">
      <c r="A1053" s="10" t="s">
        <v>1764</v>
      </c>
      <c r="B1053" s="124" t="s">
        <v>441</v>
      </c>
      <c r="C1053" s="124" t="s">
        <v>398</v>
      </c>
      <c r="D1053" s="12">
        <v>3000000</v>
      </c>
      <c r="E1053" s="82">
        <v>0.99476728989999996</v>
      </c>
      <c r="F1053" s="14">
        <v>2984301.87</v>
      </c>
      <c r="G1053" s="12">
        <v>0</v>
      </c>
      <c r="H1053" s="10"/>
      <c r="I1053" s="10"/>
    </row>
    <row r="1054" spans="1:9">
      <c r="A1054" s="10" t="s">
        <v>1765</v>
      </c>
      <c r="B1054" s="124" t="s">
        <v>883</v>
      </c>
      <c r="C1054" s="124" t="s">
        <v>398</v>
      </c>
      <c r="D1054" s="12">
        <v>6200000</v>
      </c>
      <c r="E1054" s="82">
        <v>0.96321320489999995</v>
      </c>
      <c r="F1054" s="14">
        <v>5971921.8700000001</v>
      </c>
      <c r="G1054" s="14">
        <v>0.01</v>
      </c>
      <c r="H1054" s="10"/>
      <c r="I1054" s="10"/>
    </row>
    <row r="1055" spans="1:9">
      <c r="A1055" s="10" t="s">
        <v>1766</v>
      </c>
      <c r="B1055" s="124" t="s">
        <v>680</v>
      </c>
      <c r="C1055" s="124" t="s">
        <v>398</v>
      </c>
      <c r="D1055" s="12">
        <v>6200000</v>
      </c>
      <c r="E1055" s="82">
        <v>0.96755389869999997</v>
      </c>
      <c r="F1055" s="14">
        <v>5998834.1699999999</v>
      </c>
      <c r="G1055" s="14">
        <v>0.01</v>
      </c>
      <c r="H1055" s="10"/>
      <c r="I1055" s="10"/>
    </row>
    <row r="1056" spans="1:9">
      <c r="A1056" s="10" t="s">
        <v>1767</v>
      </c>
      <c r="B1056" s="124" t="s">
        <v>520</v>
      </c>
      <c r="C1056" s="124" t="s">
        <v>398</v>
      </c>
      <c r="D1056" s="14">
        <v>763324.59</v>
      </c>
      <c r="E1056" s="82">
        <v>0.97294422260000002</v>
      </c>
      <c r="F1056" s="14">
        <v>742672.25</v>
      </c>
      <c r="G1056" s="12">
        <v>0</v>
      </c>
      <c r="H1056" s="10"/>
      <c r="I1056" s="10"/>
    </row>
    <row r="1057" spans="1:9">
      <c r="A1057" s="10" t="s">
        <v>1768</v>
      </c>
      <c r="B1057" s="124" t="s">
        <v>443</v>
      </c>
      <c r="C1057" s="124" t="s">
        <v>398</v>
      </c>
      <c r="D1057" s="12">
        <v>5084000</v>
      </c>
      <c r="E1057" s="82">
        <v>0.99303516329999997</v>
      </c>
      <c r="F1057" s="14">
        <v>5048590.7699999996</v>
      </c>
      <c r="G1057" s="14">
        <v>0.01</v>
      </c>
      <c r="H1057" s="10"/>
      <c r="I1057" s="10"/>
    </row>
    <row r="1058" spans="1:9">
      <c r="A1058" s="10" t="s">
        <v>1769</v>
      </c>
      <c r="B1058" s="124" t="s">
        <v>593</v>
      </c>
      <c r="C1058" s="124" t="s">
        <v>398</v>
      </c>
      <c r="D1058" s="14">
        <v>5082311.97</v>
      </c>
      <c r="E1058" s="82">
        <v>0.96448593039999997</v>
      </c>
      <c r="F1058" s="14">
        <v>4901818.3899999997</v>
      </c>
      <c r="G1058" s="14">
        <v>0.01</v>
      </c>
      <c r="H1058" s="10"/>
      <c r="I1058" s="10"/>
    </row>
    <row r="1059" spans="1:9">
      <c r="A1059" s="10" t="s">
        <v>1770</v>
      </c>
      <c r="B1059" s="124" t="s">
        <v>443</v>
      </c>
      <c r="C1059" s="124" t="s">
        <v>398</v>
      </c>
      <c r="D1059" s="12">
        <v>7000000</v>
      </c>
      <c r="E1059" s="82">
        <v>0.99303516430000005</v>
      </c>
      <c r="F1059" s="14">
        <v>6951246.1500000004</v>
      </c>
      <c r="G1059" s="14">
        <v>0.01</v>
      </c>
      <c r="H1059" s="10"/>
      <c r="I1059" s="10"/>
    </row>
    <row r="1060" spans="1:9">
      <c r="A1060" s="10" t="s">
        <v>1771</v>
      </c>
      <c r="B1060" s="124" t="s">
        <v>485</v>
      </c>
      <c r="C1060" s="124" t="s">
        <v>398</v>
      </c>
      <c r="D1060" s="12">
        <v>7000000</v>
      </c>
      <c r="E1060" s="82">
        <v>0.98616664990000003</v>
      </c>
      <c r="F1060" s="14">
        <v>6903166.5499999998</v>
      </c>
      <c r="G1060" s="14">
        <v>0.01</v>
      </c>
      <c r="H1060" s="10"/>
      <c r="I1060" s="10"/>
    </row>
    <row r="1061" spans="1:9">
      <c r="A1061" s="10" t="s">
        <v>1772</v>
      </c>
      <c r="B1061" s="124" t="s">
        <v>520</v>
      </c>
      <c r="C1061" s="124" t="s">
        <v>398</v>
      </c>
      <c r="D1061" s="14">
        <v>6714705.0300000003</v>
      </c>
      <c r="E1061" s="82">
        <v>0.97520579259999995</v>
      </c>
      <c r="F1061" s="14">
        <v>6548219.2400000002</v>
      </c>
      <c r="G1061" s="14">
        <v>0.01</v>
      </c>
      <c r="H1061" s="10"/>
      <c r="I1061" s="10"/>
    </row>
    <row r="1062" spans="1:9">
      <c r="A1062" s="10" t="s">
        <v>1773</v>
      </c>
      <c r="B1062" s="124" t="s">
        <v>660</v>
      </c>
      <c r="C1062" s="124" t="s">
        <v>398</v>
      </c>
      <c r="D1062" s="14">
        <v>6714705.04</v>
      </c>
      <c r="E1062" s="82">
        <v>0.97022872459999998</v>
      </c>
      <c r="F1062" s="14">
        <v>6514799.71</v>
      </c>
      <c r="G1062" s="14">
        <v>0.01</v>
      </c>
      <c r="H1062" s="10"/>
      <c r="I1062" s="10"/>
    </row>
    <row r="1063" spans="1:9">
      <c r="A1063" s="10" t="s">
        <v>1774</v>
      </c>
      <c r="B1063" s="124" t="s">
        <v>500</v>
      </c>
      <c r="C1063" s="124" t="s">
        <v>398</v>
      </c>
      <c r="D1063" s="12">
        <v>13000000</v>
      </c>
      <c r="E1063" s="82">
        <v>0.95549751230000002</v>
      </c>
      <c r="F1063" s="14">
        <v>12421467.66</v>
      </c>
      <c r="G1063" s="14">
        <v>0.02</v>
      </c>
      <c r="H1063" s="10"/>
      <c r="I1063" s="10"/>
    </row>
    <row r="1064" spans="1:9">
      <c r="A1064" s="10" t="s">
        <v>1775</v>
      </c>
      <c r="B1064" s="124" t="s">
        <v>766</v>
      </c>
      <c r="C1064" s="124" t="s">
        <v>398</v>
      </c>
      <c r="D1064" s="12">
        <v>12000000</v>
      </c>
      <c r="E1064" s="82">
        <v>0.97193388749999998</v>
      </c>
      <c r="F1064" s="14">
        <v>11663206.65</v>
      </c>
      <c r="G1064" s="14">
        <v>0.02</v>
      </c>
      <c r="H1064" s="10"/>
      <c r="I1064" s="10"/>
    </row>
    <row r="1065" spans="1:9">
      <c r="A1065" s="10" t="s">
        <v>1776</v>
      </c>
      <c r="B1065" s="124" t="s">
        <v>793</v>
      </c>
      <c r="C1065" s="124" t="s">
        <v>398</v>
      </c>
      <c r="D1065" s="12">
        <v>13000000</v>
      </c>
      <c r="E1065" s="82">
        <v>0.94373789029999999</v>
      </c>
      <c r="F1065" s="14">
        <v>12268592.57</v>
      </c>
      <c r="G1065" s="14">
        <v>0.02</v>
      </c>
      <c r="H1065" s="10"/>
      <c r="I1065" s="10"/>
    </row>
    <row r="1066" spans="1:9">
      <c r="A1066" s="10" t="s">
        <v>1777</v>
      </c>
      <c r="B1066" s="124" t="s">
        <v>750</v>
      </c>
      <c r="C1066" s="124" t="s">
        <v>398</v>
      </c>
      <c r="D1066" s="12">
        <v>5444206</v>
      </c>
      <c r="E1066" s="82">
        <v>0.95081800490000001</v>
      </c>
      <c r="F1066" s="14">
        <v>5176449.09</v>
      </c>
      <c r="G1066" s="14">
        <v>0.01</v>
      </c>
      <c r="H1066" s="10"/>
      <c r="I1066" s="10"/>
    </row>
    <row r="1067" spans="1:9">
      <c r="A1067" s="10" t="s">
        <v>1778</v>
      </c>
      <c r="B1067" s="124" t="s">
        <v>520</v>
      </c>
      <c r="C1067" s="124" t="s">
        <v>398</v>
      </c>
      <c r="D1067" s="12">
        <v>5444206</v>
      </c>
      <c r="E1067" s="82">
        <v>0.97520578950000003</v>
      </c>
      <c r="F1067" s="14">
        <v>5309221.21</v>
      </c>
      <c r="G1067" s="14">
        <v>0.01</v>
      </c>
      <c r="H1067" s="10"/>
      <c r="I1067" s="10"/>
    </row>
    <row r="1068" spans="1:9">
      <c r="A1068" s="10" t="s">
        <v>1779</v>
      </c>
      <c r="B1068" s="124" t="s">
        <v>524</v>
      </c>
      <c r="C1068" s="124" t="s">
        <v>398</v>
      </c>
      <c r="D1068" s="12">
        <v>5444206</v>
      </c>
      <c r="E1068" s="82">
        <v>0.97105460330000004</v>
      </c>
      <c r="F1068" s="154">
        <v>5286621.3</v>
      </c>
      <c r="G1068" s="14">
        <v>0.01</v>
      </c>
      <c r="H1068" s="10"/>
      <c r="I1068" s="10"/>
    </row>
    <row r="1069" spans="1:9">
      <c r="A1069" s="10" t="s">
        <v>1780</v>
      </c>
      <c r="B1069" s="124" t="s">
        <v>680</v>
      </c>
      <c r="C1069" s="124" t="s">
        <v>398</v>
      </c>
      <c r="D1069" s="12">
        <v>5444206</v>
      </c>
      <c r="E1069" s="82">
        <v>0.96940409270000005</v>
      </c>
      <c r="F1069" s="14">
        <v>5277635.58</v>
      </c>
      <c r="G1069" s="14">
        <v>0.01</v>
      </c>
      <c r="H1069" s="10"/>
      <c r="I1069" s="10"/>
    </row>
    <row r="1070" spans="1:9">
      <c r="A1070" s="10" t="s">
        <v>1781</v>
      </c>
      <c r="B1070" s="124" t="s">
        <v>441</v>
      </c>
      <c r="C1070" s="124" t="s">
        <v>398</v>
      </c>
      <c r="D1070" s="12">
        <v>5444206</v>
      </c>
      <c r="E1070" s="82">
        <v>0.99476728650000001</v>
      </c>
      <c r="F1070" s="14">
        <v>5415718.0300000003</v>
      </c>
      <c r="G1070" s="14">
        <v>0.01</v>
      </c>
      <c r="H1070" s="10"/>
      <c r="I1070" s="10"/>
    </row>
    <row r="1071" spans="1:9">
      <c r="A1071" s="10" t="s">
        <v>1782</v>
      </c>
      <c r="B1071" s="124" t="s">
        <v>480</v>
      </c>
      <c r="C1071" s="124" t="s">
        <v>398</v>
      </c>
      <c r="D1071" s="12">
        <v>5444206</v>
      </c>
      <c r="E1071" s="82">
        <v>0.99390047520000002</v>
      </c>
      <c r="F1071" s="14">
        <v>5410998.9299999997</v>
      </c>
      <c r="G1071" s="14">
        <v>0.01</v>
      </c>
      <c r="H1071" s="10"/>
      <c r="I1071" s="10"/>
    </row>
    <row r="1072" spans="1:9">
      <c r="A1072" s="10" t="s">
        <v>1783</v>
      </c>
      <c r="B1072" s="124" t="s">
        <v>443</v>
      </c>
      <c r="C1072" s="124" t="s">
        <v>398</v>
      </c>
      <c r="D1072" s="12">
        <v>5444206</v>
      </c>
      <c r="E1072" s="82">
        <v>0.99303516430000005</v>
      </c>
      <c r="F1072" s="12">
        <v>5406288</v>
      </c>
      <c r="G1072" s="14">
        <v>0.01</v>
      </c>
      <c r="H1072" s="10"/>
      <c r="I1072" s="10"/>
    </row>
    <row r="1073" spans="1:9">
      <c r="A1073" s="10" t="s">
        <v>1784</v>
      </c>
      <c r="B1073" s="124" t="s">
        <v>567</v>
      </c>
      <c r="C1073" s="124" t="s">
        <v>398</v>
      </c>
      <c r="D1073" s="12">
        <v>5444206</v>
      </c>
      <c r="E1073" s="82">
        <v>0.94844618540000003</v>
      </c>
      <c r="F1073" s="14">
        <v>5163536.41</v>
      </c>
      <c r="G1073" s="14">
        <v>0.01</v>
      </c>
      <c r="H1073" s="10"/>
      <c r="I1073" s="10"/>
    </row>
    <row r="1074" spans="1:9">
      <c r="A1074" s="10" t="s">
        <v>1785</v>
      </c>
      <c r="B1074" s="124" t="s">
        <v>522</v>
      </c>
      <c r="C1074" s="124" t="s">
        <v>398</v>
      </c>
      <c r="D1074" s="12">
        <v>5444206</v>
      </c>
      <c r="E1074" s="82">
        <v>0.97437268909999997</v>
      </c>
      <c r="F1074" s="14">
        <v>5304685.6399999997</v>
      </c>
      <c r="G1074" s="14">
        <v>0.01</v>
      </c>
      <c r="H1074" s="10"/>
      <c r="I1074" s="10"/>
    </row>
    <row r="1075" spans="1:9">
      <c r="A1075" s="10" t="s">
        <v>1786</v>
      </c>
      <c r="B1075" s="124" t="s">
        <v>1161</v>
      </c>
      <c r="C1075" s="124" t="s">
        <v>398</v>
      </c>
      <c r="D1075" s="12">
        <v>5444206</v>
      </c>
      <c r="E1075" s="158">
        <v>0.94765814400000004</v>
      </c>
      <c r="F1075" s="14">
        <v>5159246.1500000004</v>
      </c>
      <c r="G1075" s="14">
        <v>0.01</v>
      </c>
      <c r="H1075" s="10"/>
      <c r="I1075" s="10"/>
    </row>
    <row r="1076" spans="1:9">
      <c r="A1076" s="10" t="s">
        <v>1787</v>
      </c>
      <c r="B1076" s="124" t="s">
        <v>766</v>
      </c>
      <c r="C1076" s="124" t="s">
        <v>398</v>
      </c>
      <c r="D1076" s="12">
        <v>5444206</v>
      </c>
      <c r="E1076" s="82">
        <v>0.97354115569999999</v>
      </c>
      <c r="F1076" s="154">
        <v>5300158.5999999996</v>
      </c>
      <c r="G1076" s="14">
        <v>0.01</v>
      </c>
      <c r="H1076" s="10"/>
      <c r="I1076" s="10"/>
    </row>
    <row r="1077" spans="1:9">
      <c r="A1077" s="10" t="s">
        <v>1788</v>
      </c>
      <c r="B1077" s="124" t="s">
        <v>793</v>
      </c>
      <c r="C1077" s="124" t="s">
        <v>398</v>
      </c>
      <c r="D1077" s="12">
        <v>5444208</v>
      </c>
      <c r="E1077" s="82">
        <v>0.94687159340000004</v>
      </c>
      <c r="F1077" s="154">
        <v>5154965.9000000004</v>
      </c>
      <c r="G1077" s="14">
        <v>0.01</v>
      </c>
      <c r="H1077" s="10"/>
      <c r="I1077" s="10"/>
    </row>
    <row r="1078" spans="1:9">
      <c r="A1078" s="10" t="s">
        <v>1789</v>
      </c>
      <c r="B1078" s="124" t="s">
        <v>660</v>
      </c>
      <c r="C1078" s="124" t="s">
        <v>398</v>
      </c>
      <c r="D1078" s="12">
        <v>5444206</v>
      </c>
      <c r="E1078" s="82">
        <v>0.97022872370000002</v>
      </c>
      <c r="F1078" s="14">
        <v>5282125.04</v>
      </c>
      <c r="G1078" s="14">
        <v>0.01</v>
      </c>
      <c r="H1078" s="10"/>
      <c r="I1078" s="10"/>
    </row>
    <row r="1079" spans="1:9">
      <c r="A1079" s="10" t="s">
        <v>1790</v>
      </c>
      <c r="B1079" s="124" t="s">
        <v>441</v>
      </c>
      <c r="C1079" s="124" t="s">
        <v>398</v>
      </c>
      <c r="D1079" s="12">
        <v>6000000</v>
      </c>
      <c r="E1079" s="82">
        <v>0.99476728650000001</v>
      </c>
      <c r="F1079" s="14">
        <v>5968603.7199999997</v>
      </c>
      <c r="G1079" s="14">
        <v>0.01</v>
      </c>
      <c r="H1079" s="10"/>
      <c r="I1079" s="10"/>
    </row>
    <row r="1080" spans="1:9">
      <c r="A1080" s="10" t="s">
        <v>1791</v>
      </c>
      <c r="B1080" s="124" t="s">
        <v>443</v>
      </c>
      <c r="C1080" s="124" t="s">
        <v>398</v>
      </c>
      <c r="D1080" s="12">
        <v>6000000</v>
      </c>
      <c r="E1080" s="82">
        <v>0.99303516169999995</v>
      </c>
      <c r="F1080" s="14">
        <v>5958210.9699999997</v>
      </c>
      <c r="G1080" s="14">
        <v>0.01</v>
      </c>
      <c r="H1080" s="10"/>
      <c r="I1080" s="10"/>
    </row>
    <row r="1081" spans="1:9">
      <c r="A1081" s="10" t="s">
        <v>1792</v>
      </c>
      <c r="B1081" s="124" t="s">
        <v>482</v>
      </c>
      <c r="C1081" s="124" t="s">
        <v>398</v>
      </c>
      <c r="D1081" s="12">
        <v>6000000</v>
      </c>
      <c r="E1081" s="82">
        <v>0.98702003839999997</v>
      </c>
      <c r="F1081" s="14">
        <v>5922120.2300000004</v>
      </c>
      <c r="G1081" s="14">
        <v>0.01</v>
      </c>
      <c r="H1081" s="10"/>
      <c r="I1081" s="10"/>
    </row>
    <row r="1082" spans="1:9">
      <c r="A1082" s="10" t="s">
        <v>1793</v>
      </c>
      <c r="B1082" s="124" t="s">
        <v>485</v>
      </c>
      <c r="C1082" s="124" t="s">
        <v>398</v>
      </c>
      <c r="D1082" s="14">
        <v>5834327.1299999999</v>
      </c>
      <c r="E1082" s="82">
        <v>0.98616665160000005</v>
      </c>
      <c r="F1082" s="14">
        <v>5753618.8499999996</v>
      </c>
      <c r="G1082" s="14">
        <v>0.01</v>
      </c>
      <c r="H1082" s="10"/>
      <c r="I1082" s="10"/>
    </row>
    <row r="1083" spans="1:9">
      <c r="A1083" s="10" t="s">
        <v>1794</v>
      </c>
      <c r="B1083" s="124" t="s">
        <v>490</v>
      </c>
      <c r="C1083" s="124" t="s">
        <v>398</v>
      </c>
      <c r="D1083" s="14">
        <v>6331582.3099999996</v>
      </c>
      <c r="E1083" s="82">
        <v>0.98107734930000001</v>
      </c>
      <c r="F1083" s="14">
        <v>6211771.9900000002</v>
      </c>
      <c r="G1083" s="14">
        <v>0.01</v>
      </c>
      <c r="H1083" s="10"/>
      <c r="I1083" s="10"/>
    </row>
    <row r="1084" spans="1:9">
      <c r="A1084" s="10" t="s">
        <v>1795</v>
      </c>
      <c r="B1084" s="124" t="s">
        <v>520</v>
      </c>
      <c r="C1084" s="124" t="s">
        <v>398</v>
      </c>
      <c r="D1084" s="12">
        <v>12000000</v>
      </c>
      <c r="E1084" s="82">
        <v>0.97520579259999995</v>
      </c>
      <c r="F1084" s="14">
        <v>11702469.51</v>
      </c>
      <c r="G1084" s="14">
        <v>0.02</v>
      </c>
      <c r="H1084" s="10"/>
      <c r="I1084" s="10"/>
    </row>
    <row r="1085" spans="1:9">
      <c r="A1085" s="10" t="s">
        <v>1796</v>
      </c>
      <c r="B1085" s="124" t="s">
        <v>443</v>
      </c>
      <c r="C1085" s="124" t="s">
        <v>398</v>
      </c>
      <c r="D1085" s="12">
        <v>12000000</v>
      </c>
      <c r="E1085" s="82">
        <v>0.99303516349999998</v>
      </c>
      <c r="F1085" s="14">
        <v>11916421.960000001</v>
      </c>
      <c r="G1085" s="14">
        <v>0.02</v>
      </c>
      <c r="H1085" s="10"/>
      <c r="I1085" s="10"/>
    </row>
    <row r="1086" spans="1:9">
      <c r="A1086" s="10" t="s">
        <v>1797</v>
      </c>
      <c r="B1086" s="124" t="s">
        <v>485</v>
      </c>
      <c r="C1086" s="124" t="s">
        <v>398</v>
      </c>
      <c r="D1086" s="12">
        <v>12000000</v>
      </c>
      <c r="E1086" s="82">
        <v>0.98616664990000003</v>
      </c>
      <c r="F1086" s="154">
        <v>11833999.800000001</v>
      </c>
      <c r="G1086" s="14">
        <v>0.02</v>
      </c>
      <c r="H1086" s="10"/>
      <c r="I1086" s="10"/>
    </row>
    <row r="1087" spans="1:9">
      <c r="A1087" s="10" t="s">
        <v>1798</v>
      </c>
      <c r="B1087" s="124" t="s">
        <v>490</v>
      </c>
      <c r="C1087" s="124" t="s">
        <v>398</v>
      </c>
      <c r="D1087" s="12">
        <v>12000000</v>
      </c>
      <c r="E1087" s="82">
        <v>0.98107734820000003</v>
      </c>
      <c r="F1087" s="14">
        <v>11772928.18</v>
      </c>
      <c r="G1087" s="14">
        <v>0.02</v>
      </c>
      <c r="H1087" s="10"/>
      <c r="I1087" s="10"/>
    </row>
    <row r="1088" spans="1:9">
      <c r="A1088" s="10" t="s">
        <v>1799</v>
      </c>
      <c r="B1088" s="124" t="s">
        <v>520</v>
      </c>
      <c r="C1088" s="124" t="s">
        <v>398</v>
      </c>
      <c r="D1088" s="14">
        <v>13264589.890000001</v>
      </c>
      <c r="E1088" s="82">
        <v>0.97520579259999995</v>
      </c>
      <c r="F1088" s="154">
        <v>12935704.9</v>
      </c>
      <c r="G1088" s="14">
        <v>0.02</v>
      </c>
      <c r="H1088" s="10"/>
      <c r="I1088" s="10"/>
    </row>
    <row r="1089" spans="1:9">
      <c r="A1089" s="10" t="s">
        <v>1800</v>
      </c>
      <c r="B1089" s="124" t="s">
        <v>587</v>
      </c>
      <c r="C1089" s="124" t="s">
        <v>398</v>
      </c>
      <c r="D1089" s="14">
        <v>38054448.590000004</v>
      </c>
      <c r="E1089" s="82">
        <v>0.95961724960000006</v>
      </c>
      <c r="F1089" s="14">
        <v>36517705.289999999</v>
      </c>
      <c r="G1089" s="14">
        <v>0.05</v>
      </c>
      <c r="H1089" s="10"/>
      <c r="I1089" s="10"/>
    </row>
    <row r="1090" spans="1:9">
      <c r="A1090" s="10" t="s">
        <v>1801</v>
      </c>
      <c r="B1090" s="124" t="s">
        <v>514</v>
      </c>
      <c r="C1090" s="124" t="s">
        <v>398</v>
      </c>
      <c r="D1090" s="14">
        <v>7485785.1900000004</v>
      </c>
      <c r="E1090" s="82">
        <v>0.98023419349999996</v>
      </c>
      <c r="F1090" s="14">
        <v>7337822.6100000003</v>
      </c>
      <c r="G1090" s="14">
        <v>0.01</v>
      </c>
      <c r="H1090" s="10"/>
      <c r="I1090" s="10"/>
    </row>
    <row r="1091" spans="1:9">
      <c r="A1091" s="10" t="s">
        <v>1802</v>
      </c>
      <c r="B1091" s="124" t="s">
        <v>438</v>
      </c>
      <c r="C1091" s="124" t="s">
        <v>398</v>
      </c>
      <c r="D1091" s="12">
        <v>6000000</v>
      </c>
      <c r="E1091" s="82">
        <v>0.99217141990000002</v>
      </c>
      <c r="F1091" s="14">
        <v>5953028.5199999996</v>
      </c>
      <c r="G1091" s="14">
        <v>0.01</v>
      </c>
      <c r="H1091" s="10"/>
      <c r="I1091" s="10"/>
    </row>
    <row r="1092" spans="1:9">
      <c r="A1092" s="10" t="s">
        <v>1803</v>
      </c>
      <c r="B1092" s="124" t="s">
        <v>680</v>
      </c>
      <c r="C1092" s="124" t="s">
        <v>398</v>
      </c>
      <c r="D1092" s="14">
        <v>6427534.4199999999</v>
      </c>
      <c r="E1092" s="82">
        <v>0.96940409729999999</v>
      </c>
      <c r="F1092" s="154">
        <v>6230878.2000000002</v>
      </c>
      <c r="G1092" s="14">
        <v>0.01</v>
      </c>
      <c r="H1092" s="10"/>
      <c r="I1092" s="10"/>
    </row>
    <row r="1093" spans="1:9">
      <c r="A1093" s="10" t="s">
        <v>1804</v>
      </c>
      <c r="B1093" s="124" t="s">
        <v>660</v>
      </c>
      <c r="C1093" s="124" t="s">
        <v>398</v>
      </c>
      <c r="D1093" s="14">
        <v>43185942.649999999</v>
      </c>
      <c r="E1093" s="82">
        <v>0.97022872550000006</v>
      </c>
      <c r="F1093" s="154">
        <v>41900242.100000001</v>
      </c>
      <c r="G1093" s="14">
        <v>0.06</v>
      </c>
      <c r="H1093" s="10"/>
      <c r="I1093" s="10"/>
    </row>
    <row r="1094" spans="1:9">
      <c r="A1094" s="10" t="s">
        <v>1805</v>
      </c>
      <c r="B1094" s="124" t="s">
        <v>490</v>
      </c>
      <c r="C1094" s="124" t="s">
        <v>398</v>
      </c>
      <c r="D1094" s="12">
        <v>8475000</v>
      </c>
      <c r="E1094" s="82">
        <v>0.98107734989999995</v>
      </c>
      <c r="F1094" s="14">
        <v>8314630.54</v>
      </c>
      <c r="G1094" s="14">
        <v>0.01</v>
      </c>
      <c r="H1094" s="10"/>
      <c r="I1094" s="10"/>
    </row>
    <row r="1095" spans="1:9">
      <c r="A1095" s="10" t="s">
        <v>1806</v>
      </c>
      <c r="B1095" s="124" t="s">
        <v>438</v>
      </c>
      <c r="C1095" s="124" t="s">
        <v>398</v>
      </c>
      <c r="D1095" s="12">
        <v>4327290</v>
      </c>
      <c r="E1095" s="82">
        <v>0.99217142140000003</v>
      </c>
      <c r="F1095" s="14">
        <v>4293413.47</v>
      </c>
      <c r="G1095" s="14">
        <v>0.01</v>
      </c>
      <c r="H1095" s="10"/>
      <c r="I1095" s="10"/>
    </row>
    <row r="1096" spans="1:9">
      <c r="A1096" s="10" t="s">
        <v>1807</v>
      </c>
      <c r="B1096" s="124" t="s">
        <v>448</v>
      </c>
      <c r="C1096" s="124" t="s">
        <v>398</v>
      </c>
      <c r="D1096" s="14">
        <v>5072132.87</v>
      </c>
      <c r="E1096" s="82">
        <v>0.98531483679999998</v>
      </c>
      <c r="F1096" s="14">
        <v>4997647.7699999996</v>
      </c>
      <c r="G1096" s="14">
        <v>0.01</v>
      </c>
      <c r="H1096" s="10"/>
      <c r="I1096" s="10"/>
    </row>
    <row r="1097" spans="1:9">
      <c r="A1097" s="10" t="s">
        <v>1809</v>
      </c>
      <c r="B1097" s="124" t="s">
        <v>520</v>
      </c>
      <c r="C1097" s="124" t="s">
        <v>398</v>
      </c>
      <c r="D1097" s="14">
        <v>54154566.950000003</v>
      </c>
      <c r="E1097" s="82">
        <v>0.9767193542</v>
      </c>
      <c r="F1097" s="14">
        <v>52893813.659999996</v>
      </c>
      <c r="G1097" s="14">
        <v>7.0000000000000007E-2</v>
      </c>
      <c r="H1097" s="10"/>
      <c r="I1097" s="10"/>
    </row>
    <row r="1098" spans="1:9">
      <c r="A1098" s="10" t="s">
        <v>1810</v>
      </c>
      <c r="B1098" s="124" t="s">
        <v>520</v>
      </c>
      <c r="C1098" s="124" t="s">
        <v>398</v>
      </c>
      <c r="D1098" s="14">
        <v>54154566.950000003</v>
      </c>
      <c r="E1098" s="82">
        <v>0.9767193542</v>
      </c>
      <c r="F1098" s="14">
        <v>52893813.659999996</v>
      </c>
      <c r="G1098" s="14">
        <v>7.0000000000000007E-2</v>
      </c>
      <c r="H1098" s="10"/>
      <c r="I1098" s="10"/>
    </row>
    <row r="1099" spans="1:9">
      <c r="A1099" s="10" t="s">
        <v>1822</v>
      </c>
      <c r="B1099" s="124" t="s">
        <v>480</v>
      </c>
      <c r="C1099" s="124" t="s">
        <v>432</v>
      </c>
      <c r="D1099" s="154">
        <v>5150760.3</v>
      </c>
      <c r="E1099" s="82">
        <v>0.99352173690000001</v>
      </c>
      <c r="F1099" s="14">
        <v>5117392.32</v>
      </c>
      <c r="G1099" s="14">
        <v>0.01</v>
      </c>
      <c r="H1099" s="10"/>
      <c r="I1099" s="10"/>
    </row>
    <row r="1100" spans="1:9">
      <c r="A1100" s="10" t="s">
        <v>1823</v>
      </c>
      <c r="B1100" s="124" t="s">
        <v>520</v>
      </c>
      <c r="C1100" s="124" t="s">
        <v>432</v>
      </c>
      <c r="D1100" s="12">
        <v>9889609</v>
      </c>
      <c r="E1100" s="158">
        <v>0.97369695599999995</v>
      </c>
      <c r="F1100" s="14">
        <v>9629482.1799999997</v>
      </c>
      <c r="G1100" s="14">
        <v>0.01</v>
      </c>
      <c r="H1100" s="10"/>
      <c r="I1100" s="10"/>
    </row>
    <row r="1101" spans="1:9">
      <c r="A1101" s="10" t="s">
        <v>1824</v>
      </c>
      <c r="B1101" s="124" t="s">
        <v>490</v>
      </c>
      <c r="C1101" s="124" t="s">
        <v>432</v>
      </c>
      <c r="D1101" s="12">
        <v>2000000</v>
      </c>
      <c r="E1101" s="82">
        <v>0.98107738010000001</v>
      </c>
      <c r="F1101" s="14">
        <v>1962154.76</v>
      </c>
      <c r="G1101" s="12">
        <v>0</v>
      </c>
      <c r="H1101" s="10"/>
      <c r="I1101" s="10"/>
    </row>
    <row r="1102" spans="1:9">
      <c r="A1102" s="10" t="s">
        <v>1825</v>
      </c>
      <c r="B1102" s="124" t="s">
        <v>527</v>
      </c>
      <c r="C1102" s="124" t="s">
        <v>432</v>
      </c>
      <c r="D1102" s="12">
        <v>2000000</v>
      </c>
      <c r="E1102" s="82">
        <v>0.97604021969999999</v>
      </c>
      <c r="F1102" s="14">
        <v>1952080.44</v>
      </c>
      <c r="G1102" s="12">
        <v>0</v>
      </c>
      <c r="H1102" s="10"/>
      <c r="I1102" s="10"/>
    </row>
    <row r="1103" spans="1:9">
      <c r="A1103" s="10" t="s">
        <v>1826</v>
      </c>
      <c r="B1103" s="124" t="s">
        <v>520</v>
      </c>
      <c r="C1103" s="124" t="s">
        <v>432</v>
      </c>
      <c r="D1103" s="12">
        <v>2000000</v>
      </c>
      <c r="E1103" s="82">
        <v>0.97520583029999997</v>
      </c>
      <c r="F1103" s="14">
        <v>1950411.66</v>
      </c>
      <c r="G1103" s="12">
        <v>0</v>
      </c>
      <c r="H1103" s="10"/>
      <c r="I1103" s="10"/>
    </row>
    <row r="1104" spans="1:9">
      <c r="A1104" s="10" t="s">
        <v>1827</v>
      </c>
      <c r="B1104" s="124" t="s">
        <v>766</v>
      </c>
      <c r="C1104" s="124" t="s">
        <v>432</v>
      </c>
      <c r="D1104" s="12">
        <v>2000000</v>
      </c>
      <c r="E1104" s="82">
        <v>0.9735410551</v>
      </c>
      <c r="F1104" s="14">
        <v>1947082.11</v>
      </c>
      <c r="G1104" s="12">
        <v>0</v>
      </c>
      <c r="H1104" s="10"/>
      <c r="I1104" s="10"/>
    </row>
    <row r="1105" spans="1:9">
      <c r="A1105" s="10" t="s">
        <v>1828</v>
      </c>
      <c r="B1105" s="124" t="s">
        <v>524</v>
      </c>
      <c r="C1105" s="124" t="s">
        <v>432</v>
      </c>
      <c r="D1105" s="12">
        <v>2000000</v>
      </c>
      <c r="E1105" s="82">
        <v>0.9710546551</v>
      </c>
      <c r="F1105" s="14">
        <v>1942109.31</v>
      </c>
      <c r="G1105" s="12">
        <v>0</v>
      </c>
      <c r="H1105" s="10"/>
      <c r="I1105" s="10"/>
    </row>
    <row r="1106" spans="1:9">
      <c r="A1106" s="10" t="s">
        <v>1829</v>
      </c>
      <c r="B1106" s="124" t="s">
        <v>488</v>
      </c>
      <c r="C1106" s="124" t="s">
        <v>432</v>
      </c>
      <c r="D1106" s="12">
        <v>2000000</v>
      </c>
      <c r="E1106" s="82">
        <v>0.98192198980000001</v>
      </c>
      <c r="F1106" s="14">
        <v>1963843.98</v>
      </c>
      <c r="G1106" s="12">
        <v>0</v>
      </c>
      <c r="H1106" s="10"/>
      <c r="I1106" s="10"/>
    </row>
    <row r="1107" spans="1:9">
      <c r="A1107" s="10" t="s">
        <v>1830</v>
      </c>
      <c r="B1107" s="124" t="s">
        <v>580</v>
      </c>
      <c r="C1107" s="124" t="s">
        <v>432</v>
      </c>
      <c r="D1107" s="12">
        <v>2000000</v>
      </c>
      <c r="E1107" s="82">
        <v>0.98787493010000005</v>
      </c>
      <c r="F1107" s="14">
        <v>1975749.86</v>
      </c>
      <c r="G1107" s="12">
        <v>0</v>
      </c>
      <c r="H1107" s="10"/>
      <c r="I1107" s="10"/>
    </row>
    <row r="1108" spans="1:9">
      <c r="A1108" s="10" t="s">
        <v>1831</v>
      </c>
      <c r="B1108" s="124" t="s">
        <v>443</v>
      </c>
      <c r="C1108" s="124" t="s">
        <v>432</v>
      </c>
      <c r="D1108" s="12">
        <v>2000000</v>
      </c>
      <c r="E1108" s="82">
        <v>0.99303518010000003</v>
      </c>
      <c r="F1108" s="14">
        <v>1986070.36</v>
      </c>
      <c r="G1108" s="12">
        <v>0</v>
      </c>
      <c r="H1108" s="10"/>
      <c r="I1108" s="10"/>
    </row>
    <row r="1109" spans="1:9">
      <c r="A1109" s="10" t="s">
        <v>1832</v>
      </c>
      <c r="B1109" s="124" t="s">
        <v>441</v>
      </c>
      <c r="C1109" s="124" t="s">
        <v>432</v>
      </c>
      <c r="D1109" s="12">
        <v>2000000</v>
      </c>
      <c r="E1109" s="158">
        <v>0.99476725499999996</v>
      </c>
      <c r="F1109" s="14">
        <v>1989534.51</v>
      </c>
      <c r="G1109" s="12">
        <v>0</v>
      </c>
      <c r="H1109" s="10"/>
      <c r="I1109" s="10"/>
    </row>
    <row r="1110" spans="1:9">
      <c r="A1110" s="10" t="s">
        <v>1833</v>
      </c>
      <c r="B1110" s="124" t="s">
        <v>660</v>
      </c>
      <c r="C1110" s="124" t="s">
        <v>432</v>
      </c>
      <c r="D1110" s="12">
        <v>2000000</v>
      </c>
      <c r="E1110" s="82">
        <v>0.97022861530000004</v>
      </c>
      <c r="F1110" s="14">
        <v>1940457.23</v>
      </c>
      <c r="G1110" s="12">
        <v>0</v>
      </c>
      <c r="H1110" s="10"/>
      <c r="I1110" s="10"/>
    </row>
    <row r="1111" spans="1:9">
      <c r="A1111" s="10" t="s">
        <v>1834</v>
      </c>
      <c r="B1111" s="124" t="s">
        <v>522</v>
      </c>
      <c r="C1111" s="124" t="s">
        <v>432</v>
      </c>
      <c r="D1111" s="12">
        <v>2000000</v>
      </c>
      <c r="E1111" s="82">
        <v>0.97437273989999995</v>
      </c>
      <c r="F1111" s="14">
        <v>1948745.48</v>
      </c>
      <c r="G1111" s="12">
        <v>0</v>
      </c>
      <c r="H1111" s="10"/>
      <c r="I1111" s="10"/>
    </row>
    <row r="1112" spans="1:9">
      <c r="A1112" s="10" t="s">
        <v>1835</v>
      </c>
      <c r="B1112" s="124" t="s">
        <v>518</v>
      </c>
      <c r="C1112" s="124" t="s">
        <v>432</v>
      </c>
      <c r="D1112" s="12">
        <v>2000000</v>
      </c>
      <c r="E1112" s="82">
        <v>0.9768761749</v>
      </c>
      <c r="F1112" s="14">
        <v>1953752.35</v>
      </c>
      <c r="G1112" s="12">
        <v>0</v>
      </c>
      <c r="H1112" s="10"/>
      <c r="I1112" s="10"/>
    </row>
    <row r="1113" spans="1:9">
      <c r="A1113" s="10" t="s">
        <v>1836</v>
      </c>
      <c r="B1113" s="124" t="s">
        <v>482</v>
      </c>
      <c r="C1113" s="124" t="s">
        <v>432</v>
      </c>
      <c r="D1113" s="12">
        <v>2000000</v>
      </c>
      <c r="E1113" s="82">
        <v>0.98702006490000005</v>
      </c>
      <c r="F1113" s="14">
        <v>1974040.13</v>
      </c>
      <c r="G1113" s="12">
        <v>0</v>
      </c>
      <c r="H1113" s="10"/>
      <c r="I1113" s="10"/>
    </row>
    <row r="1114" spans="1:9">
      <c r="A1114" s="10" t="s">
        <v>1837</v>
      </c>
      <c r="B1114" s="124" t="s">
        <v>480</v>
      </c>
      <c r="C1114" s="124" t="s">
        <v>432</v>
      </c>
      <c r="D1114" s="12">
        <v>2000000</v>
      </c>
      <c r="E1114" s="21">
        <v>0.99390049000000003</v>
      </c>
      <c r="F1114" s="14">
        <v>1987800.98</v>
      </c>
      <c r="G1114" s="12">
        <v>0</v>
      </c>
      <c r="H1114" s="10"/>
      <c r="I1114" s="10"/>
    </row>
    <row r="1115" spans="1:9">
      <c r="A1115" s="10" t="s">
        <v>1838</v>
      </c>
      <c r="B1115" s="124" t="s">
        <v>438</v>
      </c>
      <c r="C1115" s="124" t="s">
        <v>432</v>
      </c>
      <c r="D1115" s="12">
        <v>2000000</v>
      </c>
      <c r="E1115" s="82">
        <v>0.99217136989999999</v>
      </c>
      <c r="F1115" s="14">
        <v>1984342.74</v>
      </c>
      <c r="G1115" s="12">
        <v>0</v>
      </c>
      <c r="H1115" s="10"/>
      <c r="I1115" s="10"/>
    </row>
    <row r="1116" spans="1:9">
      <c r="A1116" s="10" t="s">
        <v>1839</v>
      </c>
      <c r="B1116" s="124" t="s">
        <v>510</v>
      </c>
      <c r="C1116" s="124" t="s">
        <v>432</v>
      </c>
      <c r="D1116" s="12">
        <v>2000000</v>
      </c>
      <c r="E1116" s="82">
        <v>0.99130914010000004</v>
      </c>
      <c r="F1116" s="14">
        <v>1982618.28</v>
      </c>
      <c r="G1116" s="12">
        <v>0</v>
      </c>
      <c r="H1116" s="10"/>
      <c r="I1116" s="10"/>
    </row>
    <row r="1117" spans="1:9">
      <c r="A1117" s="10" t="s">
        <v>1840</v>
      </c>
      <c r="B1117" s="124" t="s">
        <v>516</v>
      </c>
      <c r="C1117" s="124" t="s">
        <v>432</v>
      </c>
      <c r="D1117" s="12">
        <v>2000000</v>
      </c>
      <c r="E1117" s="82">
        <v>0.97939252980000002</v>
      </c>
      <c r="F1117" s="14">
        <v>1958785.06</v>
      </c>
      <c r="G1117" s="12">
        <v>0</v>
      </c>
      <c r="H1117" s="10"/>
      <c r="I1117" s="10"/>
    </row>
    <row r="1118" spans="1:9">
      <c r="A1118" s="10" t="s">
        <v>1841</v>
      </c>
      <c r="B1118" s="124" t="s">
        <v>883</v>
      </c>
      <c r="C1118" s="124" t="s">
        <v>432</v>
      </c>
      <c r="D1118" s="12">
        <v>200000000</v>
      </c>
      <c r="E1118" s="82">
        <v>0.96321325179999995</v>
      </c>
      <c r="F1118" s="14">
        <v>192642650.36000001</v>
      </c>
      <c r="G1118" s="14">
        <v>0.26</v>
      </c>
      <c r="H1118" s="10"/>
      <c r="I1118" s="10"/>
    </row>
    <row r="1119" spans="1:9">
      <c r="A1119" s="10" t="s">
        <v>1842</v>
      </c>
      <c r="B1119" s="124" t="s">
        <v>1161</v>
      </c>
      <c r="C1119" s="124" t="s">
        <v>533</v>
      </c>
      <c r="D1119" s="12">
        <v>15000000</v>
      </c>
      <c r="E1119" s="82">
        <v>0.94456822510000005</v>
      </c>
      <c r="F1119" s="14">
        <v>14168523.380000001</v>
      </c>
      <c r="G1119" s="14">
        <v>0.02</v>
      </c>
      <c r="H1119" s="10"/>
      <c r="I1119" s="10"/>
    </row>
    <row r="1120" spans="1:9">
      <c r="A1120" s="10" t="s">
        <v>1843</v>
      </c>
      <c r="B1120" s="124" t="s">
        <v>766</v>
      </c>
      <c r="C1120" s="124" t="s">
        <v>533</v>
      </c>
      <c r="D1120" s="12">
        <v>50000000</v>
      </c>
      <c r="E1120" s="82">
        <v>0.97354109050000004</v>
      </c>
      <c r="F1120" s="14">
        <v>48677054.530000001</v>
      </c>
      <c r="G1120" s="14">
        <v>0.06</v>
      </c>
      <c r="H1120" s="10"/>
      <c r="I1120" s="10"/>
    </row>
    <row r="1121" spans="1:9">
      <c r="A1121" s="10" t="s">
        <v>1844</v>
      </c>
      <c r="B1121" s="124" t="s">
        <v>524</v>
      </c>
      <c r="C1121" s="124" t="s">
        <v>533</v>
      </c>
      <c r="D1121" s="12">
        <v>50000000</v>
      </c>
      <c r="E1121" s="82">
        <v>0.97105469030000002</v>
      </c>
      <c r="F1121" s="14">
        <v>48552734.520000003</v>
      </c>
      <c r="G1121" s="14">
        <v>0.06</v>
      </c>
      <c r="H1121" s="10"/>
      <c r="I1121" s="10"/>
    </row>
    <row r="1122" spans="1:9">
      <c r="A1122" s="10" t="s">
        <v>1845</v>
      </c>
      <c r="B1122" s="124" t="s">
        <v>524</v>
      </c>
      <c r="C1122" s="124" t="s">
        <v>533</v>
      </c>
      <c r="D1122" s="12">
        <v>50000000</v>
      </c>
      <c r="E1122" s="82">
        <v>0.97105469030000002</v>
      </c>
      <c r="F1122" s="14">
        <v>48552734.520000003</v>
      </c>
      <c r="G1122" s="14">
        <v>0.06</v>
      </c>
      <c r="H1122" s="10"/>
      <c r="I1122" s="10"/>
    </row>
    <row r="1123" spans="1:9">
      <c r="A1123" s="10" t="s">
        <v>1846</v>
      </c>
      <c r="B1123" s="124" t="s">
        <v>660</v>
      </c>
      <c r="C1123" s="124" t="s">
        <v>533</v>
      </c>
      <c r="D1123" s="12">
        <v>50000000</v>
      </c>
      <c r="E1123" s="82">
        <v>0.97022865869999997</v>
      </c>
      <c r="F1123" s="14">
        <v>48511432.939999998</v>
      </c>
      <c r="G1123" s="14">
        <v>0.06</v>
      </c>
      <c r="H1123" s="10"/>
      <c r="I1123" s="10"/>
    </row>
    <row r="1124" spans="1:9">
      <c r="A1124" s="10" t="s">
        <v>1847</v>
      </c>
      <c r="B1124" s="124" t="s">
        <v>660</v>
      </c>
      <c r="C1124" s="124" t="s">
        <v>533</v>
      </c>
      <c r="D1124" s="12">
        <v>50000000</v>
      </c>
      <c r="E1124" s="82">
        <v>0.97022865869999997</v>
      </c>
      <c r="F1124" s="14">
        <v>48511432.939999998</v>
      </c>
      <c r="G1124" s="14">
        <v>0.06</v>
      </c>
      <c r="H1124" s="10"/>
      <c r="I1124" s="10"/>
    </row>
    <row r="1125" spans="1:9">
      <c r="A1125" s="10" t="s">
        <v>1848</v>
      </c>
      <c r="B1125" s="124" t="s">
        <v>680</v>
      </c>
      <c r="C1125" s="124" t="s">
        <v>533</v>
      </c>
      <c r="D1125" s="12">
        <v>50000000</v>
      </c>
      <c r="E1125" s="82">
        <v>0.96940403060000002</v>
      </c>
      <c r="F1125" s="14">
        <v>48470201.530000001</v>
      </c>
      <c r="G1125" s="14">
        <v>0.06</v>
      </c>
      <c r="H1125" s="10"/>
      <c r="I1125" s="10"/>
    </row>
    <row r="1126" spans="1:9">
      <c r="A1126" s="10" t="s">
        <v>1849</v>
      </c>
      <c r="B1126" s="124" t="s">
        <v>766</v>
      </c>
      <c r="C1126" s="124" t="s">
        <v>533</v>
      </c>
      <c r="D1126" s="12">
        <v>50000000</v>
      </c>
      <c r="E1126" s="82">
        <v>0.97354109050000004</v>
      </c>
      <c r="F1126" s="14">
        <v>48677054.530000001</v>
      </c>
      <c r="G1126" s="14">
        <v>0.06</v>
      </c>
      <c r="H1126" s="10"/>
      <c r="I1126" s="10"/>
    </row>
    <row r="1127" spans="1:9">
      <c r="A1127" s="10" t="s">
        <v>1850</v>
      </c>
      <c r="B1127" s="124" t="s">
        <v>680</v>
      </c>
      <c r="C1127" s="124" t="s">
        <v>533</v>
      </c>
      <c r="D1127" s="12">
        <v>50000000</v>
      </c>
      <c r="E1127" s="82">
        <v>0.96940403060000002</v>
      </c>
      <c r="F1127" s="14">
        <v>48470201.530000001</v>
      </c>
      <c r="G1127" s="14">
        <v>0.06</v>
      </c>
      <c r="H1127" s="10"/>
      <c r="I1127" s="10"/>
    </row>
    <row r="1128" spans="1:9">
      <c r="A1128" s="10" t="s">
        <v>1851</v>
      </c>
      <c r="B1128" s="124" t="s">
        <v>660</v>
      </c>
      <c r="C1128" s="124" t="s">
        <v>533</v>
      </c>
      <c r="D1128" s="12">
        <v>100000000</v>
      </c>
      <c r="E1128" s="82">
        <v>0.97022865960000004</v>
      </c>
      <c r="F1128" s="14">
        <v>97022865.959999993</v>
      </c>
      <c r="G1128" s="14">
        <v>0.13</v>
      </c>
      <c r="H1128" s="10"/>
      <c r="I1128" s="10"/>
    </row>
    <row r="1129" spans="1:9">
      <c r="A1129" s="10" t="s">
        <v>1852</v>
      </c>
      <c r="B1129" s="124" t="s">
        <v>660</v>
      </c>
      <c r="C1129" s="124" t="s">
        <v>533</v>
      </c>
      <c r="D1129" s="12">
        <v>100000000</v>
      </c>
      <c r="E1129" s="82">
        <v>0.97022865960000004</v>
      </c>
      <c r="F1129" s="14">
        <v>97022865.959999993</v>
      </c>
      <c r="G1129" s="14">
        <v>0.13</v>
      </c>
      <c r="H1129" s="10"/>
      <c r="I1129" s="10"/>
    </row>
    <row r="1130" spans="1:9">
      <c r="A1130" s="10" t="s">
        <v>1853</v>
      </c>
      <c r="B1130" s="124" t="s">
        <v>660</v>
      </c>
      <c r="C1130" s="124" t="s">
        <v>533</v>
      </c>
      <c r="D1130" s="12">
        <v>100000000</v>
      </c>
      <c r="E1130" s="82">
        <v>0.97022865960000004</v>
      </c>
      <c r="F1130" s="14">
        <v>97022865.959999993</v>
      </c>
      <c r="G1130" s="14">
        <v>0.13</v>
      </c>
      <c r="H1130" s="10"/>
      <c r="I1130" s="10"/>
    </row>
    <row r="1131" spans="1:9">
      <c r="A1131" s="10" t="s">
        <v>1854</v>
      </c>
      <c r="B1131" s="124" t="s">
        <v>769</v>
      </c>
      <c r="C1131" s="124" t="s">
        <v>533</v>
      </c>
      <c r="D1131" s="12">
        <v>2170000</v>
      </c>
      <c r="E1131" s="82">
        <v>0.9247530276</v>
      </c>
      <c r="F1131" s="14">
        <v>2006714.07</v>
      </c>
      <c r="G1131" s="12">
        <v>0</v>
      </c>
      <c r="H1131" s="10"/>
      <c r="I1131" s="10"/>
    </row>
    <row r="1132" spans="1:9">
      <c r="A1132" s="10" t="s">
        <v>1855</v>
      </c>
      <c r="B1132" s="124" t="s">
        <v>808</v>
      </c>
      <c r="C1132" s="124" t="s">
        <v>533</v>
      </c>
      <c r="D1132" s="12">
        <v>2170000</v>
      </c>
      <c r="E1132" s="82">
        <v>0.9232093817</v>
      </c>
      <c r="F1132" s="14">
        <v>2003364.36</v>
      </c>
      <c r="G1132" s="12">
        <v>0</v>
      </c>
      <c r="H1132" s="10"/>
      <c r="I1132" s="10"/>
    </row>
    <row r="1133" spans="1:9">
      <c r="A1133" s="10" t="s">
        <v>1856</v>
      </c>
      <c r="B1133" s="124" t="s">
        <v>822</v>
      </c>
      <c r="C1133" s="124" t="s">
        <v>533</v>
      </c>
      <c r="D1133" s="12">
        <v>2260000</v>
      </c>
      <c r="E1133" s="82">
        <v>0.91860877080000003</v>
      </c>
      <c r="F1133" s="14">
        <v>2076055.82</v>
      </c>
      <c r="G1133" s="12">
        <v>0</v>
      </c>
      <c r="H1133" s="10"/>
      <c r="I1133" s="10"/>
    </row>
    <row r="1134" spans="1:9">
      <c r="A1134" s="10" t="s">
        <v>1857</v>
      </c>
      <c r="B1134" s="124" t="s">
        <v>776</v>
      </c>
      <c r="C1134" s="124" t="s">
        <v>533</v>
      </c>
      <c r="D1134" s="12">
        <v>2170000</v>
      </c>
      <c r="E1134" s="82">
        <v>0.94368908780000005</v>
      </c>
      <c r="F1134" s="14">
        <v>2047805.32</v>
      </c>
      <c r="G1134" s="12">
        <v>0</v>
      </c>
      <c r="H1134" s="10"/>
      <c r="I1134" s="10"/>
    </row>
    <row r="1135" spans="1:9">
      <c r="A1135" s="10" t="s">
        <v>1858</v>
      </c>
      <c r="B1135" s="124" t="s">
        <v>647</v>
      </c>
      <c r="C1135" s="124" t="s">
        <v>533</v>
      </c>
      <c r="D1135" s="12">
        <v>2170000</v>
      </c>
      <c r="E1135" s="82">
        <v>0.93968035090000002</v>
      </c>
      <c r="F1135" s="14">
        <v>2039106.36</v>
      </c>
      <c r="G1135" s="12">
        <v>0</v>
      </c>
      <c r="H1135" s="10"/>
      <c r="I1135" s="10"/>
    </row>
    <row r="1136" spans="1:9">
      <c r="A1136" s="10" t="s">
        <v>1859</v>
      </c>
      <c r="B1136" s="124" t="s">
        <v>587</v>
      </c>
      <c r="C1136" s="124" t="s">
        <v>533</v>
      </c>
      <c r="D1136" s="12">
        <v>2170000</v>
      </c>
      <c r="E1136" s="82">
        <v>0.95840788489999995</v>
      </c>
      <c r="F1136" s="14">
        <v>2079745.11</v>
      </c>
      <c r="G1136" s="12">
        <v>0</v>
      </c>
      <c r="H1136" s="10"/>
      <c r="I1136" s="10"/>
    </row>
    <row r="1137" spans="1:9">
      <c r="A1137" s="10" t="s">
        <v>1860</v>
      </c>
      <c r="B1137" s="124" t="s">
        <v>446</v>
      </c>
      <c r="C1137" s="124" t="s">
        <v>533</v>
      </c>
      <c r="D1137" s="12">
        <v>2170000</v>
      </c>
      <c r="E1137" s="82">
        <v>0.95757807839999998</v>
      </c>
      <c r="F1137" s="14">
        <v>2077944.43</v>
      </c>
      <c r="G1137" s="12">
        <v>0</v>
      </c>
      <c r="H1137" s="10"/>
      <c r="I1137" s="10"/>
    </row>
    <row r="1138" spans="1:9">
      <c r="A1138" s="10" t="s">
        <v>1861</v>
      </c>
      <c r="B1138" s="124" t="s">
        <v>583</v>
      </c>
      <c r="C1138" s="124" t="s">
        <v>533</v>
      </c>
      <c r="D1138" s="12">
        <v>2170000</v>
      </c>
      <c r="E1138" s="82">
        <v>0.95592297289999995</v>
      </c>
      <c r="F1138" s="14">
        <v>2074352.85</v>
      </c>
      <c r="G1138" s="12">
        <v>0</v>
      </c>
      <c r="H1138" s="10"/>
      <c r="I1138" s="10"/>
    </row>
    <row r="1139" spans="1:9">
      <c r="A1139" s="10" t="s">
        <v>1862</v>
      </c>
      <c r="B1139" s="124" t="s">
        <v>948</v>
      </c>
      <c r="C1139" s="124" t="s">
        <v>533</v>
      </c>
      <c r="D1139" s="12">
        <v>2170000</v>
      </c>
      <c r="E1139" s="82">
        <v>0.95509747919999999</v>
      </c>
      <c r="F1139" s="14">
        <v>2072561.53</v>
      </c>
      <c r="G1139" s="12">
        <v>0</v>
      </c>
      <c r="H1139" s="10"/>
      <c r="I1139" s="10"/>
    </row>
    <row r="1140" spans="1:9">
      <c r="A1140" s="10" t="s">
        <v>1863</v>
      </c>
      <c r="B1140" s="124" t="s">
        <v>950</v>
      </c>
      <c r="C1140" s="124" t="s">
        <v>533</v>
      </c>
      <c r="D1140" s="12">
        <v>2170000</v>
      </c>
      <c r="E1140" s="82">
        <v>0.95180985770000004</v>
      </c>
      <c r="F1140" s="14">
        <v>2065427.39</v>
      </c>
      <c r="G1140" s="12">
        <v>0</v>
      </c>
      <c r="H1140" s="10"/>
      <c r="I1140" s="10"/>
    </row>
    <row r="1141" spans="1:9">
      <c r="A1141" s="10" t="s">
        <v>1864</v>
      </c>
      <c r="B1141" s="124" t="s">
        <v>502</v>
      </c>
      <c r="C1141" s="124" t="s">
        <v>533</v>
      </c>
      <c r="D1141" s="12">
        <v>2170000</v>
      </c>
      <c r="E1141" s="82">
        <v>0.95099142820000004</v>
      </c>
      <c r="F1141" s="154">
        <v>2063651.4</v>
      </c>
      <c r="G1141" s="12">
        <v>0</v>
      </c>
      <c r="H1141" s="10"/>
      <c r="I1141" s="10"/>
    </row>
    <row r="1142" spans="1:9">
      <c r="A1142" s="10" t="s">
        <v>1865</v>
      </c>
      <c r="B1142" s="124" t="s">
        <v>750</v>
      </c>
      <c r="C1142" s="124" t="s">
        <v>533</v>
      </c>
      <c r="D1142" s="12">
        <v>2170000</v>
      </c>
      <c r="E1142" s="82">
        <v>0.94935901349999996</v>
      </c>
      <c r="F1142" s="14">
        <v>2060109.06</v>
      </c>
      <c r="G1142" s="12">
        <v>0</v>
      </c>
      <c r="H1142" s="10"/>
      <c r="I1142" s="10"/>
    </row>
    <row r="1143" spans="1:9">
      <c r="A1143" s="10" t="s">
        <v>1866</v>
      </c>
      <c r="B1143" s="124" t="s">
        <v>567</v>
      </c>
      <c r="C1143" s="124" t="s">
        <v>533</v>
      </c>
      <c r="D1143" s="12">
        <v>2170000</v>
      </c>
      <c r="E1143" s="82">
        <v>0.94692075590000002</v>
      </c>
      <c r="F1143" s="14">
        <v>2054818.04</v>
      </c>
      <c r="G1143" s="12">
        <v>0</v>
      </c>
      <c r="H1143" s="10"/>
      <c r="I1143" s="10"/>
    </row>
    <row r="1144" spans="1:9">
      <c r="A1144" s="10" t="s">
        <v>1867</v>
      </c>
      <c r="B1144" s="124" t="s">
        <v>1161</v>
      </c>
      <c r="C1144" s="124" t="s">
        <v>533</v>
      </c>
      <c r="D1144" s="12">
        <v>2170000</v>
      </c>
      <c r="E1144" s="82">
        <v>0.94611070959999999</v>
      </c>
      <c r="F1144" s="14">
        <v>2053060.24</v>
      </c>
      <c r="G1144" s="12">
        <v>0</v>
      </c>
      <c r="H1144" s="10"/>
      <c r="I1144" s="10"/>
    </row>
    <row r="1145" spans="1:9">
      <c r="A1145" s="10" t="s">
        <v>1868</v>
      </c>
      <c r="B1145" s="124" t="s">
        <v>697</v>
      </c>
      <c r="C1145" s="124" t="s">
        <v>533</v>
      </c>
      <c r="D1145" s="12">
        <v>2170000</v>
      </c>
      <c r="E1145" s="82">
        <v>0.92863517429999998</v>
      </c>
      <c r="F1145" s="14">
        <v>2015138.33</v>
      </c>
      <c r="G1145" s="12">
        <v>0</v>
      </c>
      <c r="H1145" s="10"/>
      <c r="I1145" s="10"/>
    </row>
    <row r="1146" spans="1:9">
      <c r="A1146" s="10" t="s">
        <v>1869</v>
      </c>
      <c r="B1146" s="124" t="s">
        <v>1039</v>
      </c>
      <c r="C1146" s="124" t="s">
        <v>533</v>
      </c>
      <c r="D1146" s="12">
        <v>2170000</v>
      </c>
      <c r="E1146" s="82">
        <v>0.92398046140000001</v>
      </c>
      <c r="F1146" s="154">
        <v>2005037.6</v>
      </c>
      <c r="G1146" s="12">
        <v>0</v>
      </c>
      <c r="H1146" s="10"/>
      <c r="I1146" s="10"/>
    </row>
    <row r="1147" spans="1:9">
      <c r="A1147" s="10" t="s">
        <v>1870</v>
      </c>
      <c r="B1147" s="124" t="s">
        <v>999</v>
      </c>
      <c r="C1147" s="124" t="s">
        <v>533</v>
      </c>
      <c r="D1147" s="12">
        <v>2170000</v>
      </c>
      <c r="E1147" s="82">
        <v>0.91937239110000002</v>
      </c>
      <c r="F1147" s="14">
        <v>1995038.09</v>
      </c>
      <c r="G1147" s="12">
        <v>0</v>
      </c>
      <c r="H1147" s="10"/>
      <c r="I1147" s="10"/>
    </row>
    <row r="1148" spans="1:9">
      <c r="A1148" s="10" t="s">
        <v>1871</v>
      </c>
      <c r="B1148" s="124" t="s">
        <v>854</v>
      </c>
      <c r="C1148" s="124" t="s">
        <v>533</v>
      </c>
      <c r="D1148" s="12">
        <v>2170000</v>
      </c>
      <c r="E1148" s="82">
        <v>0.94449478860000002</v>
      </c>
      <c r="F1148" s="14">
        <v>2049553.69</v>
      </c>
      <c r="G1148" s="12">
        <v>0</v>
      </c>
      <c r="H1148" s="10"/>
      <c r="I1148" s="10"/>
    </row>
    <row r="1149" spans="1:9">
      <c r="A1149" s="10" t="s">
        <v>1872</v>
      </c>
      <c r="B1149" s="124" t="s">
        <v>504</v>
      </c>
      <c r="C1149" s="124" t="s">
        <v>533</v>
      </c>
      <c r="D1149" s="12">
        <v>2170000</v>
      </c>
      <c r="E1149" s="82">
        <v>0.96257815219999998</v>
      </c>
      <c r="F1149" s="14">
        <v>2088794.59</v>
      </c>
      <c r="G1149" s="12">
        <v>0</v>
      </c>
      <c r="H1149" s="10"/>
      <c r="I1149" s="10"/>
    </row>
    <row r="1150" spans="1:9">
      <c r="A1150" s="10" t="s">
        <v>1873</v>
      </c>
      <c r="B1150" s="124" t="s">
        <v>497</v>
      </c>
      <c r="C1150" s="124" t="s">
        <v>533</v>
      </c>
      <c r="D1150" s="12">
        <v>2170000</v>
      </c>
      <c r="E1150" s="82">
        <v>0.96174129949999998</v>
      </c>
      <c r="F1150" s="14">
        <v>2086978.62</v>
      </c>
      <c r="G1150" s="12">
        <v>0</v>
      </c>
      <c r="H1150" s="10"/>
      <c r="I1150" s="10"/>
    </row>
    <row r="1151" spans="1:9">
      <c r="A1151" s="10" t="s">
        <v>1874</v>
      </c>
      <c r="B1151" s="124" t="s">
        <v>500</v>
      </c>
      <c r="C1151" s="124" t="s">
        <v>533</v>
      </c>
      <c r="D1151" s="12">
        <v>2170000</v>
      </c>
      <c r="E1151" s="82">
        <v>0.95674971369999995</v>
      </c>
      <c r="F1151" s="14">
        <v>2076146.88</v>
      </c>
      <c r="G1151" s="12">
        <v>0</v>
      </c>
      <c r="H1151" s="10"/>
      <c r="I1151" s="10"/>
    </row>
    <row r="1152" spans="1:9">
      <c r="A1152" s="10" t="s">
        <v>1875</v>
      </c>
      <c r="B1152" s="124" t="s">
        <v>674</v>
      </c>
      <c r="C1152" s="124" t="s">
        <v>533</v>
      </c>
      <c r="D1152" s="12">
        <v>2170000</v>
      </c>
      <c r="E1152" s="82">
        <v>0.92941554839999996</v>
      </c>
      <c r="F1152" s="14">
        <v>2016831.74</v>
      </c>
      <c r="G1152" s="12">
        <v>0</v>
      </c>
      <c r="H1152" s="10"/>
      <c r="I1152" s="10"/>
    </row>
    <row r="1153" spans="1:9">
      <c r="A1153" s="10" t="s">
        <v>1876</v>
      </c>
      <c r="B1153" s="124" t="s">
        <v>655</v>
      </c>
      <c r="C1153" s="124" t="s">
        <v>533</v>
      </c>
      <c r="D1153" s="12">
        <v>2170000</v>
      </c>
      <c r="E1153" s="82">
        <v>0.95017442419999998</v>
      </c>
      <c r="F1153" s="154">
        <v>2061878.5</v>
      </c>
      <c r="G1153" s="12">
        <v>0</v>
      </c>
      <c r="H1153" s="10"/>
      <c r="I1153" s="10"/>
    </row>
    <row r="1154" spans="1:9">
      <c r="A1154" s="10" t="s">
        <v>1877</v>
      </c>
      <c r="B1154" s="124" t="s">
        <v>520</v>
      </c>
      <c r="C1154" s="124" t="s">
        <v>533</v>
      </c>
      <c r="D1154" s="12">
        <v>10000000</v>
      </c>
      <c r="E1154" s="82">
        <v>0.97520572979999998</v>
      </c>
      <c r="F1154" s="154">
        <v>9752057.3000000007</v>
      </c>
      <c r="G1154" s="14">
        <v>0.01</v>
      </c>
      <c r="H1154" s="10"/>
      <c r="I1154" s="10"/>
    </row>
    <row r="1155" spans="1:9">
      <c r="A1155" s="10" t="s">
        <v>1878</v>
      </c>
      <c r="B1155" s="124" t="s">
        <v>482</v>
      </c>
      <c r="C1155" s="124" t="s">
        <v>533</v>
      </c>
      <c r="D1155" s="12">
        <v>10000000</v>
      </c>
      <c r="E1155" s="82">
        <v>0.98702009410000002</v>
      </c>
      <c r="F1155" s="14">
        <v>9870200.9399999995</v>
      </c>
      <c r="G1155" s="14">
        <v>0.01</v>
      </c>
      <c r="H1155" s="10"/>
      <c r="I1155" s="10"/>
    </row>
    <row r="1156" spans="1:9">
      <c r="A1156" s="10" t="s">
        <v>1879</v>
      </c>
      <c r="B1156" s="124" t="s">
        <v>490</v>
      </c>
      <c r="C1156" s="124" t="s">
        <v>533</v>
      </c>
      <c r="D1156" s="12">
        <v>10000000</v>
      </c>
      <c r="E1156" s="82">
        <v>0.98107742009999999</v>
      </c>
      <c r="F1156" s="154">
        <v>9810774.1999999993</v>
      </c>
      <c r="G1156" s="14">
        <v>0.01</v>
      </c>
      <c r="H1156" s="10"/>
      <c r="I1156" s="10"/>
    </row>
    <row r="1157" spans="1:9">
      <c r="A1157" s="10" t="s">
        <v>1880</v>
      </c>
      <c r="B1157" s="124" t="s">
        <v>680</v>
      </c>
      <c r="C1157" s="124" t="s">
        <v>533</v>
      </c>
      <c r="D1157" s="14">
        <v>18999660.98</v>
      </c>
      <c r="E1157" s="82">
        <v>0.96940403060000002</v>
      </c>
      <c r="F1157" s="14">
        <v>18418347.93</v>
      </c>
      <c r="G1157" s="14">
        <v>0.02</v>
      </c>
      <c r="H1157" s="10"/>
      <c r="I1157" s="10"/>
    </row>
    <row r="1158" spans="1:9">
      <c r="A1158" s="10" t="s">
        <v>1881</v>
      </c>
      <c r="B1158" s="124" t="s">
        <v>680</v>
      </c>
      <c r="C1158" s="124" t="s">
        <v>533</v>
      </c>
      <c r="D1158" s="14">
        <v>1650365.38</v>
      </c>
      <c r="E1158" s="82">
        <v>0.96940402960000005</v>
      </c>
      <c r="F1158" s="14">
        <v>1599870.85</v>
      </c>
      <c r="G1158" s="12">
        <v>0</v>
      </c>
      <c r="H1158" s="10"/>
      <c r="I1158" s="10"/>
    </row>
    <row r="1159" spans="1:9">
      <c r="A1159" s="10" t="s">
        <v>1882</v>
      </c>
      <c r="B1159" s="124" t="s">
        <v>728</v>
      </c>
      <c r="C1159" s="124" t="s">
        <v>533</v>
      </c>
      <c r="D1159" s="12">
        <v>1500000000</v>
      </c>
      <c r="E1159" s="82">
        <v>0.99819505220000004</v>
      </c>
      <c r="F1159" s="154">
        <v>1497292578.3</v>
      </c>
      <c r="G1159" s="14">
        <v>1.99</v>
      </c>
      <c r="H1159" s="10"/>
      <c r="I1159" s="10"/>
    </row>
    <row r="1160" spans="1:9">
      <c r="A1160" s="10" t="s">
        <v>1885</v>
      </c>
      <c r="B1160" s="124" t="s">
        <v>257</v>
      </c>
      <c r="C1160" s="124" t="s">
        <v>348</v>
      </c>
      <c r="D1160" s="12">
        <v>15000000</v>
      </c>
      <c r="E1160" s="82">
        <v>0.91985890780000001</v>
      </c>
      <c r="F1160" s="14">
        <v>13797883.619999999</v>
      </c>
      <c r="G1160" s="14">
        <v>0.02</v>
      </c>
      <c r="H1160" s="10"/>
      <c r="I1160" s="10"/>
    </row>
    <row r="1161" spans="1:9">
      <c r="A1161" s="10" t="s">
        <v>1886</v>
      </c>
      <c r="B1161" s="124" t="s">
        <v>443</v>
      </c>
      <c r="C1161" s="124" t="s">
        <v>348</v>
      </c>
      <c r="D1161" s="12">
        <v>5935576</v>
      </c>
      <c r="E1161" s="82">
        <v>0.9930351529</v>
      </c>
      <c r="F1161" s="14">
        <v>5894235.6200000001</v>
      </c>
      <c r="G1161" s="14">
        <v>0.01</v>
      </c>
      <c r="H1161" s="10"/>
      <c r="I1161" s="10"/>
    </row>
    <row r="1162" spans="1:9">
      <c r="A1162" s="10" t="s">
        <v>1887</v>
      </c>
      <c r="B1162" s="124" t="s">
        <v>506</v>
      </c>
      <c r="C1162" s="124" t="s">
        <v>348</v>
      </c>
      <c r="D1162" s="12">
        <v>3696365</v>
      </c>
      <c r="E1162" s="82">
        <v>0.99912406369999995</v>
      </c>
      <c r="F1162" s="14">
        <v>3693127.22</v>
      </c>
      <c r="G1162" s="12">
        <v>0</v>
      </c>
      <c r="H1162" s="10"/>
      <c r="I1162" s="10"/>
    </row>
    <row r="1163" spans="1:9">
      <c r="A1163" s="10" t="s">
        <v>1889</v>
      </c>
      <c r="B1163" s="124" t="s">
        <v>474</v>
      </c>
      <c r="C1163" s="124" t="s">
        <v>348</v>
      </c>
      <c r="D1163" s="12">
        <v>23000000</v>
      </c>
      <c r="E1163" s="82">
        <v>0.99729501949999999</v>
      </c>
      <c r="F1163" s="14">
        <v>22937785.449999999</v>
      </c>
      <c r="G1163" s="14">
        <v>0.03</v>
      </c>
      <c r="H1163" s="10"/>
      <c r="I1163" s="10"/>
    </row>
    <row r="1164" spans="1:9">
      <c r="A1164" s="10" t="s">
        <v>1890</v>
      </c>
      <c r="B1164" s="124" t="s">
        <v>504</v>
      </c>
      <c r="C1164" s="124" t="s">
        <v>348</v>
      </c>
      <c r="D1164" s="14">
        <v>14627728.42</v>
      </c>
      <c r="E1164" s="82">
        <v>0.96367100279999995</v>
      </c>
      <c r="F1164" s="14">
        <v>14096317.720000001</v>
      </c>
      <c r="G1164" s="14">
        <v>0.02</v>
      </c>
      <c r="H1164" s="10"/>
      <c r="I1164" s="10"/>
    </row>
    <row r="1165" spans="1:9">
      <c r="A1165" s="10" t="s">
        <v>1891</v>
      </c>
      <c r="B1165" s="124" t="s">
        <v>529</v>
      </c>
      <c r="C1165" s="124" t="s">
        <v>348</v>
      </c>
      <c r="D1165" s="12">
        <v>10000000</v>
      </c>
      <c r="E1165" s="82">
        <v>0.98276799410000004</v>
      </c>
      <c r="F1165" s="14">
        <v>9827679.9399999995</v>
      </c>
      <c r="G1165" s="14">
        <v>0.01</v>
      </c>
      <c r="H1165" s="10"/>
      <c r="I1165" s="10"/>
    </row>
    <row r="1166" spans="1:9">
      <c r="A1166" s="10" t="s">
        <v>1892</v>
      </c>
      <c r="B1166" s="124" t="s">
        <v>518</v>
      </c>
      <c r="C1166" s="124" t="s">
        <v>348</v>
      </c>
      <c r="D1166" s="12">
        <v>10000000</v>
      </c>
      <c r="E1166" s="82">
        <v>0.97687625460000005</v>
      </c>
      <c r="F1166" s="14">
        <v>9768762.5500000007</v>
      </c>
      <c r="G1166" s="14">
        <v>0.01</v>
      </c>
      <c r="H1166" s="10"/>
      <c r="I1166" s="10"/>
    </row>
    <row r="1167" spans="1:9">
      <c r="A1167" s="10" t="s">
        <v>1893</v>
      </c>
      <c r="B1167" s="124" t="s">
        <v>506</v>
      </c>
      <c r="C1167" s="124" t="s">
        <v>348</v>
      </c>
      <c r="D1167" s="12">
        <v>10000000</v>
      </c>
      <c r="E1167" s="158">
        <v>0.99912406499999995</v>
      </c>
      <c r="F1167" s="14">
        <v>9991240.6500000004</v>
      </c>
      <c r="G1167" s="14">
        <v>0.01</v>
      </c>
      <c r="H1167" s="10"/>
      <c r="I1167" s="10"/>
    </row>
    <row r="1168" spans="1:9">
      <c r="A1168" s="10" t="s">
        <v>1894</v>
      </c>
      <c r="B1168" s="124" t="s">
        <v>520</v>
      </c>
      <c r="C1168" s="124" t="s">
        <v>348</v>
      </c>
      <c r="D1168" s="12">
        <v>10000000</v>
      </c>
      <c r="E1168" s="82">
        <v>0.97520577060000002</v>
      </c>
      <c r="F1168" s="14">
        <v>9752057.7100000009</v>
      </c>
      <c r="G1168" s="14">
        <v>0.01</v>
      </c>
      <c r="H1168" s="10"/>
      <c r="I1168" s="10"/>
    </row>
    <row r="1169" spans="1:9">
      <c r="A1169" s="10" t="s">
        <v>1895</v>
      </c>
      <c r="B1169" s="124" t="s">
        <v>497</v>
      </c>
      <c r="C1169" s="124" t="s">
        <v>348</v>
      </c>
      <c r="D1169" s="12">
        <v>5400000</v>
      </c>
      <c r="E1169" s="82">
        <v>0.96062746669999999</v>
      </c>
      <c r="F1169" s="14">
        <v>5187388.32</v>
      </c>
      <c r="G1169" s="14">
        <v>0.01</v>
      </c>
      <c r="H1169" s="10"/>
      <c r="I1169" s="10"/>
    </row>
    <row r="1170" spans="1:9">
      <c r="A1170" s="10" t="s">
        <v>1896</v>
      </c>
      <c r="B1170" s="124" t="s">
        <v>520</v>
      </c>
      <c r="C1170" s="124" t="s">
        <v>348</v>
      </c>
      <c r="D1170" s="12">
        <v>5400000</v>
      </c>
      <c r="E1170" s="82">
        <v>0.97369689049999997</v>
      </c>
      <c r="F1170" s="14">
        <v>5257963.21</v>
      </c>
      <c r="G1170" s="14">
        <v>0.01</v>
      </c>
      <c r="H1170" s="10"/>
      <c r="I1170" s="10"/>
    </row>
    <row r="1171" spans="1:9">
      <c r="A1171" s="10" t="s">
        <v>1897</v>
      </c>
      <c r="B1171" s="124" t="s">
        <v>750</v>
      </c>
      <c r="C1171" s="124" t="s">
        <v>348</v>
      </c>
      <c r="D1171" s="12">
        <v>5400000</v>
      </c>
      <c r="E1171" s="82">
        <v>0.94790423580000005</v>
      </c>
      <c r="F1171" s="14">
        <v>5118682.87</v>
      </c>
      <c r="G1171" s="14">
        <v>0.01</v>
      </c>
      <c r="H1171" s="10"/>
      <c r="I1171" s="10"/>
    </row>
    <row r="1172" spans="1:9">
      <c r="A1172" s="10" t="s">
        <v>1898</v>
      </c>
      <c r="B1172" s="124" t="s">
        <v>482</v>
      </c>
      <c r="C1172" s="124" t="s">
        <v>348</v>
      </c>
      <c r="D1172" s="12">
        <v>5400000</v>
      </c>
      <c r="E1172" s="82">
        <v>0.98621995370000004</v>
      </c>
      <c r="F1172" s="14">
        <v>5325587.75</v>
      </c>
      <c r="G1172" s="14">
        <v>0.01</v>
      </c>
      <c r="H1172" s="10"/>
      <c r="I1172" s="10"/>
    </row>
    <row r="1173" spans="1:9">
      <c r="A1173" s="10" t="s">
        <v>1899</v>
      </c>
      <c r="B1173" s="124" t="s">
        <v>587</v>
      </c>
      <c r="C1173" s="124" t="s">
        <v>348</v>
      </c>
      <c r="D1173" s="12">
        <v>30000000</v>
      </c>
      <c r="E1173" s="82">
        <v>0.95961721929999999</v>
      </c>
      <c r="F1173" s="14">
        <v>28788516.579999998</v>
      </c>
      <c r="G1173" s="14">
        <v>0.04</v>
      </c>
      <c r="H1173" s="10"/>
      <c r="I1173" s="10"/>
    </row>
    <row r="1174" spans="1:9">
      <c r="A1174" s="10" t="s">
        <v>1900</v>
      </c>
      <c r="B1174" s="124" t="s">
        <v>448</v>
      </c>
      <c r="C1174" s="124" t="s">
        <v>348</v>
      </c>
      <c r="D1174" s="12">
        <v>30000000</v>
      </c>
      <c r="E1174" s="82">
        <v>0.98531482280000005</v>
      </c>
      <c r="F1174" s="14">
        <v>29559444.68</v>
      </c>
      <c r="G1174" s="14">
        <v>0.04</v>
      </c>
      <c r="H1174" s="10"/>
      <c r="I1174" s="10"/>
    </row>
    <row r="1175" spans="1:9">
      <c r="A1175" s="10" t="s">
        <v>1901</v>
      </c>
      <c r="B1175" s="124" t="s">
        <v>438</v>
      </c>
      <c r="C1175" s="124" t="s">
        <v>348</v>
      </c>
      <c r="D1175" s="12">
        <v>154000000</v>
      </c>
      <c r="E1175" s="82">
        <v>0.99071717930000003</v>
      </c>
      <c r="F1175" s="14">
        <v>152570445.61000001</v>
      </c>
      <c r="G1175" s="154">
        <v>0.2</v>
      </c>
      <c r="H1175" s="10"/>
      <c r="I1175" s="10"/>
    </row>
    <row r="1176" spans="1:9">
      <c r="A1176" s="10" t="s">
        <v>1902</v>
      </c>
      <c r="B1176" s="124" t="s">
        <v>527</v>
      </c>
      <c r="C1176" s="124" t="s">
        <v>348</v>
      </c>
      <c r="D1176" s="14">
        <v>3625698.78</v>
      </c>
      <c r="E1176" s="82">
        <v>0.97312582039999995</v>
      </c>
      <c r="F1176" s="154">
        <v>3528261.1</v>
      </c>
      <c r="G1176" s="12">
        <v>0</v>
      </c>
      <c r="H1176" s="10"/>
      <c r="I1176" s="10"/>
    </row>
    <row r="1177" spans="1:9">
      <c r="A1177" s="10" t="s">
        <v>1903</v>
      </c>
      <c r="B1177" s="124" t="s">
        <v>574</v>
      </c>
      <c r="C1177" s="124" t="s">
        <v>348</v>
      </c>
      <c r="D1177" s="14">
        <v>3625698.78</v>
      </c>
      <c r="E1177" s="82">
        <v>0.9647917305</v>
      </c>
      <c r="F1177" s="154">
        <v>3498044.2</v>
      </c>
      <c r="G1177" s="12">
        <v>0</v>
      </c>
      <c r="H1177" s="10"/>
      <c r="I1177" s="10"/>
    </row>
    <row r="1178" spans="1:9">
      <c r="A1178" s="10" t="s">
        <v>1904</v>
      </c>
      <c r="B1178" s="124" t="s">
        <v>883</v>
      </c>
      <c r="C1178" s="124" t="s">
        <v>348</v>
      </c>
      <c r="D1178" s="14">
        <v>3625698.78</v>
      </c>
      <c r="E1178" s="82">
        <v>0.96113334630000002</v>
      </c>
      <c r="F1178" s="12">
        <v>3484780</v>
      </c>
      <c r="G1178" s="12">
        <v>0</v>
      </c>
      <c r="H1178" s="10"/>
      <c r="I1178" s="10"/>
    </row>
    <row r="1179" spans="1:9">
      <c r="A1179" s="10" t="s">
        <v>1905</v>
      </c>
      <c r="B1179" s="124" t="s">
        <v>504</v>
      </c>
      <c r="C1179" s="124" t="s">
        <v>348</v>
      </c>
      <c r="D1179" s="14">
        <v>3625698.78</v>
      </c>
      <c r="E1179" s="82">
        <v>0.95931463139999995</v>
      </c>
      <c r="F1179" s="14">
        <v>3478185.89</v>
      </c>
      <c r="G1179" s="12">
        <v>0</v>
      </c>
      <c r="H1179" s="10"/>
      <c r="I1179" s="10"/>
    </row>
    <row r="1180" spans="1:9">
      <c r="A1180" s="10" t="s">
        <v>1906</v>
      </c>
      <c r="B1180" s="124" t="s">
        <v>651</v>
      </c>
      <c r="C1180" s="124" t="s">
        <v>348</v>
      </c>
      <c r="D1180" s="12">
        <v>2954385</v>
      </c>
      <c r="E1180" s="82">
        <v>0.93283586610000002</v>
      </c>
      <c r="F1180" s="14">
        <v>2755956.29</v>
      </c>
      <c r="G1180" s="12">
        <v>0</v>
      </c>
      <c r="H1180" s="10"/>
      <c r="I1180" s="10"/>
    </row>
    <row r="1181" spans="1:9">
      <c r="A1181" s="10" t="s">
        <v>1907</v>
      </c>
      <c r="B1181" s="124" t="s">
        <v>497</v>
      </c>
      <c r="C1181" s="124" t="s">
        <v>348</v>
      </c>
      <c r="D1181" s="14">
        <v>3625698.78</v>
      </c>
      <c r="E1181" s="82">
        <v>0.95840776130000005</v>
      </c>
      <c r="F1181" s="14">
        <v>3474897.85</v>
      </c>
      <c r="G1181" s="12">
        <v>0</v>
      </c>
      <c r="H1181" s="10"/>
      <c r="I1181" s="10"/>
    </row>
    <row r="1182" spans="1:9">
      <c r="A1182" s="10" t="s">
        <v>1908</v>
      </c>
      <c r="B1182" s="124" t="s">
        <v>766</v>
      </c>
      <c r="C1182" s="124" t="s">
        <v>348</v>
      </c>
      <c r="D1182" s="14">
        <v>3625698.78</v>
      </c>
      <c r="E1182" s="82">
        <v>0.97033189850000001</v>
      </c>
      <c r="F1182" s="14">
        <v>3518131.18</v>
      </c>
      <c r="G1182" s="12">
        <v>0</v>
      </c>
      <c r="H1182" s="10"/>
      <c r="I1182" s="10"/>
    </row>
    <row r="1183" spans="1:9">
      <c r="A1183" s="10" t="s">
        <v>1909</v>
      </c>
      <c r="B1183" s="124" t="s">
        <v>524</v>
      </c>
      <c r="C1183" s="124" t="s">
        <v>348</v>
      </c>
      <c r="D1183" s="14">
        <v>3625698.78</v>
      </c>
      <c r="E1183" s="82">
        <v>0.96755397580000002</v>
      </c>
      <c r="F1183" s="14">
        <v>3508059.27</v>
      </c>
      <c r="G1183" s="12">
        <v>0</v>
      </c>
      <c r="H1183" s="10"/>
      <c r="I1183" s="10"/>
    </row>
    <row r="1184" spans="1:9">
      <c r="A1184" s="10" t="s">
        <v>1910</v>
      </c>
      <c r="B1184" s="124" t="s">
        <v>660</v>
      </c>
      <c r="C1184" s="124" t="s">
        <v>348</v>
      </c>
      <c r="D1184" s="14">
        <v>3625698.78</v>
      </c>
      <c r="E1184" s="82">
        <v>0.96663146970000002</v>
      </c>
      <c r="F1184" s="14">
        <v>3504714.54</v>
      </c>
      <c r="G1184" s="12">
        <v>0</v>
      </c>
      <c r="H1184" s="10"/>
      <c r="I1184" s="10"/>
    </row>
    <row r="1185" spans="1:9">
      <c r="A1185" s="10" t="s">
        <v>1911</v>
      </c>
      <c r="B1185" s="124" t="s">
        <v>593</v>
      </c>
      <c r="C1185" s="124" t="s">
        <v>348</v>
      </c>
      <c r="D1185" s="14">
        <v>3625698.78</v>
      </c>
      <c r="E1185" s="82">
        <v>0.96022322319999998</v>
      </c>
      <c r="F1185" s="14">
        <v>3481480.17</v>
      </c>
      <c r="G1185" s="12">
        <v>0</v>
      </c>
      <c r="H1185" s="10"/>
      <c r="I1185" s="10"/>
    </row>
    <row r="1186" spans="1:9">
      <c r="A1186" s="10" t="s">
        <v>1912</v>
      </c>
      <c r="B1186" s="124" t="s">
        <v>819</v>
      </c>
      <c r="C1186" s="124" t="s">
        <v>348</v>
      </c>
      <c r="D1186" s="12">
        <v>2954385</v>
      </c>
      <c r="E1186" s="82">
        <v>0.92771464849999996</v>
      </c>
      <c r="F1186" s="14">
        <v>2740826.24</v>
      </c>
      <c r="G1186" s="12">
        <v>0</v>
      </c>
      <c r="H1186" s="10"/>
      <c r="I1186" s="10"/>
    </row>
    <row r="1187" spans="1:9">
      <c r="A1187" s="10" t="s">
        <v>1913</v>
      </c>
      <c r="B1187" s="124" t="s">
        <v>522</v>
      </c>
      <c r="C1187" s="124" t="s">
        <v>348</v>
      </c>
      <c r="D1187" s="14">
        <v>3625698.78</v>
      </c>
      <c r="E1187" s="82">
        <v>0.9712613108</v>
      </c>
      <c r="F1187" s="14">
        <v>3521500.95</v>
      </c>
      <c r="G1187" s="12">
        <v>0</v>
      </c>
      <c r="H1187" s="10"/>
      <c r="I1187" s="10"/>
    </row>
    <row r="1188" spans="1:9">
      <c r="A1188" s="10" t="s">
        <v>1914</v>
      </c>
      <c r="B1188" s="124" t="s">
        <v>516</v>
      </c>
      <c r="C1188" s="124" t="s">
        <v>348</v>
      </c>
      <c r="D1188" s="12">
        <v>40000000</v>
      </c>
      <c r="E1188" s="82">
        <v>0.97813279630000005</v>
      </c>
      <c r="F1188" s="14">
        <v>39125311.850000001</v>
      </c>
      <c r="G1188" s="14">
        <v>0.05</v>
      </c>
      <c r="H1188" s="10"/>
      <c r="I1188" s="10"/>
    </row>
    <row r="1189" spans="1:9">
      <c r="A1189" s="10" t="s">
        <v>1919</v>
      </c>
      <c r="B1189" s="124" t="s">
        <v>1019</v>
      </c>
      <c r="C1189" s="124" t="s">
        <v>436</v>
      </c>
      <c r="D1189" s="12">
        <v>30000000</v>
      </c>
      <c r="E1189" s="82">
        <v>0.94234908129999995</v>
      </c>
      <c r="F1189" s="14">
        <v>28270472.440000001</v>
      </c>
      <c r="G1189" s="14">
        <v>0.04</v>
      </c>
      <c r="H1189" s="10"/>
      <c r="I1189" s="10"/>
    </row>
    <row r="1190" spans="1:9">
      <c r="A1190" s="10" t="s">
        <v>1920</v>
      </c>
      <c r="B1190" s="124" t="s">
        <v>680</v>
      </c>
      <c r="C1190" s="124" t="s">
        <v>436</v>
      </c>
      <c r="D1190" s="14">
        <v>695186.79</v>
      </c>
      <c r="E1190" s="82">
        <v>0.97593587770000001</v>
      </c>
      <c r="F1190" s="14">
        <v>678457.73</v>
      </c>
      <c r="G1190" s="12">
        <v>0</v>
      </c>
      <c r="H1190" s="10"/>
      <c r="I1190" s="10"/>
    </row>
    <row r="1191" spans="1:9">
      <c r="A1191" s="10" t="s">
        <v>1921</v>
      </c>
      <c r="B1191" s="124" t="s">
        <v>728</v>
      </c>
      <c r="C1191" s="124" t="s">
        <v>436</v>
      </c>
      <c r="D1191" s="12">
        <v>500000000</v>
      </c>
      <c r="E1191" s="82">
        <v>0.99819505539999998</v>
      </c>
      <c r="F1191" s="154">
        <v>499097527.69999999</v>
      </c>
      <c r="G1191" s="14">
        <v>0.66</v>
      </c>
      <c r="H1191" s="10"/>
      <c r="I1191" s="10"/>
    </row>
    <row r="1192" spans="1:9">
      <c r="A1192" s="10" t="s">
        <v>1922</v>
      </c>
      <c r="B1192" s="124" t="s">
        <v>728</v>
      </c>
      <c r="C1192" s="124" t="s">
        <v>436</v>
      </c>
      <c r="D1192" s="12">
        <v>500000000</v>
      </c>
      <c r="E1192" s="82">
        <v>0.99819505539999998</v>
      </c>
      <c r="F1192" s="154">
        <v>499097527.69999999</v>
      </c>
      <c r="G1192" s="14">
        <v>0.66</v>
      </c>
      <c r="H1192" s="10"/>
      <c r="I1192" s="10"/>
    </row>
    <row r="1193" spans="1:9">
      <c r="A1193" s="10" t="s">
        <v>1923</v>
      </c>
      <c r="B1193" s="124" t="s">
        <v>660</v>
      </c>
      <c r="C1193" s="124" t="s">
        <v>436</v>
      </c>
      <c r="D1193" s="12">
        <v>750000000</v>
      </c>
      <c r="E1193" s="82">
        <v>0.96484280759999996</v>
      </c>
      <c r="F1193" s="154">
        <v>723632105.70000005</v>
      </c>
      <c r="G1193" s="14">
        <v>0.96</v>
      </c>
      <c r="H1193" s="10"/>
      <c r="I1193" s="10"/>
    </row>
    <row r="1194" spans="1:9">
      <c r="A1194" s="10" t="s">
        <v>1924</v>
      </c>
      <c r="B1194" s="124" t="s">
        <v>474</v>
      </c>
      <c r="C1194" s="124" t="s">
        <v>436</v>
      </c>
      <c r="D1194" s="12">
        <v>41429083</v>
      </c>
      <c r="E1194" s="82">
        <v>0.99745853689999997</v>
      </c>
      <c r="F1194" s="14">
        <v>41323792.509999998</v>
      </c>
      <c r="G1194" s="14">
        <v>0.05</v>
      </c>
      <c r="H1194" s="10"/>
      <c r="I1194" s="10"/>
    </row>
    <row r="1195" spans="1:9">
      <c r="A1195" s="10" t="s">
        <v>1925</v>
      </c>
      <c r="B1195" s="124" t="s">
        <v>510</v>
      </c>
      <c r="C1195" s="124" t="s">
        <v>436</v>
      </c>
      <c r="D1195" s="12">
        <v>20000000</v>
      </c>
      <c r="E1195" s="157">
        <v>0.99157839999999997</v>
      </c>
      <c r="F1195" s="12">
        <v>19831568</v>
      </c>
      <c r="G1195" s="14">
        <v>0.03</v>
      </c>
      <c r="H1195" s="10"/>
      <c r="I1195" s="10"/>
    </row>
    <row r="1196" spans="1:9">
      <c r="A1196" s="10" t="s">
        <v>1926</v>
      </c>
      <c r="B1196" s="124" t="s">
        <v>443</v>
      </c>
      <c r="C1196" s="124" t="s">
        <v>436</v>
      </c>
      <c r="D1196" s="12">
        <v>7500000</v>
      </c>
      <c r="E1196" s="82">
        <v>0.99325139070000001</v>
      </c>
      <c r="F1196" s="14">
        <v>7449385.4299999997</v>
      </c>
      <c r="G1196" s="14">
        <v>0.01</v>
      </c>
      <c r="H1196" s="10"/>
      <c r="I1196" s="10"/>
    </row>
    <row r="1197" spans="1:9">
      <c r="A1197" s="10" t="s">
        <v>1927</v>
      </c>
      <c r="B1197" s="124" t="s">
        <v>774</v>
      </c>
      <c r="C1197" s="124" t="s">
        <v>436</v>
      </c>
      <c r="D1197" s="12">
        <v>50000000</v>
      </c>
      <c r="E1197" s="82">
        <v>0.89067852579999995</v>
      </c>
      <c r="F1197" s="14">
        <v>44533926.289999999</v>
      </c>
      <c r="G1197" s="14">
        <v>0.06</v>
      </c>
      <c r="H1197" s="10"/>
      <c r="I1197" s="10"/>
    </row>
    <row r="1198" spans="1:9">
      <c r="A1198" s="10" t="s">
        <v>1928</v>
      </c>
      <c r="B1198" s="124" t="s">
        <v>529</v>
      </c>
      <c r="C1198" s="124" t="s">
        <v>436</v>
      </c>
      <c r="D1198" s="12">
        <v>5000000</v>
      </c>
      <c r="E1198" s="82">
        <v>0.98329748370000003</v>
      </c>
      <c r="F1198" s="14">
        <v>4916487.42</v>
      </c>
      <c r="G1198" s="14">
        <v>0.01</v>
      </c>
      <c r="H1198" s="10"/>
      <c r="I1198" s="10"/>
    </row>
    <row r="1199" spans="1:9">
      <c r="A1199" s="10" t="s">
        <v>1929</v>
      </c>
      <c r="B1199" s="124" t="s">
        <v>482</v>
      </c>
      <c r="C1199" s="124" t="s">
        <v>436</v>
      </c>
      <c r="D1199" s="12">
        <v>40000000</v>
      </c>
      <c r="E1199" s="82">
        <v>0.98742063030000005</v>
      </c>
      <c r="F1199" s="14">
        <v>39496825.210000001</v>
      </c>
      <c r="G1199" s="14">
        <v>0.05</v>
      </c>
      <c r="H1199" s="10"/>
      <c r="I1199" s="10"/>
    </row>
    <row r="1200" spans="1:9">
      <c r="A1200" s="10" t="s">
        <v>1930</v>
      </c>
      <c r="B1200" s="124" t="s">
        <v>580</v>
      </c>
      <c r="C1200" s="124" t="s">
        <v>436</v>
      </c>
      <c r="D1200" s="12">
        <v>48000000</v>
      </c>
      <c r="E1200" s="82">
        <v>0.98824933130000003</v>
      </c>
      <c r="F1200" s="154">
        <v>47435967.899999999</v>
      </c>
      <c r="G1200" s="14">
        <v>0.06</v>
      </c>
      <c r="H1200" s="10"/>
      <c r="I1200" s="10"/>
    </row>
    <row r="1201" spans="1:9">
      <c r="A1201" s="10" t="s">
        <v>1931</v>
      </c>
      <c r="B1201" s="124" t="s">
        <v>778</v>
      </c>
      <c r="C1201" s="124" t="s">
        <v>436</v>
      </c>
      <c r="D1201" s="12">
        <v>22500000</v>
      </c>
      <c r="E1201" s="82">
        <v>0.93176439489999996</v>
      </c>
      <c r="F1201" s="14">
        <v>20964698.890000001</v>
      </c>
      <c r="G1201" s="14">
        <v>0.03</v>
      </c>
      <c r="H1201" s="10"/>
      <c r="I1201" s="10"/>
    </row>
    <row r="1202" spans="1:9">
      <c r="A1202" s="10" t="s">
        <v>1932</v>
      </c>
      <c r="B1202" s="124" t="s">
        <v>766</v>
      </c>
      <c r="C1202" s="124" t="s">
        <v>436</v>
      </c>
      <c r="D1202" s="154">
        <v>13004266.5</v>
      </c>
      <c r="E1202" s="82">
        <v>0.97677164620000001</v>
      </c>
      <c r="F1202" s="154">
        <v>12702198.800000001</v>
      </c>
      <c r="G1202" s="14">
        <v>0.02</v>
      </c>
      <c r="H1202" s="10"/>
      <c r="I1202" s="10"/>
    </row>
    <row r="1203" spans="1:9">
      <c r="A1203" s="10" t="s">
        <v>1933</v>
      </c>
      <c r="B1203" s="124" t="s">
        <v>766</v>
      </c>
      <c r="C1203" s="124" t="s">
        <v>436</v>
      </c>
      <c r="D1203" s="14">
        <v>41120279.869999997</v>
      </c>
      <c r="E1203" s="158">
        <v>0.97677164699999997</v>
      </c>
      <c r="F1203" s="14">
        <v>40165123.490000002</v>
      </c>
      <c r="G1203" s="14">
        <v>0.05</v>
      </c>
      <c r="H1203" s="10"/>
      <c r="I1203" s="10"/>
    </row>
    <row r="1204" spans="1:9">
      <c r="A1204" s="10" t="s">
        <v>1934</v>
      </c>
      <c r="B1204" s="124" t="s">
        <v>766</v>
      </c>
      <c r="C1204" s="124" t="s">
        <v>436</v>
      </c>
      <c r="D1204" s="14">
        <v>41120279.880000003</v>
      </c>
      <c r="E1204" s="158">
        <v>0.97677164699999997</v>
      </c>
      <c r="F1204" s="154">
        <v>40165123.5</v>
      </c>
      <c r="G1204" s="14">
        <v>0.05</v>
      </c>
      <c r="H1204" s="10"/>
      <c r="I1204" s="10"/>
    </row>
    <row r="1205" spans="1:9">
      <c r="A1205" s="10" t="s">
        <v>1942</v>
      </c>
      <c r="B1205" s="124" t="s">
        <v>651</v>
      </c>
      <c r="C1205" s="124" t="s">
        <v>164</v>
      </c>
      <c r="D1205" s="12">
        <v>10000000</v>
      </c>
      <c r="E1205" s="82">
        <v>0.94161965130000003</v>
      </c>
      <c r="F1205" s="14">
        <v>9416196.5099999998</v>
      </c>
      <c r="G1205" s="14">
        <v>0.01</v>
      </c>
      <c r="H1205" s="10"/>
      <c r="I1205" s="10"/>
    </row>
    <row r="1206" spans="1:9">
      <c r="A1206" s="10" t="s">
        <v>1943</v>
      </c>
      <c r="B1206" s="124" t="s">
        <v>1360</v>
      </c>
      <c r="C1206" s="124" t="s">
        <v>164</v>
      </c>
      <c r="D1206" s="12">
        <v>10000000</v>
      </c>
      <c r="E1206" s="82">
        <v>0.93936596480000001</v>
      </c>
      <c r="F1206" s="14">
        <v>9393659.6500000004</v>
      </c>
      <c r="G1206" s="14">
        <v>0.01</v>
      </c>
      <c r="H1206" s="10"/>
      <c r="I1206" s="10"/>
    </row>
    <row r="1207" spans="1:9">
      <c r="A1207" s="10" t="s">
        <v>1944</v>
      </c>
      <c r="B1207" s="124" t="s">
        <v>1019</v>
      </c>
      <c r="C1207" s="124" t="s">
        <v>164</v>
      </c>
      <c r="D1207" s="12">
        <v>10000000</v>
      </c>
      <c r="E1207" s="158">
        <v>0.93861706499999997</v>
      </c>
      <c r="F1207" s="14">
        <v>9386170.6500000004</v>
      </c>
      <c r="G1207" s="14">
        <v>0.01</v>
      </c>
      <c r="H1207" s="10"/>
      <c r="I1207" s="10"/>
    </row>
    <row r="1208" spans="1:9">
      <c r="A1208" s="10" t="s">
        <v>1945</v>
      </c>
      <c r="B1208" s="124" t="s">
        <v>502</v>
      </c>
      <c r="C1208" s="124" t="s">
        <v>164</v>
      </c>
      <c r="D1208" s="14">
        <v>3841101.28</v>
      </c>
      <c r="E1208" s="82">
        <v>0.94817523510000001</v>
      </c>
      <c r="F1208" s="14">
        <v>3642037.11</v>
      </c>
      <c r="G1208" s="12">
        <v>0</v>
      </c>
      <c r="H1208" s="10"/>
      <c r="I1208" s="10"/>
    </row>
    <row r="1209" spans="1:9">
      <c r="A1209" s="10" t="s">
        <v>1946</v>
      </c>
      <c r="B1209" s="124" t="s">
        <v>655</v>
      </c>
      <c r="C1209" s="124" t="s">
        <v>164</v>
      </c>
      <c r="D1209" s="14">
        <v>3841101.28</v>
      </c>
      <c r="E1209" s="82">
        <v>0.94731387840000003</v>
      </c>
      <c r="F1209" s="14">
        <v>3638728.55</v>
      </c>
      <c r="G1209" s="12">
        <v>0</v>
      </c>
      <c r="H1209" s="10"/>
      <c r="I1209" s="10"/>
    </row>
    <row r="1210" spans="1:9">
      <c r="A1210" s="10" t="s">
        <v>1947</v>
      </c>
      <c r="B1210" s="124" t="s">
        <v>750</v>
      </c>
      <c r="C1210" s="124" t="s">
        <v>164</v>
      </c>
      <c r="D1210" s="14">
        <v>3841101.28</v>
      </c>
      <c r="E1210" s="82">
        <v>0.94645408060000003</v>
      </c>
      <c r="F1210" s="14">
        <v>3635425.98</v>
      </c>
      <c r="G1210" s="12">
        <v>0</v>
      </c>
      <c r="H1210" s="10"/>
      <c r="I1210" s="10"/>
    </row>
    <row r="1211" spans="1:9">
      <c r="A1211" s="10" t="s">
        <v>1948</v>
      </c>
      <c r="B1211" s="124" t="s">
        <v>587</v>
      </c>
      <c r="C1211" s="124" t="s">
        <v>164</v>
      </c>
      <c r="D1211" s="14">
        <v>3625698.78</v>
      </c>
      <c r="E1211" s="82">
        <v>0.95599793830000002</v>
      </c>
      <c r="F1211" s="14">
        <v>3466160.56</v>
      </c>
      <c r="G1211" s="12">
        <v>0</v>
      </c>
      <c r="H1211" s="10"/>
      <c r="I1211" s="10"/>
    </row>
    <row r="1212" spans="1:9">
      <c r="A1212" s="10" t="s">
        <v>1949</v>
      </c>
      <c r="B1212" s="124" t="s">
        <v>446</v>
      </c>
      <c r="C1212" s="124" t="s">
        <v>164</v>
      </c>
      <c r="D1212" s="14">
        <v>3625698.78</v>
      </c>
      <c r="E1212" s="82">
        <v>0.95512251910000001</v>
      </c>
      <c r="F1212" s="14">
        <v>3462986.55</v>
      </c>
      <c r="G1212" s="12">
        <v>0</v>
      </c>
      <c r="H1212" s="10"/>
      <c r="I1212" s="10"/>
    </row>
    <row r="1213" spans="1:9">
      <c r="A1213" s="10" t="s">
        <v>1950</v>
      </c>
      <c r="B1213" s="124" t="s">
        <v>948</v>
      </c>
      <c r="C1213" s="124" t="s">
        <v>164</v>
      </c>
      <c r="D1213" s="14">
        <v>3625698.78</v>
      </c>
      <c r="E1213" s="82">
        <v>0.95250522950000005</v>
      </c>
      <c r="F1213" s="14">
        <v>3453497.05</v>
      </c>
      <c r="G1213" s="12">
        <v>0</v>
      </c>
      <c r="H1213" s="10"/>
      <c r="I1213" s="10"/>
    </row>
    <row r="1214" spans="1:9">
      <c r="A1214" s="10" t="s">
        <v>1951</v>
      </c>
      <c r="B1214" s="124" t="s">
        <v>950</v>
      </c>
      <c r="C1214" s="124" t="s">
        <v>164</v>
      </c>
      <c r="D1214" s="14">
        <v>3625698.78</v>
      </c>
      <c r="E1214" s="82">
        <v>0.94903817160000004</v>
      </c>
      <c r="F1214" s="14">
        <v>3440926.54</v>
      </c>
      <c r="G1214" s="12">
        <v>0</v>
      </c>
      <c r="H1214" s="10"/>
      <c r="I1214" s="10"/>
    </row>
    <row r="1215" spans="1:9">
      <c r="A1215" s="10" t="s">
        <v>1952</v>
      </c>
      <c r="B1215" s="124" t="s">
        <v>583</v>
      </c>
      <c r="C1215" s="124" t="s">
        <v>164</v>
      </c>
      <c r="D1215" s="14">
        <v>3625698.78</v>
      </c>
      <c r="E1215" s="82">
        <v>0.95337606949999998</v>
      </c>
      <c r="F1215" s="14">
        <v>3456654.45</v>
      </c>
      <c r="G1215" s="12">
        <v>0</v>
      </c>
      <c r="H1215" s="10"/>
      <c r="I1215" s="10"/>
    </row>
    <row r="1216" spans="1:9">
      <c r="A1216" s="10" t="s">
        <v>1953</v>
      </c>
      <c r="B1216" s="124" t="s">
        <v>793</v>
      </c>
      <c r="C1216" s="124" t="s">
        <v>164</v>
      </c>
      <c r="D1216" s="12">
        <v>20000000</v>
      </c>
      <c r="E1216" s="158">
        <v>0.94217879800000004</v>
      </c>
      <c r="F1216" s="14">
        <v>18843575.960000001</v>
      </c>
      <c r="G1216" s="14">
        <v>0.03</v>
      </c>
      <c r="H1216" s="10"/>
      <c r="I1216" s="10"/>
    </row>
    <row r="1217" spans="1:9">
      <c r="A1217" s="10" t="s">
        <v>1954</v>
      </c>
      <c r="B1217" s="124" t="s">
        <v>883</v>
      </c>
      <c r="C1217" s="124" t="s">
        <v>164</v>
      </c>
      <c r="D1217" s="12">
        <v>1300000</v>
      </c>
      <c r="E1217" s="82">
        <v>0.96425650029999999</v>
      </c>
      <c r="F1217" s="14">
        <v>1253533.45</v>
      </c>
      <c r="G1217" s="12">
        <v>0</v>
      </c>
      <c r="H1217" s="10"/>
      <c r="I1217" s="10"/>
    </row>
    <row r="1218" spans="1:9">
      <c r="A1218" s="10" t="s">
        <v>1955</v>
      </c>
      <c r="B1218" s="124" t="s">
        <v>680</v>
      </c>
      <c r="C1218" s="124" t="s">
        <v>164</v>
      </c>
      <c r="D1218" s="12">
        <v>1300000</v>
      </c>
      <c r="E1218" s="82">
        <v>0.96847811530000005</v>
      </c>
      <c r="F1218" s="14">
        <v>1259021.55</v>
      </c>
      <c r="G1218" s="12">
        <v>0</v>
      </c>
      <c r="H1218" s="10"/>
      <c r="I1218" s="10"/>
    </row>
    <row r="1219" spans="1:9">
      <c r="A1219" s="10" t="s">
        <v>1956</v>
      </c>
      <c r="B1219" s="124" t="s">
        <v>504</v>
      </c>
      <c r="C1219" s="124" t="s">
        <v>164</v>
      </c>
      <c r="D1219" s="12">
        <v>1300000</v>
      </c>
      <c r="E1219" s="82">
        <v>0.96257822309999996</v>
      </c>
      <c r="F1219" s="14">
        <v>1251351.69</v>
      </c>
      <c r="G1219" s="12">
        <v>0</v>
      </c>
      <c r="H1219" s="10"/>
      <c r="I1219" s="10"/>
    </row>
    <row r="1220" spans="1:9">
      <c r="A1220" s="10" t="s">
        <v>1957</v>
      </c>
      <c r="B1220" s="124" t="s">
        <v>593</v>
      </c>
      <c r="C1220" s="124" t="s">
        <v>164</v>
      </c>
      <c r="D1220" s="12">
        <v>1300000</v>
      </c>
      <c r="E1220" s="82">
        <v>0.96341670749999997</v>
      </c>
      <c r="F1220" s="14">
        <v>1252441.72</v>
      </c>
      <c r="G1220" s="12">
        <v>0</v>
      </c>
      <c r="H1220" s="10"/>
      <c r="I1220" s="10"/>
    </row>
    <row r="1221" spans="1:9">
      <c r="A1221" s="10" t="s">
        <v>1958</v>
      </c>
      <c r="B1221" s="124" t="s">
        <v>680</v>
      </c>
      <c r="C1221" s="124" t="s">
        <v>164</v>
      </c>
      <c r="D1221" s="12">
        <v>1300000</v>
      </c>
      <c r="E1221" s="82">
        <v>0.96847811530000005</v>
      </c>
      <c r="F1221" s="14">
        <v>1259021.55</v>
      </c>
      <c r="G1221" s="12">
        <v>0</v>
      </c>
      <c r="H1221" s="10"/>
      <c r="I1221" s="10"/>
    </row>
    <row r="1222" spans="1:9">
      <c r="A1222" s="10" t="s">
        <v>1959</v>
      </c>
      <c r="B1222" s="124" t="s">
        <v>574</v>
      </c>
      <c r="C1222" s="124" t="s">
        <v>164</v>
      </c>
      <c r="D1222" s="12">
        <v>1300000</v>
      </c>
      <c r="E1222" s="82">
        <v>0.96763078449999995</v>
      </c>
      <c r="F1222" s="14">
        <v>1257920.02</v>
      </c>
      <c r="G1222" s="12">
        <v>0</v>
      </c>
      <c r="H1222" s="10"/>
      <c r="I1222" s="10"/>
    </row>
    <row r="1223" spans="1:9">
      <c r="A1223" s="10" t="s">
        <v>1960</v>
      </c>
      <c r="B1223" s="124" t="s">
        <v>854</v>
      </c>
      <c r="C1223" s="124" t="s">
        <v>164</v>
      </c>
      <c r="D1223" s="12">
        <v>10000000</v>
      </c>
      <c r="E1223" s="82">
        <v>0.9460861586</v>
      </c>
      <c r="F1223" s="14">
        <v>9460861.5899999999</v>
      </c>
      <c r="G1223" s="14">
        <v>0.01</v>
      </c>
      <c r="H1223" s="10"/>
      <c r="I1223" s="10"/>
    </row>
    <row r="1224" spans="1:9">
      <c r="A1224" s="10" t="s">
        <v>1961</v>
      </c>
      <c r="B1224" s="124" t="s">
        <v>574</v>
      </c>
      <c r="C1224" s="124" t="s">
        <v>164</v>
      </c>
      <c r="D1224" s="12">
        <v>10000000</v>
      </c>
      <c r="E1224" s="82">
        <v>0.96858086330000004</v>
      </c>
      <c r="F1224" s="14">
        <v>9685808.6300000008</v>
      </c>
      <c r="G1224" s="14">
        <v>0.01</v>
      </c>
      <c r="H1224" s="10"/>
      <c r="I1224" s="10"/>
    </row>
    <row r="1225" spans="1:9">
      <c r="A1225" s="10" t="s">
        <v>1962</v>
      </c>
      <c r="B1225" s="124" t="s">
        <v>580</v>
      </c>
      <c r="C1225" s="124" t="s">
        <v>164</v>
      </c>
      <c r="D1225" s="12">
        <v>10000000</v>
      </c>
      <c r="E1225" s="82">
        <v>0.98787490389999999</v>
      </c>
      <c r="F1225" s="14">
        <v>9878749.0399999991</v>
      </c>
      <c r="G1225" s="14">
        <v>0.01</v>
      </c>
      <c r="H1225" s="10"/>
      <c r="I1225" s="10"/>
    </row>
    <row r="1226" spans="1:9">
      <c r="A1226" s="10" t="s">
        <v>1963</v>
      </c>
      <c r="B1226" s="124" t="s">
        <v>497</v>
      </c>
      <c r="C1226" s="124" t="s">
        <v>164</v>
      </c>
      <c r="D1226" s="12">
        <v>10000000</v>
      </c>
      <c r="E1226" s="82">
        <v>0.96285749350000005</v>
      </c>
      <c r="F1226" s="14">
        <v>9628574.9399999995</v>
      </c>
      <c r="G1226" s="14">
        <v>0.01</v>
      </c>
      <c r="H1226" s="10"/>
      <c r="I1226" s="10"/>
    </row>
    <row r="1227" spans="1:9">
      <c r="A1227" s="10" t="s">
        <v>1964</v>
      </c>
      <c r="B1227" s="124" t="s">
        <v>587</v>
      </c>
      <c r="C1227" s="124" t="s">
        <v>164</v>
      </c>
      <c r="D1227" s="12">
        <v>10000000</v>
      </c>
      <c r="E1227" s="82">
        <v>0.95961723750000005</v>
      </c>
      <c r="F1227" s="14">
        <v>9596172.3800000008</v>
      </c>
      <c r="G1227" s="14">
        <v>0.01</v>
      </c>
      <c r="H1227" s="10"/>
      <c r="I1227" s="10"/>
    </row>
    <row r="1228" spans="1:9">
      <c r="A1228" s="10" t="s">
        <v>1965</v>
      </c>
      <c r="B1228" s="124" t="s">
        <v>448</v>
      </c>
      <c r="C1228" s="124" t="s">
        <v>164</v>
      </c>
      <c r="D1228" s="12">
        <v>10000000</v>
      </c>
      <c r="E1228" s="21">
        <v>0.98531484000000003</v>
      </c>
      <c r="F1228" s="154">
        <v>9853148.4000000004</v>
      </c>
      <c r="G1228" s="14">
        <v>0.01</v>
      </c>
      <c r="H1228" s="10"/>
      <c r="I1228" s="10"/>
    </row>
    <row r="1229" spans="1:9">
      <c r="A1229" s="10" t="s">
        <v>1966</v>
      </c>
      <c r="B1229" s="124" t="s">
        <v>488</v>
      </c>
      <c r="C1229" s="124" t="s">
        <v>164</v>
      </c>
      <c r="D1229" s="12">
        <v>10000000</v>
      </c>
      <c r="E1229" s="82">
        <v>0.98192195380000002</v>
      </c>
      <c r="F1229" s="14">
        <v>9819219.5399999991</v>
      </c>
      <c r="G1229" s="14">
        <v>0.01</v>
      </c>
      <c r="H1229" s="10"/>
      <c r="I1229" s="10"/>
    </row>
    <row r="1230" spans="1:9">
      <c r="A1230" s="10" t="s">
        <v>1967</v>
      </c>
      <c r="B1230" s="124" t="s">
        <v>500</v>
      </c>
      <c r="C1230" s="124" t="s">
        <v>164</v>
      </c>
      <c r="D1230" s="12">
        <v>10000000</v>
      </c>
      <c r="E1230" s="82">
        <v>0.95800536749999998</v>
      </c>
      <c r="F1230" s="14">
        <v>9580053.6799999997</v>
      </c>
      <c r="G1230" s="14">
        <v>0.01</v>
      </c>
      <c r="H1230" s="10"/>
      <c r="I1230" s="10"/>
    </row>
    <row r="1231" spans="1:9">
      <c r="A1231" s="10" t="s">
        <v>1968</v>
      </c>
      <c r="B1231" s="124" t="s">
        <v>948</v>
      </c>
      <c r="C1231" s="124" t="s">
        <v>164</v>
      </c>
      <c r="D1231" s="12">
        <v>10000000</v>
      </c>
      <c r="E1231" s="158">
        <v>0.95639871600000004</v>
      </c>
      <c r="F1231" s="14">
        <v>9563987.1600000001</v>
      </c>
      <c r="G1231" s="14">
        <v>0.01</v>
      </c>
      <c r="H1231" s="10"/>
      <c r="I1231" s="10"/>
    </row>
    <row r="1232" spans="1:9">
      <c r="A1232" s="10" t="s">
        <v>1969</v>
      </c>
      <c r="B1232" s="124" t="s">
        <v>502</v>
      </c>
      <c r="C1232" s="124" t="s">
        <v>164</v>
      </c>
      <c r="D1232" s="12">
        <v>10000000</v>
      </c>
      <c r="E1232" s="158">
        <v>0.95240594199999995</v>
      </c>
      <c r="F1232" s="14">
        <v>9524059.4199999999</v>
      </c>
      <c r="G1232" s="14">
        <v>0.01</v>
      </c>
      <c r="H1232" s="10"/>
      <c r="I1232" s="10"/>
    </row>
    <row r="1233" spans="1:9">
      <c r="A1233" s="10" t="s">
        <v>1970</v>
      </c>
      <c r="B1233" s="124" t="s">
        <v>655</v>
      </c>
      <c r="C1233" s="124" t="s">
        <v>164</v>
      </c>
      <c r="D1233" s="12">
        <v>10000000</v>
      </c>
      <c r="E1233" s="82">
        <v>0.9516113061</v>
      </c>
      <c r="F1233" s="14">
        <v>9516113.0600000005</v>
      </c>
      <c r="G1233" s="14">
        <v>0.01</v>
      </c>
      <c r="H1233" s="10"/>
      <c r="I1233" s="10"/>
    </row>
    <row r="1234" spans="1:9">
      <c r="A1234" s="10" t="s">
        <v>1971</v>
      </c>
      <c r="B1234" s="124" t="s">
        <v>441</v>
      </c>
      <c r="C1234" s="124" t="s">
        <v>164</v>
      </c>
      <c r="D1234" s="12">
        <v>10000000</v>
      </c>
      <c r="E1234" s="82">
        <v>0.99476729090000005</v>
      </c>
      <c r="F1234" s="14">
        <v>9947672.9100000001</v>
      </c>
      <c r="G1234" s="14">
        <v>0.01</v>
      </c>
      <c r="H1234" s="10"/>
      <c r="I1234" s="10"/>
    </row>
    <row r="1235" spans="1:9">
      <c r="A1235" s="10" t="s">
        <v>1972</v>
      </c>
      <c r="B1235" s="124" t="s">
        <v>504</v>
      </c>
      <c r="C1235" s="124" t="s">
        <v>164</v>
      </c>
      <c r="D1235" s="12">
        <v>10000000</v>
      </c>
      <c r="E1235" s="82">
        <v>0.96367102459999998</v>
      </c>
      <c r="F1235" s="14">
        <v>9636710.25</v>
      </c>
      <c r="G1235" s="14">
        <v>0.01</v>
      </c>
      <c r="H1235" s="10"/>
      <c r="I1235" s="10"/>
    </row>
    <row r="1236" spans="1:9">
      <c r="A1236" s="10" t="s">
        <v>1973</v>
      </c>
      <c r="B1236" s="124" t="s">
        <v>438</v>
      </c>
      <c r="C1236" s="124" t="s">
        <v>164</v>
      </c>
      <c r="D1236" s="12">
        <v>10000000</v>
      </c>
      <c r="E1236" s="82">
        <v>0.99217142790000001</v>
      </c>
      <c r="F1236" s="14">
        <v>9921714.2799999993</v>
      </c>
      <c r="G1236" s="14">
        <v>0.01</v>
      </c>
      <c r="H1236" s="10"/>
      <c r="I1236" s="10"/>
    </row>
    <row r="1237" spans="1:9">
      <c r="A1237" s="10" t="s">
        <v>1974</v>
      </c>
      <c r="B1237" s="124" t="s">
        <v>766</v>
      </c>
      <c r="C1237" s="124" t="s">
        <v>164</v>
      </c>
      <c r="D1237" s="12">
        <v>10000000</v>
      </c>
      <c r="E1237" s="82">
        <v>0.97354115569999999</v>
      </c>
      <c r="F1237" s="14">
        <v>9735411.5600000005</v>
      </c>
      <c r="G1237" s="14">
        <v>0.01</v>
      </c>
      <c r="H1237" s="10"/>
      <c r="I1237" s="10"/>
    </row>
    <row r="1238" spans="1:9">
      <c r="A1238" s="10" t="s">
        <v>1975</v>
      </c>
      <c r="B1238" s="124" t="s">
        <v>728</v>
      </c>
      <c r="C1238" s="124" t="s">
        <v>164</v>
      </c>
      <c r="D1238" s="12">
        <v>10000000</v>
      </c>
      <c r="E1238" s="82">
        <v>0.9982496609</v>
      </c>
      <c r="F1238" s="14">
        <v>9982496.6099999994</v>
      </c>
      <c r="G1238" s="14">
        <v>0.01</v>
      </c>
      <c r="H1238" s="10"/>
      <c r="I1238" s="10"/>
    </row>
    <row r="1239" spans="1:9">
      <c r="A1239" s="10" t="s">
        <v>1976</v>
      </c>
      <c r="B1239" s="124" t="s">
        <v>660</v>
      </c>
      <c r="C1239" s="124" t="s">
        <v>164</v>
      </c>
      <c r="D1239" s="12">
        <v>10000000</v>
      </c>
      <c r="E1239" s="82">
        <v>0.97022872640000002</v>
      </c>
      <c r="F1239" s="14">
        <v>9702287.2599999998</v>
      </c>
      <c r="G1239" s="14">
        <v>0.01</v>
      </c>
      <c r="H1239" s="10"/>
      <c r="I1239" s="10"/>
    </row>
    <row r="1240" spans="1:9">
      <c r="A1240" s="10" t="s">
        <v>1977</v>
      </c>
      <c r="B1240" s="124" t="s">
        <v>527</v>
      </c>
      <c r="C1240" s="124" t="s">
        <v>164</v>
      </c>
      <c r="D1240" s="12">
        <v>10000000</v>
      </c>
      <c r="E1240" s="82">
        <v>0.9760403191</v>
      </c>
      <c r="F1240" s="14">
        <v>9760403.1899999995</v>
      </c>
      <c r="G1240" s="14">
        <v>0.01</v>
      </c>
      <c r="H1240" s="10"/>
      <c r="I1240" s="10"/>
    </row>
    <row r="1241" spans="1:9">
      <c r="A1241" s="10" t="s">
        <v>1978</v>
      </c>
      <c r="B1241" s="124" t="s">
        <v>520</v>
      </c>
      <c r="C1241" s="124" t="s">
        <v>164</v>
      </c>
      <c r="D1241" s="12">
        <v>10000000</v>
      </c>
      <c r="E1241" s="82">
        <v>0.97520578729999996</v>
      </c>
      <c r="F1241" s="14">
        <v>9752057.8699999992</v>
      </c>
      <c r="G1241" s="14">
        <v>0.01</v>
      </c>
      <c r="H1241" s="10"/>
      <c r="I1241" s="10"/>
    </row>
    <row r="1242" spans="1:9">
      <c r="A1242" s="10" t="s">
        <v>1979</v>
      </c>
      <c r="B1242" s="124" t="s">
        <v>490</v>
      </c>
      <c r="C1242" s="124" t="s">
        <v>164</v>
      </c>
      <c r="D1242" s="12">
        <v>10000000</v>
      </c>
      <c r="E1242" s="82">
        <v>0.98107734589999995</v>
      </c>
      <c r="F1242" s="14">
        <v>9810773.4600000009</v>
      </c>
      <c r="G1242" s="14">
        <v>0.01</v>
      </c>
      <c r="H1242" s="10"/>
      <c r="I1242" s="10"/>
    </row>
    <row r="1243" spans="1:9">
      <c r="A1243" s="10" t="s">
        <v>1980</v>
      </c>
      <c r="B1243" s="124" t="s">
        <v>808</v>
      </c>
      <c r="C1243" s="124" t="s">
        <v>164</v>
      </c>
      <c r="D1243" s="12">
        <v>10000000</v>
      </c>
      <c r="E1243" s="82">
        <v>0.92536256520000004</v>
      </c>
      <c r="F1243" s="14">
        <v>9253625.6500000004</v>
      </c>
      <c r="G1243" s="14">
        <v>0.01</v>
      </c>
      <c r="H1243" s="10"/>
      <c r="I1243" s="10"/>
    </row>
    <row r="1244" spans="1:9">
      <c r="A1244" s="10" t="s">
        <v>1981</v>
      </c>
      <c r="B1244" s="124" t="s">
        <v>750</v>
      </c>
      <c r="C1244" s="124" t="s">
        <v>164</v>
      </c>
      <c r="D1244" s="12">
        <v>10000000</v>
      </c>
      <c r="E1244" s="82">
        <v>0.95081799609999995</v>
      </c>
      <c r="F1244" s="14">
        <v>9508179.9600000009</v>
      </c>
      <c r="G1244" s="14">
        <v>0.01</v>
      </c>
      <c r="H1244" s="10"/>
      <c r="I1244" s="10"/>
    </row>
    <row r="1245" spans="1:9">
      <c r="A1245" s="10" t="s">
        <v>1983</v>
      </c>
      <c r="B1245" s="124" t="s">
        <v>593</v>
      </c>
      <c r="C1245" s="124" t="s">
        <v>164</v>
      </c>
      <c r="D1245" s="12">
        <v>200000000</v>
      </c>
      <c r="E1245" s="82">
        <v>0.96448593039999997</v>
      </c>
      <c r="F1245" s="14">
        <v>192897186.08000001</v>
      </c>
      <c r="G1245" s="14">
        <v>0.26</v>
      </c>
      <c r="H1245" s="10"/>
      <c r="I1245" s="10"/>
    </row>
    <row r="1246" spans="1:9">
      <c r="A1246" s="10" t="s">
        <v>1984</v>
      </c>
      <c r="B1246" s="124" t="s">
        <v>504</v>
      </c>
      <c r="C1246" s="124" t="s">
        <v>164</v>
      </c>
      <c r="D1246" s="12">
        <v>200000000</v>
      </c>
      <c r="E1246" s="82">
        <v>0.96367102459999998</v>
      </c>
      <c r="F1246" s="14">
        <v>192734204.91999999</v>
      </c>
      <c r="G1246" s="14">
        <v>0.26</v>
      </c>
      <c r="H1246" s="10"/>
      <c r="I1246" s="10"/>
    </row>
    <row r="1247" spans="1:9">
      <c r="A1247" s="10" t="s">
        <v>1985</v>
      </c>
      <c r="B1247" s="124" t="s">
        <v>660</v>
      </c>
      <c r="C1247" s="124" t="s">
        <v>164</v>
      </c>
      <c r="D1247" s="14">
        <v>1217387.51</v>
      </c>
      <c r="E1247" s="82">
        <v>0.97022872370000002</v>
      </c>
      <c r="F1247" s="14">
        <v>1181144.33</v>
      </c>
      <c r="G1247" s="12">
        <v>0</v>
      </c>
      <c r="H1247" s="10"/>
      <c r="I1247" s="10"/>
    </row>
    <row r="1248" spans="1:9">
      <c r="A1248" s="10" t="s">
        <v>1986</v>
      </c>
      <c r="B1248" s="124" t="s">
        <v>793</v>
      </c>
      <c r="C1248" s="124" t="s">
        <v>164</v>
      </c>
      <c r="D1248" s="14">
        <v>1217387.51</v>
      </c>
      <c r="E1248" s="82">
        <v>0.94687159180000002</v>
      </c>
      <c r="F1248" s="14">
        <v>1152709.6499999999</v>
      </c>
      <c r="G1248" s="12">
        <v>0</v>
      </c>
      <c r="H1248" s="10"/>
      <c r="I1248" s="10"/>
    </row>
    <row r="1249" spans="1:9">
      <c r="A1249" s="10" t="s">
        <v>1987</v>
      </c>
      <c r="B1249" s="124" t="s">
        <v>443</v>
      </c>
      <c r="C1249" s="124" t="s">
        <v>164</v>
      </c>
      <c r="D1249" s="14">
        <v>9915945.7599999998</v>
      </c>
      <c r="E1249" s="82">
        <v>0.99303516069999997</v>
      </c>
      <c r="F1249" s="14">
        <v>9846882.7899999991</v>
      </c>
      <c r="G1249" s="14">
        <v>0.01</v>
      </c>
      <c r="H1249" s="10"/>
      <c r="I1249" s="10"/>
    </row>
    <row r="1250" spans="1:9">
      <c r="A1250" s="10" t="s">
        <v>1988</v>
      </c>
      <c r="B1250" s="124" t="s">
        <v>574</v>
      </c>
      <c r="C1250" s="124" t="s">
        <v>164</v>
      </c>
      <c r="D1250" s="14">
        <v>9915945.7599999998</v>
      </c>
      <c r="E1250" s="82">
        <v>0.96858086239999996</v>
      </c>
      <c r="F1250" s="154">
        <v>9604395.3000000007</v>
      </c>
      <c r="G1250" s="14">
        <v>0.01</v>
      </c>
      <c r="H1250" s="10"/>
      <c r="I1250" s="10"/>
    </row>
    <row r="1251" spans="1:9">
      <c r="A1251" s="10" t="s">
        <v>1989</v>
      </c>
      <c r="B1251" s="124" t="s">
        <v>520</v>
      </c>
      <c r="C1251" s="124" t="s">
        <v>164</v>
      </c>
      <c r="D1251" s="12">
        <v>9250329</v>
      </c>
      <c r="E1251" s="158">
        <v>0.97520578800000002</v>
      </c>
      <c r="F1251" s="14">
        <v>9020974.3800000008</v>
      </c>
      <c r="G1251" s="14">
        <v>0.01</v>
      </c>
      <c r="H1251" s="10"/>
      <c r="I1251" s="10"/>
    </row>
    <row r="1252" spans="1:9">
      <c r="A1252" s="10" t="s">
        <v>1990</v>
      </c>
      <c r="B1252" s="124" t="s">
        <v>516</v>
      </c>
      <c r="C1252" s="124" t="s">
        <v>164</v>
      </c>
      <c r="D1252" s="12">
        <v>25000000</v>
      </c>
      <c r="E1252" s="82">
        <v>0.9756229206</v>
      </c>
      <c r="F1252" s="14">
        <v>24390573.02</v>
      </c>
      <c r="G1252" s="14">
        <v>0.03</v>
      </c>
      <c r="H1252" s="10"/>
      <c r="I1252" s="10"/>
    </row>
    <row r="1253" spans="1:9">
      <c r="A1253" s="10" t="s">
        <v>1991</v>
      </c>
      <c r="B1253" s="124" t="s">
        <v>660</v>
      </c>
      <c r="C1253" s="124" t="s">
        <v>164</v>
      </c>
      <c r="D1253" s="12">
        <v>15000000</v>
      </c>
      <c r="E1253" s="82">
        <v>0.96484286289999999</v>
      </c>
      <c r="F1253" s="14">
        <v>14472642.939999999</v>
      </c>
      <c r="G1253" s="14">
        <v>0.02</v>
      </c>
      <c r="H1253" s="10"/>
      <c r="I1253" s="10"/>
    </row>
    <row r="1254" spans="1:9">
      <c r="A1254" s="10" t="s">
        <v>1992</v>
      </c>
      <c r="B1254" s="124" t="s">
        <v>793</v>
      </c>
      <c r="C1254" s="124" t="s">
        <v>164</v>
      </c>
      <c r="D1254" s="12">
        <v>7000000</v>
      </c>
      <c r="E1254" s="82">
        <v>0.95639883189999997</v>
      </c>
      <c r="F1254" s="14">
        <v>6694791.8200000003</v>
      </c>
      <c r="G1254" s="14">
        <v>0.01</v>
      </c>
      <c r="H1254" s="10"/>
      <c r="I1254" s="10"/>
    </row>
    <row r="1255" spans="1:9">
      <c r="A1255" s="10" t="s">
        <v>1993</v>
      </c>
      <c r="B1255" s="124" t="s">
        <v>793</v>
      </c>
      <c r="C1255" s="124" t="s">
        <v>164</v>
      </c>
      <c r="D1255" s="12">
        <v>7000000</v>
      </c>
      <c r="E1255" s="82">
        <v>0.95639883189999997</v>
      </c>
      <c r="F1255" s="14">
        <v>6694791.8200000003</v>
      </c>
      <c r="G1255" s="14">
        <v>0.01</v>
      </c>
      <c r="H1255" s="10"/>
      <c r="I1255" s="10"/>
    </row>
    <row r="1256" spans="1:9">
      <c r="A1256" s="10" t="s">
        <v>1994</v>
      </c>
      <c r="B1256" s="124" t="s">
        <v>793</v>
      </c>
      <c r="C1256" s="124" t="s">
        <v>164</v>
      </c>
      <c r="D1256" s="12">
        <v>7000000</v>
      </c>
      <c r="E1256" s="82">
        <v>0.95639883189999997</v>
      </c>
      <c r="F1256" s="14">
        <v>6694791.8200000003</v>
      </c>
      <c r="G1256" s="14">
        <v>0.01</v>
      </c>
      <c r="H1256" s="10"/>
      <c r="I1256" s="10"/>
    </row>
    <row r="1257" spans="1:9">
      <c r="A1257" s="10" t="s">
        <v>1995</v>
      </c>
      <c r="B1257" s="124" t="s">
        <v>854</v>
      </c>
      <c r="C1257" s="124" t="s">
        <v>164</v>
      </c>
      <c r="D1257" s="12">
        <v>7000000</v>
      </c>
      <c r="E1257" s="82">
        <v>0.95574766410000001</v>
      </c>
      <c r="F1257" s="14">
        <v>6690233.6500000004</v>
      </c>
      <c r="G1257" s="14">
        <v>0.01</v>
      </c>
      <c r="H1257" s="10"/>
      <c r="I1257" s="10"/>
    </row>
    <row r="1258" spans="1:9">
      <c r="A1258" s="10" t="s">
        <v>1996</v>
      </c>
      <c r="B1258" s="124" t="s">
        <v>750</v>
      </c>
      <c r="C1258" s="124" t="s">
        <v>164</v>
      </c>
      <c r="D1258" s="12">
        <v>3500000</v>
      </c>
      <c r="E1258" s="82">
        <v>0.95966769409999997</v>
      </c>
      <c r="F1258" s="14">
        <v>3358836.93</v>
      </c>
      <c r="G1258" s="12">
        <v>0</v>
      </c>
      <c r="H1258" s="10"/>
      <c r="I1258" s="10"/>
    </row>
    <row r="1259" spans="1:9">
      <c r="A1259" s="10" t="s">
        <v>1997</v>
      </c>
      <c r="B1259" s="124" t="s">
        <v>574</v>
      </c>
      <c r="C1259" s="124" t="s">
        <v>164</v>
      </c>
      <c r="D1259" s="12">
        <v>60000000</v>
      </c>
      <c r="E1259" s="82">
        <v>0.96290828530000006</v>
      </c>
      <c r="F1259" s="14">
        <v>57774497.119999997</v>
      </c>
      <c r="G1259" s="14">
        <v>0.08</v>
      </c>
      <c r="H1259" s="10"/>
      <c r="I1259" s="10"/>
    </row>
    <row r="1260" spans="1:9">
      <c r="A1260" s="10" t="s">
        <v>1998</v>
      </c>
      <c r="B1260" s="124" t="s">
        <v>680</v>
      </c>
      <c r="C1260" s="124" t="s">
        <v>164</v>
      </c>
      <c r="D1260" s="12">
        <v>40000000</v>
      </c>
      <c r="E1260" s="158">
        <v>0.96387460400000002</v>
      </c>
      <c r="F1260" s="14">
        <v>38554984.159999996</v>
      </c>
      <c r="G1260" s="14">
        <v>0.05</v>
      </c>
      <c r="H1260" s="10"/>
      <c r="I1260" s="10"/>
    </row>
    <row r="1261" spans="1:9">
      <c r="A1261" s="10" t="s">
        <v>1999</v>
      </c>
      <c r="B1261" s="124" t="s">
        <v>454</v>
      </c>
      <c r="C1261" s="124" t="s">
        <v>164</v>
      </c>
      <c r="D1261" s="154">
        <v>13688973.9</v>
      </c>
      <c r="E1261" s="82">
        <v>0.8888780691</v>
      </c>
      <c r="F1261" s="14">
        <v>12167828.689999999</v>
      </c>
      <c r="G1261" s="14">
        <v>0.02</v>
      </c>
      <c r="H1261" s="10"/>
      <c r="I1261" s="10"/>
    </row>
    <row r="1262" spans="1:9">
      <c r="A1262" s="10" t="s">
        <v>2000</v>
      </c>
      <c r="B1262" s="124" t="s">
        <v>948</v>
      </c>
      <c r="C1262" s="124" t="s">
        <v>164</v>
      </c>
      <c r="D1262" s="12">
        <v>30000000</v>
      </c>
      <c r="E1262" s="82">
        <v>0.95121444389999998</v>
      </c>
      <c r="F1262" s="14">
        <v>28536433.32</v>
      </c>
      <c r="G1262" s="14">
        <v>0.04</v>
      </c>
      <c r="H1262" s="10"/>
      <c r="I1262" s="10"/>
    </row>
    <row r="1263" spans="1:9">
      <c r="A1263" s="10" t="s">
        <v>2001</v>
      </c>
      <c r="B1263" s="124" t="s">
        <v>950</v>
      </c>
      <c r="C1263" s="124" t="s">
        <v>164</v>
      </c>
      <c r="D1263" s="12">
        <v>30000000</v>
      </c>
      <c r="E1263" s="82">
        <v>0.94765832829999996</v>
      </c>
      <c r="F1263" s="14">
        <v>28429749.850000001</v>
      </c>
      <c r="G1263" s="14">
        <v>0.04</v>
      </c>
      <c r="H1263" s="10"/>
      <c r="I1263" s="10"/>
    </row>
    <row r="1264" spans="1:9">
      <c r="A1264" s="10" t="s">
        <v>2002</v>
      </c>
      <c r="B1264" s="124" t="s">
        <v>500</v>
      </c>
      <c r="C1264" s="124" t="s">
        <v>164</v>
      </c>
      <c r="D1264" s="12">
        <v>30000000</v>
      </c>
      <c r="E1264" s="82">
        <v>0.95300274279999997</v>
      </c>
      <c r="F1264" s="14">
        <v>28590082.280000001</v>
      </c>
      <c r="G1264" s="14">
        <v>0.04</v>
      </c>
      <c r="H1264" s="10"/>
      <c r="I1264" s="10"/>
    </row>
    <row r="1265" spans="1:9">
      <c r="A1265" s="10" t="s">
        <v>2003</v>
      </c>
      <c r="B1265" s="124" t="s">
        <v>502</v>
      </c>
      <c r="C1265" s="124" t="s">
        <v>164</v>
      </c>
      <c r="D1265" s="12">
        <v>30000000</v>
      </c>
      <c r="E1265" s="82">
        <v>0.94677334339999997</v>
      </c>
      <c r="F1265" s="154">
        <v>28403200.300000001</v>
      </c>
      <c r="G1265" s="14">
        <v>0.04</v>
      </c>
      <c r="H1265" s="10"/>
      <c r="I1265" s="10"/>
    </row>
    <row r="1266" spans="1:9">
      <c r="A1266" s="10" t="s">
        <v>2004</v>
      </c>
      <c r="B1266" s="124" t="s">
        <v>567</v>
      </c>
      <c r="C1266" s="124" t="s">
        <v>164</v>
      </c>
      <c r="D1266" s="12">
        <v>30000000</v>
      </c>
      <c r="E1266" s="82">
        <v>0.94237330689999999</v>
      </c>
      <c r="F1266" s="14">
        <v>28271199.210000001</v>
      </c>
      <c r="G1266" s="14">
        <v>0.04</v>
      </c>
      <c r="H1266" s="10"/>
      <c r="I1266" s="10"/>
    </row>
    <row r="1267" spans="1:9">
      <c r="A1267" s="10" t="s">
        <v>2005</v>
      </c>
      <c r="B1267" s="124" t="s">
        <v>655</v>
      </c>
      <c r="C1267" s="124" t="s">
        <v>164</v>
      </c>
      <c r="D1267" s="12">
        <v>30000000</v>
      </c>
      <c r="E1267" s="82">
        <v>0.94589000919999999</v>
      </c>
      <c r="F1267" s="14">
        <v>28376700.280000001</v>
      </c>
      <c r="G1267" s="14">
        <v>0.04</v>
      </c>
      <c r="H1267" s="10"/>
      <c r="I1267" s="10"/>
    </row>
    <row r="1268" spans="1:9">
      <c r="A1268" s="10" t="s">
        <v>2006</v>
      </c>
      <c r="B1268" s="124" t="s">
        <v>655</v>
      </c>
      <c r="C1268" s="124" t="s">
        <v>164</v>
      </c>
      <c r="D1268" s="12">
        <v>30000000</v>
      </c>
      <c r="E1268" s="82">
        <v>0.94589000919999999</v>
      </c>
      <c r="F1268" s="14">
        <v>28376700.280000001</v>
      </c>
      <c r="G1268" s="14">
        <v>0.04</v>
      </c>
      <c r="H1268" s="10"/>
      <c r="I1268" s="10"/>
    </row>
    <row r="1269" spans="1:9">
      <c r="A1269" s="10" t="s">
        <v>2007</v>
      </c>
      <c r="B1269" s="124" t="s">
        <v>450</v>
      </c>
      <c r="C1269" s="124" t="s">
        <v>164</v>
      </c>
      <c r="D1269" s="14">
        <v>2227815.85</v>
      </c>
      <c r="E1269" s="82">
        <v>0.94544907349999996</v>
      </c>
      <c r="F1269" s="14">
        <v>2106286.4300000002</v>
      </c>
      <c r="G1269" s="12">
        <v>0</v>
      </c>
      <c r="H1269" s="10"/>
      <c r="I1269" s="10"/>
    </row>
    <row r="1270" spans="1:9">
      <c r="A1270" s="10" t="s">
        <v>2008</v>
      </c>
      <c r="B1270" s="124" t="s">
        <v>680</v>
      </c>
      <c r="C1270" s="124" t="s">
        <v>164</v>
      </c>
      <c r="D1270" s="14">
        <v>48904.31</v>
      </c>
      <c r="E1270" s="82">
        <v>0.97406056829999998</v>
      </c>
      <c r="F1270" s="14">
        <v>47635.76</v>
      </c>
      <c r="G1270" s="12">
        <v>0</v>
      </c>
      <c r="H1270" s="10"/>
      <c r="I1270" s="10"/>
    </row>
    <row r="1271" spans="1:9">
      <c r="A1271" s="10" t="s">
        <v>2009</v>
      </c>
      <c r="B1271" s="124" t="s">
        <v>287</v>
      </c>
      <c r="C1271" s="124" t="s">
        <v>164</v>
      </c>
      <c r="D1271" s="12">
        <v>10000000</v>
      </c>
      <c r="E1271" s="82">
        <v>0.89680599989999998</v>
      </c>
      <c r="F1271" s="12">
        <v>8968060</v>
      </c>
      <c r="G1271" s="14">
        <v>0.01</v>
      </c>
      <c r="H1271" s="10"/>
      <c r="I1271" s="10"/>
    </row>
    <row r="1272" spans="1:9">
      <c r="A1272" s="10" t="s">
        <v>2010</v>
      </c>
      <c r="B1272" s="124" t="s">
        <v>583</v>
      </c>
      <c r="C1272" s="124" t="s">
        <v>164</v>
      </c>
      <c r="D1272" s="14">
        <v>17265963.219999999</v>
      </c>
      <c r="E1272" s="82">
        <v>0.95848329860000003</v>
      </c>
      <c r="F1272" s="14">
        <v>16549137.380000001</v>
      </c>
      <c r="G1272" s="14">
        <v>0.02</v>
      </c>
      <c r="H1272" s="10"/>
      <c r="I1272" s="10"/>
    </row>
    <row r="1273" spans="1:9">
      <c r="A1273" s="10" t="s">
        <v>2011</v>
      </c>
      <c r="B1273" s="124" t="s">
        <v>520</v>
      </c>
      <c r="C1273" s="124" t="s">
        <v>164</v>
      </c>
      <c r="D1273" s="14">
        <v>15964185.08</v>
      </c>
      <c r="E1273" s="82">
        <v>0.97596198160000003</v>
      </c>
      <c r="F1273" s="14">
        <v>15580437.710000001</v>
      </c>
      <c r="G1273" s="14">
        <v>0.02</v>
      </c>
      <c r="H1273" s="10"/>
      <c r="I1273" s="10"/>
    </row>
    <row r="1274" spans="1:9">
      <c r="A1274" s="10" t="s">
        <v>2012</v>
      </c>
      <c r="B1274" s="124" t="s">
        <v>520</v>
      </c>
      <c r="C1274" s="124" t="s">
        <v>164</v>
      </c>
      <c r="D1274" s="14">
        <v>13549014.74</v>
      </c>
      <c r="E1274" s="82">
        <v>0.97596198089999997</v>
      </c>
      <c r="F1274" s="14">
        <v>13223323.26</v>
      </c>
      <c r="G1274" s="14">
        <v>0.02</v>
      </c>
      <c r="H1274" s="10"/>
      <c r="I1274" s="10"/>
    </row>
    <row r="1275" spans="1:9">
      <c r="A1275" s="10" t="s">
        <v>2013</v>
      </c>
      <c r="B1275" s="124" t="s">
        <v>522</v>
      </c>
      <c r="C1275" s="124" t="s">
        <v>164</v>
      </c>
      <c r="D1275" s="12">
        <v>13560000</v>
      </c>
      <c r="E1275" s="82">
        <v>0.97515363649999998</v>
      </c>
      <c r="F1275" s="14">
        <v>13223083.310000001</v>
      </c>
      <c r="G1275" s="14">
        <v>0.02</v>
      </c>
      <c r="H1275" s="10"/>
      <c r="I1275" s="10"/>
    </row>
    <row r="1276" spans="1:9">
      <c r="A1276" s="10" t="s">
        <v>2014</v>
      </c>
      <c r="B1276" s="124" t="s">
        <v>766</v>
      </c>
      <c r="C1276" s="124" t="s">
        <v>164</v>
      </c>
      <c r="D1276" s="12">
        <v>13560000</v>
      </c>
      <c r="E1276" s="82">
        <v>0.97434678289999999</v>
      </c>
      <c r="F1276" s="14">
        <v>13212142.380000001</v>
      </c>
      <c r="G1276" s="14">
        <v>0.02</v>
      </c>
      <c r="H1276" s="10"/>
      <c r="I1276" s="10"/>
    </row>
    <row r="1277" spans="1:9">
      <c r="A1277" s="10" t="s">
        <v>2015</v>
      </c>
      <c r="B1277" s="124" t="s">
        <v>778</v>
      </c>
      <c r="C1277" s="124" t="s">
        <v>164</v>
      </c>
      <c r="D1277" s="14">
        <v>72849722.840000004</v>
      </c>
      <c r="E1277" s="82">
        <v>0.92243932480000002</v>
      </c>
      <c r="F1277" s="14">
        <v>67199449.150000006</v>
      </c>
      <c r="G1277" s="14">
        <v>0.09</v>
      </c>
      <c r="H1277" s="10"/>
      <c r="I1277" s="10"/>
    </row>
    <row r="1278" spans="1:9">
      <c r="A1278" s="10" t="s">
        <v>2023</v>
      </c>
      <c r="B1278" s="124" t="s">
        <v>1161</v>
      </c>
      <c r="C1278" s="124" t="s">
        <v>390</v>
      </c>
      <c r="D1278" s="12">
        <v>60000000</v>
      </c>
      <c r="E1278" s="82">
        <v>0.9492107917</v>
      </c>
      <c r="F1278" s="154">
        <v>56952647.5</v>
      </c>
      <c r="G1278" s="14">
        <v>0.08</v>
      </c>
      <c r="H1278" s="10"/>
      <c r="I1278" s="10"/>
    </row>
    <row r="1279" spans="1:9">
      <c r="A1279" s="10" t="s">
        <v>2024</v>
      </c>
      <c r="B1279" s="124" t="s">
        <v>655</v>
      </c>
      <c r="C1279" s="124" t="s">
        <v>390</v>
      </c>
      <c r="D1279" s="12">
        <v>60000000</v>
      </c>
      <c r="E1279" s="82">
        <v>0.95305251580000006</v>
      </c>
      <c r="F1279" s="14">
        <v>57183150.950000003</v>
      </c>
      <c r="G1279" s="14">
        <v>0.08</v>
      </c>
      <c r="H1279" s="10"/>
      <c r="I1279" s="10"/>
    </row>
    <row r="1280" spans="1:9">
      <c r="A1280" s="10" t="s">
        <v>2025</v>
      </c>
      <c r="B1280" s="124" t="s">
        <v>750</v>
      </c>
      <c r="C1280" s="124" t="s">
        <v>390</v>
      </c>
      <c r="D1280" s="12">
        <v>60000000</v>
      </c>
      <c r="E1280" s="82">
        <v>0.95228164729999998</v>
      </c>
      <c r="F1280" s="14">
        <v>57136898.840000004</v>
      </c>
      <c r="G1280" s="14">
        <v>0.08</v>
      </c>
      <c r="H1280" s="10"/>
      <c r="I1280" s="10"/>
    </row>
    <row r="1281" spans="1:9">
      <c r="A1281" s="10" t="s">
        <v>2026</v>
      </c>
      <c r="B1281" s="124" t="s">
        <v>527</v>
      </c>
      <c r="C1281" s="124" t="s">
        <v>390</v>
      </c>
      <c r="D1281" s="14">
        <v>3197658.29</v>
      </c>
      <c r="E1281" s="158">
        <v>0.97970808799999998</v>
      </c>
      <c r="F1281" s="14">
        <v>3132771.69</v>
      </c>
      <c r="G1281" s="12">
        <v>0</v>
      </c>
      <c r="H1281" s="10"/>
      <c r="I1281" s="10"/>
    </row>
    <row r="1282" spans="1:9">
      <c r="A1282" s="10" t="s">
        <v>2027</v>
      </c>
      <c r="B1282" s="124" t="s">
        <v>506</v>
      </c>
      <c r="C1282" s="124" t="s">
        <v>390</v>
      </c>
      <c r="D1282" s="12">
        <v>5000000</v>
      </c>
      <c r="E1282" s="158">
        <v>0.99926082400000005</v>
      </c>
      <c r="F1282" s="14">
        <v>4996304.12</v>
      </c>
      <c r="G1282" s="14">
        <v>0.01</v>
      </c>
      <c r="H1282" s="10"/>
      <c r="I1282" s="10"/>
    </row>
    <row r="1283" spans="1:9">
      <c r="A1283" s="10" t="s">
        <v>2028</v>
      </c>
      <c r="B1283" s="124" t="s">
        <v>651</v>
      </c>
      <c r="C1283" s="124" t="s">
        <v>390</v>
      </c>
      <c r="D1283" s="12">
        <v>3250000</v>
      </c>
      <c r="E1283" s="82">
        <v>0.93283595139999997</v>
      </c>
      <c r="F1283" s="14">
        <v>3031716.84</v>
      </c>
      <c r="G1283" s="12">
        <v>0</v>
      </c>
      <c r="H1283" s="10"/>
      <c r="I1283" s="10"/>
    </row>
    <row r="1284" spans="1:9">
      <c r="A1284" s="10" t="s">
        <v>2029</v>
      </c>
      <c r="B1284" s="124" t="s">
        <v>1360</v>
      </c>
      <c r="C1284" s="124" t="s">
        <v>390</v>
      </c>
      <c r="D1284" s="12">
        <v>3250000</v>
      </c>
      <c r="E1284" s="82">
        <v>0.93026830130000004</v>
      </c>
      <c r="F1284" s="14">
        <v>3023371.98</v>
      </c>
      <c r="G1284" s="12">
        <v>0</v>
      </c>
      <c r="H1284" s="10"/>
      <c r="I1284" s="10"/>
    </row>
    <row r="1285" spans="1:9">
      <c r="A1285" s="10" t="s">
        <v>2030</v>
      </c>
      <c r="B1285" s="124" t="s">
        <v>651</v>
      </c>
      <c r="C1285" s="124" t="s">
        <v>390</v>
      </c>
      <c r="D1285" s="12">
        <v>5500000</v>
      </c>
      <c r="E1285" s="82">
        <v>0.9328359584</v>
      </c>
      <c r="F1285" s="14">
        <v>5130597.7699999996</v>
      </c>
      <c r="G1285" s="14">
        <v>0.01</v>
      </c>
      <c r="H1285" s="10"/>
      <c r="I1285" s="10"/>
    </row>
    <row r="1286" spans="1:9">
      <c r="A1286" s="10" t="s">
        <v>2031</v>
      </c>
      <c r="B1286" s="124" t="s">
        <v>651</v>
      </c>
      <c r="C1286" s="124" t="s">
        <v>390</v>
      </c>
      <c r="D1286" s="12">
        <v>3250000</v>
      </c>
      <c r="E1286" s="82">
        <v>0.93283595139999997</v>
      </c>
      <c r="F1286" s="14">
        <v>3031716.84</v>
      </c>
      <c r="G1286" s="12">
        <v>0</v>
      </c>
      <c r="H1286" s="10"/>
      <c r="I1286" s="10"/>
    </row>
    <row r="1287" spans="1:9">
      <c r="A1287" s="10" t="s">
        <v>2032</v>
      </c>
      <c r="B1287" s="124" t="s">
        <v>651</v>
      </c>
      <c r="C1287" s="124" t="s">
        <v>390</v>
      </c>
      <c r="D1287" s="12">
        <v>5500000</v>
      </c>
      <c r="E1287" s="82">
        <v>0.9328359584</v>
      </c>
      <c r="F1287" s="14">
        <v>5130597.7699999996</v>
      </c>
      <c r="G1287" s="14">
        <v>0.01</v>
      </c>
      <c r="H1287" s="10"/>
      <c r="I1287" s="10"/>
    </row>
    <row r="1288" spans="1:9">
      <c r="A1288" s="10" t="s">
        <v>2033</v>
      </c>
      <c r="B1288" s="124" t="s">
        <v>754</v>
      </c>
      <c r="C1288" s="124" t="s">
        <v>390</v>
      </c>
      <c r="D1288" s="12">
        <v>2954385</v>
      </c>
      <c r="E1288" s="82">
        <v>0.92686658970000002</v>
      </c>
      <c r="F1288" s="14">
        <v>2738320.75</v>
      </c>
      <c r="G1288" s="12">
        <v>0</v>
      </c>
      <c r="H1288" s="10"/>
      <c r="I1288" s="10"/>
    </row>
    <row r="1289" spans="1:9">
      <c r="A1289" s="10" t="s">
        <v>2034</v>
      </c>
      <c r="B1289" s="124" t="s">
        <v>651</v>
      </c>
      <c r="C1289" s="124" t="s">
        <v>390</v>
      </c>
      <c r="D1289" s="14">
        <v>3841101.28</v>
      </c>
      <c r="E1289" s="82">
        <v>0.93283595139999997</v>
      </c>
      <c r="F1289" s="14">
        <v>3583117.37</v>
      </c>
      <c r="G1289" s="12">
        <v>0</v>
      </c>
      <c r="H1289" s="10"/>
      <c r="I1289" s="10"/>
    </row>
    <row r="1290" spans="1:9">
      <c r="A1290" s="10" t="s">
        <v>2035</v>
      </c>
      <c r="B1290" s="124" t="s">
        <v>651</v>
      </c>
      <c r="C1290" s="124" t="s">
        <v>390</v>
      </c>
      <c r="D1290" s="14">
        <v>3841101.28</v>
      </c>
      <c r="E1290" s="82">
        <v>0.93283595139999997</v>
      </c>
      <c r="F1290" s="14">
        <v>3583117.37</v>
      </c>
      <c r="G1290" s="12">
        <v>0</v>
      </c>
      <c r="H1290" s="10"/>
      <c r="I1290" s="10"/>
    </row>
    <row r="1291" spans="1:9">
      <c r="A1291" s="10" t="s">
        <v>2036</v>
      </c>
      <c r="B1291" s="124" t="s">
        <v>754</v>
      </c>
      <c r="C1291" s="124" t="s">
        <v>390</v>
      </c>
      <c r="D1291" s="12">
        <v>50000000</v>
      </c>
      <c r="E1291" s="82">
        <v>0.9325499679</v>
      </c>
      <c r="F1291" s="154">
        <v>46627498.399999999</v>
      </c>
      <c r="G1291" s="14">
        <v>0.06</v>
      </c>
      <c r="H1291" s="10"/>
      <c r="I1291" s="10"/>
    </row>
    <row r="1292" spans="1:9">
      <c r="A1292" s="10" t="s">
        <v>2037</v>
      </c>
      <c r="B1292" s="124" t="s">
        <v>680</v>
      </c>
      <c r="C1292" s="124" t="s">
        <v>390</v>
      </c>
      <c r="D1292" s="12">
        <v>7000000</v>
      </c>
      <c r="E1292" s="82">
        <v>0.97219274379999998</v>
      </c>
      <c r="F1292" s="14">
        <v>6805349.21</v>
      </c>
      <c r="G1292" s="14">
        <v>0.01</v>
      </c>
      <c r="H1292" s="10"/>
      <c r="I1292" s="10"/>
    </row>
    <row r="1293" spans="1:9">
      <c r="A1293" s="10" t="s">
        <v>2038</v>
      </c>
      <c r="B1293" s="124" t="s">
        <v>883</v>
      </c>
      <c r="C1293" s="124" t="s">
        <v>390</v>
      </c>
      <c r="D1293" s="14">
        <v>3140560.45</v>
      </c>
      <c r="E1293" s="82">
        <v>0.9611334211</v>
      </c>
      <c r="F1293" s="14">
        <v>3018497.61</v>
      </c>
      <c r="G1293" s="12">
        <v>0</v>
      </c>
      <c r="H1293" s="10"/>
      <c r="I1293" s="10"/>
    </row>
    <row r="1294" spans="1:9">
      <c r="A1294" s="10" t="s">
        <v>2039</v>
      </c>
      <c r="B1294" s="124" t="s">
        <v>593</v>
      </c>
      <c r="C1294" s="124" t="s">
        <v>390</v>
      </c>
      <c r="D1294" s="14">
        <v>3140560.45</v>
      </c>
      <c r="E1294" s="82">
        <v>0.96022310970000002</v>
      </c>
      <c r="F1294" s="14">
        <v>3015638.72</v>
      </c>
      <c r="G1294" s="12">
        <v>0</v>
      </c>
      <c r="H1294" s="10"/>
      <c r="I1294" s="10"/>
    </row>
    <row r="1295" spans="1:9">
      <c r="A1295" s="10" t="s">
        <v>2040</v>
      </c>
      <c r="B1295" s="124" t="s">
        <v>504</v>
      </c>
      <c r="C1295" s="124" t="s">
        <v>390</v>
      </c>
      <c r="D1295" s="14">
        <v>3140560.45</v>
      </c>
      <c r="E1295" s="82">
        <v>0.9593147138</v>
      </c>
      <c r="F1295" s="14">
        <v>3012785.85</v>
      </c>
      <c r="G1295" s="12">
        <v>0</v>
      </c>
      <c r="H1295" s="10"/>
      <c r="I1295" s="10"/>
    </row>
    <row r="1296" spans="1:9">
      <c r="A1296" s="10" t="s">
        <v>2041</v>
      </c>
      <c r="B1296" s="124" t="s">
        <v>574</v>
      </c>
      <c r="C1296" s="124" t="s">
        <v>390</v>
      </c>
      <c r="D1296" s="14">
        <v>3140560.45</v>
      </c>
      <c r="E1296" s="82">
        <v>0.96479180320000002</v>
      </c>
      <c r="F1296" s="14">
        <v>3029986.98</v>
      </c>
      <c r="G1296" s="12">
        <v>0</v>
      </c>
      <c r="H1296" s="10"/>
      <c r="I1296" s="10"/>
    </row>
    <row r="1297" spans="1:9">
      <c r="A1297" s="10" t="s">
        <v>2042</v>
      </c>
      <c r="B1297" s="124" t="s">
        <v>587</v>
      </c>
      <c r="C1297" s="124" t="s">
        <v>390</v>
      </c>
      <c r="D1297" s="14">
        <v>3140560.45</v>
      </c>
      <c r="E1297" s="82">
        <v>0.95479762889999997</v>
      </c>
      <c r="F1297" s="14">
        <v>2998599.67</v>
      </c>
      <c r="G1297" s="12">
        <v>0</v>
      </c>
      <c r="H1297" s="10"/>
      <c r="I1297" s="10"/>
    </row>
    <row r="1298" spans="1:9">
      <c r="A1298" s="10" t="s">
        <v>2043</v>
      </c>
      <c r="B1298" s="124" t="s">
        <v>1007</v>
      </c>
      <c r="C1298" s="124" t="s">
        <v>390</v>
      </c>
      <c r="D1298" s="14">
        <v>3140560.45</v>
      </c>
      <c r="E1298" s="82">
        <v>0.95750268090000001</v>
      </c>
      <c r="F1298" s="14">
        <v>3007095.05</v>
      </c>
      <c r="G1298" s="12">
        <v>0</v>
      </c>
      <c r="H1298" s="10"/>
      <c r="I1298" s="10"/>
    </row>
    <row r="1299" spans="1:9">
      <c r="A1299" s="10" t="s">
        <v>2044</v>
      </c>
      <c r="B1299" s="124" t="s">
        <v>497</v>
      </c>
      <c r="C1299" s="124" t="s">
        <v>390</v>
      </c>
      <c r="D1299" s="14">
        <v>3140560.45</v>
      </c>
      <c r="E1299" s="82">
        <v>0.95840783770000004</v>
      </c>
      <c r="F1299" s="14">
        <v>3009937.75</v>
      </c>
      <c r="G1299" s="12">
        <v>0</v>
      </c>
      <c r="H1299" s="10"/>
      <c r="I1299" s="10"/>
    </row>
    <row r="1300" spans="1:9">
      <c r="A1300" s="10" t="s">
        <v>2045</v>
      </c>
      <c r="B1300" s="124" t="s">
        <v>1007</v>
      </c>
      <c r="C1300" s="124" t="s">
        <v>390</v>
      </c>
      <c r="D1300" s="14">
        <v>3105640.28</v>
      </c>
      <c r="E1300" s="82">
        <v>0.95750267980000003</v>
      </c>
      <c r="F1300" s="14">
        <v>2973658.89</v>
      </c>
      <c r="G1300" s="12">
        <v>0</v>
      </c>
      <c r="H1300" s="10"/>
      <c r="I1300" s="10"/>
    </row>
    <row r="1301" spans="1:9">
      <c r="A1301" s="10" t="s">
        <v>2046</v>
      </c>
      <c r="B1301" s="124" t="s">
        <v>497</v>
      </c>
      <c r="C1301" s="124" t="s">
        <v>390</v>
      </c>
      <c r="D1301" s="14">
        <v>3105640.28</v>
      </c>
      <c r="E1301" s="82">
        <v>0.95840783880000002</v>
      </c>
      <c r="F1301" s="14">
        <v>2976469.99</v>
      </c>
      <c r="G1301" s="12">
        <v>0</v>
      </c>
      <c r="H1301" s="10"/>
      <c r="I1301" s="10"/>
    </row>
    <row r="1302" spans="1:9">
      <c r="A1302" s="10" t="s">
        <v>2047</v>
      </c>
      <c r="B1302" s="124" t="s">
        <v>504</v>
      </c>
      <c r="C1302" s="124" t="s">
        <v>390</v>
      </c>
      <c r="D1302" s="14">
        <v>3105640.28</v>
      </c>
      <c r="E1302" s="82">
        <v>0.95931471810000002</v>
      </c>
      <c r="F1302" s="14">
        <v>2979286.43</v>
      </c>
      <c r="G1302" s="12">
        <v>0</v>
      </c>
      <c r="H1302" s="10"/>
      <c r="I1302" s="10"/>
    </row>
    <row r="1303" spans="1:9">
      <c r="A1303" s="10" t="s">
        <v>2048</v>
      </c>
      <c r="B1303" s="124" t="s">
        <v>778</v>
      </c>
      <c r="C1303" s="124" t="s">
        <v>390</v>
      </c>
      <c r="D1303" s="12">
        <v>25000000</v>
      </c>
      <c r="E1303" s="82">
        <v>0.91784656070000004</v>
      </c>
      <c r="F1303" s="14">
        <v>22946164.02</v>
      </c>
      <c r="G1303" s="14">
        <v>0.03</v>
      </c>
      <c r="H1303" s="10"/>
      <c r="I1303" s="10"/>
    </row>
    <row r="1304" spans="1:9">
      <c r="A1304" s="10" t="s">
        <v>2049</v>
      </c>
      <c r="B1304" s="124" t="s">
        <v>448</v>
      </c>
      <c r="C1304" s="124" t="s">
        <v>390</v>
      </c>
      <c r="D1304" s="12">
        <v>25000000</v>
      </c>
      <c r="E1304" s="82">
        <v>0.98486291079999999</v>
      </c>
      <c r="F1304" s="14">
        <v>24621572.77</v>
      </c>
      <c r="G1304" s="14">
        <v>0.03</v>
      </c>
      <c r="H1304" s="10"/>
      <c r="I1304" s="10"/>
    </row>
    <row r="1305" spans="1:9">
      <c r="A1305" s="10" t="s">
        <v>2050</v>
      </c>
      <c r="B1305" s="124" t="s">
        <v>754</v>
      </c>
      <c r="C1305" s="124" t="s">
        <v>390</v>
      </c>
      <c r="D1305" s="12">
        <v>25000000</v>
      </c>
      <c r="E1305" s="82">
        <v>0.9325499679</v>
      </c>
      <c r="F1305" s="154">
        <v>23313749.199999999</v>
      </c>
      <c r="G1305" s="14">
        <v>0.03</v>
      </c>
      <c r="H1305" s="10"/>
      <c r="I1305" s="10"/>
    </row>
    <row r="1306" spans="1:9">
      <c r="A1306" s="10" t="s">
        <v>2051</v>
      </c>
      <c r="B1306" s="124" t="s">
        <v>808</v>
      </c>
      <c r="C1306" s="124" t="s">
        <v>390</v>
      </c>
      <c r="D1306" s="12">
        <v>25000000</v>
      </c>
      <c r="E1306" s="158">
        <v>0.92320931299999998</v>
      </c>
      <c r="F1306" s="14">
        <v>23080232.829999998</v>
      </c>
      <c r="G1306" s="14">
        <v>0.03</v>
      </c>
      <c r="H1306" s="10"/>
      <c r="I1306" s="10"/>
    </row>
    <row r="1307" spans="1:9">
      <c r="A1307" s="10" t="s">
        <v>2052</v>
      </c>
      <c r="B1307" s="124" t="s">
        <v>651</v>
      </c>
      <c r="C1307" s="124" t="s">
        <v>390</v>
      </c>
      <c r="D1307" s="12">
        <v>25000000</v>
      </c>
      <c r="E1307" s="82">
        <v>0.9380864324</v>
      </c>
      <c r="F1307" s="14">
        <v>23452160.809999999</v>
      </c>
      <c r="G1307" s="14">
        <v>0.03</v>
      </c>
      <c r="H1307" s="10"/>
      <c r="I1307" s="10"/>
    </row>
    <row r="1308" spans="1:9">
      <c r="A1308" s="10" t="s">
        <v>2053</v>
      </c>
      <c r="B1308" s="124" t="s">
        <v>1161</v>
      </c>
      <c r="C1308" s="124" t="s">
        <v>390</v>
      </c>
      <c r="D1308" s="12">
        <v>25000000</v>
      </c>
      <c r="E1308" s="82">
        <v>0.9461106494</v>
      </c>
      <c r="F1308" s="14">
        <v>23652766.239999998</v>
      </c>
      <c r="G1308" s="14">
        <v>0.03</v>
      </c>
      <c r="H1308" s="10"/>
      <c r="I1308" s="10"/>
    </row>
    <row r="1309" spans="1:9">
      <c r="A1309" s="10" t="s">
        <v>2054</v>
      </c>
      <c r="B1309" s="124" t="s">
        <v>766</v>
      </c>
      <c r="C1309" s="124" t="s">
        <v>390</v>
      </c>
      <c r="D1309" s="12">
        <v>25000000</v>
      </c>
      <c r="E1309" s="21">
        <v>0.97273673999999999</v>
      </c>
      <c r="F1309" s="154">
        <v>24318418.5</v>
      </c>
      <c r="G1309" s="14">
        <v>0.03</v>
      </c>
      <c r="H1309" s="10"/>
      <c r="I1309" s="10"/>
    </row>
    <row r="1310" spans="1:9">
      <c r="A1310" s="10" t="s">
        <v>2055</v>
      </c>
      <c r="B1310" s="124" t="s">
        <v>500</v>
      </c>
      <c r="C1310" s="124" t="s">
        <v>390</v>
      </c>
      <c r="D1310" s="12">
        <v>25000000</v>
      </c>
      <c r="E1310" s="82">
        <v>0.95674984919999995</v>
      </c>
      <c r="F1310" s="14">
        <v>23918746.23</v>
      </c>
      <c r="G1310" s="14">
        <v>0.03</v>
      </c>
      <c r="H1310" s="10"/>
      <c r="I1310" s="10"/>
    </row>
    <row r="1311" spans="1:9">
      <c r="A1311" s="10" t="s">
        <v>2056</v>
      </c>
      <c r="B1311" s="124" t="s">
        <v>504</v>
      </c>
      <c r="C1311" s="124" t="s">
        <v>390</v>
      </c>
      <c r="D1311" s="12">
        <v>25000000</v>
      </c>
      <c r="E1311" s="82">
        <v>0.96257828209999996</v>
      </c>
      <c r="F1311" s="14">
        <v>24064457.050000001</v>
      </c>
      <c r="G1311" s="14">
        <v>0.03</v>
      </c>
      <c r="H1311" s="10"/>
      <c r="I1311" s="10"/>
    </row>
    <row r="1312" spans="1:9">
      <c r="A1312" s="10" t="s">
        <v>2057</v>
      </c>
      <c r="B1312" s="124" t="s">
        <v>593</v>
      </c>
      <c r="C1312" s="124" t="s">
        <v>390</v>
      </c>
      <c r="D1312" s="12">
        <v>60000000</v>
      </c>
      <c r="E1312" s="158">
        <v>0.95810585800000003</v>
      </c>
      <c r="F1312" s="14">
        <v>57486351.479999997</v>
      </c>
      <c r="G1312" s="14">
        <v>0.08</v>
      </c>
      <c r="H1312" s="10"/>
      <c r="I1312" s="10"/>
    </row>
    <row r="1313" spans="1:9">
      <c r="A1313" s="10" t="s">
        <v>2058</v>
      </c>
      <c r="B1313" s="124" t="s">
        <v>522</v>
      </c>
      <c r="C1313" s="124" t="s">
        <v>390</v>
      </c>
      <c r="D1313" s="12">
        <v>10000000</v>
      </c>
      <c r="E1313" s="82">
        <v>0.97048664389999995</v>
      </c>
      <c r="F1313" s="14">
        <v>9704866.4399999995</v>
      </c>
      <c r="G1313" s="14">
        <v>0.01</v>
      </c>
      <c r="H1313" s="10"/>
      <c r="I1313" s="10"/>
    </row>
    <row r="1314" spans="1:9">
      <c r="A1314" s="10" t="s">
        <v>2059</v>
      </c>
      <c r="B1314" s="124" t="s">
        <v>524</v>
      </c>
      <c r="C1314" s="124" t="s">
        <v>390</v>
      </c>
      <c r="D1314" s="12">
        <v>10000000</v>
      </c>
      <c r="E1314" s="158">
        <v>0.96668261300000002</v>
      </c>
      <c r="F1314" s="14">
        <v>9666826.1300000008</v>
      </c>
      <c r="G1314" s="14">
        <v>0.01</v>
      </c>
      <c r="H1314" s="10"/>
      <c r="I1314" s="10"/>
    </row>
    <row r="1315" spans="1:9">
      <c r="A1315" s="10" t="s">
        <v>2060</v>
      </c>
      <c r="B1315" s="124" t="s">
        <v>766</v>
      </c>
      <c r="C1315" s="124" t="s">
        <v>390</v>
      </c>
      <c r="D1315" s="12">
        <v>10000000</v>
      </c>
      <c r="E1315" s="82">
        <v>0.96953278490000006</v>
      </c>
      <c r="F1315" s="14">
        <v>9695327.8499999996</v>
      </c>
      <c r="G1315" s="14">
        <v>0.01</v>
      </c>
      <c r="H1315" s="10"/>
      <c r="I1315" s="10"/>
    </row>
    <row r="1316" spans="1:9">
      <c r="A1316" s="10" t="s">
        <v>2061</v>
      </c>
      <c r="B1316" s="124" t="s">
        <v>660</v>
      </c>
      <c r="C1316" s="124" t="s">
        <v>390</v>
      </c>
      <c r="D1316" s="12">
        <v>10000000</v>
      </c>
      <c r="E1316" s="82">
        <v>0.96573621210000005</v>
      </c>
      <c r="F1316" s="14">
        <v>9657362.1199999992</v>
      </c>
      <c r="G1316" s="14">
        <v>0.01</v>
      </c>
      <c r="H1316" s="10"/>
      <c r="I1316" s="10"/>
    </row>
    <row r="1317" spans="1:9">
      <c r="A1317" s="10" t="s">
        <v>2062</v>
      </c>
      <c r="B1317" s="124" t="s">
        <v>583</v>
      </c>
      <c r="C1317" s="124" t="s">
        <v>390</v>
      </c>
      <c r="D1317" s="12">
        <v>482400</v>
      </c>
      <c r="E1317" s="82">
        <v>0.95848335380000005</v>
      </c>
      <c r="F1317" s="14">
        <v>462372.37</v>
      </c>
      <c r="G1317" s="12">
        <v>0</v>
      </c>
      <c r="H1317" s="10"/>
      <c r="I1317" s="10"/>
    </row>
    <row r="1318" spans="1:9">
      <c r="A1318" s="10" t="s">
        <v>2063</v>
      </c>
      <c r="B1318" s="124" t="s">
        <v>490</v>
      </c>
      <c r="C1318" s="124" t="s">
        <v>390</v>
      </c>
      <c r="D1318" s="12">
        <v>482400</v>
      </c>
      <c r="E1318" s="82">
        <v>0.98165785650000004</v>
      </c>
      <c r="F1318" s="14">
        <v>473551.75</v>
      </c>
      <c r="G1318" s="12">
        <v>0</v>
      </c>
      <c r="H1318" s="10"/>
      <c r="I1318" s="10"/>
    </row>
    <row r="1319" spans="1:9">
      <c r="A1319" s="10" t="s">
        <v>2064</v>
      </c>
      <c r="B1319" s="124" t="s">
        <v>812</v>
      </c>
      <c r="C1319" s="124" t="s">
        <v>390</v>
      </c>
      <c r="D1319" s="12">
        <v>482400</v>
      </c>
      <c r="E1319" s="82">
        <v>0.93414910910000004</v>
      </c>
      <c r="F1319" s="14">
        <v>450633.53</v>
      </c>
      <c r="G1319" s="12">
        <v>0</v>
      </c>
      <c r="H1319" s="10"/>
      <c r="I1319" s="10"/>
    </row>
    <row r="1320" spans="1:9">
      <c r="A1320" s="10" t="s">
        <v>2065</v>
      </c>
      <c r="B1320" s="124" t="s">
        <v>522</v>
      </c>
      <c r="C1320" s="124" t="s">
        <v>390</v>
      </c>
      <c r="D1320" s="14">
        <v>1234401.02</v>
      </c>
      <c r="E1320" s="158">
        <v>0.97515367399999997</v>
      </c>
      <c r="F1320" s="14">
        <v>1203730.69</v>
      </c>
      <c r="G1320" s="12">
        <v>0</v>
      </c>
      <c r="H1320" s="10"/>
      <c r="I1320" s="10"/>
    </row>
    <row r="1321" spans="1:9">
      <c r="A1321" s="10" t="s">
        <v>2066</v>
      </c>
      <c r="B1321" s="124" t="s">
        <v>1161</v>
      </c>
      <c r="C1321" s="124" t="s">
        <v>390</v>
      </c>
      <c r="D1321" s="12">
        <v>985744</v>
      </c>
      <c r="E1321" s="82">
        <v>0.94921080879999997</v>
      </c>
      <c r="F1321" s="14">
        <v>935678.86</v>
      </c>
      <c r="G1321" s="12">
        <v>0</v>
      </c>
      <c r="H1321" s="10"/>
      <c r="I1321" s="10"/>
    </row>
    <row r="1322" spans="1:9">
      <c r="A1322" s="10" t="s">
        <v>2067</v>
      </c>
      <c r="B1322" s="124" t="s">
        <v>574</v>
      </c>
      <c r="C1322" s="124" t="s">
        <v>390</v>
      </c>
      <c r="D1322" s="12">
        <v>1598248</v>
      </c>
      <c r="E1322" s="82">
        <v>0.96953284490000002</v>
      </c>
      <c r="F1322" s="14">
        <v>1549553.93</v>
      </c>
      <c r="G1322" s="12">
        <v>0</v>
      </c>
      <c r="H1322" s="10"/>
      <c r="I1322" s="10"/>
    </row>
    <row r="1323" spans="1:9">
      <c r="A1323" s="10" t="s">
        <v>2068</v>
      </c>
      <c r="B1323" s="124" t="s">
        <v>647</v>
      </c>
      <c r="C1323" s="124" t="s">
        <v>390</v>
      </c>
      <c r="D1323" s="12">
        <v>1598248</v>
      </c>
      <c r="E1323" s="82">
        <v>0.94312811919999995</v>
      </c>
      <c r="F1323" s="14">
        <v>1507352.63</v>
      </c>
      <c r="G1323" s="12">
        <v>0</v>
      </c>
      <c r="H1323" s="10"/>
      <c r="I1323" s="10"/>
    </row>
    <row r="1324" spans="1:9">
      <c r="A1324" s="10" t="s">
        <v>2069</v>
      </c>
      <c r="B1324" s="124" t="s">
        <v>443</v>
      </c>
      <c r="C1324" s="124" t="s">
        <v>390</v>
      </c>
      <c r="D1324" s="12">
        <v>1598248</v>
      </c>
      <c r="E1324" s="82">
        <v>0.99325136650000001</v>
      </c>
      <c r="F1324" s="14">
        <v>1587462.01</v>
      </c>
      <c r="G1324" s="12">
        <v>0</v>
      </c>
      <c r="H1324" s="10"/>
      <c r="I1324" s="10"/>
    </row>
    <row r="1325" spans="1:9">
      <c r="A1325" s="10" t="s">
        <v>2070</v>
      </c>
      <c r="B1325" s="124" t="s">
        <v>480</v>
      </c>
      <c r="C1325" s="124" t="s">
        <v>390</v>
      </c>
      <c r="D1325" s="12">
        <v>8523310</v>
      </c>
      <c r="E1325" s="82">
        <v>0.99408997450000003</v>
      </c>
      <c r="F1325" s="14">
        <v>8472937.0199999996</v>
      </c>
      <c r="G1325" s="14">
        <v>0.01</v>
      </c>
      <c r="H1325" s="10"/>
      <c r="I1325" s="10"/>
    </row>
    <row r="1326" spans="1:9">
      <c r="A1326" s="10" t="s">
        <v>2071</v>
      </c>
      <c r="B1326" s="124" t="s">
        <v>778</v>
      </c>
      <c r="C1326" s="124" t="s">
        <v>390</v>
      </c>
      <c r="D1326" s="12">
        <v>8523313</v>
      </c>
      <c r="E1326" s="82">
        <v>0.92243938250000002</v>
      </c>
      <c r="F1326" s="14">
        <v>7862239.5800000001</v>
      </c>
      <c r="G1326" s="14">
        <v>0.01</v>
      </c>
      <c r="H1326" s="10"/>
      <c r="I1326" s="10"/>
    </row>
    <row r="1327" spans="1:9">
      <c r="A1327" s="10" t="s">
        <v>2072</v>
      </c>
      <c r="B1327" s="124" t="s">
        <v>680</v>
      </c>
      <c r="C1327" s="124" t="s">
        <v>390</v>
      </c>
      <c r="D1327" s="12">
        <v>8523310</v>
      </c>
      <c r="E1327" s="82">
        <v>0.97033189720000002</v>
      </c>
      <c r="F1327" s="14">
        <v>8270439.5599999996</v>
      </c>
      <c r="G1327" s="14">
        <v>0.01</v>
      </c>
      <c r="H1327" s="10"/>
      <c r="I1327" s="10"/>
    </row>
    <row r="1328" spans="1:9">
      <c r="A1328" s="10" t="s">
        <v>2073</v>
      </c>
      <c r="B1328" s="124" t="s">
        <v>776</v>
      </c>
      <c r="C1328" s="124" t="s">
        <v>390</v>
      </c>
      <c r="D1328" s="12">
        <v>8523310</v>
      </c>
      <c r="E1328" s="82">
        <v>0.94692066460000002</v>
      </c>
      <c r="F1328" s="14">
        <v>8070898.3700000001</v>
      </c>
      <c r="G1328" s="14">
        <v>0.01</v>
      </c>
      <c r="H1328" s="10"/>
      <c r="I1328" s="10"/>
    </row>
    <row r="1329" spans="1:9">
      <c r="A1329" s="10" t="s">
        <v>2074</v>
      </c>
      <c r="B1329" s="124" t="s">
        <v>504</v>
      </c>
      <c r="C1329" s="124" t="s">
        <v>390</v>
      </c>
      <c r="D1329" s="12">
        <v>100000000</v>
      </c>
      <c r="E1329" s="158">
        <v>0.96586412700000002</v>
      </c>
      <c r="F1329" s="154">
        <v>96586412.700000003</v>
      </c>
      <c r="G1329" s="14">
        <v>0.13</v>
      </c>
      <c r="H1329" s="10"/>
      <c r="I1329" s="10"/>
    </row>
    <row r="1330" spans="1:9">
      <c r="A1330" s="10" t="s">
        <v>2075</v>
      </c>
      <c r="B1330" s="124" t="s">
        <v>1007</v>
      </c>
      <c r="C1330" s="124" t="s">
        <v>390</v>
      </c>
      <c r="D1330" s="12">
        <v>100000000</v>
      </c>
      <c r="E1330" s="82">
        <v>0.96433294120000002</v>
      </c>
      <c r="F1330" s="14">
        <v>96433294.120000005</v>
      </c>
      <c r="G1330" s="14">
        <v>0.13</v>
      </c>
      <c r="H1330" s="10"/>
      <c r="I1330" s="10"/>
    </row>
    <row r="1331" spans="1:9">
      <c r="A1331" s="10" t="s">
        <v>2076</v>
      </c>
      <c r="B1331" s="124" t="s">
        <v>504</v>
      </c>
      <c r="C1331" s="124" t="s">
        <v>390</v>
      </c>
      <c r="D1331" s="12">
        <v>100000000</v>
      </c>
      <c r="E1331" s="158">
        <v>0.96586412700000002</v>
      </c>
      <c r="F1331" s="154">
        <v>96586412.700000003</v>
      </c>
      <c r="G1331" s="14">
        <v>0.13</v>
      </c>
      <c r="H1331" s="10"/>
      <c r="I1331" s="10"/>
    </row>
    <row r="1332" spans="1:9">
      <c r="A1332" s="10" t="s">
        <v>2077</v>
      </c>
      <c r="B1332" s="124" t="s">
        <v>587</v>
      </c>
      <c r="C1332" s="124" t="s">
        <v>390</v>
      </c>
      <c r="D1332" s="12">
        <v>42000000</v>
      </c>
      <c r="E1332" s="82">
        <v>0.95240590339999998</v>
      </c>
      <c r="F1332" s="14">
        <v>40001047.939999998</v>
      </c>
      <c r="G1332" s="14">
        <v>0.05</v>
      </c>
      <c r="H1332" s="10"/>
      <c r="I1332" s="10"/>
    </row>
    <row r="1333" spans="1:9">
      <c r="A1333" s="10" t="s">
        <v>2078</v>
      </c>
      <c r="B1333" s="124" t="s">
        <v>883</v>
      </c>
      <c r="C1333" s="124" t="s">
        <v>390</v>
      </c>
      <c r="D1333" s="12">
        <v>43500000</v>
      </c>
      <c r="E1333" s="82">
        <v>0.95906256109999999</v>
      </c>
      <c r="F1333" s="14">
        <v>41719221.409999996</v>
      </c>
      <c r="G1333" s="14">
        <v>0.06</v>
      </c>
      <c r="H1333" s="10"/>
      <c r="I1333" s="10"/>
    </row>
    <row r="1334" spans="1:9">
      <c r="A1334" s="10" t="s">
        <v>2079</v>
      </c>
      <c r="B1334" s="124" t="s">
        <v>680</v>
      </c>
      <c r="C1334" s="124" t="s">
        <v>390</v>
      </c>
      <c r="D1334" s="12">
        <v>40000000</v>
      </c>
      <c r="E1334" s="82">
        <v>0.96387466079999995</v>
      </c>
      <c r="F1334" s="14">
        <v>38554986.43</v>
      </c>
      <c r="G1334" s="14">
        <v>0.05</v>
      </c>
      <c r="H1334" s="10"/>
      <c r="I1334" s="10"/>
    </row>
    <row r="1335" spans="1:9">
      <c r="A1335" s="10" t="s">
        <v>2080</v>
      </c>
      <c r="B1335" s="124" t="s">
        <v>485</v>
      </c>
      <c r="C1335" s="124" t="s">
        <v>390</v>
      </c>
      <c r="D1335" s="12">
        <v>70000000</v>
      </c>
      <c r="E1335" s="82">
        <v>0.9857405467</v>
      </c>
      <c r="F1335" s="14">
        <v>69001838.269999996</v>
      </c>
      <c r="G1335" s="14">
        <v>0.09</v>
      </c>
      <c r="H1335" s="10"/>
      <c r="I1335" s="10"/>
    </row>
    <row r="1336" spans="1:9">
      <c r="A1336" s="10" t="s">
        <v>2081</v>
      </c>
      <c r="B1336" s="124" t="s">
        <v>490</v>
      </c>
      <c r="C1336" s="124" t="s">
        <v>390</v>
      </c>
      <c r="D1336" s="12">
        <v>70000000</v>
      </c>
      <c r="E1336" s="82">
        <v>0.98049758350000005</v>
      </c>
      <c r="F1336" s="14">
        <v>68634830.849999994</v>
      </c>
      <c r="G1336" s="14">
        <v>0.09</v>
      </c>
      <c r="H1336" s="10"/>
      <c r="I1336" s="10"/>
    </row>
    <row r="1337" spans="1:9">
      <c r="A1337" s="10" t="s">
        <v>2082</v>
      </c>
      <c r="B1337" s="124" t="s">
        <v>524</v>
      </c>
      <c r="C1337" s="124" t="s">
        <v>390</v>
      </c>
      <c r="D1337" s="12">
        <v>475000000</v>
      </c>
      <c r="E1337" s="82">
        <v>0.97105464019999999</v>
      </c>
      <c r="F1337" s="154">
        <v>461250954.10000002</v>
      </c>
      <c r="G1337" s="14">
        <v>0.61</v>
      </c>
      <c r="H1337" s="10"/>
      <c r="I1337" s="10"/>
    </row>
    <row r="1338" spans="1:9">
      <c r="A1338" s="10" t="s">
        <v>2088</v>
      </c>
      <c r="B1338" s="124" t="s">
        <v>1550</v>
      </c>
      <c r="C1338" s="124" t="s">
        <v>421</v>
      </c>
      <c r="D1338" s="12">
        <v>65000000</v>
      </c>
      <c r="E1338" s="82">
        <v>0.8836703441</v>
      </c>
      <c r="F1338" s="14">
        <v>57438572.369999997</v>
      </c>
      <c r="G1338" s="14">
        <v>0.08</v>
      </c>
      <c r="H1338" s="10"/>
      <c r="I1338" s="10"/>
    </row>
    <row r="1339" spans="1:9">
      <c r="A1339" s="10" t="s">
        <v>2089</v>
      </c>
      <c r="B1339" s="124" t="s">
        <v>778</v>
      </c>
      <c r="C1339" s="124" t="s">
        <v>421</v>
      </c>
      <c r="D1339" s="12">
        <v>80000000</v>
      </c>
      <c r="E1339" s="82">
        <v>0.92243944020000002</v>
      </c>
      <c r="F1339" s="14">
        <v>73795155.219999999</v>
      </c>
      <c r="G1339" s="154">
        <v>0.1</v>
      </c>
      <c r="H1339" s="10"/>
      <c r="I1339" s="10"/>
    </row>
    <row r="1340" spans="1:9">
      <c r="A1340" s="10" t="s">
        <v>2090</v>
      </c>
      <c r="B1340" s="124" t="s">
        <v>1519</v>
      </c>
      <c r="C1340" s="124" t="s">
        <v>421</v>
      </c>
      <c r="D1340" s="12">
        <v>60000000</v>
      </c>
      <c r="E1340" s="82">
        <v>0.90263868950000004</v>
      </c>
      <c r="F1340" s="14">
        <v>54158321.369999997</v>
      </c>
      <c r="G1340" s="14">
        <v>7.0000000000000007E-2</v>
      </c>
      <c r="H1340" s="10"/>
      <c r="I1340" s="10"/>
    </row>
    <row r="1341" spans="1:9">
      <c r="A1341" s="10" t="s">
        <v>2091</v>
      </c>
      <c r="B1341" s="124" t="s">
        <v>776</v>
      </c>
      <c r="C1341" s="124" t="s">
        <v>421</v>
      </c>
      <c r="D1341" s="12">
        <v>20000000</v>
      </c>
      <c r="E1341" s="82">
        <v>0.94208152619999996</v>
      </c>
      <c r="F1341" s="14">
        <v>18841630.52</v>
      </c>
      <c r="G1341" s="14">
        <v>0.03</v>
      </c>
      <c r="H1341" s="10"/>
      <c r="I1341" s="10"/>
    </row>
    <row r="1342" spans="1:9">
      <c r="A1342" s="10" t="s">
        <v>2092</v>
      </c>
      <c r="B1342" s="124" t="s">
        <v>793</v>
      </c>
      <c r="C1342" s="124" t="s">
        <v>421</v>
      </c>
      <c r="D1342" s="12">
        <v>50000000</v>
      </c>
      <c r="E1342" s="82">
        <v>0.94844617529999997</v>
      </c>
      <c r="F1342" s="14">
        <v>47422308.770000003</v>
      </c>
      <c r="G1342" s="14">
        <v>0.06</v>
      </c>
      <c r="H1342" s="10"/>
      <c r="I1342" s="10"/>
    </row>
    <row r="1343" spans="1:9">
      <c r="A1343" s="10" t="s">
        <v>2093</v>
      </c>
      <c r="B1343" s="124" t="s">
        <v>793</v>
      </c>
      <c r="C1343" s="124" t="s">
        <v>421</v>
      </c>
      <c r="D1343" s="12">
        <v>50000000</v>
      </c>
      <c r="E1343" s="82">
        <v>0.94844617529999997</v>
      </c>
      <c r="F1343" s="14">
        <v>47422308.770000003</v>
      </c>
      <c r="G1343" s="14">
        <v>0.06</v>
      </c>
      <c r="H1343" s="10"/>
      <c r="I1343" s="10"/>
    </row>
    <row r="1344" spans="1:9">
      <c r="A1344" s="10" t="s">
        <v>2094</v>
      </c>
      <c r="B1344" s="124" t="s">
        <v>766</v>
      </c>
      <c r="C1344" s="124" t="s">
        <v>421</v>
      </c>
      <c r="D1344" s="12">
        <v>12000000</v>
      </c>
      <c r="E1344" s="82">
        <v>0.97193381609999996</v>
      </c>
      <c r="F1344" s="14">
        <v>11663205.789999999</v>
      </c>
      <c r="G1344" s="14">
        <v>0.02</v>
      </c>
      <c r="H1344" s="10"/>
      <c r="I1344" s="10"/>
    </row>
    <row r="1345" spans="1:9">
      <c r="A1345" s="10" t="s">
        <v>2095</v>
      </c>
      <c r="B1345" s="124" t="s">
        <v>474</v>
      </c>
      <c r="C1345" s="124" t="s">
        <v>421</v>
      </c>
      <c r="D1345" s="14">
        <v>50544541.340000004</v>
      </c>
      <c r="E1345" s="82">
        <v>0.99745853210000002</v>
      </c>
      <c r="F1345" s="14">
        <v>50416084.009999998</v>
      </c>
      <c r="G1345" s="14">
        <v>7.0000000000000007E-2</v>
      </c>
      <c r="H1345" s="10"/>
      <c r="I1345" s="10"/>
    </row>
    <row r="1346" spans="1:9">
      <c r="A1346" s="10" t="s">
        <v>2096</v>
      </c>
      <c r="B1346" s="124" t="s">
        <v>660</v>
      </c>
      <c r="C1346" s="124" t="s">
        <v>421</v>
      </c>
      <c r="D1346" s="14">
        <v>48042680.460000001</v>
      </c>
      <c r="E1346" s="82">
        <v>0.97113214849999996</v>
      </c>
      <c r="F1346" s="14">
        <v>46655791.490000002</v>
      </c>
      <c r="G1346" s="14">
        <v>0.06</v>
      </c>
      <c r="H1346" s="10"/>
      <c r="I1346" s="10"/>
    </row>
    <row r="1347" spans="1:9">
      <c r="A1347" s="10" t="s">
        <v>2097</v>
      </c>
      <c r="B1347" s="124" t="s">
        <v>1360</v>
      </c>
      <c r="C1347" s="124" t="s">
        <v>421</v>
      </c>
      <c r="D1347" s="12">
        <v>25000000</v>
      </c>
      <c r="E1347" s="82">
        <v>0.93570550720000001</v>
      </c>
      <c r="F1347" s="14">
        <v>23392637.68</v>
      </c>
      <c r="G1347" s="14">
        <v>0.03</v>
      </c>
      <c r="H1347" s="10"/>
      <c r="I1347" s="10"/>
    </row>
    <row r="1348" spans="1:9">
      <c r="A1348" s="10" t="s">
        <v>2098</v>
      </c>
      <c r="B1348" s="124" t="s">
        <v>697</v>
      </c>
      <c r="C1348" s="124" t="s">
        <v>421</v>
      </c>
      <c r="D1348" s="12">
        <v>25000000</v>
      </c>
      <c r="E1348" s="82">
        <v>0.92863516219999998</v>
      </c>
      <c r="F1348" s="14">
        <v>23215879.059999999</v>
      </c>
      <c r="G1348" s="14">
        <v>0.03</v>
      </c>
      <c r="H1348" s="10"/>
      <c r="I1348" s="10"/>
    </row>
    <row r="1349" spans="1:9">
      <c r="A1349" s="10" t="s">
        <v>2099</v>
      </c>
      <c r="B1349" s="124" t="s">
        <v>1007</v>
      </c>
      <c r="C1349" s="124" t="s">
        <v>421</v>
      </c>
      <c r="D1349" s="12">
        <v>25000000</v>
      </c>
      <c r="E1349" s="82">
        <v>0.96090572649999995</v>
      </c>
      <c r="F1349" s="14">
        <v>24022643.16</v>
      </c>
      <c r="G1349" s="14">
        <v>0.03</v>
      </c>
      <c r="H1349" s="10"/>
      <c r="I1349" s="10"/>
    </row>
    <row r="1350" spans="1:9">
      <c r="A1350" s="10" t="s">
        <v>2100</v>
      </c>
      <c r="B1350" s="124" t="s">
        <v>488</v>
      </c>
      <c r="C1350" s="124" t="s">
        <v>421</v>
      </c>
      <c r="D1350" s="12">
        <v>25000000</v>
      </c>
      <c r="E1350" s="82">
        <v>0.98136747940000002</v>
      </c>
      <c r="F1350" s="14">
        <v>24534186.989999998</v>
      </c>
      <c r="G1350" s="14">
        <v>0.03</v>
      </c>
      <c r="H1350" s="10"/>
      <c r="I1350" s="10"/>
    </row>
    <row r="1351" spans="1:9">
      <c r="A1351" s="10" t="s">
        <v>2102</v>
      </c>
      <c r="B1351" s="124" t="s">
        <v>660</v>
      </c>
      <c r="C1351" s="124" t="s">
        <v>421</v>
      </c>
      <c r="D1351" s="12">
        <v>25000000</v>
      </c>
      <c r="E1351" s="158">
        <v>0.96932683399999997</v>
      </c>
      <c r="F1351" s="14">
        <v>24233170.850000001</v>
      </c>
      <c r="G1351" s="14">
        <v>0.03</v>
      </c>
      <c r="H1351" s="10"/>
      <c r="I1351" s="10"/>
    </row>
    <row r="1352" spans="1:9">
      <c r="A1352" s="10" t="s">
        <v>2103</v>
      </c>
      <c r="B1352" s="124" t="s">
        <v>948</v>
      </c>
      <c r="C1352" s="124" t="s">
        <v>421</v>
      </c>
      <c r="D1352" s="12">
        <v>25000000</v>
      </c>
      <c r="E1352" s="82">
        <v>0.95509746750000002</v>
      </c>
      <c r="F1352" s="14">
        <v>23877436.690000001</v>
      </c>
      <c r="G1352" s="14">
        <v>0.03</v>
      </c>
      <c r="H1352" s="10"/>
      <c r="I1352" s="10"/>
    </row>
    <row r="1353" spans="1:9">
      <c r="A1353" s="10" t="s">
        <v>2104</v>
      </c>
      <c r="B1353" s="124" t="s">
        <v>778</v>
      </c>
      <c r="C1353" s="124" t="s">
        <v>421</v>
      </c>
      <c r="D1353" s="12">
        <v>25000000</v>
      </c>
      <c r="E1353" s="82">
        <v>0.91784662240000003</v>
      </c>
      <c r="F1353" s="14">
        <v>22946165.559999999</v>
      </c>
      <c r="G1353" s="14">
        <v>0.03</v>
      </c>
      <c r="H1353" s="10"/>
      <c r="I1353" s="10"/>
    </row>
    <row r="1354" spans="1:9">
      <c r="A1354" s="10" t="s">
        <v>2105</v>
      </c>
      <c r="B1354" s="124" t="s">
        <v>793</v>
      </c>
      <c r="C1354" s="124" t="s">
        <v>421</v>
      </c>
      <c r="D1354" s="12">
        <v>25000000</v>
      </c>
      <c r="E1354" s="82">
        <v>0.94530205069999995</v>
      </c>
      <c r="F1354" s="14">
        <v>23632551.27</v>
      </c>
      <c r="G1354" s="14">
        <v>0.03</v>
      </c>
      <c r="H1354" s="10"/>
      <c r="I1354" s="10"/>
    </row>
    <row r="1355" spans="1:9">
      <c r="A1355" s="10" t="s">
        <v>2106</v>
      </c>
      <c r="B1355" s="124" t="s">
        <v>883</v>
      </c>
      <c r="C1355" s="124" t="s">
        <v>421</v>
      </c>
      <c r="D1355" s="12">
        <v>25000000</v>
      </c>
      <c r="E1355" s="158">
        <v>0.96425658700000005</v>
      </c>
      <c r="F1355" s="14">
        <v>24106414.68</v>
      </c>
      <c r="G1355" s="14">
        <v>0.03</v>
      </c>
      <c r="H1355" s="10"/>
      <c r="I1355" s="10"/>
    </row>
    <row r="1356" spans="1:9">
      <c r="A1356" s="10" t="s">
        <v>2107</v>
      </c>
      <c r="B1356" s="124" t="s">
        <v>488</v>
      </c>
      <c r="C1356" s="124" t="s">
        <v>421</v>
      </c>
      <c r="D1356" s="12">
        <v>265500000</v>
      </c>
      <c r="E1356" s="82">
        <v>0.97860477079999997</v>
      </c>
      <c r="F1356" s="14">
        <v>259819566.65000001</v>
      </c>
      <c r="G1356" s="14">
        <v>0.35</v>
      </c>
      <c r="H1356" s="10"/>
      <c r="I1356" s="10"/>
    </row>
    <row r="1357" spans="1:9">
      <c r="A1357" s="10" t="s">
        <v>2108</v>
      </c>
      <c r="B1357" s="124" t="s">
        <v>574</v>
      </c>
      <c r="C1357" s="124" t="s">
        <v>421</v>
      </c>
      <c r="D1357" s="12">
        <v>50000000</v>
      </c>
      <c r="E1357" s="82">
        <v>0.96573635030000005</v>
      </c>
      <c r="F1357" s="14">
        <v>48286817.520000003</v>
      </c>
      <c r="G1357" s="14">
        <v>0.06</v>
      </c>
      <c r="H1357" s="10"/>
      <c r="I1357" s="10"/>
    </row>
    <row r="1358" spans="1:9">
      <c r="A1358" s="10" t="s">
        <v>2109</v>
      </c>
      <c r="B1358" s="124" t="s">
        <v>680</v>
      </c>
      <c r="C1358" s="124" t="s">
        <v>421</v>
      </c>
      <c r="D1358" s="14">
        <v>4981378.5599999996</v>
      </c>
      <c r="E1358" s="158">
        <v>0.97546635400000004</v>
      </c>
      <c r="F1358" s="14">
        <v>4859167.18</v>
      </c>
      <c r="G1358" s="14">
        <v>0.01</v>
      </c>
      <c r="H1358" s="10"/>
      <c r="I1358" s="10"/>
    </row>
    <row r="1359" spans="1:9">
      <c r="A1359" s="10" t="s">
        <v>2110</v>
      </c>
      <c r="B1359" s="124" t="s">
        <v>441</v>
      </c>
      <c r="C1359" s="124" t="s">
        <v>421</v>
      </c>
      <c r="D1359" s="12">
        <v>4000000</v>
      </c>
      <c r="E1359" s="82">
        <v>0.99476726510000002</v>
      </c>
      <c r="F1359" s="14">
        <v>3979069.06</v>
      </c>
      <c r="G1359" s="14">
        <v>0.01</v>
      </c>
      <c r="H1359" s="10"/>
      <c r="I1359" s="10"/>
    </row>
    <row r="1360" spans="1:9">
      <c r="A1360" s="10" t="s">
        <v>2111</v>
      </c>
      <c r="B1360" s="124" t="s">
        <v>480</v>
      </c>
      <c r="C1360" s="124" t="s">
        <v>421</v>
      </c>
      <c r="D1360" s="12">
        <v>4000000</v>
      </c>
      <c r="E1360" s="82">
        <v>0.9939005125</v>
      </c>
      <c r="F1360" s="14">
        <v>3975602.05</v>
      </c>
      <c r="G1360" s="14">
        <v>0.01</v>
      </c>
      <c r="H1360" s="10"/>
      <c r="I1360" s="10"/>
    </row>
    <row r="1361" spans="1:9">
      <c r="A1361" s="10" t="s">
        <v>2112</v>
      </c>
      <c r="B1361" s="124" t="s">
        <v>443</v>
      </c>
      <c r="C1361" s="124" t="s">
        <v>421</v>
      </c>
      <c r="D1361" s="12">
        <v>4000000</v>
      </c>
      <c r="E1361" s="82">
        <v>0.9930352026</v>
      </c>
      <c r="F1361" s="14">
        <v>3972140.81</v>
      </c>
      <c r="G1361" s="14">
        <v>0.01</v>
      </c>
      <c r="H1361" s="10"/>
      <c r="I1361" s="10"/>
    </row>
    <row r="1362" spans="1:9">
      <c r="A1362" s="10" t="s">
        <v>2113</v>
      </c>
      <c r="B1362" s="124" t="s">
        <v>438</v>
      </c>
      <c r="C1362" s="124" t="s">
        <v>421</v>
      </c>
      <c r="D1362" s="12">
        <v>4000000</v>
      </c>
      <c r="E1362" s="82">
        <v>0.99217139249999997</v>
      </c>
      <c r="F1362" s="14">
        <v>3968685.57</v>
      </c>
      <c r="G1362" s="14">
        <v>0.01</v>
      </c>
      <c r="H1362" s="10"/>
      <c r="I1362" s="10"/>
    </row>
    <row r="1363" spans="1:9">
      <c r="A1363" s="10" t="s">
        <v>2114</v>
      </c>
      <c r="B1363" s="124" t="s">
        <v>580</v>
      </c>
      <c r="C1363" s="124" t="s">
        <v>421</v>
      </c>
      <c r="D1363" s="12">
        <v>4000000</v>
      </c>
      <c r="E1363" s="82">
        <v>0.98787485490000004</v>
      </c>
      <c r="F1363" s="14">
        <v>3951499.42</v>
      </c>
      <c r="G1363" s="14">
        <v>0.01</v>
      </c>
      <c r="H1363" s="10"/>
      <c r="I1363" s="10"/>
    </row>
    <row r="1364" spans="1:9">
      <c r="A1364" s="10" t="s">
        <v>2115</v>
      </c>
      <c r="B1364" s="124" t="s">
        <v>448</v>
      </c>
      <c r="C1364" s="124" t="s">
        <v>421</v>
      </c>
      <c r="D1364" s="12">
        <v>4000000</v>
      </c>
      <c r="E1364" s="82">
        <v>0.98531479020000001</v>
      </c>
      <c r="F1364" s="14">
        <v>3941259.16</v>
      </c>
      <c r="G1364" s="14">
        <v>0.01</v>
      </c>
      <c r="H1364" s="10"/>
      <c r="I1364" s="10"/>
    </row>
    <row r="1365" spans="1:9">
      <c r="A1365" s="10" t="s">
        <v>2116</v>
      </c>
      <c r="B1365" s="124" t="s">
        <v>514</v>
      </c>
      <c r="C1365" s="124" t="s">
        <v>421</v>
      </c>
      <c r="D1365" s="12">
        <v>189000000</v>
      </c>
      <c r="E1365" s="82">
        <v>0.97541431950000002</v>
      </c>
      <c r="F1365" s="14">
        <v>184353306.38999999</v>
      </c>
      <c r="G1365" s="14">
        <v>0.25</v>
      </c>
      <c r="H1365" s="10"/>
      <c r="I1365" s="10"/>
    </row>
    <row r="1366" spans="1:9">
      <c r="A1366" s="10" t="s">
        <v>2117</v>
      </c>
      <c r="B1366" s="124" t="s">
        <v>446</v>
      </c>
      <c r="C1366" s="124" t="s">
        <v>421</v>
      </c>
      <c r="D1366" s="12">
        <v>35000000</v>
      </c>
      <c r="E1366" s="82">
        <v>0.95512242849999995</v>
      </c>
      <c r="F1366" s="12">
        <v>33429285</v>
      </c>
      <c r="G1366" s="14">
        <v>0.04</v>
      </c>
      <c r="H1366" s="10"/>
      <c r="I1366" s="10"/>
    </row>
    <row r="1367" spans="1:9">
      <c r="A1367" s="10" t="s">
        <v>2118</v>
      </c>
      <c r="B1367" s="124" t="s">
        <v>502</v>
      </c>
      <c r="C1367" s="124" t="s">
        <v>421</v>
      </c>
      <c r="D1367" s="12">
        <v>35000000</v>
      </c>
      <c r="E1367" s="82">
        <v>0.94817514380000001</v>
      </c>
      <c r="F1367" s="14">
        <v>33186130.030000001</v>
      </c>
      <c r="G1367" s="14">
        <v>0.04</v>
      </c>
      <c r="H1367" s="10"/>
      <c r="I1367" s="10"/>
    </row>
    <row r="1368" spans="1:9">
      <c r="A1368" s="10" t="s">
        <v>2119</v>
      </c>
      <c r="B1368" s="124" t="s">
        <v>527</v>
      </c>
      <c r="C1368" s="124" t="s">
        <v>421</v>
      </c>
      <c r="D1368" s="12">
        <v>40000000</v>
      </c>
      <c r="E1368" s="82">
        <v>0.97385275709999997</v>
      </c>
      <c r="F1368" s="14">
        <v>38954110.280000001</v>
      </c>
      <c r="G1368" s="14">
        <v>0.05</v>
      </c>
      <c r="H1368" s="10"/>
      <c r="I1368" s="10"/>
    </row>
    <row r="1369" spans="1:9">
      <c r="A1369" s="10" t="s">
        <v>2120</v>
      </c>
      <c r="B1369" s="124" t="s">
        <v>441</v>
      </c>
      <c r="C1369" s="124" t="s">
        <v>421</v>
      </c>
      <c r="D1369" s="12">
        <v>5000000</v>
      </c>
      <c r="E1369" s="21">
        <v>0.99492996</v>
      </c>
      <c r="F1369" s="154">
        <v>4974649.8</v>
      </c>
      <c r="G1369" s="14">
        <v>0.01</v>
      </c>
      <c r="H1369" s="10"/>
      <c r="I1369" s="10"/>
    </row>
    <row r="1370" spans="1:9">
      <c r="A1370" s="10" t="s">
        <v>2121</v>
      </c>
      <c r="B1370" s="124" t="s">
        <v>580</v>
      </c>
      <c r="C1370" s="124" t="s">
        <v>421</v>
      </c>
      <c r="D1370" s="12">
        <v>5000000</v>
      </c>
      <c r="E1370" s="82">
        <v>0.98824931410000005</v>
      </c>
      <c r="F1370" s="14">
        <v>4941246.57</v>
      </c>
      <c r="G1370" s="14">
        <v>0.01</v>
      </c>
      <c r="H1370" s="10"/>
      <c r="I1370" s="10"/>
    </row>
    <row r="1371" spans="1:9">
      <c r="A1371" s="10" t="s">
        <v>2123</v>
      </c>
      <c r="B1371" s="124" t="s">
        <v>506</v>
      </c>
      <c r="C1371" s="124" t="s">
        <v>421</v>
      </c>
      <c r="D1371" s="12">
        <v>2408000</v>
      </c>
      <c r="E1371" s="82">
        <v>0.99915141190000001</v>
      </c>
      <c r="F1371" s="154">
        <v>2405956.6</v>
      </c>
      <c r="G1371" s="12">
        <v>0</v>
      </c>
      <c r="H1371" s="10"/>
      <c r="I1371" s="10"/>
    </row>
    <row r="1372" spans="1:9">
      <c r="A1372" s="10" t="s">
        <v>2124</v>
      </c>
      <c r="B1372" s="124" t="s">
        <v>660</v>
      </c>
      <c r="C1372" s="124" t="s">
        <v>421</v>
      </c>
      <c r="D1372" s="14">
        <v>20344755.739999998</v>
      </c>
      <c r="E1372" s="82">
        <v>0.97113214849999996</v>
      </c>
      <c r="F1372" s="14">
        <v>19757446.350000001</v>
      </c>
      <c r="G1372" s="14">
        <v>0.03</v>
      </c>
      <c r="H1372" s="10"/>
      <c r="I1372" s="10"/>
    </row>
    <row r="1373" spans="1:9">
      <c r="A1373" s="10" t="s">
        <v>2133</v>
      </c>
      <c r="B1373" s="124" t="s">
        <v>580</v>
      </c>
      <c r="C1373" s="124" t="s">
        <v>416</v>
      </c>
      <c r="D1373" s="12">
        <v>115000000</v>
      </c>
      <c r="E1373" s="82">
        <v>0.98787488629999998</v>
      </c>
      <c r="F1373" s="14">
        <v>113605611.92</v>
      </c>
      <c r="G1373" s="14">
        <v>0.15</v>
      </c>
      <c r="H1373" s="10"/>
      <c r="I1373" s="10"/>
    </row>
    <row r="1374" spans="1:9">
      <c r="A1374" s="10" t="s">
        <v>2134</v>
      </c>
      <c r="B1374" s="124" t="s">
        <v>697</v>
      </c>
      <c r="C1374" s="124" t="s">
        <v>416</v>
      </c>
      <c r="D1374" s="12">
        <v>15000000</v>
      </c>
      <c r="E1374" s="82">
        <v>0.92463604460000004</v>
      </c>
      <c r="F1374" s="14">
        <v>13869540.67</v>
      </c>
      <c r="G1374" s="14">
        <v>0.02</v>
      </c>
      <c r="H1374" s="10"/>
      <c r="I1374" s="10"/>
    </row>
    <row r="1375" spans="1:9">
      <c r="A1375" s="10" t="s">
        <v>2135</v>
      </c>
      <c r="B1375" s="124" t="s">
        <v>806</v>
      </c>
      <c r="C1375" s="124" t="s">
        <v>416</v>
      </c>
      <c r="D1375" s="12">
        <v>2383603</v>
      </c>
      <c r="E1375" s="21">
        <v>0.91058786999999997</v>
      </c>
      <c r="F1375" s="14">
        <v>2170479.98</v>
      </c>
      <c r="G1375" s="12">
        <v>0</v>
      </c>
      <c r="H1375" s="10"/>
      <c r="I1375" s="10"/>
    </row>
    <row r="1376" spans="1:9">
      <c r="A1376" s="10" t="s">
        <v>2136</v>
      </c>
      <c r="B1376" s="124" t="s">
        <v>883</v>
      </c>
      <c r="C1376" s="124" t="s">
        <v>416</v>
      </c>
      <c r="D1376" s="12">
        <v>13000000</v>
      </c>
      <c r="E1376" s="82">
        <v>0.96530219009999996</v>
      </c>
      <c r="F1376" s="14">
        <v>12548928.470000001</v>
      </c>
      <c r="G1376" s="14">
        <v>0.02</v>
      </c>
      <c r="H1376" s="10"/>
      <c r="I1376" s="10"/>
    </row>
    <row r="1377" spans="1:9">
      <c r="A1377" s="10" t="s">
        <v>2137</v>
      </c>
      <c r="B1377" s="124" t="s">
        <v>778</v>
      </c>
      <c r="C1377" s="124" t="s">
        <v>416</v>
      </c>
      <c r="D1377" s="12">
        <v>13000000</v>
      </c>
      <c r="E1377" s="82">
        <v>0.9201371451</v>
      </c>
      <c r="F1377" s="14">
        <v>11961782.890000001</v>
      </c>
      <c r="G1377" s="14">
        <v>0.02</v>
      </c>
      <c r="H1377" s="10"/>
      <c r="I1377" s="10"/>
    </row>
    <row r="1378" spans="1:9">
      <c r="A1378" s="10" t="s">
        <v>2138</v>
      </c>
      <c r="B1378" s="124" t="s">
        <v>772</v>
      </c>
      <c r="C1378" s="124" t="s">
        <v>416</v>
      </c>
      <c r="D1378" s="12">
        <v>13000000</v>
      </c>
      <c r="E1378" s="82">
        <v>0.89487113460000001</v>
      </c>
      <c r="F1378" s="14">
        <v>11633324.75</v>
      </c>
      <c r="G1378" s="14">
        <v>0.02</v>
      </c>
      <c r="H1378" s="10"/>
      <c r="I1378" s="10"/>
    </row>
    <row r="1379" spans="1:9">
      <c r="A1379" s="10" t="s">
        <v>2139</v>
      </c>
      <c r="B1379" s="124" t="s">
        <v>269</v>
      </c>
      <c r="C1379" s="124" t="s">
        <v>416</v>
      </c>
      <c r="D1379" s="12">
        <v>13000000</v>
      </c>
      <c r="E1379" s="82">
        <v>0.94062476689999996</v>
      </c>
      <c r="F1379" s="14">
        <v>12228121.970000001</v>
      </c>
      <c r="G1379" s="14">
        <v>0.02</v>
      </c>
      <c r="H1379" s="10"/>
      <c r="I1379" s="10"/>
    </row>
    <row r="1380" spans="1:9">
      <c r="A1380" s="10" t="s">
        <v>2140</v>
      </c>
      <c r="B1380" s="124" t="s">
        <v>443</v>
      </c>
      <c r="C1380" s="124" t="s">
        <v>416</v>
      </c>
      <c r="D1380" s="12">
        <v>13000000</v>
      </c>
      <c r="E1380" s="82">
        <v>0.99303522379999998</v>
      </c>
      <c r="F1380" s="14">
        <v>12909457.91</v>
      </c>
      <c r="G1380" s="14">
        <v>0.02</v>
      </c>
      <c r="H1380" s="10"/>
      <c r="I1380" s="10"/>
    </row>
    <row r="1381" spans="1:9">
      <c r="A1381" s="10" t="s">
        <v>2141</v>
      </c>
      <c r="B1381" s="124" t="s">
        <v>522</v>
      </c>
      <c r="C1381" s="124" t="s">
        <v>416</v>
      </c>
      <c r="D1381" s="14">
        <v>6535955.1900000004</v>
      </c>
      <c r="E1381" s="82">
        <v>0.97437281710000001</v>
      </c>
      <c r="F1381" s="14">
        <v>6368457.0700000003</v>
      </c>
      <c r="G1381" s="14">
        <v>0.01</v>
      </c>
      <c r="H1381" s="10"/>
      <c r="I1381" s="10"/>
    </row>
    <row r="1382" spans="1:9">
      <c r="A1382" s="10" t="s">
        <v>2142</v>
      </c>
      <c r="B1382" s="124" t="s">
        <v>808</v>
      </c>
      <c r="C1382" s="124" t="s">
        <v>416</v>
      </c>
      <c r="D1382" s="14">
        <v>6535955.1799999997</v>
      </c>
      <c r="E1382" s="82">
        <v>0.92536274220000003</v>
      </c>
      <c r="F1382" s="14">
        <v>6048129.4100000001</v>
      </c>
      <c r="G1382" s="14">
        <v>0.01</v>
      </c>
      <c r="H1382" s="10"/>
      <c r="I1382" s="10"/>
    </row>
    <row r="1383" spans="1:9">
      <c r="A1383" s="10" t="s">
        <v>2143</v>
      </c>
      <c r="B1383" s="124" t="s">
        <v>567</v>
      </c>
      <c r="C1383" s="124" t="s">
        <v>416</v>
      </c>
      <c r="D1383" s="14">
        <v>6535955.1799999997</v>
      </c>
      <c r="E1383" s="82">
        <v>0.94844614110000003</v>
      </c>
      <c r="F1383" s="14">
        <v>6199001.4699999997</v>
      </c>
      <c r="G1383" s="14">
        <v>0.01</v>
      </c>
      <c r="H1383" s="10"/>
      <c r="I1383" s="10"/>
    </row>
    <row r="1384" spans="1:9">
      <c r="A1384" s="10" t="s">
        <v>2144</v>
      </c>
      <c r="B1384" s="124" t="s">
        <v>460</v>
      </c>
      <c r="C1384" s="124" t="s">
        <v>416</v>
      </c>
      <c r="D1384" s="12">
        <v>4000000</v>
      </c>
      <c r="E1384" s="82">
        <v>0.91423723170000004</v>
      </c>
      <c r="F1384" s="14">
        <v>3656948.93</v>
      </c>
      <c r="G1384" s="12">
        <v>0</v>
      </c>
      <c r="H1384" s="10"/>
      <c r="I1384" s="10"/>
    </row>
    <row r="1385" spans="1:9">
      <c r="A1385" s="10" t="s">
        <v>2145</v>
      </c>
      <c r="B1385" s="124" t="s">
        <v>574</v>
      </c>
      <c r="C1385" s="124" t="s">
        <v>416</v>
      </c>
      <c r="D1385" s="14">
        <v>4758168.4800000004</v>
      </c>
      <c r="E1385" s="82">
        <v>0.96858083289999997</v>
      </c>
      <c r="F1385" s="14">
        <v>4608670.79</v>
      </c>
      <c r="G1385" s="14">
        <v>0.01</v>
      </c>
      <c r="H1385" s="10"/>
      <c r="I1385" s="10"/>
    </row>
    <row r="1386" spans="1:9">
      <c r="A1386" s="10" t="s">
        <v>2146</v>
      </c>
      <c r="B1386" s="124" t="s">
        <v>680</v>
      </c>
      <c r="C1386" s="124" t="s">
        <v>416</v>
      </c>
      <c r="D1386" s="14">
        <v>2749536.48</v>
      </c>
      <c r="E1386" s="82">
        <v>0.96940406859999995</v>
      </c>
      <c r="F1386" s="14">
        <v>2665411.85</v>
      </c>
      <c r="G1386" s="12">
        <v>0</v>
      </c>
      <c r="H1386" s="10"/>
      <c r="I1386" s="10"/>
    </row>
    <row r="1387" spans="1:9">
      <c r="A1387" s="10" t="s">
        <v>2147</v>
      </c>
      <c r="B1387" s="124" t="s">
        <v>522</v>
      </c>
      <c r="C1387" s="124" t="s">
        <v>416</v>
      </c>
      <c r="D1387" s="12">
        <v>147500000</v>
      </c>
      <c r="E1387" s="82">
        <v>0.96816995159999997</v>
      </c>
      <c r="F1387" s="14">
        <v>142805067.86000001</v>
      </c>
      <c r="G1387" s="14">
        <v>0.19</v>
      </c>
      <c r="H1387" s="10"/>
      <c r="I1387" s="10"/>
    </row>
    <row r="1388" spans="1:9">
      <c r="A1388" s="10" t="s">
        <v>2148</v>
      </c>
      <c r="B1388" s="124" t="s">
        <v>488</v>
      </c>
      <c r="C1388" s="124" t="s">
        <v>416</v>
      </c>
      <c r="D1388" s="12">
        <v>4000000</v>
      </c>
      <c r="E1388" s="82">
        <v>0.98192193490000002</v>
      </c>
      <c r="F1388" s="14">
        <v>3927687.74</v>
      </c>
      <c r="G1388" s="14">
        <v>0.01</v>
      </c>
      <c r="H1388" s="10"/>
      <c r="I1388" s="10"/>
    </row>
    <row r="1389" spans="1:9">
      <c r="A1389" s="10" t="s">
        <v>2149</v>
      </c>
      <c r="B1389" s="124" t="s">
        <v>516</v>
      </c>
      <c r="C1389" s="124" t="s">
        <v>416</v>
      </c>
      <c r="D1389" s="12">
        <v>4000000</v>
      </c>
      <c r="E1389" s="82">
        <v>0.97939259030000003</v>
      </c>
      <c r="F1389" s="14">
        <v>3917570.36</v>
      </c>
      <c r="G1389" s="14">
        <v>0.01</v>
      </c>
      <c r="H1389" s="10"/>
      <c r="I1389" s="10"/>
    </row>
    <row r="1390" spans="1:9">
      <c r="A1390" s="10" t="s">
        <v>2150</v>
      </c>
      <c r="B1390" s="124" t="s">
        <v>527</v>
      </c>
      <c r="C1390" s="124" t="s">
        <v>416</v>
      </c>
      <c r="D1390" s="12">
        <v>4000000</v>
      </c>
      <c r="E1390" s="82">
        <v>0.97604029489999999</v>
      </c>
      <c r="F1390" s="14">
        <v>3904161.18</v>
      </c>
      <c r="G1390" s="14">
        <v>0.01</v>
      </c>
      <c r="H1390" s="10"/>
      <c r="I1390" s="10"/>
    </row>
    <row r="1391" spans="1:9">
      <c r="A1391" s="10" t="s">
        <v>2151</v>
      </c>
      <c r="B1391" s="124" t="s">
        <v>522</v>
      </c>
      <c r="C1391" s="124" t="s">
        <v>416</v>
      </c>
      <c r="D1391" s="12">
        <v>4000000</v>
      </c>
      <c r="E1391" s="82">
        <v>0.97437281480000004</v>
      </c>
      <c r="F1391" s="14">
        <v>3897491.26</v>
      </c>
      <c r="G1391" s="14">
        <v>0.01</v>
      </c>
      <c r="H1391" s="10"/>
      <c r="I1391" s="10"/>
    </row>
    <row r="1392" spans="1:9">
      <c r="A1392" s="10" t="s">
        <v>2152</v>
      </c>
      <c r="B1392" s="124" t="s">
        <v>660</v>
      </c>
      <c r="C1392" s="124" t="s">
        <v>416</v>
      </c>
      <c r="D1392" s="12">
        <v>4000000</v>
      </c>
      <c r="E1392" s="82">
        <v>0.9702287047</v>
      </c>
      <c r="F1392" s="14">
        <v>3880914.82</v>
      </c>
      <c r="G1392" s="14">
        <v>0.01</v>
      </c>
      <c r="H1392" s="10"/>
      <c r="I1392" s="10"/>
    </row>
    <row r="1393" spans="1:9">
      <c r="A1393" s="10" t="s">
        <v>2153</v>
      </c>
      <c r="B1393" s="124" t="s">
        <v>504</v>
      </c>
      <c r="C1393" s="124" t="s">
        <v>416</v>
      </c>
      <c r="D1393" s="12">
        <v>60000000</v>
      </c>
      <c r="E1393" s="82">
        <v>0.95715117969999997</v>
      </c>
      <c r="F1393" s="14">
        <v>57429070.780000001</v>
      </c>
      <c r="G1393" s="14">
        <v>0.08</v>
      </c>
      <c r="H1393" s="10"/>
      <c r="I1393" s="10"/>
    </row>
    <row r="1394" spans="1:9">
      <c r="A1394" s="10" t="s">
        <v>2154</v>
      </c>
      <c r="B1394" s="124" t="s">
        <v>504</v>
      </c>
      <c r="C1394" s="124" t="s">
        <v>416</v>
      </c>
      <c r="D1394" s="12">
        <v>60000000</v>
      </c>
      <c r="E1394" s="82">
        <v>0.95715117969999997</v>
      </c>
      <c r="F1394" s="14">
        <v>57429070.780000001</v>
      </c>
      <c r="G1394" s="14">
        <v>0.08</v>
      </c>
      <c r="H1394" s="10"/>
      <c r="I1394" s="10"/>
    </row>
    <row r="1395" spans="1:9">
      <c r="A1395" s="10" t="s">
        <v>2155</v>
      </c>
      <c r="B1395" s="124" t="s">
        <v>593</v>
      </c>
      <c r="C1395" s="124" t="s">
        <v>416</v>
      </c>
      <c r="D1395" s="12">
        <v>25000000</v>
      </c>
      <c r="E1395" s="82">
        <v>0.9581059784</v>
      </c>
      <c r="F1395" s="14">
        <v>23952649.460000001</v>
      </c>
      <c r="G1395" s="14">
        <v>0.03</v>
      </c>
      <c r="H1395" s="10"/>
      <c r="I1395" s="10"/>
    </row>
    <row r="1396" spans="1:9">
      <c r="A1396" s="10" t="s">
        <v>2156</v>
      </c>
      <c r="B1396" s="124" t="s">
        <v>593</v>
      </c>
      <c r="C1396" s="124" t="s">
        <v>416</v>
      </c>
      <c r="D1396" s="12">
        <v>25000000</v>
      </c>
      <c r="E1396" s="82">
        <v>0.9581059784</v>
      </c>
      <c r="F1396" s="14">
        <v>23952649.460000001</v>
      </c>
      <c r="G1396" s="14">
        <v>0.03</v>
      </c>
      <c r="H1396" s="10"/>
      <c r="I1396" s="10"/>
    </row>
    <row r="1397" spans="1:9">
      <c r="A1397" s="10" t="s">
        <v>2157</v>
      </c>
      <c r="B1397" s="124" t="s">
        <v>593</v>
      </c>
      <c r="C1397" s="124" t="s">
        <v>416</v>
      </c>
      <c r="D1397" s="12">
        <v>25000000</v>
      </c>
      <c r="E1397" s="82">
        <v>0.9581059784</v>
      </c>
      <c r="F1397" s="14">
        <v>23952649.460000001</v>
      </c>
      <c r="G1397" s="14">
        <v>0.03</v>
      </c>
      <c r="H1397" s="10"/>
      <c r="I1397" s="10"/>
    </row>
    <row r="1398" spans="1:9">
      <c r="A1398" s="10" t="s">
        <v>2158</v>
      </c>
      <c r="B1398" s="124" t="s">
        <v>504</v>
      </c>
      <c r="C1398" s="124" t="s">
        <v>416</v>
      </c>
      <c r="D1398" s="12">
        <v>30000000</v>
      </c>
      <c r="E1398" s="82">
        <v>0.95715117969999997</v>
      </c>
      <c r="F1398" s="14">
        <v>28714535.390000001</v>
      </c>
      <c r="G1398" s="14">
        <v>0.04</v>
      </c>
      <c r="H1398" s="10"/>
      <c r="I1398" s="10"/>
    </row>
    <row r="1399" spans="1:9">
      <c r="A1399" s="10" t="s">
        <v>2159</v>
      </c>
      <c r="B1399" s="124" t="s">
        <v>446</v>
      </c>
      <c r="C1399" s="124" t="s">
        <v>416</v>
      </c>
      <c r="D1399" s="12">
        <v>45200000</v>
      </c>
      <c r="E1399" s="82">
        <v>0.95146254990000001</v>
      </c>
      <c r="F1399" s="14">
        <v>43006107.259999998</v>
      </c>
      <c r="G1399" s="14">
        <v>0.06</v>
      </c>
      <c r="H1399" s="10"/>
      <c r="I1399" s="10"/>
    </row>
    <row r="1400" spans="1:9">
      <c r="A1400" s="10" t="s">
        <v>2160</v>
      </c>
      <c r="B1400" s="124" t="s">
        <v>446</v>
      </c>
      <c r="C1400" s="124" t="s">
        <v>416</v>
      </c>
      <c r="D1400" s="12">
        <v>25000000</v>
      </c>
      <c r="E1400" s="82">
        <v>0.95146254990000001</v>
      </c>
      <c r="F1400" s="14">
        <v>23786563.75</v>
      </c>
      <c r="G1400" s="14">
        <v>0.03</v>
      </c>
      <c r="H1400" s="10"/>
      <c r="I1400" s="10"/>
    </row>
    <row r="1401" spans="1:9">
      <c r="A1401" s="10" t="s">
        <v>2171</v>
      </c>
      <c r="B1401" s="124" t="s">
        <v>446</v>
      </c>
      <c r="C1401" s="124" t="s">
        <v>551</v>
      </c>
      <c r="D1401" s="12">
        <v>10000000</v>
      </c>
      <c r="E1401" s="82">
        <v>0.95881066059999998</v>
      </c>
      <c r="F1401" s="14">
        <v>9588106.6099999994</v>
      </c>
      <c r="G1401" s="14">
        <v>0.01</v>
      </c>
      <c r="H1401" s="10"/>
      <c r="I1401" s="10"/>
    </row>
    <row r="1402" spans="1:9">
      <c r="A1402" s="10" t="s">
        <v>2172</v>
      </c>
      <c r="B1402" s="124" t="s">
        <v>1161</v>
      </c>
      <c r="C1402" s="124" t="s">
        <v>551</v>
      </c>
      <c r="D1402" s="12">
        <v>10000000</v>
      </c>
      <c r="E1402" s="158">
        <v>0.94765826799999997</v>
      </c>
      <c r="F1402" s="14">
        <v>9476582.6799999997</v>
      </c>
      <c r="G1402" s="14">
        <v>0.01</v>
      </c>
      <c r="H1402" s="10"/>
      <c r="I1402" s="10"/>
    </row>
    <row r="1403" spans="1:9">
      <c r="A1403" s="10" t="s">
        <v>2173</v>
      </c>
      <c r="B1403" s="124" t="s">
        <v>502</v>
      </c>
      <c r="C1403" s="124" t="s">
        <v>551</v>
      </c>
      <c r="D1403" s="12">
        <v>10000000</v>
      </c>
      <c r="E1403" s="82">
        <v>0.9524058782</v>
      </c>
      <c r="F1403" s="14">
        <v>9524058.7799999993</v>
      </c>
      <c r="G1403" s="14">
        <v>0.01</v>
      </c>
      <c r="H1403" s="10"/>
      <c r="I1403" s="10"/>
    </row>
    <row r="1404" spans="1:9">
      <c r="A1404" s="10" t="s">
        <v>2174</v>
      </c>
      <c r="B1404" s="124" t="s">
        <v>758</v>
      </c>
      <c r="C1404" s="124" t="s">
        <v>551</v>
      </c>
      <c r="D1404" s="12">
        <v>15000000</v>
      </c>
      <c r="E1404" s="82">
        <v>0.91570501319999997</v>
      </c>
      <c r="F1404" s="154">
        <v>13735575.199999999</v>
      </c>
      <c r="G1404" s="14">
        <v>0.02</v>
      </c>
      <c r="H1404" s="10"/>
      <c r="I1404" s="10"/>
    </row>
    <row r="1405" spans="1:9">
      <c r="A1405" s="10" t="s">
        <v>2175</v>
      </c>
      <c r="B1405" s="124" t="s">
        <v>778</v>
      </c>
      <c r="C1405" s="124" t="s">
        <v>551</v>
      </c>
      <c r="D1405" s="12">
        <v>15000000</v>
      </c>
      <c r="E1405" s="82">
        <v>0.92013732660000003</v>
      </c>
      <c r="F1405" s="154">
        <v>13802059.9</v>
      </c>
      <c r="G1405" s="14">
        <v>0.02</v>
      </c>
      <c r="H1405" s="10"/>
      <c r="I1405" s="10"/>
    </row>
    <row r="1406" spans="1:9">
      <c r="A1406" s="10" t="s">
        <v>2176</v>
      </c>
      <c r="B1406" s="124" t="s">
        <v>1486</v>
      </c>
      <c r="C1406" s="124" t="s">
        <v>551</v>
      </c>
      <c r="D1406" s="12">
        <v>15000000</v>
      </c>
      <c r="E1406" s="82">
        <v>0.90552752160000005</v>
      </c>
      <c r="F1406" s="14">
        <v>13582912.82</v>
      </c>
      <c r="G1406" s="14">
        <v>0.02</v>
      </c>
      <c r="H1406" s="10"/>
      <c r="I1406" s="10"/>
    </row>
    <row r="1407" spans="1:9">
      <c r="A1407" s="10" t="s">
        <v>2177</v>
      </c>
      <c r="B1407" s="124" t="s">
        <v>1704</v>
      </c>
      <c r="C1407" s="124" t="s">
        <v>551</v>
      </c>
      <c r="D1407" s="12">
        <v>10000000</v>
      </c>
      <c r="E1407" s="82">
        <v>0.90052314430000002</v>
      </c>
      <c r="F1407" s="14">
        <v>9005231.4399999995</v>
      </c>
      <c r="G1407" s="14">
        <v>0.01</v>
      </c>
      <c r="H1407" s="10"/>
      <c r="I1407" s="10"/>
    </row>
    <row r="1408" spans="1:9">
      <c r="A1408" s="10" t="s">
        <v>2178</v>
      </c>
      <c r="B1408" s="124" t="s">
        <v>854</v>
      </c>
      <c r="C1408" s="124" t="s">
        <v>551</v>
      </c>
      <c r="D1408" s="12">
        <v>6000000</v>
      </c>
      <c r="E1408" s="82">
        <v>0.94768275619999998</v>
      </c>
      <c r="F1408" s="14">
        <v>5686096.54</v>
      </c>
      <c r="G1408" s="14">
        <v>0.01</v>
      </c>
      <c r="H1408" s="10"/>
      <c r="I1408" s="10"/>
    </row>
    <row r="1409" spans="1:9">
      <c r="A1409" s="10" t="s">
        <v>2179</v>
      </c>
      <c r="B1409" s="124" t="s">
        <v>680</v>
      </c>
      <c r="C1409" s="124" t="s">
        <v>551</v>
      </c>
      <c r="D1409" s="12">
        <v>6000000</v>
      </c>
      <c r="E1409" s="82">
        <v>0.97033179140000003</v>
      </c>
      <c r="F1409" s="14">
        <v>5821990.75</v>
      </c>
      <c r="G1409" s="14">
        <v>0.01</v>
      </c>
      <c r="H1409" s="10"/>
      <c r="I1409" s="10"/>
    </row>
    <row r="1410" spans="1:9">
      <c r="A1410" s="10" t="s">
        <v>2180</v>
      </c>
      <c r="B1410" s="124" t="s">
        <v>793</v>
      </c>
      <c r="C1410" s="124" t="s">
        <v>551</v>
      </c>
      <c r="D1410" s="12">
        <v>5000000</v>
      </c>
      <c r="E1410" s="82">
        <v>0.94844620049999995</v>
      </c>
      <c r="F1410" s="12">
        <v>4742231</v>
      </c>
      <c r="G1410" s="14">
        <v>0.01</v>
      </c>
      <c r="H1410" s="10"/>
      <c r="I1410" s="10"/>
    </row>
    <row r="1411" spans="1:9">
      <c r="A1411" s="10" t="s">
        <v>2181</v>
      </c>
      <c r="B1411" s="124" t="s">
        <v>502</v>
      </c>
      <c r="C1411" s="124" t="s">
        <v>551</v>
      </c>
      <c r="D1411" s="12">
        <v>5000000</v>
      </c>
      <c r="E1411" s="82">
        <v>0.9538245179</v>
      </c>
      <c r="F1411" s="14">
        <v>4769122.59</v>
      </c>
      <c r="G1411" s="14">
        <v>0.01</v>
      </c>
      <c r="H1411" s="10"/>
      <c r="I1411" s="10"/>
    </row>
    <row r="1412" spans="1:9">
      <c r="A1412" s="10" t="s">
        <v>2182</v>
      </c>
      <c r="B1412" s="124" t="s">
        <v>1007</v>
      </c>
      <c r="C1412" s="124" t="s">
        <v>551</v>
      </c>
      <c r="D1412" s="12">
        <v>5000000</v>
      </c>
      <c r="E1412" s="82">
        <v>0.96318788030000002</v>
      </c>
      <c r="F1412" s="154">
        <v>4815939.4000000004</v>
      </c>
      <c r="G1412" s="14">
        <v>0.01</v>
      </c>
      <c r="H1412" s="10"/>
      <c r="I1412" s="10"/>
    </row>
    <row r="1413" spans="1:9">
      <c r="A1413" s="10" t="s">
        <v>2183</v>
      </c>
      <c r="B1413" s="124" t="s">
        <v>1704</v>
      </c>
      <c r="C1413" s="124" t="s">
        <v>551</v>
      </c>
      <c r="D1413" s="12">
        <v>10000000</v>
      </c>
      <c r="E1413" s="82">
        <v>0.89773240649999997</v>
      </c>
      <c r="F1413" s="14">
        <v>8977324.0700000003</v>
      </c>
      <c r="G1413" s="14">
        <v>0.01</v>
      </c>
      <c r="H1413" s="10"/>
      <c r="I1413" s="10"/>
    </row>
    <row r="1414" spans="1:9">
      <c r="A1414" s="10" t="s">
        <v>2184</v>
      </c>
      <c r="B1414" s="124" t="s">
        <v>1550</v>
      </c>
      <c r="C1414" s="124" t="s">
        <v>551</v>
      </c>
      <c r="D1414" s="12">
        <v>10000000</v>
      </c>
      <c r="E1414" s="82">
        <v>0.87708770290000004</v>
      </c>
      <c r="F1414" s="14">
        <v>8770877.0299999993</v>
      </c>
      <c r="G1414" s="14">
        <v>0.01</v>
      </c>
      <c r="H1414" s="10"/>
      <c r="I1414" s="10"/>
    </row>
    <row r="1415" spans="1:9">
      <c r="A1415" s="10" t="s">
        <v>2185</v>
      </c>
      <c r="B1415" s="124" t="s">
        <v>2186</v>
      </c>
      <c r="C1415" s="124" t="s">
        <v>551</v>
      </c>
      <c r="D1415" s="12">
        <v>10000000</v>
      </c>
      <c r="E1415" s="82">
        <v>0.88057920519999999</v>
      </c>
      <c r="F1415" s="14">
        <v>8805792.0500000007</v>
      </c>
      <c r="G1415" s="14">
        <v>0.01</v>
      </c>
      <c r="H1415" s="10"/>
      <c r="I1415" s="10"/>
    </row>
    <row r="1416" spans="1:9">
      <c r="A1416" s="10" t="s">
        <v>2187</v>
      </c>
      <c r="B1416" s="124" t="s">
        <v>2188</v>
      </c>
      <c r="C1416" s="124" t="s">
        <v>551</v>
      </c>
      <c r="D1416" s="12">
        <v>10000000</v>
      </c>
      <c r="E1416" s="82">
        <v>0.88198346979999998</v>
      </c>
      <c r="F1416" s="154">
        <v>8819834.6999999993</v>
      </c>
      <c r="G1416" s="14">
        <v>0.01</v>
      </c>
      <c r="H1416" s="10"/>
      <c r="I1416" s="10"/>
    </row>
    <row r="1417" spans="1:9">
      <c r="A1417" s="10" t="s">
        <v>2189</v>
      </c>
      <c r="B1417" s="124" t="s">
        <v>806</v>
      </c>
      <c r="C1417" s="124" t="s">
        <v>551</v>
      </c>
      <c r="D1417" s="12">
        <v>10000000</v>
      </c>
      <c r="E1417" s="82">
        <v>0.90805061809999998</v>
      </c>
      <c r="F1417" s="14">
        <v>9080506.1799999997</v>
      </c>
      <c r="G1417" s="14">
        <v>0.01</v>
      </c>
      <c r="H1417" s="10"/>
      <c r="I1417" s="10"/>
    </row>
    <row r="1418" spans="1:9">
      <c r="A1418" s="10" t="s">
        <v>2190</v>
      </c>
      <c r="B1418" s="124" t="s">
        <v>756</v>
      </c>
      <c r="C1418" s="124" t="s">
        <v>551</v>
      </c>
      <c r="D1418" s="12">
        <v>10000000</v>
      </c>
      <c r="E1418" s="82">
        <v>0.89122229630000005</v>
      </c>
      <c r="F1418" s="14">
        <v>8912222.9600000009</v>
      </c>
      <c r="G1418" s="14">
        <v>0.01</v>
      </c>
      <c r="H1418" s="10"/>
      <c r="I1418" s="10"/>
    </row>
    <row r="1419" spans="1:9">
      <c r="A1419" s="10" t="s">
        <v>2191</v>
      </c>
      <c r="B1419" s="124" t="s">
        <v>504</v>
      </c>
      <c r="C1419" s="124" t="s">
        <v>551</v>
      </c>
      <c r="D1419" s="14">
        <v>60027851.850000001</v>
      </c>
      <c r="E1419" s="82">
        <v>0.96586402039999997</v>
      </c>
      <c r="F1419" s="14">
        <v>57978742.32</v>
      </c>
      <c r="G1419" s="14">
        <v>0.08</v>
      </c>
      <c r="H1419" s="10"/>
      <c r="I1419" s="10"/>
    </row>
    <row r="1420" spans="1:9">
      <c r="A1420" s="10" t="s">
        <v>2192</v>
      </c>
      <c r="B1420" s="124" t="s">
        <v>482</v>
      </c>
      <c r="C1420" s="124" t="s">
        <v>551</v>
      </c>
      <c r="D1420" s="12">
        <v>6742842</v>
      </c>
      <c r="E1420" s="82">
        <v>0.98742063790000001</v>
      </c>
      <c r="F1420" s="14">
        <v>6658021.3499999996</v>
      </c>
      <c r="G1420" s="14">
        <v>0.01</v>
      </c>
      <c r="H1420" s="10"/>
      <c r="I1420" s="10"/>
    </row>
    <row r="1421" spans="1:9">
      <c r="A1421" s="10" t="s">
        <v>2193</v>
      </c>
      <c r="B1421" s="124" t="s">
        <v>474</v>
      </c>
      <c r="C1421" s="124" t="s">
        <v>551</v>
      </c>
      <c r="D1421" s="14">
        <v>889795.53</v>
      </c>
      <c r="E1421" s="82">
        <v>0.99745853959999997</v>
      </c>
      <c r="F1421" s="14">
        <v>887534.15</v>
      </c>
      <c r="G1421" s="12">
        <v>0</v>
      </c>
      <c r="H1421" s="10"/>
      <c r="I1421" s="10"/>
    </row>
    <row r="1422" spans="1:9">
      <c r="A1422" s="10" t="s">
        <v>2194</v>
      </c>
      <c r="B1422" s="124" t="s">
        <v>514</v>
      </c>
      <c r="C1422" s="124" t="s">
        <v>551</v>
      </c>
      <c r="D1422" s="14">
        <v>5487424.6799999997</v>
      </c>
      <c r="E1422" s="158">
        <v>0.98084012899999995</v>
      </c>
      <c r="F1422" s="14">
        <v>5382286.3300000001</v>
      </c>
      <c r="G1422" s="14">
        <v>0.01</v>
      </c>
      <c r="H1422" s="10"/>
      <c r="I1422" s="10"/>
    </row>
    <row r="1423" spans="1:9">
      <c r="A1423" s="10" t="s">
        <v>2195</v>
      </c>
      <c r="B1423" s="124" t="s">
        <v>750</v>
      </c>
      <c r="C1423" s="124" t="s">
        <v>551</v>
      </c>
      <c r="D1423" s="12">
        <v>2500000</v>
      </c>
      <c r="E1423" s="82">
        <v>0.95228173520000003</v>
      </c>
      <c r="F1423" s="14">
        <v>2380704.34</v>
      </c>
      <c r="G1423" s="12">
        <v>0</v>
      </c>
      <c r="H1423" s="10"/>
      <c r="I1423" s="10"/>
    </row>
    <row r="1424" spans="1:9">
      <c r="A1424" s="10" t="s">
        <v>2196</v>
      </c>
      <c r="B1424" s="124" t="s">
        <v>520</v>
      </c>
      <c r="C1424" s="124" t="s">
        <v>551</v>
      </c>
      <c r="D1424" s="12">
        <v>2500000</v>
      </c>
      <c r="E1424" s="82">
        <v>0.97596193170000001</v>
      </c>
      <c r="F1424" s="14">
        <v>2439904.83</v>
      </c>
      <c r="G1424" s="12">
        <v>0</v>
      </c>
      <c r="H1424" s="10"/>
      <c r="I1424" s="10"/>
    </row>
    <row r="1425" spans="1:9">
      <c r="A1425" s="10" t="s">
        <v>2198</v>
      </c>
      <c r="B1425" s="124" t="s">
        <v>793</v>
      </c>
      <c r="C1425" s="124" t="s">
        <v>551</v>
      </c>
      <c r="D1425" s="12">
        <v>5000000</v>
      </c>
      <c r="E1425" s="82">
        <v>0.94844620049999995</v>
      </c>
      <c r="F1425" s="12">
        <v>4742231</v>
      </c>
      <c r="G1425" s="14">
        <v>0.01</v>
      </c>
      <c r="H1425" s="10"/>
      <c r="I1425" s="10"/>
    </row>
    <row r="1426" spans="1:9">
      <c r="A1426" s="10" t="s">
        <v>2199</v>
      </c>
      <c r="B1426" s="124" t="s">
        <v>443</v>
      </c>
      <c r="C1426" s="124" t="s">
        <v>551</v>
      </c>
      <c r="D1426" s="154">
        <v>1756706.4</v>
      </c>
      <c r="E1426" s="82">
        <v>0.99325139370000004</v>
      </c>
      <c r="F1426" s="14">
        <v>1744851.08</v>
      </c>
      <c r="G1426" s="12">
        <v>0</v>
      </c>
      <c r="H1426" s="10"/>
      <c r="I1426" s="10"/>
    </row>
    <row r="1427" spans="1:9">
      <c r="A1427" s="10" t="s">
        <v>2200</v>
      </c>
      <c r="B1427" s="124" t="s">
        <v>883</v>
      </c>
      <c r="C1427" s="124" t="s">
        <v>551</v>
      </c>
      <c r="D1427" s="154">
        <v>1756706.4</v>
      </c>
      <c r="E1427" s="82">
        <v>0.9663499888</v>
      </c>
      <c r="F1427" s="14">
        <v>1697593.21</v>
      </c>
      <c r="G1427" s="12">
        <v>0</v>
      </c>
      <c r="H1427" s="10"/>
      <c r="I1427" s="10"/>
    </row>
    <row r="1428" spans="1:9">
      <c r="A1428" s="10" t="s">
        <v>2201</v>
      </c>
      <c r="B1428" s="124" t="s">
        <v>506</v>
      </c>
      <c r="C1428" s="124" t="s">
        <v>551</v>
      </c>
      <c r="D1428" s="14">
        <v>5818733.0800000001</v>
      </c>
      <c r="E1428" s="82">
        <v>0.99909671749999995</v>
      </c>
      <c r="F1428" s="14">
        <v>5813477.1200000001</v>
      </c>
      <c r="G1428" s="14">
        <v>0.01</v>
      </c>
      <c r="H1428" s="10"/>
      <c r="I1428" s="10"/>
    </row>
    <row r="1429" spans="1:9">
      <c r="A1429" s="10" t="s">
        <v>2202</v>
      </c>
      <c r="B1429" s="124" t="s">
        <v>454</v>
      </c>
      <c r="C1429" s="124" t="s">
        <v>551</v>
      </c>
      <c r="D1429" s="14">
        <v>19588994.07</v>
      </c>
      <c r="E1429" s="158">
        <v>0.86745742699999995</v>
      </c>
      <c r="F1429" s="14">
        <v>16992618.390000001</v>
      </c>
      <c r="G1429" s="14">
        <v>0.02</v>
      </c>
      <c r="H1429" s="10"/>
      <c r="I1429" s="10"/>
    </row>
    <row r="1430" spans="1:9">
      <c r="A1430" s="10" t="s">
        <v>2203</v>
      </c>
      <c r="B1430" s="124" t="s">
        <v>500</v>
      </c>
      <c r="C1430" s="124" t="s">
        <v>551</v>
      </c>
      <c r="D1430" s="14">
        <v>918585.17</v>
      </c>
      <c r="E1430" s="82">
        <v>0.96433293119999997</v>
      </c>
      <c r="F1430" s="14">
        <v>885821.93</v>
      </c>
      <c r="G1430" s="12">
        <v>0</v>
      </c>
      <c r="H1430" s="10"/>
      <c r="I1430" s="10"/>
    </row>
    <row r="1431" spans="1:9">
      <c r="A1431" s="10" t="s">
        <v>2204</v>
      </c>
      <c r="B1431" s="124" t="s">
        <v>450</v>
      </c>
      <c r="C1431" s="124" t="s">
        <v>551</v>
      </c>
      <c r="D1431" s="14">
        <v>285154.71999999997</v>
      </c>
      <c r="E1431" s="82">
        <v>0.9454490525</v>
      </c>
      <c r="F1431" s="14">
        <v>269599.26</v>
      </c>
      <c r="G1431" s="12">
        <v>0</v>
      </c>
      <c r="H1431" s="10"/>
      <c r="I1431" s="10"/>
    </row>
    <row r="1432" spans="1:9">
      <c r="A1432" s="10" t="s">
        <v>2205</v>
      </c>
      <c r="B1432" s="124" t="s">
        <v>448</v>
      </c>
      <c r="C1432" s="124" t="s">
        <v>551</v>
      </c>
      <c r="D1432" s="14">
        <v>124590.27</v>
      </c>
      <c r="E1432" s="82">
        <v>0.98758089230000001</v>
      </c>
      <c r="F1432" s="14">
        <v>123042.97</v>
      </c>
      <c r="G1432" s="12">
        <v>0</v>
      </c>
      <c r="H1432" s="10"/>
      <c r="I1432" s="10"/>
    </row>
    <row r="1433" spans="1:9">
      <c r="A1433" s="10" t="s">
        <v>2206</v>
      </c>
      <c r="B1433" s="124" t="s">
        <v>448</v>
      </c>
      <c r="C1433" s="124" t="s">
        <v>551</v>
      </c>
      <c r="D1433" s="14">
        <v>124590.27</v>
      </c>
      <c r="E1433" s="82">
        <v>0.98758089230000001</v>
      </c>
      <c r="F1433" s="14">
        <v>123042.97</v>
      </c>
      <c r="G1433" s="12">
        <v>0</v>
      </c>
      <c r="H1433" s="10"/>
      <c r="I1433" s="10"/>
    </row>
    <row r="1434" spans="1:9">
      <c r="A1434" s="10" t="s">
        <v>2207</v>
      </c>
      <c r="B1434" s="124" t="s">
        <v>450</v>
      </c>
      <c r="C1434" s="124" t="s">
        <v>551</v>
      </c>
      <c r="D1434" s="14">
        <v>285154.71999999997</v>
      </c>
      <c r="E1434" s="82">
        <v>0.9454490525</v>
      </c>
      <c r="F1434" s="14">
        <v>269599.26</v>
      </c>
      <c r="G1434" s="12">
        <v>0</v>
      </c>
      <c r="H1434" s="10"/>
      <c r="I1434" s="10"/>
    </row>
    <row r="1435" spans="1:9">
      <c r="A1435" s="10" t="s">
        <v>2208</v>
      </c>
      <c r="B1435" s="124" t="s">
        <v>500</v>
      </c>
      <c r="C1435" s="124" t="s">
        <v>551</v>
      </c>
      <c r="D1435" s="14">
        <v>918585.17</v>
      </c>
      <c r="E1435" s="82">
        <v>0.96433293119999997</v>
      </c>
      <c r="F1435" s="14">
        <v>885821.93</v>
      </c>
      <c r="G1435" s="12">
        <v>0</v>
      </c>
      <c r="H1435" s="10"/>
      <c r="I1435" s="10"/>
    </row>
    <row r="1436" spans="1:9">
      <c r="A1436" s="10" t="s">
        <v>2209</v>
      </c>
      <c r="B1436" s="124" t="s">
        <v>2210</v>
      </c>
      <c r="C1436" s="124" t="s">
        <v>551</v>
      </c>
      <c r="D1436" s="14">
        <v>2493401.42</v>
      </c>
      <c r="E1436" s="158">
        <v>0.92412093100000003</v>
      </c>
      <c r="F1436" s="14">
        <v>2304204.44</v>
      </c>
      <c r="G1436" s="12">
        <v>0</v>
      </c>
      <c r="H1436" s="10"/>
      <c r="I1436" s="10"/>
    </row>
    <row r="1437" spans="1:9">
      <c r="A1437" s="10" t="s">
        <v>2211</v>
      </c>
      <c r="B1437" s="124" t="s">
        <v>2210</v>
      </c>
      <c r="C1437" s="124" t="s">
        <v>551</v>
      </c>
      <c r="D1437" s="14">
        <v>2493401.42</v>
      </c>
      <c r="E1437" s="158">
        <v>0.92412093100000003</v>
      </c>
      <c r="F1437" s="14">
        <v>2304204.44</v>
      </c>
      <c r="G1437" s="12">
        <v>0</v>
      </c>
      <c r="H1437" s="10"/>
      <c r="I1437" s="10"/>
    </row>
    <row r="1438" spans="1:9">
      <c r="A1438" s="10" t="s">
        <v>2212</v>
      </c>
      <c r="B1438" s="124" t="s">
        <v>2210</v>
      </c>
      <c r="C1438" s="124" t="s">
        <v>551</v>
      </c>
      <c r="D1438" s="14">
        <v>2493401.42</v>
      </c>
      <c r="E1438" s="158">
        <v>0.92412093100000003</v>
      </c>
      <c r="F1438" s="14">
        <v>2304204.44</v>
      </c>
      <c r="G1438" s="12">
        <v>0</v>
      </c>
      <c r="H1438" s="10"/>
      <c r="I1438" s="10"/>
    </row>
    <row r="1439" spans="1:9">
      <c r="A1439" s="10" t="s">
        <v>2213</v>
      </c>
      <c r="B1439" s="124" t="s">
        <v>448</v>
      </c>
      <c r="C1439" s="124" t="s">
        <v>551</v>
      </c>
      <c r="D1439" s="14">
        <v>124590.27</v>
      </c>
      <c r="E1439" s="82">
        <v>0.98758089230000001</v>
      </c>
      <c r="F1439" s="14">
        <v>123042.97</v>
      </c>
      <c r="G1439" s="12">
        <v>0</v>
      </c>
      <c r="H1439" s="10"/>
      <c r="I1439" s="10"/>
    </row>
    <row r="1440" spans="1:9">
      <c r="A1440" s="10" t="s">
        <v>2214</v>
      </c>
      <c r="B1440" s="124" t="s">
        <v>500</v>
      </c>
      <c r="C1440" s="124" t="s">
        <v>551</v>
      </c>
      <c r="D1440" s="14">
        <v>918585.17</v>
      </c>
      <c r="E1440" s="82">
        <v>0.96433293119999997</v>
      </c>
      <c r="F1440" s="14">
        <v>885821.93</v>
      </c>
      <c r="G1440" s="12">
        <v>0</v>
      </c>
      <c r="H1440" s="10"/>
      <c r="I1440" s="10"/>
    </row>
    <row r="1441" spans="1:9">
      <c r="A1441" s="10" t="s">
        <v>2215</v>
      </c>
      <c r="B1441" s="124" t="s">
        <v>500</v>
      </c>
      <c r="C1441" s="124" t="s">
        <v>551</v>
      </c>
      <c r="D1441" s="14">
        <v>918585.17</v>
      </c>
      <c r="E1441" s="82">
        <v>0.96433293119999997</v>
      </c>
      <c r="F1441" s="14">
        <v>885821.93</v>
      </c>
      <c r="G1441" s="12">
        <v>0</v>
      </c>
      <c r="H1441" s="10"/>
      <c r="I1441" s="10"/>
    </row>
    <row r="1442" spans="1:9">
      <c r="A1442" s="10" t="s">
        <v>2216</v>
      </c>
      <c r="B1442" s="124" t="s">
        <v>450</v>
      </c>
      <c r="C1442" s="124" t="s">
        <v>551</v>
      </c>
      <c r="D1442" s="14">
        <v>285154.71999999997</v>
      </c>
      <c r="E1442" s="82">
        <v>0.9454490525</v>
      </c>
      <c r="F1442" s="14">
        <v>269599.26</v>
      </c>
      <c r="G1442" s="12">
        <v>0</v>
      </c>
      <c r="H1442" s="10"/>
      <c r="I1442" s="10"/>
    </row>
    <row r="1443" spans="1:9">
      <c r="A1443" s="10" t="s">
        <v>2217</v>
      </c>
      <c r="B1443" s="124" t="s">
        <v>450</v>
      </c>
      <c r="C1443" s="124" t="s">
        <v>551</v>
      </c>
      <c r="D1443" s="14">
        <v>285154.71999999997</v>
      </c>
      <c r="E1443" s="82">
        <v>0.9454490525</v>
      </c>
      <c r="F1443" s="14">
        <v>269599.26</v>
      </c>
      <c r="G1443" s="12">
        <v>0</v>
      </c>
      <c r="H1443" s="10"/>
      <c r="I1443" s="10"/>
    </row>
    <row r="1444" spans="1:9">
      <c r="A1444" s="10" t="s">
        <v>2218</v>
      </c>
      <c r="B1444" s="124" t="s">
        <v>2210</v>
      </c>
      <c r="C1444" s="124" t="s">
        <v>551</v>
      </c>
      <c r="D1444" s="14">
        <v>2493401.42</v>
      </c>
      <c r="E1444" s="158">
        <v>0.92412093100000003</v>
      </c>
      <c r="F1444" s="14">
        <v>2304204.44</v>
      </c>
      <c r="G1444" s="12">
        <v>0</v>
      </c>
      <c r="H1444" s="10"/>
      <c r="I1444" s="10"/>
    </row>
    <row r="1445" spans="1:9">
      <c r="A1445" s="10" t="s">
        <v>2219</v>
      </c>
      <c r="B1445" s="124" t="s">
        <v>448</v>
      </c>
      <c r="C1445" s="124" t="s">
        <v>551</v>
      </c>
      <c r="D1445" s="14">
        <v>124590.27</v>
      </c>
      <c r="E1445" s="82">
        <v>0.98758089230000001</v>
      </c>
      <c r="F1445" s="14">
        <v>123042.97</v>
      </c>
      <c r="G1445" s="12">
        <v>0</v>
      </c>
      <c r="H1445" s="10"/>
      <c r="I1445" s="10"/>
    </row>
    <row r="1446" spans="1:9">
      <c r="A1446" s="10" t="s">
        <v>2220</v>
      </c>
      <c r="B1446" s="124" t="s">
        <v>522</v>
      </c>
      <c r="C1446" s="124" t="s">
        <v>551</v>
      </c>
      <c r="D1446" s="12">
        <v>90000000</v>
      </c>
      <c r="E1446" s="82">
        <v>0.97359309449999998</v>
      </c>
      <c r="F1446" s="14">
        <v>87623378.510000005</v>
      </c>
      <c r="G1446" s="14">
        <v>0.12</v>
      </c>
      <c r="H1446" s="10"/>
      <c r="I1446" s="10"/>
    </row>
    <row r="1447" spans="1:9">
      <c r="A1447" s="10" t="s">
        <v>2221</v>
      </c>
      <c r="B1447" s="124" t="s">
        <v>518</v>
      </c>
      <c r="C1447" s="124" t="s">
        <v>551</v>
      </c>
      <c r="D1447" s="12">
        <v>90000000</v>
      </c>
      <c r="E1447" s="82">
        <v>0.97617083569999996</v>
      </c>
      <c r="F1447" s="14">
        <v>87855375.209999993</v>
      </c>
      <c r="G1447" s="14">
        <v>0.12</v>
      </c>
      <c r="H1447" s="10"/>
      <c r="I1447" s="10"/>
    </row>
    <row r="1448" spans="1:9">
      <c r="A1448" s="10" t="s">
        <v>2222</v>
      </c>
      <c r="B1448" s="124" t="s">
        <v>443</v>
      </c>
      <c r="C1448" s="124" t="s">
        <v>551</v>
      </c>
      <c r="D1448" s="12">
        <v>10000000</v>
      </c>
      <c r="E1448" s="158">
        <v>0.99281913099999997</v>
      </c>
      <c r="F1448" s="14">
        <v>9928191.3100000005</v>
      </c>
      <c r="G1448" s="14">
        <v>0.01</v>
      </c>
      <c r="H1448" s="10"/>
      <c r="I1448" s="10"/>
    </row>
    <row r="1449" spans="1:9">
      <c r="A1449" s="10" t="s">
        <v>2223</v>
      </c>
      <c r="B1449" s="124" t="s">
        <v>655</v>
      </c>
      <c r="C1449" s="124" t="s">
        <v>551</v>
      </c>
      <c r="D1449" s="12">
        <v>150000000</v>
      </c>
      <c r="E1449" s="82">
        <v>0.94305500119999996</v>
      </c>
      <c r="F1449" s="14">
        <v>141458250.18000001</v>
      </c>
      <c r="G1449" s="14">
        <v>0.19</v>
      </c>
      <c r="H1449" s="10"/>
      <c r="I1449" s="10"/>
    </row>
    <row r="1450" spans="1:9">
      <c r="A1450" s="10" t="s">
        <v>2224</v>
      </c>
      <c r="B1450" s="124" t="s">
        <v>518</v>
      </c>
      <c r="C1450" s="124" t="s">
        <v>551</v>
      </c>
      <c r="D1450" s="12">
        <v>150000000</v>
      </c>
      <c r="E1450" s="82">
        <v>0.9726590705</v>
      </c>
      <c r="F1450" s="14">
        <v>145898860.58000001</v>
      </c>
      <c r="G1450" s="14">
        <v>0.19</v>
      </c>
      <c r="H1450" s="10"/>
      <c r="I1450" s="10"/>
    </row>
    <row r="1451" spans="1:9">
      <c r="A1451" s="10" t="s">
        <v>2225</v>
      </c>
      <c r="B1451" s="124" t="s">
        <v>497</v>
      </c>
      <c r="C1451" s="124" t="s">
        <v>551</v>
      </c>
      <c r="D1451" s="12">
        <v>150000000</v>
      </c>
      <c r="E1451" s="82">
        <v>0.95619847319999995</v>
      </c>
      <c r="F1451" s="14">
        <v>143429770.97999999</v>
      </c>
      <c r="G1451" s="14">
        <v>0.19</v>
      </c>
      <c r="H1451" s="10"/>
      <c r="I1451" s="10"/>
    </row>
    <row r="1452" spans="1:9">
      <c r="A1452" s="10" t="s">
        <v>2226</v>
      </c>
      <c r="B1452" s="124" t="s">
        <v>269</v>
      </c>
      <c r="C1452" s="124" t="s">
        <v>551</v>
      </c>
      <c r="D1452" s="14">
        <v>3105640.28</v>
      </c>
      <c r="E1452" s="82">
        <v>0.93369493550000005</v>
      </c>
      <c r="F1452" s="154">
        <v>2899720.6</v>
      </c>
      <c r="G1452" s="12">
        <v>0</v>
      </c>
      <c r="H1452" s="10"/>
      <c r="I1452" s="10"/>
    </row>
    <row r="1453" spans="1:9">
      <c r="A1453" s="10" t="s">
        <v>2227</v>
      </c>
      <c r="B1453" s="124" t="s">
        <v>651</v>
      </c>
      <c r="C1453" s="124" t="s">
        <v>551</v>
      </c>
      <c r="D1453" s="14">
        <v>3105640.28</v>
      </c>
      <c r="E1453" s="82">
        <v>0.93283606279999998</v>
      </c>
      <c r="F1453" s="14">
        <v>2897053.25</v>
      </c>
      <c r="G1453" s="12">
        <v>0</v>
      </c>
      <c r="H1453" s="10"/>
      <c r="I1453" s="10"/>
    </row>
    <row r="1454" spans="1:9">
      <c r="A1454" s="10" t="s">
        <v>2228</v>
      </c>
      <c r="B1454" s="124" t="s">
        <v>651</v>
      </c>
      <c r="C1454" s="124" t="s">
        <v>551</v>
      </c>
      <c r="D1454" s="14">
        <v>3105640.28</v>
      </c>
      <c r="E1454" s="82">
        <v>0.93283606279999998</v>
      </c>
      <c r="F1454" s="14">
        <v>2897053.25</v>
      </c>
      <c r="G1454" s="12">
        <v>0</v>
      </c>
      <c r="H1454" s="10"/>
      <c r="I1454" s="10"/>
    </row>
    <row r="1455" spans="1:9">
      <c r="A1455" s="10" t="s">
        <v>2229</v>
      </c>
      <c r="B1455" s="124" t="s">
        <v>1360</v>
      </c>
      <c r="C1455" s="124" t="s">
        <v>551</v>
      </c>
      <c r="D1455" s="14">
        <v>3105640.28</v>
      </c>
      <c r="E1455" s="82">
        <v>0.93026816440000004</v>
      </c>
      <c r="F1455" s="14">
        <v>2889078.28</v>
      </c>
      <c r="G1455" s="12">
        <v>0</v>
      </c>
      <c r="H1455" s="10"/>
      <c r="I1455" s="10"/>
    </row>
    <row r="1456" spans="1:9">
      <c r="A1456" s="10" t="s">
        <v>2230</v>
      </c>
      <c r="B1456" s="124" t="s">
        <v>1019</v>
      </c>
      <c r="C1456" s="124" t="s">
        <v>551</v>
      </c>
      <c r="D1456" s="14">
        <v>3105640.28</v>
      </c>
      <c r="E1456" s="82">
        <v>0.92941557279999998</v>
      </c>
      <c r="F1456" s="14">
        <v>2886430.44</v>
      </c>
      <c r="G1456" s="12">
        <v>0</v>
      </c>
      <c r="H1456" s="10"/>
      <c r="I1456" s="10"/>
    </row>
    <row r="1457" spans="1:9">
      <c r="A1457" s="10" t="s">
        <v>2231</v>
      </c>
      <c r="B1457" s="124" t="s">
        <v>819</v>
      </c>
      <c r="C1457" s="124" t="s">
        <v>551</v>
      </c>
      <c r="D1457" s="14">
        <v>3105640.28</v>
      </c>
      <c r="E1457" s="82">
        <v>0.9277145926</v>
      </c>
      <c r="F1457" s="14">
        <v>2881147.81</v>
      </c>
      <c r="G1457" s="12">
        <v>0</v>
      </c>
      <c r="H1457" s="10"/>
      <c r="I1457" s="10"/>
    </row>
    <row r="1458" spans="1:9">
      <c r="A1458" s="10" t="s">
        <v>2232</v>
      </c>
      <c r="B1458" s="124" t="s">
        <v>754</v>
      </c>
      <c r="C1458" s="124" t="s">
        <v>551</v>
      </c>
      <c r="D1458" s="14">
        <v>3105640.28</v>
      </c>
      <c r="E1458" s="82">
        <v>0.92686643909999999</v>
      </c>
      <c r="F1458" s="14">
        <v>2878513.75</v>
      </c>
      <c r="G1458" s="12">
        <v>0</v>
      </c>
      <c r="H1458" s="10"/>
      <c r="I1458" s="10"/>
    </row>
    <row r="1459" spans="1:9">
      <c r="A1459" s="10" t="s">
        <v>2233</v>
      </c>
      <c r="B1459" s="124" t="s">
        <v>812</v>
      </c>
      <c r="C1459" s="124" t="s">
        <v>551</v>
      </c>
      <c r="D1459" s="14">
        <v>3105640.28</v>
      </c>
      <c r="E1459" s="158">
        <v>0.92433149100000001</v>
      </c>
      <c r="F1459" s="14">
        <v>2870641.11</v>
      </c>
      <c r="G1459" s="12">
        <v>0</v>
      </c>
      <c r="H1459" s="10"/>
      <c r="I1459" s="10"/>
    </row>
    <row r="1460" spans="1:9">
      <c r="A1460" s="10" t="s">
        <v>2234</v>
      </c>
      <c r="B1460" s="124" t="s">
        <v>674</v>
      </c>
      <c r="C1460" s="124" t="s">
        <v>551</v>
      </c>
      <c r="D1460" s="14">
        <v>3105640.28</v>
      </c>
      <c r="E1460" s="82">
        <v>0.92348975690000001</v>
      </c>
      <c r="F1460" s="14">
        <v>2868026.99</v>
      </c>
      <c r="G1460" s="12">
        <v>0</v>
      </c>
      <c r="H1460" s="10"/>
      <c r="I1460" s="10"/>
    </row>
    <row r="1461" spans="1:9">
      <c r="A1461" s="10" t="s">
        <v>2235</v>
      </c>
      <c r="B1461" s="124" t="s">
        <v>769</v>
      </c>
      <c r="C1461" s="124" t="s">
        <v>551</v>
      </c>
      <c r="D1461" s="14">
        <v>3105640.28</v>
      </c>
      <c r="E1461" s="82">
        <v>0.91847013020000001</v>
      </c>
      <c r="F1461" s="14">
        <v>2852437.83</v>
      </c>
      <c r="G1461" s="12">
        <v>0</v>
      </c>
      <c r="H1461" s="10"/>
      <c r="I1461" s="10"/>
    </row>
    <row r="1462" spans="1:9">
      <c r="A1462" s="10" t="s">
        <v>2236</v>
      </c>
      <c r="B1462" s="124" t="s">
        <v>1039</v>
      </c>
      <c r="C1462" s="124" t="s">
        <v>551</v>
      </c>
      <c r="D1462" s="14">
        <v>3105640.28</v>
      </c>
      <c r="E1462" s="82">
        <v>0.91763878759999995</v>
      </c>
      <c r="F1462" s="14">
        <v>2849855.98</v>
      </c>
      <c r="G1462" s="12">
        <v>0</v>
      </c>
      <c r="H1462" s="10"/>
      <c r="I1462" s="10"/>
    </row>
    <row r="1463" spans="1:9">
      <c r="A1463" s="10" t="s">
        <v>2247</v>
      </c>
      <c r="B1463" s="124" t="s">
        <v>502</v>
      </c>
      <c r="C1463" s="124" t="s">
        <v>431</v>
      </c>
      <c r="D1463" s="12">
        <v>8500000</v>
      </c>
      <c r="E1463" s="82">
        <v>0.9697131578</v>
      </c>
      <c r="F1463" s="14">
        <v>8242561.8399999999</v>
      </c>
      <c r="G1463" s="14">
        <v>0.01</v>
      </c>
      <c r="H1463" s="10"/>
      <c r="I1463" s="10"/>
    </row>
    <row r="1464" spans="1:9">
      <c r="A1464" s="10" t="s">
        <v>2248</v>
      </c>
      <c r="B1464" s="124" t="s">
        <v>750</v>
      </c>
      <c r="C1464" s="124" t="s">
        <v>431</v>
      </c>
      <c r="D1464" s="12">
        <v>8500000</v>
      </c>
      <c r="E1464" s="82">
        <v>0.96868366390000005</v>
      </c>
      <c r="F1464" s="14">
        <v>8233811.1399999997</v>
      </c>
      <c r="G1464" s="14">
        <v>0.01</v>
      </c>
      <c r="H1464" s="10"/>
      <c r="I1464" s="10"/>
    </row>
    <row r="1465" spans="1:9">
      <c r="A1465" s="10" t="s">
        <v>2249</v>
      </c>
      <c r="B1465" s="124" t="s">
        <v>1161</v>
      </c>
      <c r="C1465" s="124" t="s">
        <v>431</v>
      </c>
      <c r="D1465" s="12">
        <v>8500000</v>
      </c>
      <c r="E1465" s="82">
        <v>0.96663149459999997</v>
      </c>
      <c r="F1465" s="154">
        <v>8216367.7000000002</v>
      </c>
      <c r="G1465" s="14">
        <v>0.01</v>
      </c>
      <c r="H1465" s="10"/>
      <c r="I1465" s="10"/>
    </row>
    <row r="1466" spans="1:9">
      <c r="A1466" s="10" t="s">
        <v>2250</v>
      </c>
      <c r="B1466" s="124" t="s">
        <v>793</v>
      </c>
      <c r="C1466" s="124" t="s">
        <v>431</v>
      </c>
      <c r="D1466" s="12">
        <v>8500000</v>
      </c>
      <c r="E1466" s="82">
        <v>0.9661197399</v>
      </c>
      <c r="F1466" s="14">
        <v>8212017.79</v>
      </c>
      <c r="G1466" s="14">
        <v>0.01</v>
      </c>
      <c r="H1466" s="10"/>
      <c r="I1466" s="10"/>
    </row>
    <row r="1467" spans="1:9">
      <c r="A1467" s="10" t="s">
        <v>2251</v>
      </c>
      <c r="B1467" s="124" t="s">
        <v>680</v>
      </c>
      <c r="C1467" s="124" t="s">
        <v>431</v>
      </c>
      <c r="D1467" s="14">
        <v>346488.63</v>
      </c>
      <c r="E1467" s="82">
        <v>0.9806556421</v>
      </c>
      <c r="F1467" s="14">
        <v>339786.03</v>
      </c>
      <c r="G1467" s="12">
        <v>0</v>
      </c>
      <c r="H1467" s="10"/>
      <c r="I1467" s="10"/>
    </row>
    <row r="1468" spans="1:9">
      <c r="A1468" s="10" t="s">
        <v>2252</v>
      </c>
      <c r="B1468" s="124" t="s">
        <v>1360</v>
      </c>
      <c r="C1468" s="124" t="s">
        <v>431</v>
      </c>
      <c r="D1468" s="14">
        <v>2409463.31</v>
      </c>
      <c r="E1468" s="158">
        <v>0.96002110100000004</v>
      </c>
      <c r="F1468" s="14">
        <v>2313135.62</v>
      </c>
      <c r="G1468" s="12">
        <v>0</v>
      </c>
      <c r="H1468" s="10"/>
      <c r="I1468" s="10"/>
    </row>
    <row r="1469" spans="1:9">
      <c r="A1469" s="10" t="s">
        <v>2253</v>
      </c>
      <c r="B1469" s="124" t="s">
        <v>504</v>
      </c>
      <c r="C1469" s="124" t="s">
        <v>431</v>
      </c>
      <c r="D1469" s="14">
        <v>9990457.7799999993</v>
      </c>
      <c r="E1469" s="82">
        <v>0.96476629930000002</v>
      </c>
      <c r="F1469" s="14">
        <v>9638456.9800000004</v>
      </c>
      <c r="G1469" s="14">
        <v>0.01</v>
      </c>
      <c r="H1469" s="10"/>
      <c r="I1469" s="10"/>
    </row>
    <row r="1470" spans="1:9">
      <c r="A1470" s="10" t="s">
        <v>2254</v>
      </c>
      <c r="B1470" s="124" t="s">
        <v>2255</v>
      </c>
      <c r="C1470" s="124" t="s">
        <v>431</v>
      </c>
      <c r="D1470" s="14">
        <v>9990457.7699999996</v>
      </c>
      <c r="E1470" s="82">
        <v>0.91884015959999998</v>
      </c>
      <c r="F1470" s="14">
        <v>9179633.8100000005</v>
      </c>
      <c r="G1470" s="14">
        <v>0.01</v>
      </c>
      <c r="H1470" s="10"/>
      <c r="I1470" s="10"/>
    </row>
    <row r="1471" spans="1:9">
      <c r="A1471" s="10" t="s">
        <v>2256</v>
      </c>
      <c r="B1471" s="124" t="s">
        <v>651</v>
      </c>
      <c r="C1471" s="124" t="s">
        <v>431</v>
      </c>
      <c r="D1471" s="14">
        <v>9990457.7799999993</v>
      </c>
      <c r="E1471" s="82">
        <v>0.9416196389</v>
      </c>
      <c r="F1471" s="14">
        <v>9407211.25</v>
      </c>
      <c r="G1471" s="14">
        <v>0.01</v>
      </c>
      <c r="H1471" s="10"/>
      <c r="I1471" s="10"/>
    </row>
    <row r="1472" spans="1:9">
      <c r="A1472" s="10" t="s">
        <v>2257</v>
      </c>
      <c r="B1472" s="124" t="s">
        <v>510</v>
      </c>
      <c r="C1472" s="124" t="s">
        <v>431</v>
      </c>
      <c r="D1472" s="14">
        <v>9990457.7799999993</v>
      </c>
      <c r="E1472" s="158">
        <v>0.99157842500000004</v>
      </c>
      <c r="F1472" s="14">
        <v>9906322.3900000006</v>
      </c>
      <c r="G1472" s="14">
        <v>0.01</v>
      </c>
      <c r="H1472" s="10"/>
      <c r="I1472" s="10"/>
    </row>
    <row r="1473" spans="1:9">
      <c r="A1473" s="10" t="s">
        <v>2258</v>
      </c>
      <c r="B1473" s="124" t="s">
        <v>482</v>
      </c>
      <c r="C1473" s="124" t="s">
        <v>431</v>
      </c>
      <c r="D1473" s="14">
        <v>388276.23</v>
      </c>
      <c r="E1473" s="82">
        <v>0.98742055380000004</v>
      </c>
      <c r="F1473" s="14">
        <v>383391.93</v>
      </c>
      <c r="G1473" s="12">
        <v>0</v>
      </c>
      <c r="H1473" s="10"/>
      <c r="I1473" s="10"/>
    </row>
    <row r="1474" spans="1:9">
      <c r="A1474" s="10" t="s">
        <v>2260</v>
      </c>
      <c r="B1474" s="124" t="s">
        <v>778</v>
      </c>
      <c r="C1474" s="124" t="s">
        <v>431</v>
      </c>
      <c r="D1474" s="154">
        <v>1756706.4</v>
      </c>
      <c r="E1474" s="158">
        <v>0.92243931099999998</v>
      </c>
      <c r="F1474" s="14">
        <v>1620455.04</v>
      </c>
      <c r="G1474" s="12">
        <v>0</v>
      </c>
      <c r="H1474" s="10"/>
      <c r="I1474" s="10"/>
    </row>
    <row r="1475" spans="1:9">
      <c r="A1475" s="10" t="s">
        <v>2261</v>
      </c>
      <c r="B1475" s="124" t="s">
        <v>766</v>
      </c>
      <c r="C1475" s="124" t="s">
        <v>431</v>
      </c>
      <c r="D1475" s="12">
        <v>4000000</v>
      </c>
      <c r="E1475" s="82">
        <v>0.97515374769999996</v>
      </c>
      <c r="F1475" s="14">
        <v>3900614.99</v>
      </c>
      <c r="G1475" s="14">
        <v>0.01</v>
      </c>
      <c r="H1475" s="10"/>
      <c r="I1475" s="10"/>
    </row>
    <row r="1476" spans="1:9">
      <c r="A1476" s="10" t="s">
        <v>2262</v>
      </c>
      <c r="B1476" s="124" t="s">
        <v>524</v>
      </c>
      <c r="C1476" s="124" t="s">
        <v>431</v>
      </c>
      <c r="D1476" s="12">
        <v>4000000</v>
      </c>
      <c r="E1476" s="82">
        <v>0.97281465759999997</v>
      </c>
      <c r="F1476" s="14">
        <v>3891258.63</v>
      </c>
      <c r="G1476" s="14">
        <v>0.01</v>
      </c>
      <c r="H1476" s="10"/>
      <c r="I1476" s="10"/>
    </row>
    <row r="1477" spans="1:9">
      <c r="A1477" s="10" t="s">
        <v>2263</v>
      </c>
      <c r="B1477" s="124" t="s">
        <v>443</v>
      </c>
      <c r="C1477" s="124" t="s">
        <v>431</v>
      </c>
      <c r="D1477" s="12">
        <v>5000000</v>
      </c>
      <c r="E1477" s="82">
        <v>0.99346761610000001</v>
      </c>
      <c r="F1477" s="14">
        <v>4967338.08</v>
      </c>
      <c r="G1477" s="14">
        <v>0.01</v>
      </c>
      <c r="H1477" s="10"/>
      <c r="I1477" s="10"/>
    </row>
    <row r="1478" spans="1:9">
      <c r="A1478" s="10" t="s">
        <v>2264</v>
      </c>
      <c r="B1478" s="124" t="s">
        <v>438</v>
      </c>
      <c r="C1478" s="124" t="s">
        <v>431</v>
      </c>
      <c r="D1478" s="12">
        <v>5000000</v>
      </c>
      <c r="E1478" s="82">
        <v>0.99265712809999995</v>
      </c>
      <c r="F1478" s="14">
        <v>4963285.6399999997</v>
      </c>
      <c r="G1478" s="14">
        <v>0.01</v>
      </c>
      <c r="H1478" s="10"/>
      <c r="I1478" s="10"/>
    </row>
    <row r="1479" spans="1:9">
      <c r="A1479" s="10" t="s">
        <v>2265</v>
      </c>
      <c r="B1479" s="124" t="s">
        <v>485</v>
      </c>
      <c r="C1479" s="124" t="s">
        <v>431</v>
      </c>
      <c r="D1479" s="12">
        <v>5000000</v>
      </c>
      <c r="E1479" s="158">
        <v>0.987020118</v>
      </c>
      <c r="F1479" s="14">
        <v>4935100.59</v>
      </c>
      <c r="G1479" s="14">
        <v>0.01</v>
      </c>
      <c r="H1479" s="10"/>
      <c r="I1479" s="10"/>
    </row>
    <row r="1480" spans="1:9">
      <c r="A1480" s="10" t="s">
        <v>2266</v>
      </c>
      <c r="B1480" s="124" t="s">
        <v>522</v>
      </c>
      <c r="C1480" s="124" t="s">
        <v>431</v>
      </c>
      <c r="D1480" s="12">
        <v>5000000</v>
      </c>
      <c r="E1480" s="82">
        <v>0.97593583360000002</v>
      </c>
      <c r="F1480" s="14">
        <v>4879679.17</v>
      </c>
      <c r="G1480" s="14">
        <v>0.01</v>
      </c>
      <c r="H1480" s="10"/>
      <c r="I1480" s="10"/>
    </row>
    <row r="1481" spans="1:9">
      <c r="A1481" s="10" t="s">
        <v>2267</v>
      </c>
      <c r="B1481" s="124" t="s">
        <v>680</v>
      </c>
      <c r="C1481" s="124" t="s">
        <v>431</v>
      </c>
      <c r="D1481" s="12">
        <v>5000000</v>
      </c>
      <c r="E1481" s="82">
        <v>0.97126137810000002</v>
      </c>
      <c r="F1481" s="14">
        <v>4856306.8899999997</v>
      </c>
      <c r="G1481" s="14">
        <v>0.01</v>
      </c>
      <c r="H1481" s="10"/>
      <c r="I1481" s="10"/>
    </row>
    <row r="1482" spans="1:9">
      <c r="A1482" s="10" t="s">
        <v>2268</v>
      </c>
      <c r="B1482" s="124" t="s">
        <v>580</v>
      </c>
      <c r="C1482" s="124" t="s">
        <v>431</v>
      </c>
      <c r="D1482" s="14">
        <v>20398741.449999999</v>
      </c>
      <c r="E1482" s="82">
        <v>0.98824935940000003</v>
      </c>
      <c r="F1482" s="14">
        <v>20159043.170000002</v>
      </c>
      <c r="G1482" s="14">
        <v>0.03</v>
      </c>
      <c r="H1482" s="10"/>
      <c r="I1482" s="10"/>
    </row>
    <row r="1483" spans="1:9">
      <c r="A1483" s="10" t="s">
        <v>2269</v>
      </c>
      <c r="B1483" s="124" t="s">
        <v>504</v>
      </c>
      <c r="C1483" s="124" t="s">
        <v>431</v>
      </c>
      <c r="D1483" s="14">
        <v>20398741.449999999</v>
      </c>
      <c r="E1483" s="82">
        <v>0.96476629930000002</v>
      </c>
      <c r="F1483" s="154">
        <v>19680018.300000001</v>
      </c>
      <c r="G1483" s="14">
        <v>0.03</v>
      </c>
      <c r="H1483" s="10"/>
      <c r="I1483" s="10"/>
    </row>
    <row r="1484" spans="1:9">
      <c r="A1484" s="10" t="s">
        <v>2270</v>
      </c>
      <c r="B1484" s="124" t="s">
        <v>651</v>
      </c>
      <c r="C1484" s="124" t="s">
        <v>431</v>
      </c>
      <c r="D1484" s="14">
        <v>18916974.350000001</v>
      </c>
      <c r="E1484" s="82">
        <v>0.9416196389</v>
      </c>
      <c r="F1484" s="14">
        <v>17812594.559999999</v>
      </c>
      <c r="G1484" s="14">
        <v>0.02</v>
      </c>
      <c r="H1484" s="10"/>
      <c r="I1484" s="10"/>
    </row>
    <row r="1485" spans="1:9">
      <c r="A1485" s="10" t="s">
        <v>2271</v>
      </c>
      <c r="B1485" s="124" t="s">
        <v>651</v>
      </c>
      <c r="C1485" s="124" t="s">
        <v>431</v>
      </c>
      <c r="D1485" s="14">
        <v>20398741.449999999</v>
      </c>
      <c r="E1485" s="82">
        <v>0.9416196389</v>
      </c>
      <c r="F1485" s="14">
        <v>19207855.559999999</v>
      </c>
      <c r="G1485" s="14">
        <v>0.03</v>
      </c>
      <c r="H1485" s="10"/>
      <c r="I1485" s="10"/>
    </row>
    <row r="1486" spans="1:9">
      <c r="A1486" s="10" t="s">
        <v>2272</v>
      </c>
      <c r="B1486" s="124" t="s">
        <v>854</v>
      </c>
      <c r="C1486" s="124" t="s">
        <v>431</v>
      </c>
      <c r="D1486" s="12">
        <v>50000000</v>
      </c>
      <c r="E1486" s="82">
        <v>0.94608615060000001</v>
      </c>
      <c r="F1486" s="14">
        <v>47304307.530000001</v>
      </c>
      <c r="G1486" s="14">
        <v>0.06</v>
      </c>
      <c r="H1486" s="10"/>
      <c r="I1486" s="10"/>
    </row>
    <row r="1487" spans="1:9">
      <c r="A1487" s="10" t="s">
        <v>2273</v>
      </c>
      <c r="B1487" s="124" t="s">
        <v>497</v>
      </c>
      <c r="C1487" s="124" t="s">
        <v>431</v>
      </c>
      <c r="D1487" s="14">
        <v>2874176.47</v>
      </c>
      <c r="E1487" s="82">
        <v>0.95840777349999995</v>
      </c>
      <c r="F1487" s="14">
        <v>2754633.07</v>
      </c>
      <c r="G1487" s="12">
        <v>0</v>
      </c>
      <c r="H1487" s="10"/>
      <c r="I1487" s="10"/>
    </row>
    <row r="1488" spans="1:9">
      <c r="A1488" s="10" t="s">
        <v>2274</v>
      </c>
      <c r="B1488" s="124" t="s">
        <v>1007</v>
      </c>
      <c r="C1488" s="124" t="s">
        <v>431</v>
      </c>
      <c r="D1488" s="14">
        <v>2874176.47</v>
      </c>
      <c r="E1488" s="82">
        <v>0.9575028324</v>
      </c>
      <c r="F1488" s="14">
        <v>2752032.11</v>
      </c>
      <c r="G1488" s="12">
        <v>0</v>
      </c>
      <c r="H1488" s="10"/>
      <c r="I1488" s="10"/>
    </row>
    <row r="1489" spans="1:9">
      <c r="A1489" s="10" t="s">
        <v>2275</v>
      </c>
      <c r="B1489" s="124" t="s">
        <v>446</v>
      </c>
      <c r="C1489" s="124" t="s">
        <v>431</v>
      </c>
      <c r="D1489" s="14">
        <v>2874176.47</v>
      </c>
      <c r="E1489" s="82">
        <v>0.9538994207</v>
      </c>
      <c r="F1489" s="14">
        <v>2741675.27</v>
      </c>
      <c r="G1489" s="12">
        <v>0</v>
      </c>
      <c r="H1489" s="10"/>
      <c r="I1489" s="10"/>
    </row>
    <row r="1490" spans="1:9">
      <c r="A1490" s="10" t="s">
        <v>2276</v>
      </c>
      <c r="B1490" s="124" t="s">
        <v>948</v>
      </c>
      <c r="C1490" s="124" t="s">
        <v>431</v>
      </c>
      <c r="D1490" s="14">
        <v>2874176.47</v>
      </c>
      <c r="E1490" s="82">
        <v>0.95121442850000004</v>
      </c>
      <c r="F1490" s="14">
        <v>2733958.13</v>
      </c>
      <c r="G1490" s="12">
        <v>0</v>
      </c>
      <c r="H1490" s="10"/>
      <c r="I1490" s="10"/>
    </row>
    <row r="1491" spans="1:9">
      <c r="A1491" s="10" t="s">
        <v>2277</v>
      </c>
      <c r="B1491" s="124" t="s">
        <v>524</v>
      </c>
      <c r="C1491" s="124" t="s">
        <v>431</v>
      </c>
      <c r="D1491" s="14">
        <v>1874176.47</v>
      </c>
      <c r="E1491" s="82">
        <v>0.96755400550000004</v>
      </c>
      <c r="F1491" s="14">
        <v>1813366.95</v>
      </c>
      <c r="G1491" s="12">
        <v>0</v>
      </c>
      <c r="H1491" s="10"/>
      <c r="I1491" s="10"/>
    </row>
    <row r="1492" spans="1:9">
      <c r="A1492" s="10" t="s">
        <v>2278</v>
      </c>
      <c r="B1492" s="124" t="s">
        <v>660</v>
      </c>
      <c r="C1492" s="124" t="s">
        <v>431</v>
      </c>
      <c r="D1492" s="14">
        <v>1874176.47</v>
      </c>
      <c r="E1492" s="158">
        <v>0.96663149299999995</v>
      </c>
      <c r="F1492" s="12">
        <v>1811638</v>
      </c>
      <c r="G1492" s="12">
        <v>0</v>
      </c>
      <c r="H1492" s="10"/>
      <c r="I1492" s="10"/>
    </row>
    <row r="1493" spans="1:9">
      <c r="A1493" s="10" t="s">
        <v>2279</v>
      </c>
      <c r="B1493" s="124" t="s">
        <v>438</v>
      </c>
      <c r="C1493" s="124" t="s">
        <v>431</v>
      </c>
      <c r="D1493" s="14">
        <v>1874176.47</v>
      </c>
      <c r="E1493" s="82">
        <v>0.99120147950000004</v>
      </c>
      <c r="F1493" s="14">
        <v>1857686.49</v>
      </c>
      <c r="G1493" s="12">
        <v>0</v>
      </c>
      <c r="H1493" s="10"/>
      <c r="I1493" s="10"/>
    </row>
    <row r="1494" spans="1:9">
      <c r="A1494" s="10" t="s">
        <v>2280</v>
      </c>
      <c r="B1494" s="124" t="s">
        <v>580</v>
      </c>
      <c r="C1494" s="124" t="s">
        <v>431</v>
      </c>
      <c r="D1494" s="14">
        <v>1874176.47</v>
      </c>
      <c r="E1494" s="82">
        <v>0.98637991130000002</v>
      </c>
      <c r="F1494" s="14">
        <v>1848650.02</v>
      </c>
      <c r="G1494" s="12">
        <v>0</v>
      </c>
      <c r="H1494" s="10"/>
      <c r="I1494" s="10"/>
    </row>
    <row r="1495" spans="1:9">
      <c r="A1495" s="10" t="s">
        <v>2281</v>
      </c>
      <c r="B1495" s="124" t="s">
        <v>448</v>
      </c>
      <c r="C1495" s="124" t="s">
        <v>431</v>
      </c>
      <c r="D1495" s="14">
        <v>1874176.47</v>
      </c>
      <c r="E1495" s="82">
        <v>0.98350946620000002</v>
      </c>
      <c r="F1495" s="154">
        <v>1843270.3</v>
      </c>
      <c r="G1495" s="12">
        <v>0</v>
      </c>
      <c r="H1495" s="10"/>
      <c r="I1495" s="10"/>
    </row>
    <row r="1496" spans="1:9">
      <c r="A1496" s="10" t="s">
        <v>2282</v>
      </c>
      <c r="B1496" s="124" t="s">
        <v>529</v>
      </c>
      <c r="C1496" s="124" t="s">
        <v>431</v>
      </c>
      <c r="D1496" s="14">
        <v>1874176.47</v>
      </c>
      <c r="E1496" s="82">
        <v>0.98065568479999998</v>
      </c>
      <c r="F1496" s="14">
        <v>1837921.81</v>
      </c>
      <c r="G1496" s="12">
        <v>0</v>
      </c>
      <c r="H1496" s="10"/>
      <c r="I1496" s="10"/>
    </row>
    <row r="1497" spans="1:9">
      <c r="A1497" s="10" t="s">
        <v>2283</v>
      </c>
      <c r="B1497" s="124" t="s">
        <v>488</v>
      </c>
      <c r="C1497" s="124" t="s">
        <v>431</v>
      </c>
      <c r="D1497" s="14">
        <v>1874176.47</v>
      </c>
      <c r="E1497" s="82">
        <v>0.97970805260000005</v>
      </c>
      <c r="F1497" s="14">
        <v>1836145.78</v>
      </c>
      <c r="G1497" s="12">
        <v>0</v>
      </c>
      <c r="H1497" s="10"/>
      <c r="I1497" s="10"/>
    </row>
    <row r="1498" spans="1:9">
      <c r="A1498" s="10" t="s">
        <v>2284</v>
      </c>
      <c r="B1498" s="124" t="s">
        <v>514</v>
      </c>
      <c r="C1498" s="124" t="s">
        <v>431</v>
      </c>
      <c r="D1498" s="14">
        <v>1874176.47</v>
      </c>
      <c r="E1498" s="82">
        <v>0.97781842779999995</v>
      </c>
      <c r="F1498" s="14">
        <v>1832604.29</v>
      </c>
      <c r="G1498" s="12">
        <v>0</v>
      </c>
      <c r="H1498" s="10"/>
      <c r="I1498" s="10"/>
    </row>
    <row r="1499" spans="1:9">
      <c r="A1499" s="10" t="s">
        <v>2285</v>
      </c>
      <c r="B1499" s="124" t="s">
        <v>518</v>
      </c>
      <c r="C1499" s="124" t="s">
        <v>431</v>
      </c>
      <c r="D1499" s="14">
        <v>1874176.47</v>
      </c>
      <c r="E1499" s="82">
        <v>0.97406079410000002</v>
      </c>
      <c r="F1499" s="14">
        <v>1825561.82</v>
      </c>
      <c r="G1499" s="12">
        <v>0</v>
      </c>
      <c r="H1499" s="10"/>
      <c r="I1499" s="10"/>
    </row>
    <row r="1500" spans="1:9">
      <c r="A1500" s="10" t="s">
        <v>2286</v>
      </c>
      <c r="B1500" s="124" t="s">
        <v>527</v>
      </c>
      <c r="C1500" s="124" t="s">
        <v>431</v>
      </c>
      <c r="D1500" s="14">
        <v>1874176.47</v>
      </c>
      <c r="E1500" s="82">
        <v>0.97312584430000004</v>
      </c>
      <c r="F1500" s="14">
        <v>1823809.56</v>
      </c>
      <c r="G1500" s="12">
        <v>0</v>
      </c>
      <c r="H1500" s="10"/>
      <c r="I1500" s="10"/>
    </row>
    <row r="1501" spans="1:9">
      <c r="A1501" s="10" t="s">
        <v>2292</v>
      </c>
      <c r="B1501" s="124" t="s">
        <v>450</v>
      </c>
      <c r="C1501" s="124" t="s">
        <v>536</v>
      </c>
      <c r="D1501" s="12">
        <v>530200000</v>
      </c>
      <c r="E1501" s="82">
        <v>0.93599346890000001</v>
      </c>
      <c r="F1501" s="14">
        <v>496263737.20999998</v>
      </c>
      <c r="G1501" s="14">
        <v>0.66</v>
      </c>
      <c r="H1501" s="10"/>
      <c r="I1501" s="10"/>
    </row>
    <row r="1502" spans="1:9">
      <c r="A1502" s="10" t="s">
        <v>2293</v>
      </c>
      <c r="B1502" s="124" t="s">
        <v>485</v>
      </c>
      <c r="C1502" s="124" t="s">
        <v>536</v>
      </c>
      <c r="D1502" s="12">
        <v>40000000</v>
      </c>
      <c r="E1502" s="82">
        <v>0.98574054030000002</v>
      </c>
      <c r="F1502" s="14">
        <v>39429621.609999999</v>
      </c>
      <c r="G1502" s="14">
        <v>0.05</v>
      </c>
      <c r="H1502" s="10"/>
      <c r="I1502" s="10"/>
    </row>
    <row r="1503" spans="1:9">
      <c r="A1503" s="10" t="s">
        <v>2294</v>
      </c>
      <c r="B1503" s="124" t="s">
        <v>450</v>
      </c>
      <c r="C1503" s="124" t="s">
        <v>536</v>
      </c>
      <c r="D1503" s="12">
        <v>40000000</v>
      </c>
      <c r="E1503" s="158">
        <v>0.93412502900000005</v>
      </c>
      <c r="F1503" s="14">
        <v>37365001.159999996</v>
      </c>
      <c r="G1503" s="14">
        <v>0.05</v>
      </c>
      <c r="H1503" s="10"/>
      <c r="I1503" s="10"/>
    </row>
    <row r="1504" spans="1:9">
      <c r="A1504" s="10" t="s">
        <v>2295</v>
      </c>
      <c r="B1504" s="124" t="s">
        <v>441</v>
      </c>
      <c r="C1504" s="124" t="s">
        <v>536</v>
      </c>
      <c r="D1504" s="12">
        <v>5000000</v>
      </c>
      <c r="E1504" s="158">
        <v>0.99509275399999997</v>
      </c>
      <c r="F1504" s="14">
        <v>4975463.7699999996</v>
      </c>
      <c r="G1504" s="14">
        <v>0.01</v>
      </c>
      <c r="H1504" s="10"/>
      <c r="I1504" s="10"/>
    </row>
    <row r="1505" spans="1:9">
      <c r="A1505" s="10" t="s">
        <v>2296</v>
      </c>
      <c r="B1505" s="124" t="s">
        <v>883</v>
      </c>
      <c r="C1505" s="124" t="s">
        <v>536</v>
      </c>
      <c r="D1505" s="12">
        <v>5000000</v>
      </c>
      <c r="E1505" s="82">
        <v>0.9673999996</v>
      </c>
      <c r="F1505" s="12">
        <v>4837000</v>
      </c>
      <c r="G1505" s="14">
        <v>0.01</v>
      </c>
      <c r="H1505" s="10"/>
      <c r="I1505" s="10"/>
    </row>
    <row r="1506" spans="1:9">
      <c r="A1506" s="10" t="s">
        <v>2297</v>
      </c>
      <c r="B1506" s="124" t="s">
        <v>766</v>
      </c>
      <c r="C1506" s="124" t="s">
        <v>536</v>
      </c>
      <c r="D1506" s="12">
        <v>5000000</v>
      </c>
      <c r="E1506" s="82">
        <v>0.97515362409999995</v>
      </c>
      <c r="F1506" s="14">
        <v>4875768.12</v>
      </c>
      <c r="G1506" s="14">
        <v>0.01</v>
      </c>
      <c r="H1506" s="10"/>
      <c r="I1506" s="10"/>
    </row>
    <row r="1507" spans="1:9">
      <c r="A1507" s="10" t="s">
        <v>2298</v>
      </c>
      <c r="B1507" s="124" t="s">
        <v>574</v>
      </c>
      <c r="C1507" s="124" t="s">
        <v>536</v>
      </c>
      <c r="D1507" s="12">
        <v>5000000</v>
      </c>
      <c r="E1507" s="82">
        <v>0.97048664429999998</v>
      </c>
      <c r="F1507" s="14">
        <v>4852433.22</v>
      </c>
      <c r="G1507" s="14">
        <v>0.01</v>
      </c>
      <c r="H1507" s="10"/>
      <c r="I1507" s="10"/>
    </row>
    <row r="1508" spans="1:9">
      <c r="A1508" s="10" t="s">
        <v>2299</v>
      </c>
      <c r="B1508" s="124" t="s">
        <v>438</v>
      </c>
      <c r="C1508" s="124" t="s">
        <v>536</v>
      </c>
      <c r="D1508" s="12">
        <v>5000000</v>
      </c>
      <c r="E1508" s="158">
        <v>0.99265706200000003</v>
      </c>
      <c r="F1508" s="14">
        <v>4963285.3099999996</v>
      </c>
      <c r="G1508" s="14">
        <v>0.01</v>
      </c>
      <c r="H1508" s="10"/>
      <c r="I1508" s="10"/>
    </row>
    <row r="1509" spans="1:9">
      <c r="A1509" s="10" t="s">
        <v>2300</v>
      </c>
      <c r="B1509" s="124" t="s">
        <v>580</v>
      </c>
      <c r="C1509" s="124" t="s">
        <v>536</v>
      </c>
      <c r="D1509" s="12">
        <v>5000000</v>
      </c>
      <c r="E1509" s="158">
        <v>0.98862413599999999</v>
      </c>
      <c r="F1509" s="14">
        <v>4943120.68</v>
      </c>
      <c r="G1509" s="14">
        <v>0.01</v>
      </c>
      <c r="H1509" s="10"/>
      <c r="I1509" s="10"/>
    </row>
    <row r="1510" spans="1:9">
      <c r="A1510" s="10" t="s">
        <v>2301</v>
      </c>
      <c r="B1510" s="124" t="s">
        <v>488</v>
      </c>
      <c r="C1510" s="124" t="s">
        <v>536</v>
      </c>
      <c r="D1510" s="12">
        <v>5000000</v>
      </c>
      <c r="E1510" s="82">
        <v>0.98303270220000005</v>
      </c>
      <c r="F1510" s="14">
        <v>4915163.51</v>
      </c>
      <c r="G1510" s="14">
        <v>0.01</v>
      </c>
      <c r="H1510" s="10"/>
      <c r="I1510" s="10"/>
    </row>
    <row r="1511" spans="1:9">
      <c r="A1511" s="10" t="s">
        <v>2302</v>
      </c>
      <c r="B1511" s="124" t="s">
        <v>660</v>
      </c>
      <c r="C1511" s="124" t="s">
        <v>536</v>
      </c>
      <c r="D1511" s="12">
        <v>5000000</v>
      </c>
      <c r="E1511" s="82">
        <v>0.97203744759999999</v>
      </c>
      <c r="F1511" s="14">
        <v>4860187.24</v>
      </c>
      <c r="G1511" s="14">
        <v>0.01</v>
      </c>
      <c r="H1511" s="10"/>
      <c r="I1511" s="10"/>
    </row>
    <row r="1512" spans="1:9">
      <c r="A1512" s="10" t="s">
        <v>2303</v>
      </c>
      <c r="B1512" s="124" t="s">
        <v>2304</v>
      </c>
      <c r="C1512" s="124" t="s">
        <v>536</v>
      </c>
      <c r="D1512" s="12">
        <v>25000000</v>
      </c>
      <c r="E1512" s="82">
        <v>0.89555172409999995</v>
      </c>
      <c r="F1512" s="154">
        <v>22388793.100000001</v>
      </c>
      <c r="G1512" s="14">
        <v>0.03</v>
      </c>
      <c r="H1512" s="10"/>
      <c r="I1512" s="10"/>
    </row>
    <row r="1513" spans="1:9">
      <c r="A1513" s="10" t="s">
        <v>2305</v>
      </c>
      <c r="B1513" s="124" t="s">
        <v>778</v>
      </c>
      <c r="C1513" s="124" t="s">
        <v>536</v>
      </c>
      <c r="D1513" s="12">
        <v>11820000</v>
      </c>
      <c r="E1513" s="158">
        <v>0.92243937099999995</v>
      </c>
      <c r="F1513" s="14">
        <v>10903233.369999999</v>
      </c>
      <c r="G1513" s="14">
        <v>0.01</v>
      </c>
      <c r="H1513" s="10"/>
      <c r="I1513" s="10"/>
    </row>
    <row r="1514" spans="1:9">
      <c r="A1514" s="10" t="s">
        <v>2306</v>
      </c>
      <c r="B1514" s="124" t="s">
        <v>2304</v>
      </c>
      <c r="C1514" s="124" t="s">
        <v>536</v>
      </c>
      <c r="D1514" s="12">
        <v>11820000</v>
      </c>
      <c r="E1514" s="82">
        <v>0.90125685850000004</v>
      </c>
      <c r="F1514" s="14">
        <v>10652856.07</v>
      </c>
      <c r="G1514" s="14">
        <v>0.01</v>
      </c>
      <c r="H1514" s="10"/>
      <c r="I1514" s="10"/>
    </row>
    <row r="1515" spans="1:9">
      <c r="A1515" s="10" t="s">
        <v>2307</v>
      </c>
      <c r="B1515" s="124" t="s">
        <v>647</v>
      </c>
      <c r="C1515" s="124" t="s">
        <v>536</v>
      </c>
      <c r="D1515" s="12">
        <v>11820000</v>
      </c>
      <c r="E1515" s="82">
        <v>0.9431280984</v>
      </c>
      <c r="F1515" s="14">
        <v>11147774.119999999</v>
      </c>
      <c r="G1515" s="14">
        <v>0.01</v>
      </c>
      <c r="H1515" s="10"/>
      <c r="I1515" s="10"/>
    </row>
    <row r="1516" spans="1:9">
      <c r="A1516" s="10" t="s">
        <v>2308</v>
      </c>
      <c r="B1516" s="124" t="s">
        <v>1525</v>
      </c>
      <c r="C1516" s="124" t="s">
        <v>536</v>
      </c>
      <c r="D1516" s="14">
        <v>9990457.7699999996</v>
      </c>
      <c r="E1516" s="82">
        <v>0.89645353959999996</v>
      </c>
      <c r="F1516" s="14">
        <v>8955981.2300000004</v>
      </c>
      <c r="G1516" s="14">
        <v>0.01</v>
      </c>
      <c r="H1516" s="10"/>
      <c r="I1516" s="10"/>
    </row>
    <row r="1517" spans="1:9">
      <c r="A1517" s="10" t="s">
        <v>2309</v>
      </c>
      <c r="B1517" s="124" t="s">
        <v>520</v>
      </c>
      <c r="C1517" s="124" t="s">
        <v>536</v>
      </c>
      <c r="D1517" s="12">
        <v>615971020</v>
      </c>
      <c r="E1517" s="82">
        <v>0.97144237830000002</v>
      </c>
      <c r="F1517" s="14">
        <v>598380352.63</v>
      </c>
      <c r="G1517" s="154">
        <v>0.8</v>
      </c>
      <c r="H1517" s="10"/>
      <c r="I1517" s="10"/>
    </row>
    <row r="1518" spans="1:9">
      <c r="A1518" s="10" t="s">
        <v>2310</v>
      </c>
      <c r="B1518" s="124" t="s">
        <v>680</v>
      </c>
      <c r="C1518" s="124" t="s">
        <v>536</v>
      </c>
      <c r="D1518" s="12">
        <v>30000000</v>
      </c>
      <c r="E1518" s="82">
        <v>0.96847816060000003</v>
      </c>
      <c r="F1518" s="14">
        <v>29054344.82</v>
      </c>
      <c r="G1518" s="14">
        <v>0.04</v>
      </c>
      <c r="H1518" s="10"/>
      <c r="I1518" s="10"/>
    </row>
    <row r="1519" spans="1:9">
      <c r="A1519" s="10" t="s">
        <v>2311</v>
      </c>
      <c r="B1519" s="124" t="s">
        <v>680</v>
      </c>
      <c r="C1519" s="124" t="s">
        <v>536</v>
      </c>
      <c r="D1519" s="12">
        <v>30000000</v>
      </c>
      <c r="E1519" s="82">
        <v>0.96847816060000003</v>
      </c>
      <c r="F1519" s="14">
        <v>29054344.82</v>
      </c>
      <c r="G1519" s="14">
        <v>0.04</v>
      </c>
      <c r="H1519" s="10"/>
      <c r="I1519" s="10"/>
    </row>
    <row r="1520" spans="1:9">
      <c r="A1520" s="10" t="s">
        <v>2312</v>
      </c>
      <c r="B1520" s="124" t="s">
        <v>574</v>
      </c>
      <c r="C1520" s="124" t="s">
        <v>536</v>
      </c>
      <c r="D1520" s="12">
        <v>40000000</v>
      </c>
      <c r="E1520" s="82">
        <v>0.96763083959999996</v>
      </c>
      <c r="F1520" s="14">
        <v>38705233.579999998</v>
      </c>
      <c r="G1520" s="14">
        <v>0.05</v>
      </c>
      <c r="H1520" s="10"/>
      <c r="I1520" s="10"/>
    </row>
    <row r="1521" spans="1:9">
      <c r="A1521" s="10" t="s">
        <v>2313</v>
      </c>
      <c r="B1521" s="124" t="s">
        <v>778</v>
      </c>
      <c r="C1521" s="124" t="s">
        <v>536</v>
      </c>
      <c r="D1521" s="12">
        <v>25000000</v>
      </c>
      <c r="E1521" s="158">
        <v>0.92243937099999995</v>
      </c>
      <c r="F1521" s="14">
        <v>23060984.280000001</v>
      </c>
      <c r="G1521" s="14">
        <v>0.03</v>
      </c>
      <c r="H1521" s="10"/>
      <c r="I1521" s="10"/>
    </row>
    <row r="1522" spans="1:9">
      <c r="A1522" s="10" t="s">
        <v>2314</v>
      </c>
      <c r="B1522" s="124" t="s">
        <v>808</v>
      </c>
      <c r="C1522" s="124" t="s">
        <v>536</v>
      </c>
      <c r="D1522" s="12">
        <v>25000000</v>
      </c>
      <c r="E1522" s="82">
        <v>0.92752598929999996</v>
      </c>
      <c r="F1522" s="14">
        <v>23188149.73</v>
      </c>
      <c r="G1522" s="14">
        <v>0.03</v>
      </c>
      <c r="H1522" s="10"/>
      <c r="I1522" s="10"/>
    </row>
    <row r="1523" spans="1:9">
      <c r="A1523" s="10" t="s">
        <v>2315</v>
      </c>
      <c r="B1523" s="124" t="s">
        <v>529</v>
      </c>
      <c r="C1523" s="124" t="s">
        <v>536</v>
      </c>
      <c r="D1523" s="12">
        <v>50000000</v>
      </c>
      <c r="E1523" s="82">
        <v>0.98329742019999999</v>
      </c>
      <c r="F1523" s="14">
        <v>49164871.009999998</v>
      </c>
      <c r="G1523" s="14">
        <v>7.0000000000000007E-2</v>
      </c>
      <c r="H1523" s="10"/>
      <c r="I1523" s="10"/>
    </row>
    <row r="1524" spans="1:9">
      <c r="A1524" s="10" t="s">
        <v>2316</v>
      </c>
      <c r="B1524" s="124" t="s">
        <v>482</v>
      </c>
      <c r="C1524" s="124" t="s">
        <v>536</v>
      </c>
      <c r="D1524" s="12">
        <v>50000000</v>
      </c>
      <c r="E1524" s="82">
        <v>0.98742058619999995</v>
      </c>
      <c r="F1524" s="14">
        <v>49371029.310000002</v>
      </c>
      <c r="G1524" s="14">
        <v>7.0000000000000007E-2</v>
      </c>
      <c r="H1524" s="10"/>
      <c r="I1524" s="10"/>
    </row>
    <row r="1525" spans="1:9">
      <c r="A1525" s="10" t="s">
        <v>2317</v>
      </c>
      <c r="B1525" s="124" t="s">
        <v>485</v>
      </c>
      <c r="C1525" s="124" t="s">
        <v>536</v>
      </c>
      <c r="D1525" s="12">
        <v>50000000</v>
      </c>
      <c r="E1525" s="82">
        <v>0.98659316360000004</v>
      </c>
      <c r="F1525" s="14">
        <v>49329658.18</v>
      </c>
      <c r="G1525" s="14">
        <v>7.0000000000000007E-2</v>
      </c>
      <c r="H1525" s="10"/>
      <c r="I1525" s="10"/>
    </row>
    <row r="1526" spans="1:9">
      <c r="A1526" s="10" t="s">
        <v>2318</v>
      </c>
      <c r="B1526" s="124" t="s">
        <v>448</v>
      </c>
      <c r="C1526" s="124" t="s">
        <v>536</v>
      </c>
      <c r="D1526" s="12">
        <v>50000000</v>
      </c>
      <c r="E1526" s="82">
        <v>0.98576726240000001</v>
      </c>
      <c r="F1526" s="14">
        <v>49288363.119999997</v>
      </c>
      <c r="G1526" s="14">
        <v>7.0000000000000007E-2</v>
      </c>
      <c r="H1526" s="10"/>
      <c r="I1526" s="10"/>
    </row>
    <row r="1527" spans="1:9">
      <c r="A1527" s="10" t="s">
        <v>2323</v>
      </c>
      <c r="B1527" s="124" t="s">
        <v>854</v>
      </c>
      <c r="C1527" s="124" t="s">
        <v>475</v>
      </c>
      <c r="D1527" s="14">
        <v>2105640.2799999998</v>
      </c>
      <c r="E1527" s="82">
        <v>0.93975307119999996</v>
      </c>
      <c r="F1527" s="14">
        <v>1978781.92</v>
      </c>
      <c r="G1527" s="12">
        <v>0</v>
      </c>
      <c r="H1527" s="10"/>
      <c r="I1527" s="10"/>
    </row>
    <row r="1528" spans="1:9">
      <c r="A1528" s="10" t="s">
        <v>2324</v>
      </c>
      <c r="B1528" s="124" t="s">
        <v>776</v>
      </c>
      <c r="C1528" s="124" t="s">
        <v>475</v>
      </c>
      <c r="D1528" s="14">
        <v>2874176.47</v>
      </c>
      <c r="E1528" s="82">
        <v>0.93888277480000004</v>
      </c>
      <c r="F1528" s="14">
        <v>2698514.78</v>
      </c>
      <c r="G1528" s="12">
        <v>0</v>
      </c>
      <c r="H1528" s="10"/>
      <c r="I1528" s="10"/>
    </row>
    <row r="1529" spans="1:9">
      <c r="A1529" s="10" t="s">
        <v>2325</v>
      </c>
      <c r="B1529" s="124" t="s">
        <v>776</v>
      </c>
      <c r="C1529" s="124" t="s">
        <v>475</v>
      </c>
      <c r="D1529" s="14">
        <v>3841101.28</v>
      </c>
      <c r="E1529" s="82">
        <v>0.93888277480000004</v>
      </c>
      <c r="F1529" s="14">
        <v>3606343.83</v>
      </c>
      <c r="G1529" s="12">
        <v>0</v>
      </c>
      <c r="H1529" s="10"/>
      <c r="I1529" s="10"/>
    </row>
    <row r="1530" spans="1:9">
      <c r="A1530" s="10" t="s">
        <v>2326</v>
      </c>
      <c r="B1530" s="124" t="s">
        <v>776</v>
      </c>
      <c r="C1530" s="124" t="s">
        <v>475</v>
      </c>
      <c r="D1530" s="14">
        <v>3105640.28</v>
      </c>
      <c r="E1530" s="82">
        <v>0.93888277320000002</v>
      </c>
      <c r="F1530" s="14">
        <v>2915832.16</v>
      </c>
      <c r="G1530" s="12">
        <v>0</v>
      </c>
      <c r="H1530" s="10"/>
      <c r="I1530" s="10"/>
    </row>
    <row r="1531" spans="1:9">
      <c r="A1531" s="10" t="s">
        <v>2327</v>
      </c>
      <c r="B1531" s="124" t="s">
        <v>1161</v>
      </c>
      <c r="C1531" s="124" t="s">
        <v>475</v>
      </c>
      <c r="D1531" s="14">
        <v>3105640.28</v>
      </c>
      <c r="E1531" s="82">
        <v>0.94149826979999995</v>
      </c>
      <c r="F1531" s="14">
        <v>2923954.95</v>
      </c>
      <c r="G1531" s="12">
        <v>0</v>
      </c>
      <c r="H1531" s="10"/>
      <c r="I1531" s="10"/>
    </row>
    <row r="1532" spans="1:9">
      <c r="A1532" s="10" t="s">
        <v>2328</v>
      </c>
      <c r="B1532" s="124" t="s">
        <v>776</v>
      </c>
      <c r="C1532" s="124" t="s">
        <v>475</v>
      </c>
      <c r="D1532" s="14">
        <v>2105640.2799999998</v>
      </c>
      <c r="E1532" s="21">
        <v>0.93888276999999998</v>
      </c>
      <c r="F1532" s="14">
        <v>1976949.38</v>
      </c>
      <c r="G1532" s="12">
        <v>0</v>
      </c>
      <c r="H1532" s="10"/>
      <c r="I1532" s="10"/>
    </row>
    <row r="1533" spans="1:9">
      <c r="A1533" s="10" t="s">
        <v>2329</v>
      </c>
      <c r="B1533" s="124" t="s">
        <v>854</v>
      </c>
      <c r="C1533" s="124" t="s">
        <v>475</v>
      </c>
      <c r="D1533" s="14">
        <v>3105640.28</v>
      </c>
      <c r="E1533" s="82">
        <v>0.93975308059999996</v>
      </c>
      <c r="F1533" s="14">
        <v>2918535.02</v>
      </c>
      <c r="G1533" s="12">
        <v>0</v>
      </c>
      <c r="H1533" s="10"/>
      <c r="I1533" s="10"/>
    </row>
    <row r="1534" spans="1:9">
      <c r="A1534" s="10" t="s">
        <v>2330</v>
      </c>
      <c r="B1534" s="124" t="s">
        <v>854</v>
      </c>
      <c r="C1534" s="124" t="s">
        <v>475</v>
      </c>
      <c r="D1534" s="14">
        <v>2874176.47</v>
      </c>
      <c r="E1534" s="82">
        <v>0.93975307279999998</v>
      </c>
      <c r="F1534" s="14">
        <v>2701016.17</v>
      </c>
      <c r="G1534" s="12">
        <v>0</v>
      </c>
      <c r="H1534" s="10"/>
      <c r="I1534" s="10"/>
    </row>
    <row r="1535" spans="1:9">
      <c r="A1535" s="10" t="s">
        <v>2331</v>
      </c>
      <c r="B1535" s="124" t="s">
        <v>854</v>
      </c>
      <c r="C1535" s="124" t="s">
        <v>475</v>
      </c>
      <c r="D1535" s="14">
        <v>3841101.28</v>
      </c>
      <c r="E1535" s="82">
        <v>0.93975307750000003</v>
      </c>
      <c r="F1535" s="14">
        <v>3609686.75</v>
      </c>
      <c r="G1535" s="12">
        <v>0</v>
      </c>
      <c r="H1535" s="10"/>
      <c r="I1535" s="10"/>
    </row>
    <row r="1536" spans="1:9">
      <c r="A1536" s="10" t="s">
        <v>2332</v>
      </c>
      <c r="B1536" s="124" t="s">
        <v>647</v>
      </c>
      <c r="C1536" s="124" t="s">
        <v>475</v>
      </c>
      <c r="D1536" s="14">
        <v>2874176.47</v>
      </c>
      <c r="E1536" s="82">
        <v>0.93455559160000001</v>
      </c>
      <c r="F1536" s="14">
        <v>2686077.69</v>
      </c>
      <c r="G1536" s="12">
        <v>0</v>
      </c>
      <c r="H1536" s="10"/>
      <c r="I1536" s="10"/>
    </row>
    <row r="1537" spans="1:9">
      <c r="A1537" s="10" t="s">
        <v>2333</v>
      </c>
      <c r="B1537" s="124" t="s">
        <v>574</v>
      </c>
      <c r="C1537" s="124" t="s">
        <v>475</v>
      </c>
      <c r="D1537" s="12">
        <v>170000000</v>
      </c>
      <c r="E1537" s="82">
        <v>0.96290839989999999</v>
      </c>
      <c r="F1537" s="14">
        <v>163694427.97999999</v>
      </c>
      <c r="G1537" s="14">
        <v>0.22</v>
      </c>
      <c r="H1537" s="10"/>
      <c r="I1537" s="10"/>
    </row>
    <row r="1538" spans="1:9">
      <c r="A1538" s="10" t="s">
        <v>2334</v>
      </c>
      <c r="B1538" s="124" t="s">
        <v>441</v>
      </c>
      <c r="C1538" s="124" t="s">
        <v>475</v>
      </c>
      <c r="D1538" s="14">
        <v>11233238.84</v>
      </c>
      <c r="E1538" s="82">
        <v>0.9944420357</v>
      </c>
      <c r="F1538" s="154">
        <v>11170804.9</v>
      </c>
      <c r="G1538" s="14">
        <v>0.01</v>
      </c>
      <c r="H1538" s="10"/>
      <c r="I1538" s="10"/>
    </row>
    <row r="1539" spans="1:9">
      <c r="A1539" s="10" t="s">
        <v>2335</v>
      </c>
      <c r="B1539" s="124" t="s">
        <v>441</v>
      </c>
      <c r="C1539" s="124" t="s">
        <v>475</v>
      </c>
      <c r="D1539" s="14">
        <v>11233238.84</v>
      </c>
      <c r="E1539" s="82">
        <v>0.9944420357</v>
      </c>
      <c r="F1539" s="154">
        <v>11170804.9</v>
      </c>
      <c r="G1539" s="14">
        <v>0.01</v>
      </c>
      <c r="H1539" s="10"/>
      <c r="I1539" s="10"/>
    </row>
    <row r="1540" spans="1:9">
      <c r="A1540" s="10" t="s">
        <v>2336</v>
      </c>
      <c r="B1540" s="124" t="s">
        <v>441</v>
      </c>
      <c r="C1540" s="124" t="s">
        <v>475</v>
      </c>
      <c r="D1540" s="14">
        <v>10657519.18</v>
      </c>
      <c r="E1540" s="82">
        <v>0.99444203490000005</v>
      </c>
      <c r="F1540" s="14">
        <v>10598285.060000001</v>
      </c>
      <c r="G1540" s="14">
        <v>0.01</v>
      </c>
      <c r="H1540" s="10"/>
      <c r="I1540" s="10"/>
    </row>
    <row r="1541" spans="1:9">
      <c r="A1541" s="10" t="s">
        <v>2337</v>
      </c>
      <c r="B1541" s="124" t="s">
        <v>485</v>
      </c>
      <c r="C1541" s="124" t="s">
        <v>475</v>
      </c>
      <c r="D1541" s="12">
        <v>70000000</v>
      </c>
      <c r="E1541" s="82">
        <v>0.98574058070000004</v>
      </c>
      <c r="F1541" s="14">
        <v>69001840.650000006</v>
      </c>
      <c r="G1541" s="14">
        <v>0.09</v>
      </c>
      <c r="H1541" s="10"/>
      <c r="I1541" s="10"/>
    </row>
    <row r="1542" spans="1:9">
      <c r="A1542" s="10" t="s">
        <v>2338</v>
      </c>
      <c r="B1542" s="124" t="s">
        <v>497</v>
      </c>
      <c r="C1542" s="124" t="s">
        <v>475</v>
      </c>
      <c r="D1542" s="12">
        <v>40000000</v>
      </c>
      <c r="E1542" s="82">
        <v>0.96174130390000001</v>
      </c>
      <c r="F1542" s="14">
        <v>38469652.159999996</v>
      </c>
      <c r="G1542" s="14">
        <v>0.05</v>
      </c>
      <c r="H1542" s="10"/>
      <c r="I1542" s="10"/>
    </row>
    <row r="1543" spans="1:9">
      <c r="A1543" s="10" t="s">
        <v>2340</v>
      </c>
      <c r="B1543" s="124" t="s">
        <v>651</v>
      </c>
      <c r="C1543" s="124" t="s">
        <v>552</v>
      </c>
      <c r="D1543" s="154">
        <v>211135.5</v>
      </c>
      <c r="E1543" s="82">
        <v>0.96153853739999995</v>
      </c>
      <c r="F1543" s="14">
        <v>203014.92</v>
      </c>
      <c r="G1543" s="12">
        <v>0</v>
      </c>
      <c r="H1543" s="10"/>
      <c r="I1543" s="10"/>
    </row>
    <row r="1544" spans="1:9">
      <c r="A1544" s="10" t="s">
        <v>2341</v>
      </c>
      <c r="B1544" s="124" t="s">
        <v>651</v>
      </c>
      <c r="C1544" s="124" t="s">
        <v>552</v>
      </c>
      <c r="D1544" s="154">
        <v>126868.5</v>
      </c>
      <c r="E1544" s="158">
        <v>0.96153844300000002</v>
      </c>
      <c r="F1544" s="14">
        <v>121988.94</v>
      </c>
      <c r="G1544" s="12">
        <v>0</v>
      </c>
      <c r="H1544" s="10"/>
      <c r="I1544" s="10"/>
    </row>
    <row r="1545" spans="1:9">
      <c r="A1545" s="10" t="s">
        <v>2342</v>
      </c>
      <c r="B1545" s="124" t="s">
        <v>2343</v>
      </c>
      <c r="C1545" s="124" t="s">
        <v>552</v>
      </c>
      <c r="D1545" s="12">
        <v>5000000</v>
      </c>
      <c r="E1545" s="82">
        <v>0.90886468259999997</v>
      </c>
      <c r="F1545" s="14">
        <v>4544323.41</v>
      </c>
      <c r="G1545" s="14">
        <v>0.01</v>
      </c>
      <c r="H1545" s="10"/>
      <c r="I1545" s="10"/>
    </row>
    <row r="1546" spans="1:9">
      <c r="A1546" s="10" t="s">
        <v>2344</v>
      </c>
      <c r="B1546" s="124" t="s">
        <v>450</v>
      </c>
      <c r="C1546" s="124" t="s">
        <v>552</v>
      </c>
      <c r="D1546" s="12">
        <v>642000</v>
      </c>
      <c r="E1546" s="82">
        <v>0.9590121962</v>
      </c>
      <c r="F1546" s="14">
        <v>615685.82999999996</v>
      </c>
      <c r="G1546" s="12">
        <v>0</v>
      </c>
      <c r="H1546" s="10"/>
      <c r="I1546" s="10"/>
    </row>
    <row r="1547" spans="1:9">
      <c r="A1547" s="10" t="s">
        <v>2345</v>
      </c>
      <c r="B1547" s="124" t="s">
        <v>485</v>
      </c>
      <c r="C1547" s="124" t="s">
        <v>552</v>
      </c>
      <c r="D1547" s="12">
        <v>8025439</v>
      </c>
      <c r="E1547" s="82">
        <v>0.98702010689999997</v>
      </c>
      <c r="F1547" s="14">
        <v>7921269.6600000001</v>
      </c>
      <c r="G1547" s="14">
        <v>0.01</v>
      </c>
      <c r="H1547" s="10"/>
      <c r="I1547" s="10"/>
    </row>
    <row r="1548" spans="1:9">
      <c r="A1548" s="10" t="s">
        <v>2346</v>
      </c>
      <c r="B1548" s="124" t="s">
        <v>448</v>
      </c>
      <c r="C1548" s="124" t="s">
        <v>552</v>
      </c>
      <c r="D1548" s="12">
        <v>5674198</v>
      </c>
      <c r="E1548" s="82">
        <v>0.98621999810000005</v>
      </c>
      <c r="F1548" s="14">
        <v>5596007.54</v>
      </c>
      <c r="G1548" s="14">
        <v>0.01</v>
      </c>
      <c r="H1548" s="10"/>
      <c r="I1548" s="10"/>
    </row>
    <row r="1549" spans="1:9">
      <c r="A1549" s="10" t="s">
        <v>2347</v>
      </c>
      <c r="B1549" s="124" t="s">
        <v>819</v>
      </c>
      <c r="C1549" s="124" t="s">
        <v>552</v>
      </c>
      <c r="D1549" s="12">
        <v>115000000</v>
      </c>
      <c r="E1549" s="82">
        <v>0.92958115659999996</v>
      </c>
      <c r="F1549" s="14">
        <v>106901833.01000001</v>
      </c>
      <c r="G1549" s="14">
        <v>0.14000000000000001</v>
      </c>
      <c r="H1549" s="10"/>
      <c r="I1549" s="10"/>
    </row>
    <row r="1550" spans="1:9">
      <c r="A1550" s="10" t="s">
        <v>2348</v>
      </c>
      <c r="B1550" s="124" t="s">
        <v>776</v>
      </c>
      <c r="C1550" s="124" t="s">
        <v>552</v>
      </c>
      <c r="D1550" s="12">
        <v>5000000</v>
      </c>
      <c r="E1550" s="82">
        <v>0.94368914739999998</v>
      </c>
      <c r="F1550" s="14">
        <v>4718445.74</v>
      </c>
      <c r="G1550" s="14">
        <v>0.01</v>
      </c>
      <c r="H1550" s="10"/>
      <c r="I1550" s="10"/>
    </row>
    <row r="1551" spans="1:9">
      <c r="A1551" s="10" t="s">
        <v>2349</v>
      </c>
      <c r="B1551" s="124" t="s">
        <v>1360</v>
      </c>
      <c r="C1551" s="124" t="s">
        <v>552</v>
      </c>
      <c r="D1551" s="12">
        <v>5000000</v>
      </c>
      <c r="E1551" s="82">
        <v>0.93570555460000004</v>
      </c>
      <c r="F1551" s="14">
        <v>4678527.7699999996</v>
      </c>
      <c r="G1551" s="14">
        <v>0.01</v>
      </c>
      <c r="H1551" s="10"/>
      <c r="I1551" s="10"/>
    </row>
    <row r="1552" spans="1:9">
      <c r="A1552" s="10" t="s">
        <v>2350</v>
      </c>
      <c r="B1552" s="124" t="s">
        <v>793</v>
      </c>
      <c r="C1552" s="124" t="s">
        <v>552</v>
      </c>
      <c r="D1552" s="12">
        <v>5000000</v>
      </c>
      <c r="E1552" s="82">
        <v>0.94530210560000005</v>
      </c>
      <c r="F1552" s="14">
        <v>4726510.53</v>
      </c>
      <c r="G1552" s="14">
        <v>0.01</v>
      </c>
      <c r="H1552" s="10"/>
      <c r="I1552" s="10"/>
    </row>
    <row r="1553" spans="1:9">
      <c r="A1553" s="10" t="s">
        <v>2351</v>
      </c>
      <c r="B1553" s="124" t="s">
        <v>269</v>
      </c>
      <c r="C1553" s="124" t="s">
        <v>552</v>
      </c>
      <c r="D1553" s="12">
        <v>5000000</v>
      </c>
      <c r="E1553" s="82">
        <v>0.93888268279999998</v>
      </c>
      <c r="F1553" s="14">
        <v>4694413.41</v>
      </c>
      <c r="G1553" s="14">
        <v>0.01</v>
      </c>
      <c r="H1553" s="10"/>
      <c r="I1553" s="10"/>
    </row>
    <row r="1554" spans="1:9">
      <c r="A1554" s="10" t="s">
        <v>2352</v>
      </c>
      <c r="B1554" s="124" t="s">
        <v>485</v>
      </c>
      <c r="C1554" s="124" t="s">
        <v>552</v>
      </c>
      <c r="D1554" s="12">
        <v>5000000</v>
      </c>
      <c r="E1554" s="158">
        <v>0.98702010600000001</v>
      </c>
      <c r="F1554" s="14">
        <v>4935100.53</v>
      </c>
      <c r="G1554" s="14">
        <v>0.01</v>
      </c>
      <c r="H1554" s="10"/>
      <c r="I1554" s="10"/>
    </row>
    <row r="1555" spans="1:9">
      <c r="A1555" s="10" t="s">
        <v>2353</v>
      </c>
      <c r="B1555" s="124" t="s">
        <v>490</v>
      </c>
      <c r="C1555" s="124" t="s">
        <v>552</v>
      </c>
      <c r="D1555" s="12">
        <v>5000000</v>
      </c>
      <c r="E1555" s="82">
        <v>0.98223897419999995</v>
      </c>
      <c r="F1555" s="14">
        <v>4911194.87</v>
      </c>
      <c r="G1555" s="14">
        <v>0.01</v>
      </c>
      <c r="H1555" s="10"/>
      <c r="I1555" s="10"/>
    </row>
    <row r="1556" spans="1:9">
      <c r="A1556" s="10" t="s">
        <v>2354</v>
      </c>
      <c r="B1556" s="124" t="s">
        <v>527</v>
      </c>
      <c r="C1556" s="124" t="s">
        <v>552</v>
      </c>
      <c r="D1556" s="12">
        <v>5000000</v>
      </c>
      <c r="E1556" s="158">
        <v>0.97750408600000005</v>
      </c>
      <c r="F1556" s="14">
        <v>4887520.43</v>
      </c>
      <c r="G1556" s="14">
        <v>0.01</v>
      </c>
      <c r="H1556" s="10"/>
      <c r="I1556" s="10"/>
    </row>
    <row r="1557" spans="1:9">
      <c r="A1557" s="10" t="s">
        <v>2355</v>
      </c>
      <c r="B1557" s="124" t="s">
        <v>441</v>
      </c>
      <c r="C1557" s="124" t="s">
        <v>552</v>
      </c>
      <c r="D1557" s="12">
        <v>5000000</v>
      </c>
      <c r="E1557" s="158">
        <v>0.99509272400000004</v>
      </c>
      <c r="F1557" s="14">
        <v>4975463.62</v>
      </c>
      <c r="G1557" s="14">
        <v>0.01</v>
      </c>
      <c r="H1557" s="10"/>
      <c r="I1557" s="10"/>
    </row>
    <row r="1558" spans="1:9">
      <c r="A1558" s="10" t="s">
        <v>2356</v>
      </c>
      <c r="B1558" s="124" t="s">
        <v>480</v>
      </c>
      <c r="C1558" s="124" t="s">
        <v>552</v>
      </c>
      <c r="D1558" s="12">
        <v>5000000</v>
      </c>
      <c r="E1558" s="82">
        <v>0.99427950190000003</v>
      </c>
      <c r="F1558" s="14">
        <v>4971397.51</v>
      </c>
      <c r="G1558" s="14">
        <v>0.01</v>
      </c>
      <c r="H1558" s="10"/>
      <c r="I1558" s="10"/>
    </row>
    <row r="1559" spans="1:9">
      <c r="A1559" s="10" t="s">
        <v>2357</v>
      </c>
      <c r="B1559" s="124" t="s">
        <v>443</v>
      </c>
      <c r="C1559" s="124" t="s">
        <v>552</v>
      </c>
      <c r="D1559" s="12">
        <v>5000000</v>
      </c>
      <c r="E1559" s="82">
        <v>0.99346769010000002</v>
      </c>
      <c r="F1559" s="14">
        <v>4967338.45</v>
      </c>
      <c r="G1559" s="14">
        <v>0.01</v>
      </c>
      <c r="H1559" s="10"/>
      <c r="I1559" s="10"/>
    </row>
    <row r="1560" spans="1:9">
      <c r="A1560" s="10" t="s">
        <v>2358</v>
      </c>
      <c r="B1560" s="124" t="s">
        <v>516</v>
      </c>
      <c r="C1560" s="124" t="s">
        <v>552</v>
      </c>
      <c r="D1560" s="12">
        <v>5000000</v>
      </c>
      <c r="E1560" s="82">
        <v>0.98065564179999998</v>
      </c>
      <c r="F1560" s="14">
        <v>4903278.21</v>
      </c>
      <c r="G1560" s="14">
        <v>0.01</v>
      </c>
      <c r="H1560" s="10"/>
      <c r="I1560" s="10"/>
    </row>
    <row r="1561" spans="1:9">
      <c r="A1561" s="10" t="s">
        <v>2359</v>
      </c>
      <c r="B1561" s="124" t="s">
        <v>647</v>
      </c>
      <c r="C1561" s="124" t="s">
        <v>552</v>
      </c>
      <c r="D1561" s="14">
        <v>3105640.28</v>
      </c>
      <c r="E1561" s="82">
        <v>0.93455566629999998</v>
      </c>
      <c r="F1561" s="14">
        <v>2902393.72</v>
      </c>
      <c r="G1561" s="12">
        <v>0</v>
      </c>
      <c r="H1561" s="10"/>
      <c r="I1561" s="10"/>
    </row>
    <row r="1562" spans="1:9">
      <c r="A1562" s="10" t="s">
        <v>2360</v>
      </c>
      <c r="B1562" s="124" t="s">
        <v>647</v>
      </c>
      <c r="C1562" s="124" t="s">
        <v>552</v>
      </c>
      <c r="D1562" s="14">
        <v>3841101.28</v>
      </c>
      <c r="E1562" s="82">
        <v>0.93455566290000003</v>
      </c>
      <c r="F1562" s="14">
        <v>3589722.95</v>
      </c>
      <c r="G1562" s="12">
        <v>0</v>
      </c>
      <c r="H1562" s="10"/>
      <c r="I1562" s="10"/>
    </row>
    <row r="1563" spans="1:9">
      <c r="A1563" s="10" t="s">
        <v>2361</v>
      </c>
      <c r="B1563" s="124" t="s">
        <v>819</v>
      </c>
      <c r="C1563" s="124" t="s">
        <v>552</v>
      </c>
      <c r="D1563" s="14">
        <v>2874176.47</v>
      </c>
      <c r="E1563" s="82">
        <v>0.92771462609999999</v>
      </c>
      <c r="F1563" s="14">
        <v>2666415.5499999998</v>
      </c>
      <c r="G1563" s="12">
        <v>0</v>
      </c>
      <c r="H1563" s="10"/>
      <c r="I1563" s="10"/>
    </row>
    <row r="1564" spans="1:9">
      <c r="A1564" s="10" t="s">
        <v>2362</v>
      </c>
      <c r="B1564" s="124" t="s">
        <v>1019</v>
      </c>
      <c r="C1564" s="124" t="s">
        <v>552</v>
      </c>
      <c r="D1564" s="14">
        <v>2874176.47</v>
      </c>
      <c r="E1564" s="82">
        <v>0.92941560010000002</v>
      </c>
      <c r="F1564" s="14">
        <v>2671304.4500000002</v>
      </c>
      <c r="G1564" s="12">
        <v>0</v>
      </c>
      <c r="H1564" s="10"/>
      <c r="I1564" s="10"/>
    </row>
    <row r="1565" spans="1:9">
      <c r="A1565" s="10" t="s">
        <v>2363</v>
      </c>
      <c r="B1565" s="124" t="s">
        <v>1360</v>
      </c>
      <c r="C1565" s="124" t="s">
        <v>552</v>
      </c>
      <c r="D1565" s="14">
        <v>2874176.47</v>
      </c>
      <c r="E1565" s="158">
        <v>0.93026818600000005</v>
      </c>
      <c r="F1565" s="14">
        <v>2673754.9300000002</v>
      </c>
      <c r="G1565" s="12">
        <v>0</v>
      </c>
      <c r="H1565" s="10"/>
      <c r="I1565" s="10"/>
    </row>
    <row r="1566" spans="1:9">
      <c r="A1566" s="10" t="s">
        <v>2364</v>
      </c>
      <c r="B1566" s="124" t="s">
        <v>651</v>
      </c>
      <c r="C1566" s="124" t="s">
        <v>552</v>
      </c>
      <c r="D1566" s="14">
        <v>2874176.47</v>
      </c>
      <c r="E1566" s="82">
        <v>0.93283583660000002</v>
      </c>
      <c r="F1566" s="14">
        <v>2681134.81</v>
      </c>
      <c r="G1566" s="12">
        <v>0</v>
      </c>
      <c r="H1566" s="10"/>
      <c r="I1566" s="10"/>
    </row>
    <row r="1567" spans="1:9">
      <c r="A1567" s="10" t="s">
        <v>2365</v>
      </c>
      <c r="B1567" s="124" t="s">
        <v>269</v>
      </c>
      <c r="C1567" s="124" t="s">
        <v>552</v>
      </c>
      <c r="D1567" s="14">
        <v>2874176.47</v>
      </c>
      <c r="E1567" s="82">
        <v>0.93369495790000001</v>
      </c>
      <c r="F1567" s="14">
        <v>2683604.08</v>
      </c>
      <c r="G1567" s="12">
        <v>0</v>
      </c>
      <c r="H1567" s="10"/>
      <c r="I1567" s="10"/>
    </row>
    <row r="1568" spans="1:9">
      <c r="A1568" s="10" t="s">
        <v>2366</v>
      </c>
      <c r="B1568" s="124" t="s">
        <v>269</v>
      </c>
      <c r="C1568" s="124" t="s">
        <v>552</v>
      </c>
      <c r="D1568" s="14">
        <v>3841101.28</v>
      </c>
      <c r="E1568" s="82">
        <v>0.93369495619999998</v>
      </c>
      <c r="F1568" s="14">
        <v>3586416.89</v>
      </c>
      <c r="G1568" s="12">
        <v>0</v>
      </c>
      <c r="H1568" s="10"/>
      <c r="I1568" s="10"/>
    </row>
    <row r="1569" spans="1:9">
      <c r="A1569" s="10" t="s">
        <v>2367</v>
      </c>
      <c r="B1569" s="124" t="s">
        <v>651</v>
      </c>
      <c r="C1569" s="124" t="s">
        <v>552</v>
      </c>
      <c r="D1569" s="14">
        <v>2874176.47</v>
      </c>
      <c r="E1569" s="82">
        <v>0.93283583660000002</v>
      </c>
      <c r="F1569" s="14">
        <v>2681134.81</v>
      </c>
      <c r="G1569" s="12">
        <v>0</v>
      </c>
      <c r="H1569" s="10"/>
      <c r="I1569" s="10"/>
    </row>
    <row r="1570" spans="1:9">
      <c r="A1570" s="10" t="s">
        <v>2368</v>
      </c>
      <c r="B1570" s="124" t="s">
        <v>754</v>
      </c>
      <c r="C1570" s="124" t="s">
        <v>552</v>
      </c>
      <c r="D1570" s="14">
        <v>2874176.47</v>
      </c>
      <c r="E1570" s="82">
        <v>0.92686646360000002</v>
      </c>
      <c r="F1570" s="14">
        <v>2663977.7799999998</v>
      </c>
      <c r="G1570" s="12">
        <v>0</v>
      </c>
      <c r="H1570" s="10"/>
      <c r="I1570" s="10"/>
    </row>
    <row r="1571" spans="1:9">
      <c r="A1571" s="10" t="s">
        <v>2369</v>
      </c>
      <c r="B1571" s="124" t="s">
        <v>812</v>
      </c>
      <c r="C1571" s="124" t="s">
        <v>552</v>
      </c>
      <c r="D1571" s="14">
        <v>2874176.47</v>
      </c>
      <c r="E1571" s="82">
        <v>0.92433152789999995</v>
      </c>
      <c r="F1571" s="14">
        <v>2656691.9300000002</v>
      </c>
      <c r="G1571" s="12">
        <v>0</v>
      </c>
      <c r="H1571" s="10"/>
      <c r="I1571" s="10"/>
    </row>
    <row r="1572" spans="1:9">
      <c r="A1572" s="10" t="s">
        <v>2370</v>
      </c>
      <c r="B1572" s="124" t="s">
        <v>2371</v>
      </c>
      <c r="C1572" s="124" t="s">
        <v>552</v>
      </c>
      <c r="D1572" s="12">
        <v>31000000</v>
      </c>
      <c r="E1572" s="82">
        <v>0.82170200270000004</v>
      </c>
      <c r="F1572" s="14">
        <v>25472762.079999998</v>
      </c>
      <c r="G1572" s="14">
        <v>0.03</v>
      </c>
      <c r="H1572" s="10"/>
      <c r="I1572" s="10"/>
    </row>
    <row r="1573" spans="1:9">
      <c r="A1573" s="10" t="s">
        <v>2372</v>
      </c>
      <c r="B1573" s="124" t="s">
        <v>500</v>
      </c>
      <c r="C1573" s="124" t="s">
        <v>552</v>
      </c>
      <c r="D1573" s="12">
        <v>24730000</v>
      </c>
      <c r="E1573" s="82">
        <v>0.95674975510000004</v>
      </c>
      <c r="F1573" s="14">
        <v>23660421.440000001</v>
      </c>
      <c r="G1573" s="14">
        <v>0.03</v>
      </c>
      <c r="H1573" s="10"/>
      <c r="I1573" s="10"/>
    </row>
    <row r="1574" spans="1:9">
      <c r="A1574" s="10" t="s">
        <v>2373</v>
      </c>
      <c r="B1574" s="124" t="s">
        <v>655</v>
      </c>
      <c r="C1574" s="124" t="s">
        <v>552</v>
      </c>
      <c r="D1574" s="12">
        <v>24730000</v>
      </c>
      <c r="E1574" s="82">
        <v>0.95017445570000003</v>
      </c>
      <c r="F1574" s="14">
        <v>23497814.289999999</v>
      </c>
      <c r="G1574" s="14">
        <v>0.03</v>
      </c>
      <c r="H1574" s="10"/>
      <c r="I1574" s="10"/>
    </row>
    <row r="1575" spans="1:9">
      <c r="A1575" s="10" t="s">
        <v>2374</v>
      </c>
      <c r="B1575" s="124" t="s">
        <v>806</v>
      </c>
      <c r="C1575" s="124" t="s">
        <v>552</v>
      </c>
      <c r="D1575" s="12">
        <v>108911054</v>
      </c>
      <c r="E1575" s="82">
        <v>0.91058785220000005</v>
      </c>
      <c r="F1575" s="14">
        <v>99173082.739999995</v>
      </c>
      <c r="G1575" s="14">
        <v>0.13</v>
      </c>
      <c r="H1575" s="10"/>
      <c r="I1575" s="10"/>
    </row>
    <row r="1576" spans="1:9">
      <c r="A1576" s="10" t="s">
        <v>2375</v>
      </c>
      <c r="B1576" s="124" t="s">
        <v>819</v>
      </c>
      <c r="C1576" s="124" t="s">
        <v>552</v>
      </c>
      <c r="D1576" s="12">
        <v>108911054</v>
      </c>
      <c r="E1576" s="82">
        <v>0.93522608809999996</v>
      </c>
      <c r="F1576" s="14">
        <v>101856458.98</v>
      </c>
      <c r="G1576" s="14">
        <v>0.14000000000000001</v>
      </c>
      <c r="H1576" s="10"/>
      <c r="I1576" s="10"/>
    </row>
    <row r="1577" spans="1:9">
      <c r="A1577" s="10" t="s">
        <v>2376</v>
      </c>
      <c r="B1577" s="124" t="s">
        <v>593</v>
      </c>
      <c r="C1577" s="124" t="s">
        <v>552</v>
      </c>
      <c r="D1577" s="12">
        <v>148000000</v>
      </c>
      <c r="E1577" s="82">
        <v>0.95599804870000005</v>
      </c>
      <c r="F1577" s="14">
        <v>141487711.21000001</v>
      </c>
      <c r="G1577" s="14">
        <v>0.19</v>
      </c>
      <c r="H1577" s="10"/>
      <c r="I1577" s="10"/>
    </row>
    <row r="1578" spans="1:9">
      <c r="A1578" s="10" t="s">
        <v>2377</v>
      </c>
      <c r="B1578" s="124" t="s">
        <v>488</v>
      </c>
      <c r="C1578" s="124" t="s">
        <v>552</v>
      </c>
      <c r="D1578" s="14">
        <v>2518062.84</v>
      </c>
      <c r="E1578" s="82">
        <v>0.98303263549999997</v>
      </c>
      <c r="F1578" s="14">
        <v>2475337.9500000002</v>
      </c>
      <c r="G1578" s="12">
        <v>0</v>
      </c>
      <c r="H1578" s="10"/>
      <c r="I1578" s="10"/>
    </row>
    <row r="1579" spans="1:9">
      <c r="A1579" s="10" t="s">
        <v>2378</v>
      </c>
      <c r="B1579" s="124" t="s">
        <v>441</v>
      </c>
      <c r="C1579" s="124" t="s">
        <v>552</v>
      </c>
      <c r="D1579" s="12">
        <v>2500000</v>
      </c>
      <c r="E1579" s="158">
        <v>0.99509272400000004</v>
      </c>
      <c r="F1579" s="14">
        <v>2487731.81</v>
      </c>
      <c r="G1579" s="12">
        <v>0</v>
      </c>
      <c r="H1579" s="10"/>
      <c r="I1579" s="10"/>
    </row>
    <row r="1580" spans="1:9">
      <c r="A1580" s="10" t="s">
        <v>2379</v>
      </c>
      <c r="B1580" s="124" t="s">
        <v>480</v>
      </c>
      <c r="C1580" s="124" t="s">
        <v>552</v>
      </c>
      <c r="D1580" s="14">
        <v>6150126.3399999999</v>
      </c>
      <c r="E1580" s="82">
        <v>0.99427950129999998</v>
      </c>
      <c r="F1580" s="14">
        <v>6114944.5499999998</v>
      </c>
      <c r="G1580" s="14">
        <v>0.01</v>
      </c>
      <c r="H1580" s="10"/>
      <c r="I1580" s="10"/>
    </row>
    <row r="1581" spans="1:9">
      <c r="A1581" s="10" t="s">
        <v>2380</v>
      </c>
      <c r="B1581" s="124" t="s">
        <v>680</v>
      </c>
      <c r="C1581" s="124" t="s">
        <v>552</v>
      </c>
      <c r="D1581" s="14">
        <v>6150126.3399999999</v>
      </c>
      <c r="E1581" s="82">
        <v>0.97126134639999995</v>
      </c>
      <c r="F1581" s="14">
        <v>5973379.9900000002</v>
      </c>
      <c r="G1581" s="14">
        <v>0.01</v>
      </c>
      <c r="H1581" s="10"/>
      <c r="I1581" s="10"/>
    </row>
    <row r="1582" spans="1:9">
      <c r="A1582" s="10" t="s">
        <v>2381</v>
      </c>
      <c r="B1582" s="124" t="s">
        <v>776</v>
      </c>
      <c r="C1582" s="124" t="s">
        <v>552</v>
      </c>
      <c r="D1582" s="14">
        <v>6150126.3399999999</v>
      </c>
      <c r="E1582" s="82">
        <v>0.94854490840000005</v>
      </c>
      <c r="F1582" s="14">
        <v>5833671.0300000003</v>
      </c>
      <c r="G1582" s="14">
        <v>0.01</v>
      </c>
      <c r="H1582" s="10"/>
      <c r="I1582" s="10"/>
    </row>
    <row r="1583" spans="1:9">
      <c r="A1583" s="10" t="s">
        <v>2382</v>
      </c>
      <c r="B1583" s="124" t="s">
        <v>680</v>
      </c>
      <c r="C1583" s="124" t="s">
        <v>552</v>
      </c>
      <c r="D1583" s="14">
        <v>5103695.5599999996</v>
      </c>
      <c r="E1583" s="82">
        <v>0.97126134829999999</v>
      </c>
      <c r="F1583" s="14">
        <v>4957022.2300000004</v>
      </c>
      <c r="G1583" s="14">
        <v>0.01</v>
      </c>
      <c r="H1583" s="10"/>
      <c r="I1583" s="10"/>
    </row>
    <row r="1584" spans="1:9">
      <c r="A1584" s="10" t="s">
        <v>2383</v>
      </c>
      <c r="B1584" s="124" t="s">
        <v>680</v>
      </c>
      <c r="C1584" s="124" t="s">
        <v>552</v>
      </c>
      <c r="D1584" s="12">
        <v>2500000</v>
      </c>
      <c r="E1584" s="82">
        <v>0.97126133989999996</v>
      </c>
      <c r="F1584" s="14">
        <v>2428153.35</v>
      </c>
      <c r="G1584" s="12">
        <v>0</v>
      </c>
      <c r="H1584" s="10"/>
      <c r="I1584" s="10"/>
    </row>
    <row r="1585" spans="1:9">
      <c r="A1585" s="10" t="s">
        <v>2384</v>
      </c>
      <c r="B1585" s="124" t="s">
        <v>438</v>
      </c>
      <c r="C1585" s="124" t="s">
        <v>552</v>
      </c>
      <c r="D1585" s="12">
        <v>2700000</v>
      </c>
      <c r="E1585" s="82">
        <v>0.99265711860000005</v>
      </c>
      <c r="F1585" s="14">
        <v>2680174.2200000002</v>
      </c>
      <c r="G1585" s="12">
        <v>0</v>
      </c>
      <c r="H1585" s="10"/>
      <c r="I1585" s="10"/>
    </row>
    <row r="1586" spans="1:9">
      <c r="A1586" s="10" t="s">
        <v>2385</v>
      </c>
      <c r="B1586" s="124" t="s">
        <v>485</v>
      </c>
      <c r="C1586" s="124" t="s">
        <v>552</v>
      </c>
      <c r="D1586" s="12">
        <v>2700000</v>
      </c>
      <c r="E1586" s="82">
        <v>0.98702010350000002</v>
      </c>
      <c r="F1586" s="14">
        <v>2664954.2799999998</v>
      </c>
      <c r="G1586" s="12">
        <v>0</v>
      </c>
      <c r="H1586" s="10"/>
      <c r="I1586" s="10"/>
    </row>
    <row r="1587" spans="1:9">
      <c r="A1587" s="10" t="s">
        <v>2386</v>
      </c>
      <c r="B1587" s="124" t="s">
        <v>441</v>
      </c>
      <c r="C1587" s="124" t="s">
        <v>552</v>
      </c>
      <c r="D1587" s="12">
        <v>2700000</v>
      </c>
      <c r="E1587" s="82">
        <v>0.99509272579999997</v>
      </c>
      <c r="F1587" s="14">
        <v>2686750.36</v>
      </c>
      <c r="G1587" s="12">
        <v>0</v>
      </c>
      <c r="H1587" s="10"/>
      <c r="I1587" s="10"/>
    </row>
    <row r="1588" spans="1:9">
      <c r="A1588" s="10" t="s">
        <v>2387</v>
      </c>
      <c r="B1588" s="124" t="s">
        <v>497</v>
      </c>
      <c r="C1588" s="124" t="s">
        <v>552</v>
      </c>
      <c r="D1588" s="12">
        <v>2700000</v>
      </c>
      <c r="E1588" s="82">
        <v>0.96509783739999999</v>
      </c>
      <c r="F1588" s="14">
        <v>2605764.16</v>
      </c>
      <c r="G1588" s="12">
        <v>0</v>
      </c>
      <c r="H1588" s="10"/>
      <c r="I1588" s="10"/>
    </row>
    <row r="1589" spans="1:9">
      <c r="A1589" s="10" t="s">
        <v>2388</v>
      </c>
      <c r="B1589" s="124" t="s">
        <v>488</v>
      </c>
      <c r="C1589" s="124" t="s">
        <v>552</v>
      </c>
      <c r="D1589" s="12">
        <v>2700000</v>
      </c>
      <c r="E1589" s="82">
        <v>0.9830326371</v>
      </c>
      <c r="F1589" s="14">
        <v>2654188.12</v>
      </c>
      <c r="G1589" s="12">
        <v>0</v>
      </c>
      <c r="H1589" s="10"/>
      <c r="I1589" s="10"/>
    </row>
    <row r="1590" spans="1:9">
      <c r="A1590" s="10" t="s">
        <v>2389</v>
      </c>
      <c r="B1590" s="124" t="s">
        <v>516</v>
      </c>
      <c r="C1590" s="124" t="s">
        <v>552</v>
      </c>
      <c r="D1590" s="12">
        <v>2700000</v>
      </c>
      <c r="E1590" s="82">
        <v>0.98065564059999999</v>
      </c>
      <c r="F1590" s="14">
        <v>2647770.23</v>
      </c>
      <c r="G1590" s="12">
        <v>0</v>
      </c>
      <c r="H1590" s="10"/>
      <c r="I1590" s="10"/>
    </row>
    <row r="1591" spans="1:9">
      <c r="A1591" s="10" t="s">
        <v>2390</v>
      </c>
      <c r="B1591" s="124" t="s">
        <v>520</v>
      </c>
      <c r="C1591" s="124" t="s">
        <v>552</v>
      </c>
      <c r="D1591" s="12">
        <v>2700000</v>
      </c>
      <c r="E1591" s="82">
        <v>0.97671931860000005</v>
      </c>
      <c r="F1591" s="14">
        <v>2637142.16</v>
      </c>
      <c r="G1591" s="12">
        <v>0</v>
      </c>
      <c r="H1591" s="10"/>
      <c r="I1591" s="10"/>
    </row>
    <row r="1592" spans="1:9">
      <c r="A1592" s="10" t="s">
        <v>2391</v>
      </c>
      <c r="B1592" s="124" t="s">
        <v>680</v>
      </c>
      <c r="C1592" s="124" t="s">
        <v>552</v>
      </c>
      <c r="D1592" s="12">
        <v>2700000</v>
      </c>
      <c r="E1592" s="82">
        <v>0.97126134829999999</v>
      </c>
      <c r="F1592" s="14">
        <v>2622405.64</v>
      </c>
      <c r="G1592" s="12">
        <v>0</v>
      </c>
      <c r="H1592" s="10"/>
      <c r="I1592" s="10"/>
    </row>
    <row r="1593" spans="1:9">
      <c r="A1593" s="10" t="s">
        <v>2392</v>
      </c>
      <c r="B1593" s="124" t="s">
        <v>593</v>
      </c>
      <c r="C1593" s="124" t="s">
        <v>552</v>
      </c>
      <c r="D1593" s="12">
        <v>2700000</v>
      </c>
      <c r="E1593" s="82">
        <v>0.96663146339999995</v>
      </c>
      <c r="F1593" s="14">
        <v>2609904.9500000002</v>
      </c>
      <c r="G1593" s="12">
        <v>0</v>
      </c>
      <c r="H1593" s="10"/>
      <c r="I1593" s="10"/>
    </row>
    <row r="1594" spans="1:9">
      <c r="A1594" s="10" t="s">
        <v>2393</v>
      </c>
      <c r="B1594" s="124" t="s">
        <v>500</v>
      </c>
      <c r="C1594" s="124" t="s">
        <v>552</v>
      </c>
      <c r="D1594" s="12">
        <v>2700000</v>
      </c>
      <c r="E1594" s="82">
        <v>0.96052639289999997</v>
      </c>
      <c r="F1594" s="14">
        <v>2593421.2599999998</v>
      </c>
      <c r="G1594" s="12">
        <v>0</v>
      </c>
      <c r="H1594" s="10"/>
      <c r="I1594" s="10"/>
    </row>
    <row r="1595" spans="1:9">
      <c r="A1595" s="10" t="s">
        <v>2394</v>
      </c>
      <c r="B1595" s="124" t="s">
        <v>502</v>
      </c>
      <c r="C1595" s="124" t="s">
        <v>552</v>
      </c>
      <c r="D1595" s="12">
        <v>2700000</v>
      </c>
      <c r="E1595" s="82">
        <v>0.95524741440000005</v>
      </c>
      <c r="F1595" s="14">
        <v>2579168.02</v>
      </c>
      <c r="G1595" s="12">
        <v>0</v>
      </c>
      <c r="H1595" s="10"/>
      <c r="I1595" s="10"/>
    </row>
    <row r="1596" spans="1:9">
      <c r="A1596" s="10" t="s">
        <v>2395</v>
      </c>
      <c r="B1596" s="124" t="s">
        <v>750</v>
      </c>
      <c r="C1596" s="124" t="s">
        <v>552</v>
      </c>
      <c r="D1596" s="12">
        <v>2700000</v>
      </c>
      <c r="E1596" s="82">
        <v>0.95374985859999994</v>
      </c>
      <c r="F1596" s="14">
        <v>2575124.62</v>
      </c>
      <c r="G1596" s="12">
        <v>0</v>
      </c>
      <c r="H1596" s="10"/>
      <c r="I1596" s="10"/>
    </row>
    <row r="1597" spans="1:9">
      <c r="A1597" s="10" t="s">
        <v>2396</v>
      </c>
      <c r="B1597" s="124" t="s">
        <v>793</v>
      </c>
      <c r="C1597" s="124" t="s">
        <v>552</v>
      </c>
      <c r="D1597" s="14">
        <v>2934952.58</v>
      </c>
      <c r="E1597" s="82">
        <v>0.95002614360000004</v>
      </c>
      <c r="F1597" s="14">
        <v>2788281.68</v>
      </c>
      <c r="G1597" s="12">
        <v>0</v>
      </c>
      <c r="H1597" s="10"/>
      <c r="I1597" s="10"/>
    </row>
    <row r="1598" spans="1:9">
      <c r="A1598" s="10" t="s">
        <v>2397</v>
      </c>
      <c r="B1598" s="124" t="s">
        <v>482</v>
      </c>
      <c r="C1598" s="124" t="s">
        <v>552</v>
      </c>
      <c r="D1598" s="12">
        <v>537120</v>
      </c>
      <c r="E1598" s="158">
        <v>0.98782151100000004</v>
      </c>
      <c r="F1598" s="14">
        <v>530578.68999999994</v>
      </c>
      <c r="G1598" s="12">
        <v>0</v>
      </c>
      <c r="H1598" s="10"/>
      <c r="I1598" s="10"/>
    </row>
    <row r="1599" spans="1:9">
      <c r="A1599" s="10" t="s">
        <v>2398</v>
      </c>
      <c r="B1599" s="124" t="s">
        <v>504</v>
      </c>
      <c r="C1599" s="124" t="s">
        <v>552</v>
      </c>
      <c r="D1599" s="12">
        <v>1340000</v>
      </c>
      <c r="E1599" s="82">
        <v>0.96586404449999996</v>
      </c>
      <c r="F1599" s="14">
        <v>1294257.82</v>
      </c>
      <c r="G1599" s="12">
        <v>0</v>
      </c>
      <c r="H1599" s="10"/>
      <c r="I1599" s="10"/>
    </row>
    <row r="1600" spans="1:9">
      <c r="A1600" s="10" t="s">
        <v>2399</v>
      </c>
      <c r="B1600" s="124" t="s">
        <v>522</v>
      </c>
      <c r="C1600" s="124" t="s">
        <v>552</v>
      </c>
      <c r="D1600" s="12">
        <v>1330000</v>
      </c>
      <c r="E1600" s="82">
        <v>0.97593597759999995</v>
      </c>
      <c r="F1600" s="14">
        <v>1297994.8500000001</v>
      </c>
      <c r="G1600" s="12">
        <v>0</v>
      </c>
      <c r="H1600" s="10"/>
      <c r="I1600" s="10"/>
    </row>
    <row r="1601" spans="1:9">
      <c r="A1601" s="10" t="s">
        <v>2400</v>
      </c>
      <c r="B1601" s="124" t="s">
        <v>443</v>
      </c>
      <c r="C1601" s="124" t="s">
        <v>552</v>
      </c>
      <c r="D1601" s="14">
        <v>673493.39</v>
      </c>
      <c r="E1601" s="82">
        <v>0.99346770129999995</v>
      </c>
      <c r="F1601" s="14">
        <v>669093.93000000005</v>
      </c>
      <c r="G1601" s="12">
        <v>0</v>
      </c>
      <c r="H1601" s="10"/>
      <c r="I1601" s="10"/>
    </row>
    <row r="1602" spans="1:9">
      <c r="A1602" s="10" t="s">
        <v>2401</v>
      </c>
      <c r="B1602" s="124" t="s">
        <v>514</v>
      </c>
      <c r="C1602" s="124" t="s">
        <v>552</v>
      </c>
      <c r="D1602" s="14">
        <v>351325.81</v>
      </c>
      <c r="E1602" s="82">
        <v>0.98144676559999999</v>
      </c>
      <c r="F1602" s="14">
        <v>344807.58</v>
      </c>
      <c r="G1602" s="12">
        <v>0</v>
      </c>
      <c r="H1602" s="10"/>
      <c r="I1602" s="10"/>
    </row>
    <row r="1603" spans="1:9">
      <c r="A1603" s="10" t="s">
        <v>2402</v>
      </c>
      <c r="B1603" s="124" t="s">
        <v>485</v>
      </c>
      <c r="C1603" s="124" t="s">
        <v>552</v>
      </c>
      <c r="D1603" s="12">
        <v>3000000</v>
      </c>
      <c r="E1603" s="82">
        <v>0.98702010689999997</v>
      </c>
      <c r="F1603" s="14">
        <v>2961060.32</v>
      </c>
      <c r="G1603" s="12">
        <v>0</v>
      </c>
      <c r="H1603" s="10"/>
      <c r="I1603" s="10"/>
    </row>
    <row r="1604" spans="1:9">
      <c r="A1604" s="10" t="s">
        <v>2403</v>
      </c>
      <c r="B1604" s="124" t="s">
        <v>518</v>
      </c>
      <c r="C1604" s="124" t="s">
        <v>552</v>
      </c>
      <c r="D1604" s="12">
        <v>3000000</v>
      </c>
      <c r="E1604" s="82">
        <v>0.97829012019999995</v>
      </c>
      <c r="F1604" s="14">
        <v>2934870.36</v>
      </c>
      <c r="G1604" s="12">
        <v>0</v>
      </c>
      <c r="H1604" s="10"/>
      <c r="I1604" s="10"/>
    </row>
    <row r="1605" spans="1:9">
      <c r="A1605" s="10" t="s">
        <v>2404</v>
      </c>
      <c r="B1605" s="124" t="s">
        <v>480</v>
      </c>
      <c r="C1605" s="124" t="s">
        <v>552</v>
      </c>
      <c r="D1605" s="14">
        <v>5577023.0199999996</v>
      </c>
      <c r="E1605" s="157">
        <v>0.99427949999999998</v>
      </c>
      <c r="F1605" s="14">
        <v>5545119.6600000001</v>
      </c>
      <c r="G1605" s="14">
        <v>0.01</v>
      </c>
      <c r="H1605" s="10"/>
      <c r="I1605" s="10"/>
    </row>
    <row r="1606" spans="1:9">
      <c r="A1606" s="10" t="s">
        <v>2405</v>
      </c>
      <c r="B1606" s="124" t="s">
        <v>750</v>
      </c>
      <c r="C1606" s="124" t="s">
        <v>552</v>
      </c>
      <c r="D1606" s="14">
        <v>5577023.0199999996</v>
      </c>
      <c r="E1606" s="82">
        <v>0.95374986309999998</v>
      </c>
      <c r="F1606" s="14">
        <v>5319084.9400000004</v>
      </c>
      <c r="G1606" s="14">
        <v>0.01</v>
      </c>
      <c r="H1606" s="10"/>
      <c r="I1606" s="10"/>
    </row>
    <row r="1607" spans="1:9">
      <c r="A1607" s="10" t="s">
        <v>2406</v>
      </c>
      <c r="B1607" s="124" t="s">
        <v>680</v>
      </c>
      <c r="C1607" s="124" t="s">
        <v>552</v>
      </c>
      <c r="D1607" s="14">
        <v>5577023.0199999996</v>
      </c>
      <c r="E1607" s="82">
        <v>0.97126135010000003</v>
      </c>
      <c r="F1607" s="14">
        <v>5416746.9100000001</v>
      </c>
      <c r="G1607" s="14">
        <v>0.01</v>
      </c>
      <c r="H1607" s="10"/>
      <c r="I1607" s="10"/>
    </row>
    <row r="1608" spans="1:9">
      <c r="A1608" s="10" t="s">
        <v>2407</v>
      </c>
      <c r="B1608" s="124" t="s">
        <v>485</v>
      </c>
      <c r="C1608" s="124" t="s">
        <v>552</v>
      </c>
      <c r="D1608" s="12">
        <v>5700000</v>
      </c>
      <c r="E1608" s="82">
        <v>0.98702010520000005</v>
      </c>
      <c r="F1608" s="154">
        <v>5626014.5999999996</v>
      </c>
      <c r="G1608" s="14">
        <v>0.01</v>
      </c>
      <c r="H1608" s="10"/>
      <c r="I1608" s="10"/>
    </row>
    <row r="1609" spans="1:9">
      <c r="A1609" s="10" t="s">
        <v>2408</v>
      </c>
      <c r="B1609" s="124" t="s">
        <v>587</v>
      </c>
      <c r="C1609" s="124" t="s">
        <v>552</v>
      </c>
      <c r="D1609" s="14">
        <v>5925436.6100000003</v>
      </c>
      <c r="E1609" s="82">
        <v>0.96204551969999996</v>
      </c>
      <c r="F1609" s="14">
        <v>5700539.7400000002</v>
      </c>
      <c r="G1609" s="14">
        <v>0.01</v>
      </c>
      <c r="H1609" s="10"/>
      <c r="I1609" s="10"/>
    </row>
    <row r="1610" spans="1:9">
      <c r="A1610" s="10" t="s">
        <v>2409</v>
      </c>
      <c r="B1610" s="124" t="s">
        <v>766</v>
      </c>
      <c r="C1610" s="124" t="s">
        <v>552</v>
      </c>
      <c r="D1610" s="14">
        <v>1852533.42</v>
      </c>
      <c r="E1610" s="158">
        <v>0.97515371699999998</v>
      </c>
      <c r="F1610" s="14">
        <v>1806504.85</v>
      </c>
      <c r="G1610" s="12">
        <v>0</v>
      </c>
      <c r="H1610" s="10"/>
      <c r="I1610" s="10"/>
    </row>
    <row r="1611" spans="1:9">
      <c r="A1611" s="10" t="s">
        <v>2410</v>
      </c>
      <c r="B1611" s="124" t="s">
        <v>728</v>
      </c>
      <c r="C1611" s="124" t="s">
        <v>552</v>
      </c>
      <c r="D1611" s="14">
        <v>1852533.42</v>
      </c>
      <c r="E1611" s="82">
        <v>0.99835887440000004</v>
      </c>
      <c r="F1611" s="14">
        <v>1849493.18</v>
      </c>
      <c r="G1611" s="12">
        <v>0</v>
      </c>
      <c r="H1611" s="10"/>
      <c r="I1611" s="10"/>
    </row>
    <row r="1612" spans="1:9">
      <c r="A1612" s="10" t="s">
        <v>2411</v>
      </c>
      <c r="B1612" s="124" t="s">
        <v>793</v>
      </c>
      <c r="C1612" s="124" t="s">
        <v>552</v>
      </c>
      <c r="D1612" s="14">
        <v>1852533.42</v>
      </c>
      <c r="E1612" s="82">
        <v>0.95002614360000004</v>
      </c>
      <c r="F1612" s="14">
        <v>1759955.18</v>
      </c>
      <c r="G1612" s="12">
        <v>0</v>
      </c>
      <c r="H1612" s="10"/>
      <c r="I1612" s="10"/>
    </row>
    <row r="1613" spans="1:9">
      <c r="A1613" s="10" t="s">
        <v>2412</v>
      </c>
      <c r="B1613" s="124" t="s">
        <v>443</v>
      </c>
      <c r="C1613" s="124" t="s">
        <v>552</v>
      </c>
      <c r="D1613" s="14">
        <v>1238104.32</v>
      </c>
      <c r="E1613" s="82">
        <v>0.99346769889999997</v>
      </c>
      <c r="F1613" s="14">
        <v>1230016.6499999999</v>
      </c>
      <c r="G1613" s="12">
        <v>0</v>
      </c>
      <c r="H1613" s="10"/>
      <c r="I1613" s="10"/>
    </row>
    <row r="1614" spans="1:9">
      <c r="A1614" s="10" t="s">
        <v>2432</v>
      </c>
      <c r="B1614" s="124" t="s">
        <v>490</v>
      </c>
      <c r="C1614" s="124" t="s">
        <v>483</v>
      </c>
      <c r="D1614" s="12">
        <v>20000000</v>
      </c>
      <c r="E1614" s="82">
        <v>0.98049766459999999</v>
      </c>
      <c r="F1614" s="14">
        <v>19609953.289999999</v>
      </c>
      <c r="G1614" s="14">
        <v>0.03</v>
      </c>
      <c r="H1614" s="10"/>
      <c r="I1614" s="10"/>
    </row>
    <row r="1615" spans="1:9">
      <c r="A1615" s="10" t="s">
        <v>2433</v>
      </c>
      <c r="B1615" s="124" t="s">
        <v>948</v>
      </c>
      <c r="C1615" s="124" t="s">
        <v>483</v>
      </c>
      <c r="D1615" s="12">
        <v>20000000</v>
      </c>
      <c r="E1615" s="82">
        <v>0.95509749219999995</v>
      </c>
      <c r="F1615" s="14">
        <v>19101949.84</v>
      </c>
      <c r="G1615" s="14">
        <v>0.03</v>
      </c>
      <c r="H1615" s="10"/>
      <c r="I1615" s="10"/>
    </row>
    <row r="1616" spans="1:9">
      <c r="A1616" s="10" t="s">
        <v>2434</v>
      </c>
      <c r="B1616" s="124" t="s">
        <v>490</v>
      </c>
      <c r="C1616" s="124" t="s">
        <v>483</v>
      </c>
      <c r="D1616" s="12">
        <v>10000000</v>
      </c>
      <c r="E1616" s="82">
        <v>0.98049766569999997</v>
      </c>
      <c r="F1616" s="14">
        <v>9804976.6600000001</v>
      </c>
      <c r="G1616" s="14">
        <v>0.01</v>
      </c>
      <c r="H1616" s="10"/>
      <c r="I1616" s="10"/>
    </row>
    <row r="1617" spans="1:9">
      <c r="A1617" s="10" t="s">
        <v>2435</v>
      </c>
      <c r="B1617" s="124" t="s">
        <v>948</v>
      </c>
      <c r="C1617" s="124" t="s">
        <v>483</v>
      </c>
      <c r="D1617" s="12">
        <v>40000000</v>
      </c>
      <c r="E1617" s="82">
        <v>0.95509749219999995</v>
      </c>
      <c r="F1617" s="14">
        <v>38203899.689999998</v>
      </c>
      <c r="G1617" s="14">
        <v>0.05</v>
      </c>
      <c r="H1617" s="10"/>
      <c r="I1617" s="10"/>
    </row>
    <row r="1618" spans="1:9">
      <c r="A1618" s="10" t="s">
        <v>2436</v>
      </c>
      <c r="B1618" s="124" t="s">
        <v>500</v>
      </c>
      <c r="C1618" s="124" t="s">
        <v>483</v>
      </c>
      <c r="D1618" s="12">
        <v>6500000</v>
      </c>
      <c r="E1618" s="82">
        <v>0.95674971620000004</v>
      </c>
      <c r="F1618" s="14">
        <v>6218873.1600000001</v>
      </c>
      <c r="G1618" s="14">
        <v>0.01</v>
      </c>
      <c r="H1618" s="10"/>
      <c r="I1618" s="10"/>
    </row>
    <row r="1619" spans="1:9">
      <c r="A1619" s="10" t="s">
        <v>2437</v>
      </c>
      <c r="B1619" s="124" t="s">
        <v>506</v>
      </c>
      <c r="C1619" s="124" t="s">
        <v>483</v>
      </c>
      <c r="D1619" s="12">
        <v>437235</v>
      </c>
      <c r="E1619" s="82">
        <v>0.9990967328</v>
      </c>
      <c r="F1619" s="14">
        <v>436840.06</v>
      </c>
      <c r="G1619" s="12">
        <v>0</v>
      </c>
      <c r="H1619" s="10"/>
      <c r="I1619" s="10"/>
    </row>
    <row r="1620" spans="1:9">
      <c r="A1620" s="10" t="s">
        <v>2438</v>
      </c>
      <c r="B1620" s="124" t="s">
        <v>1360</v>
      </c>
      <c r="C1620" s="124" t="s">
        <v>483</v>
      </c>
      <c r="D1620" s="14">
        <v>14698.63</v>
      </c>
      <c r="E1620" s="82">
        <v>0.9357055729</v>
      </c>
      <c r="F1620" s="14">
        <v>13753.59</v>
      </c>
      <c r="G1620" s="12">
        <v>0</v>
      </c>
      <c r="H1620" s="10"/>
      <c r="I1620" s="10"/>
    </row>
    <row r="1621" spans="1:9">
      <c r="A1621" s="10" t="s">
        <v>2439</v>
      </c>
      <c r="B1621" s="124" t="s">
        <v>651</v>
      </c>
      <c r="C1621" s="124" t="s">
        <v>483</v>
      </c>
      <c r="D1621" s="14">
        <v>28964.94</v>
      </c>
      <c r="E1621" s="82">
        <v>0.93808618249999998</v>
      </c>
      <c r="F1621" s="14">
        <v>27171.61</v>
      </c>
      <c r="G1621" s="12">
        <v>0</v>
      </c>
      <c r="H1621" s="10"/>
      <c r="I1621" s="10"/>
    </row>
    <row r="1622" spans="1:9">
      <c r="A1622" s="10" t="s">
        <v>2440</v>
      </c>
      <c r="B1622" s="124" t="s">
        <v>504</v>
      </c>
      <c r="C1622" s="124" t="s">
        <v>483</v>
      </c>
      <c r="D1622" s="14">
        <v>3890.81</v>
      </c>
      <c r="E1622" s="82">
        <v>0.96258105679999995</v>
      </c>
      <c r="F1622" s="14">
        <v>3745.22</v>
      </c>
      <c r="G1622" s="12">
        <v>0</v>
      </c>
      <c r="H1622" s="10"/>
      <c r="I1622" s="10"/>
    </row>
    <row r="1623" spans="1:9">
      <c r="A1623" s="10" t="s">
        <v>2441</v>
      </c>
      <c r="B1623" s="124" t="s">
        <v>651</v>
      </c>
      <c r="C1623" s="124" t="s">
        <v>483</v>
      </c>
      <c r="D1623" s="14">
        <v>3890.81</v>
      </c>
      <c r="E1623" s="82">
        <v>0.9380900123</v>
      </c>
      <c r="F1623" s="14">
        <v>3649.93</v>
      </c>
      <c r="G1623" s="12">
        <v>0</v>
      </c>
      <c r="H1623" s="10"/>
      <c r="I1623" s="10"/>
    </row>
    <row r="1624" spans="1:9">
      <c r="A1624" s="10" t="s">
        <v>2442</v>
      </c>
      <c r="B1624" s="124" t="s">
        <v>497</v>
      </c>
      <c r="C1624" s="124" t="s">
        <v>483</v>
      </c>
      <c r="D1624" s="14">
        <v>14698.63</v>
      </c>
      <c r="E1624" s="82">
        <v>0.96174201309999996</v>
      </c>
      <c r="F1624" s="14">
        <v>14136.29</v>
      </c>
      <c r="G1624" s="12">
        <v>0</v>
      </c>
      <c r="H1624" s="10"/>
      <c r="I1624" s="10"/>
    </row>
    <row r="1625" spans="1:9">
      <c r="A1625" s="10" t="s">
        <v>2443</v>
      </c>
      <c r="B1625" s="124" t="s">
        <v>504</v>
      </c>
      <c r="C1625" s="124" t="s">
        <v>483</v>
      </c>
      <c r="D1625" s="14">
        <v>28964.94</v>
      </c>
      <c r="E1625" s="82">
        <v>0.96257786180000005</v>
      </c>
      <c r="F1625" s="14">
        <v>27881.01</v>
      </c>
      <c r="G1625" s="12">
        <v>0</v>
      </c>
      <c r="H1625" s="10"/>
      <c r="I1625" s="10"/>
    </row>
    <row r="1626" spans="1:9">
      <c r="A1626" s="10" t="s">
        <v>2444</v>
      </c>
      <c r="B1626" s="124" t="s">
        <v>480</v>
      </c>
      <c r="C1626" s="124" t="s">
        <v>483</v>
      </c>
      <c r="D1626" s="12">
        <v>5000000</v>
      </c>
      <c r="E1626" s="21">
        <v>0.99427958000000005</v>
      </c>
      <c r="F1626" s="154">
        <v>4971397.9000000004</v>
      </c>
      <c r="G1626" s="14">
        <v>0.01</v>
      </c>
      <c r="H1626" s="10"/>
      <c r="I1626" s="10"/>
    </row>
    <row r="1627" spans="1:9">
      <c r="A1627" s="10" t="s">
        <v>2445</v>
      </c>
      <c r="B1627" s="124" t="s">
        <v>522</v>
      </c>
      <c r="C1627" s="124" t="s">
        <v>483</v>
      </c>
      <c r="D1627" s="12">
        <v>5000000</v>
      </c>
      <c r="E1627" s="158">
        <v>0.97593595799999999</v>
      </c>
      <c r="F1627" s="14">
        <v>4879679.79</v>
      </c>
      <c r="G1627" s="14">
        <v>0.01</v>
      </c>
      <c r="H1627" s="10"/>
      <c r="I1627" s="10"/>
    </row>
    <row r="1628" spans="1:9">
      <c r="A1628" s="10" t="s">
        <v>2446</v>
      </c>
      <c r="B1628" s="124" t="s">
        <v>443</v>
      </c>
      <c r="C1628" s="124" t="s">
        <v>483</v>
      </c>
      <c r="D1628" s="12">
        <v>5000000</v>
      </c>
      <c r="E1628" s="158">
        <v>0.99346768399999996</v>
      </c>
      <c r="F1628" s="14">
        <v>4967338.42</v>
      </c>
      <c r="G1628" s="14">
        <v>0.01</v>
      </c>
      <c r="H1628" s="10"/>
      <c r="I1628" s="10"/>
    </row>
    <row r="1629" spans="1:9">
      <c r="A1629" s="10" t="s">
        <v>2447</v>
      </c>
      <c r="B1629" s="124" t="s">
        <v>438</v>
      </c>
      <c r="C1629" s="124" t="s">
        <v>483</v>
      </c>
      <c r="D1629" s="12">
        <v>5000000</v>
      </c>
      <c r="E1629" s="158">
        <v>0.99265710399999996</v>
      </c>
      <c r="F1629" s="14">
        <v>4963285.5199999996</v>
      </c>
      <c r="G1629" s="14">
        <v>0.01</v>
      </c>
      <c r="H1629" s="10"/>
      <c r="I1629" s="10"/>
    </row>
    <row r="1630" spans="1:9">
      <c r="A1630" s="10" t="s">
        <v>2448</v>
      </c>
      <c r="B1630" s="124" t="s">
        <v>504</v>
      </c>
      <c r="C1630" s="124" t="s">
        <v>483</v>
      </c>
      <c r="D1630" s="12">
        <v>4000000</v>
      </c>
      <c r="E1630" s="82">
        <v>0.9636709524</v>
      </c>
      <c r="F1630" s="14">
        <v>3854683.81</v>
      </c>
      <c r="G1630" s="14">
        <v>0.01</v>
      </c>
      <c r="H1630" s="10"/>
      <c r="I1630" s="10"/>
    </row>
    <row r="1631" spans="1:9">
      <c r="A1631" s="10" t="s">
        <v>2449</v>
      </c>
      <c r="B1631" s="124" t="s">
        <v>446</v>
      </c>
      <c r="C1631" s="124" t="s">
        <v>483</v>
      </c>
      <c r="D1631" s="12">
        <v>4000000</v>
      </c>
      <c r="E1631" s="82">
        <v>0.9588106569</v>
      </c>
      <c r="F1631" s="14">
        <v>3835242.63</v>
      </c>
      <c r="G1631" s="14">
        <v>0.01</v>
      </c>
      <c r="H1631" s="10"/>
      <c r="I1631" s="10"/>
    </row>
    <row r="1632" spans="1:9">
      <c r="A1632" s="10" t="s">
        <v>2450</v>
      </c>
      <c r="B1632" s="124" t="s">
        <v>1161</v>
      </c>
      <c r="C1632" s="124" t="s">
        <v>483</v>
      </c>
      <c r="D1632" s="12">
        <v>4000000</v>
      </c>
      <c r="E1632" s="82">
        <v>0.9476582603</v>
      </c>
      <c r="F1632" s="14">
        <v>3790633.04</v>
      </c>
      <c r="G1632" s="14">
        <v>0.01</v>
      </c>
      <c r="H1632" s="10"/>
      <c r="I1632" s="10"/>
    </row>
    <row r="1633" spans="1:9">
      <c r="A1633" s="10" t="s">
        <v>2451</v>
      </c>
      <c r="B1633" s="124" t="s">
        <v>2452</v>
      </c>
      <c r="C1633" s="124" t="s">
        <v>483</v>
      </c>
      <c r="D1633" s="14">
        <v>9084444.3200000003</v>
      </c>
      <c r="E1633" s="82">
        <v>0.91350492449999998</v>
      </c>
      <c r="F1633" s="14">
        <v>8298684.6200000001</v>
      </c>
      <c r="G1633" s="14">
        <v>0.01</v>
      </c>
      <c r="H1633" s="10"/>
      <c r="I1633" s="10"/>
    </row>
    <row r="1634" spans="1:9">
      <c r="A1634" s="10" t="s">
        <v>2453</v>
      </c>
      <c r="B1634" s="124" t="s">
        <v>793</v>
      </c>
      <c r="C1634" s="124" t="s">
        <v>483</v>
      </c>
      <c r="D1634" s="14">
        <v>4883046.87</v>
      </c>
      <c r="E1634" s="82">
        <v>0.94530206480000001</v>
      </c>
      <c r="F1634" s="14">
        <v>4615954.29</v>
      </c>
      <c r="G1634" s="14">
        <v>0.01</v>
      </c>
      <c r="H1634" s="10"/>
      <c r="I1634" s="10"/>
    </row>
    <row r="1635" spans="1:9">
      <c r="A1635" s="10" t="s">
        <v>2454</v>
      </c>
      <c r="B1635" s="124" t="s">
        <v>1360</v>
      </c>
      <c r="C1635" s="124" t="s">
        <v>483</v>
      </c>
      <c r="D1635" s="12">
        <v>36666668</v>
      </c>
      <c r="E1635" s="82">
        <v>0.93570551270000002</v>
      </c>
      <c r="F1635" s="14">
        <v>34309203.380000003</v>
      </c>
      <c r="G1635" s="14">
        <v>0.05</v>
      </c>
      <c r="H1635" s="10"/>
      <c r="I1635" s="10"/>
    </row>
    <row r="1636" spans="1:9">
      <c r="A1636" s="10" t="s">
        <v>2455</v>
      </c>
      <c r="B1636" s="124" t="s">
        <v>587</v>
      </c>
      <c r="C1636" s="124" t="s">
        <v>483</v>
      </c>
      <c r="D1636" s="12">
        <v>36666666</v>
      </c>
      <c r="E1636" s="82">
        <v>0.95840790060000003</v>
      </c>
      <c r="F1636" s="14">
        <v>35141622.380000003</v>
      </c>
      <c r="G1636" s="14">
        <v>0.05</v>
      </c>
      <c r="H1636" s="10"/>
      <c r="I1636" s="10"/>
    </row>
    <row r="1637" spans="1:9">
      <c r="A1637" s="10" t="s">
        <v>2456</v>
      </c>
      <c r="B1637" s="124" t="s">
        <v>448</v>
      </c>
      <c r="C1637" s="124" t="s">
        <v>483</v>
      </c>
      <c r="D1637" s="12">
        <v>36666666</v>
      </c>
      <c r="E1637" s="82">
        <v>0.98486283350000003</v>
      </c>
      <c r="F1637" s="14">
        <v>36111636.57</v>
      </c>
      <c r="G1637" s="14">
        <v>0.05</v>
      </c>
      <c r="H1637" s="10"/>
      <c r="I1637" s="10"/>
    </row>
    <row r="1638" spans="1:9">
      <c r="A1638" s="10" t="s">
        <v>2457</v>
      </c>
      <c r="B1638" s="124" t="s">
        <v>485</v>
      </c>
      <c r="C1638" s="124" t="s">
        <v>483</v>
      </c>
      <c r="D1638" s="14">
        <v>4388922.8899999997</v>
      </c>
      <c r="E1638" s="82">
        <v>0.98574060630000004</v>
      </c>
      <c r="F1638" s="14">
        <v>4326339.51</v>
      </c>
      <c r="G1638" s="14">
        <v>0.01</v>
      </c>
      <c r="H1638" s="10"/>
      <c r="I1638" s="10"/>
    </row>
    <row r="1639" spans="1:9">
      <c r="A1639" s="10" t="s">
        <v>2458</v>
      </c>
      <c r="B1639" s="124" t="s">
        <v>485</v>
      </c>
      <c r="C1639" s="124" t="s">
        <v>483</v>
      </c>
      <c r="D1639" s="14">
        <v>4388922.8899999997</v>
      </c>
      <c r="E1639" s="82">
        <v>0.98574060630000004</v>
      </c>
      <c r="F1639" s="14">
        <v>4326339.51</v>
      </c>
      <c r="G1639" s="14">
        <v>0.01</v>
      </c>
      <c r="H1639" s="10"/>
      <c r="I1639" s="10"/>
    </row>
    <row r="1640" spans="1:9">
      <c r="A1640" s="10" t="s">
        <v>2459</v>
      </c>
      <c r="B1640" s="124" t="s">
        <v>587</v>
      </c>
      <c r="C1640" s="124" t="s">
        <v>483</v>
      </c>
      <c r="D1640" s="12">
        <v>7500000</v>
      </c>
      <c r="E1640" s="158">
        <v>0.95840790300000001</v>
      </c>
      <c r="F1640" s="14">
        <v>7188059.2699999996</v>
      </c>
      <c r="G1640" s="14">
        <v>0.01</v>
      </c>
      <c r="H1640" s="10"/>
      <c r="I1640" s="10"/>
    </row>
    <row r="1641" spans="1:9">
      <c r="A1641" s="10" t="s">
        <v>2460</v>
      </c>
      <c r="B1641" s="124" t="s">
        <v>504</v>
      </c>
      <c r="C1641" s="124" t="s">
        <v>483</v>
      </c>
      <c r="D1641" s="12">
        <v>7500000</v>
      </c>
      <c r="E1641" s="82">
        <v>0.96257815219999998</v>
      </c>
      <c r="F1641" s="14">
        <v>7219336.1399999997</v>
      </c>
      <c r="G1641" s="14">
        <v>0.01</v>
      </c>
      <c r="H1641" s="10"/>
      <c r="I1641" s="10"/>
    </row>
    <row r="1642" spans="1:9">
      <c r="A1642" s="10" t="s">
        <v>2461</v>
      </c>
      <c r="B1642" s="124" t="s">
        <v>567</v>
      </c>
      <c r="C1642" s="124" t="s">
        <v>483</v>
      </c>
      <c r="D1642" s="12">
        <v>5112056</v>
      </c>
      <c r="E1642" s="82">
        <v>0.94692078329999996</v>
      </c>
      <c r="F1642" s="14">
        <v>4840712.07</v>
      </c>
      <c r="G1642" s="14">
        <v>0.01</v>
      </c>
      <c r="H1642" s="10"/>
      <c r="I1642" s="10"/>
    </row>
    <row r="1643" spans="1:9">
      <c r="A1643" s="10" t="s">
        <v>2462</v>
      </c>
      <c r="B1643" s="124" t="s">
        <v>647</v>
      </c>
      <c r="C1643" s="124" t="s">
        <v>483</v>
      </c>
      <c r="D1643" s="14">
        <v>10051717.33</v>
      </c>
      <c r="E1643" s="158">
        <v>0.93968035599999999</v>
      </c>
      <c r="F1643" s="14">
        <v>9445401.3200000003</v>
      </c>
      <c r="G1643" s="14">
        <v>0.01</v>
      </c>
      <c r="H1643" s="10"/>
      <c r="I1643" s="10"/>
    </row>
    <row r="1644" spans="1:9">
      <c r="A1644" s="10" t="s">
        <v>2463</v>
      </c>
      <c r="B1644" s="124" t="s">
        <v>1360</v>
      </c>
      <c r="C1644" s="124" t="s">
        <v>483</v>
      </c>
      <c r="D1644" s="14">
        <v>10051717.25</v>
      </c>
      <c r="E1644" s="82">
        <v>0.93570551270000002</v>
      </c>
      <c r="F1644" s="14">
        <v>9405447.2400000002</v>
      </c>
      <c r="G1644" s="14">
        <v>0.01</v>
      </c>
      <c r="H1644" s="10"/>
      <c r="I1644" s="10"/>
    </row>
    <row r="1645" spans="1:9">
      <c r="A1645" s="10" t="s">
        <v>2469</v>
      </c>
      <c r="B1645" s="124" t="s">
        <v>490</v>
      </c>
      <c r="C1645" s="124" t="s">
        <v>423</v>
      </c>
      <c r="D1645" s="12">
        <v>30000000</v>
      </c>
      <c r="E1645" s="82">
        <v>0.98165781640000005</v>
      </c>
      <c r="F1645" s="14">
        <v>29449734.489999998</v>
      </c>
      <c r="G1645" s="14">
        <v>0.04</v>
      </c>
      <c r="H1645" s="10"/>
      <c r="I1645" s="10"/>
    </row>
    <row r="1646" spans="1:9">
      <c r="A1646" s="10" t="s">
        <v>2470</v>
      </c>
      <c r="B1646" s="124" t="s">
        <v>490</v>
      </c>
      <c r="C1646" s="124" t="s">
        <v>423</v>
      </c>
      <c r="D1646" s="12">
        <v>30000000</v>
      </c>
      <c r="E1646" s="82">
        <v>0.98165781640000005</v>
      </c>
      <c r="F1646" s="14">
        <v>29449734.489999998</v>
      </c>
      <c r="G1646" s="14">
        <v>0.04</v>
      </c>
      <c r="H1646" s="10"/>
      <c r="I1646" s="10"/>
    </row>
    <row r="1647" spans="1:9">
      <c r="A1647" s="10" t="s">
        <v>2471</v>
      </c>
      <c r="B1647" s="124" t="s">
        <v>490</v>
      </c>
      <c r="C1647" s="124" t="s">
        <v>423</v>
      </c>
      <c r="D1647" s="12">
        <v>30000000</v>
      </c>
      <c r="E1647" s="82">
        <v>0.98165781640000005</v>
      </c>
      <c r="F1647" s="14">
        <v>29449734.489999998</v>
      </c>
      <c r="G1647" s="14">
        <v>0.04</v>
      </c>
      <c r="H1647" s="10"/>
      <c r="I1647" s="10"/>
    </row>
    <row r="1648" spans="1:9">
      <c r="A1648" s="10" t="s">
        <v>2472</v>
      </c>
      <c r="B1648" s="124" t="s">
        <v>490</v>
      </c>
      <c r="C1648" s="124" t="s">
        <v>423</v>
      </c>
      <c r="D1648" s="12">
        <v>30000000</v>
      </c>
      <c r="E1648" s="82">
        <v>0.98165781640000005</v>
      </c>
      <c r="F1648" s="14">
        <v>29449734.489999998</v>
      </c>
      <c r="G1648" s="14">
        <v>0.04</v>
      </c>
      <c r="H1648" s="10"/>
      <c r="I1648" s="10"/>
    </row>
    <row r="1649" spans="1:9">
      <c r="A1649" s="10" t="s">
        <v>2473</v>
      </c>
      <c r="B1649" s="124" t="s">
        <v>593</v>
      </c>
      <c r="C1649" s="124" t="s">
        <v>423</v>
      </c>
      <c r="D1649" s="12">
        <v>5300000</v>
      </c>
      <c r="E1649" s="82">
        <v>0.96341671289999997</v>
      </c>
      <c r="F1649" s="14">
        <v>5106108.58</v>
      </c>
      <c r="G1649" s="14">
        <v>0.01</v>
      </c>
      <c r="H1649" s="10"/>
      <c r="I1649" s="10"/>
    </row>
    <row r="1650" spans="1:9">
      <c r="A1650" s="10" t="s">
        <v>2474</v>
      </c>
      <c r="B1650" s="124" t="s">
        <v>446</v>
      </c>
      <c r="C1650" s="124" t="s">
        <v>423</v>
      </c>
      <c r="D1650" s="12">
        <v>5300000</v>
      </c>
      <c r="E1650" s="82">
        <v>0.95757815469999996</v>
      </c>
      <c r="F1650" s="14">
        <v>5075164.22</v>
      </c>
      <c r="G1650" s="14">
        <v>0.01</v>
      </c>
      <c r="H1650" s="10"/>
      <c r="I1650" s="10"/>
    </row>
    <row r="1651" spans="1:9">
      <c r="A1651" s="10" t="s">
        <v>2475</v>
      </c>
      <c r="B1651" s="124" t="s">
        <v>500</v>
      </c>
      <c r="C1651" s="124" t="s">
        <v>423</v>
      </c>
      <c r="D1651" s="12">
        <v>5300000</v>
      </c>
      <c r="E1651" s="82">
        <v>0.9567497814</v>
      </c>
      <c r="F1651" s="14">
        <v>5070773.84</v>
      </c>
      <c r="G1651" s="14">
        <v>0.01</v>
      </c>
      <c r="H1651" s="10"/>
      <c r="I1651" s="10"/>
    </row>
    <row r="1652" spans="1:9">
      <c r="A1652" s="10" t="s">
        <v>2476</v>
      </c>
      <c r="B1652" s="124" t="s">
        <v>583</v>
      </c>
      <c r="C1652" s="124" t="s">
        <v>423</v>
      </c>
      <c r="D1652" s="14">
        <v>5687804.6399999997</v>
      </c>
      <c r="E1652" s="82">
        <v>0.95592284139999995</v>
      </c>
      <c r="F1652" s="14">
        <v>5437102.3700000001</v>
      </c>
      <c r="G1652" s="14">
        <v>0.01</v>
      </c>
      <c r="H1652" s="10"/>
      <c r="I1652" s="10"/>
    </row>
    <row r="1653" spans="1:9">
      <c r="A1653" s="10" t="s">
        <v>2477</v>
      </c>
      <c r="B1653" s="124" t="s">
        <v>766</v>
      </c>
      <c r="C1653" s="124" t="s">
        <v>423</v>
      </c>
      <c r="D1653" s="12">
        <v>5300000</v>
      </c>
      <c r="E1653" s="82">
        <v>0.97273686049999997</v>
      </c>
      <c r="F1653" s="14">
        <v>5155505.3600000003</v>
      </c>
      <c r="G1653" s="14">
        <v>0.01</v>
      </c>
      <c r="H1653" s="10"/>
      <c r="I1653" s="10"/>
    </row>
    <row r="1654" spans="1:9">
      <c r="A1654" s="10" t="s">
        <v>2478</v>
      </c>
      <c r="B1654" s="124" t="s">
        <v>660</v>
      </c>
      <c r="C1654" s="124" t="s">
        <v>423</v>
      </c>
      <c r="D1654" s="12">
        <v>5300000</v>
      </c>
      <c r="E1654" s="82">
        <v>0.96932690970000002</v>
      </c>
      <c r="F1654" s="14">
        <v>5137432.62</v>
      </c>
      <c r="G1654" s="14">
        <v>0.01</v>
      </c>
      <c r="H1654" s="10"/>
      <c r="I1654" s="10"/>
    </row>
    <row r="1655" spans="1:9">
      <c r="A1655" s="10" t="s">
        <v>2479</v>
      </c>
      <c r="B1655" s="124" t="s">
        <v>524</v>
      </c>
      <c r="C1655" s="124" t="s">
        <v>423</v>
      </c>
      <c r="D1655" s="12">
        <v>5300000</v>
      </c>
      <c r="E1655" s="82">
        <v>0.97017720910000005</v>
      </c>
      <c r="F1655" s="14">
        <v>5141939.21</v>
      </c>
      <c r="G1655" s="14">
        <v>0.01</v>
      </c>
      <c r="H1655" s="10"/>
      <c r="I1655" s="10"/>
    </row>
    <row r="1656" spans="1:9">
      <c r="A1656" s="10" t="s">
        <v>2480</v>
      </c>
      <c r="B1656" s="124" t="s">
        <v>680</v>
      </c>
      <c r="C1656" s="124" t="s">
        <v>423</v>
      </c>
      <c r="D1656" s="12">
        <v>5300000</v>
      </c>
      <c r="E1656" s="158">
        <v>0.96847809399999996</v>
      </c>
      <c r="F1656" s="154">
        <v>5132933.9000000004</v>
      </c>
      <c r="G1656" s="14">
        <v>0.01</v>
      </c>
      <c r="H1656" s="10"/>
      <c r="I1656" s="10"/>
    </row>
    <row r="1657" spans="1:9">
      <c r="A1657" s="10" t="s">
        <v>2481</v>
      </c>
      <c r="B1657" s="124" t="s">
        <v>504</v>
      </c>
      <c r="C1657" s="124" t="s">
        <v>423</v>
      </c>
      <c r="D1657" s="12">
        <v>5300000</v>
      </c>
      <c r="E1657" s="82">
        <v>0.9625782155</v>
      </c>
      <c r="F1657" s="14">
        <v>5101664.54</v>
      </c>
      <c r="G1657" s="14">
        <v>0.01</v>
      </c>
      <c r="H1657" s="10"/>
      <c r="I1657" s="10"/>
    </row>
    <row r="1658" spans="1:9">
      <c r="A1658" s="10" t="s">
        <v>2482</v>
      </c>
      <c r="B1658" s="124" t="s">
        <v>504</v>
      </c>
      <c r="C1658" s="124" t="s">
        <v>423</v>
      </c>
      <c r="D1658" s="12">
        <v>5300000</v>
      </c>
      <c r="E1658" s="82">
        <v>0.9625782155</v>
      </c>
      <c r="F1658" s="14">
        <v>5101664.54</v>
      </c>
      <c r="G1658" s="14">
        <v>0.01</v>
      </c>
      <c r="H1658" s="10"/>
      <c r="I1658" s="10"/>
    </row>
    <row r="1659" spans="1:9">
      <c r="A1659" s="10" t="s">
        <v>2483</v>
      </c>
      <c r="B1659" s="124" t="s">
        <v>497</v>
      </c>
      <c r="C1659" s="124" t="s">
        <v>423</v>
      </c>
      <c r="D1659" s="12">
        <v>5300000</v>
      </c>
      <c r="E1659" s="82">
        <v>0.96174117120000002</v>
      </c>
      <c r="F1659" s="14">
        <v>5097228.21</v>
      </c>
      <c r="G1659" s="14">
        <v>0.01</v>
      </c>
      <c r="H1659" s="10"/>
      <c r="I1659" s="10"/>
    </row>
    <row r="1660" spans="1:9">
      <c r="A1660" s="10" t="s">
        <v>2484</v>
      </c>
      <c r="B1660" s="124" t="s">
        <v>1007</v>
      </c>
      <c r="C1660" s="124" t="s">
        <v>423</v>
      </c>
      <c r="D1660" s="12">
        <v>5300000</v>
      </c>
      <c r="E1660" s="82">
        <v>0.96090581529999997</v>
      </c>
      <c r="F1660" s="14">
        <v>5092800.82</v>
      </c>
      <c r="G1660" s="14">
        <v>0.01</v>
      </c>
      <c r="H1660" s="10"/>
      <c r="I1660" s="10"/>
    </row>
    <row r="1661" spans="1:9">
      <c r="A1661" s="10" t="s">
        <v>2485</v>
      </c>
      <c r="B1661" s="124" t="s">
        <v>587</v>
      </c>
      <c r="C1661" s="124" t="s">
        <v>423</v>
      </c>
      <c r="D1661" s="12">
        <v>5300000</v>
      </c>
      <c r="E1661" s="82">
        <v>0.95840773150000003</v>
      </c>
      <c r="F1661" s="14">
        <v>5079560.9800000004</v>
      </c>
      <c r="G1661" s="14">
        <v>0.01</v>
      </c>
      <c r="H1661" s="10"/>
      <c r="I1661" s="10"/>
    </row>
    <row r="1662" spans="1:9">
      <c r="A1662" s="10" t="s">
        <v>2486</v>
      </c>
      <c r="B1662" s="124" t="s">
        <v>883</v>
      </c>
      <c r="C1662" s="124" t="s">
        <v>423</v>
      </c>
      <c r="D1662" s="12">
        <v>5300000</v>
      </c>
      <c r="E1662" s="82">
        <v>0.96425667780000002</v>
      </c>
      <c r="F1662" s="14">
        <v>5110560.3899999997</v>
      </c>
      <c r="G1662" s="14">
        <v>0.01</v>
      </c>
      <c r="H1662" s="10"/>
      <c r="I1662" s="10"/>
    </row>
    <row r="1663" spans="1:9">
      <c r="A1663" s="10" t="s">
        <v>2487</v>
      </c>
      <c r="B1663" s="124" t="s">
        <v>574</v>
      </c>
      <c r="C1663" s="124" t="s">
        <v>423</v>
      </c>
      <c r="D1663" s="12">
        <v>5300000</v>
      </c>
      <c r="E1663" s="82">
        <v>0.96763076930000003</v>
      </c>
      <c r="F1663" s="14">
        <v>5128443.08</v>
      </c>
      <c r="G1663" s="14">
        <v>0.01</v>
      </c>
      <c r="H1663" s="10"/>
      <c r="I1663" s="10"/>
    </row>
    <row r="1664" spans="1:9">
      <c r="A1664" s="10" t="s">
        <v>2488</v>
      </c>
      <c r="B1664" s="124" t="s">
        <v>500</v>
      </c>
      <c r="C1664" s="124" t="s">
        <v>423</v>
      </c>
      <c r="D1664" s="14">
        <v>685128.94</v>
      </c>
      <c r="E1664" s="82">
        <v>0.95674977640000003</v>
      </c>
      <c r="F1664" s="14">
        <v>655496.95999999996</v>
      </c>
      <c r="G1664" s="12">
        <v>0</v>
      </c>
      <c r="H1664" s="10"/>
      <c r="I1664" s="10"/>
    </row>
    <row r="1665" spans="1:9">
      <c r="A1665" s="10" t="s">
        <v>2489</v>
      </c>
      <c r="B1665" s="124" t="s">
        <v>500</v>
      </c>
      <c r="C1665" s="124" t="s">
        <v>423</v>
      </c>
      <c r="D1665" s="14">
        <v>685128.94</v>
      </c>
      <c r="E1665" s="82">
        <v>0.95674977640000003</v>
      </c>
      <c r="F1665" s="14">
        <v>655496.95999999996</v>
      </c>
      <c r="G1665" s="12">
        <v>0</v>
      </c>
      <c r="H1665" s="10"/>
      <c r="I1665" s="10"/>
    </row>
    <row r="1666" spans="1:9">
      <c r="A1666" s="10" t="s">
        <v>2490</v>
      </c>
      <c r="B1666" s="124" t="s">
        <v>500</v>
      </c>
      <c r="C1666" s="124" t="s">
        <v>423</v>
      </c>
      <c r="D1666" s="14">
        <v>686128.26</v>
      </c>
      <c r="E1666" s="82">
        <v>0.9567497626</v>
      </c>
      <c r="F1666" s="14">
        <v>656453.05000000005</v>
      </c>
      <c r="G1666" s="12">
        <v>0</v>
      </c>
      <c r="H1666" s="10"/>
      <c r="I1666" s="10"/>
    </row>
    <row r="1667" spans="1:9">
      <c r="A1667" s="10" t="s">
        <v>2491</v>
      </c>
      <c r="B1667" s="124" t="s">
        <v>500</v>
      </c>
      <c r="C1667" s="124" t="s">
        <v>423</v>
      </c>
      <c r="D1667" s="14">
        <v>686128.26</v>
      </c>
      <c r="E1667" s="82">
        <v>0.9567497626</v>
      </c>
      <c r="F1667" s="14">
        <v>656453.05000000005</v>
      </c>
      <c r="G1667" s="12">
        <v>0</v>
      </c>
      <c r="H1667" s="10"/>
      <c r="I1667" s="10"/>
    </row>
    <row r="1668" spans="1:9">
      <c r="A1668" s="10" t="s">
        <v>2492</v>
      </c>
      <c r="B1668" s="124" t="s">
        <v>587</v>
      </c>
      <c r="C1668" s="124" t="s">
        <v>423</v>
      </c>
      <c r="D1668" s="14">
        <v>686128.26</v>
      </c>
      <c r="E1668" s="82">
        <v>0.95840773270000001</v>
      </c>
      <c r="F1668" s="14">
        <v>657590.63</v>
      </c>
      <c r="G1668" s="12">
        <v>0</v>
      </c>
      <c r="H1668" s="10"/>
      <c r="I1668" s="10"/>
    </row>
    <row r="1669" spans="1:9">
      <c r="A1669" s="10" t="s">
        <v>2493</v>
      </c>
      <c r="B1669" s="124" t="s">
        <v>446</v>
      </c>
      <c r="C1669" s="124" t="s">
        <v>423</v>
      </c>
      <c r="D1669" s="14">
        <v>686128.26</v>
      </c>
      <c r="E1669" s="82">
        <v>0.9575781498</v>
      </c>
      <c r="F1669" s="14">
        <v>657021.43000000005</v>
      </c>
      <c r="G1669" s="12">
        <v>0</v>
      </c>
      <c r="H1669" s="10"/>
      <c r="I1669" s="10"/>
    </row>
    <row r="1670" spans="1:9">
      <c r="A1670" s="10" t="s">
        <v>2494</v>
      </c>
      <c r="B1670" s="124" t="s">
        <v>446</v>
      </c>
      <c r="C1670" s="124" t="s">
        <v>423</v>
      </c>
      <c r="D1670" s="14">
        <v>685128.94</v>
      </c>
      <c r="E1670" s="82">
        <v>0.95757816080000002</v>
      </c>
      <c r="F1670" s="14">
        <v>656064.51</v>
      </c>
      <c r="G1670" s="12">
        <v>0</v>
      </c>
      <c r="H1670" s="10"/>
      <c r="I1670" s="10"/>
    </row>
    <row r="1671" spans="1:9">
      <c r="A1671" s="10" t="s">
        <v>2495</v>
      </c>
      <c r="B1671" s="124" t="s">
        <v>819</v>
      </c>
      <c r="C1671" s="124" t="s">
        <v>423</v>
      </c>
      <c r="D1671" s="14">
        <v>5559577.1900000004</v>
      </c>
      <c r="E1671" s="82">
        <v>0.93333686910000002</v>
      </c>
      <c r="F1671" s="14">
        <v>5188958.37</v>
      </c>
      <c r="G1671" s="14">
        <v>0.01</v>
      </c>
      <c r="H1671" s="10"/>
      <c r="I1671" s="10"/>
    </row>
    <row r="1672" spans="1:9">
      <c r="A1672" s="10" t="s">
        <v>2496</v>
      </c>
      <c r="B1672" s="124" t="s">
        <v>488</v>
      </c>
      <c r="C1672" s="124" t="s">
        <v>423</v>
      </c>
      <c r="D1672" s="12">
        <v>5561000</v>
      </c>
      <c r="E1672" s="82">
        <v>0.98136753970000001</v>
      </c>
      <c r="F1672" s="14">
        <v>5457384.8899999997</v>
      </c>
      <c r="G1672" s="14">
        <v>0.01</v>
      </c>
      <c r="H1672" s="10"/>
      <c r="I1672" s="10"/>
    </row>
    <row r="1673" spans="1:9">
      <c r="A1673" s="10" t="s">
        <v>2497</v>
      </c>
      <c r="B1673" s="124" t="s">
        <v>750</v>
      </c>
      <c r="C1673" s="124" t="s">
        <v>423</v>
      </c>
      <c r="D1673" s="12">
        <v>5561000</v>
      </c>
      <c r="E1673" s="82">
        <v>0.94935885470000003</v>
      </c>
      <c r="F1673" s="14">
        <v>5279384.59</v>
      </c>
      <c r="G1673" s="14">
        <v>0.01</v>
      </c>
      <c r="H1673" s="10"/>
      <c r="I1673" s="10"/>
    </row>
    <row r="1674" spans="1:9">
      <c r="A1674" s="10" t="s">
        <v>2498</v>
      </c>
      <c r="B1674" s="124" t="s">
        <v>593</v>
      </c>
      <c r="C1674" s="124" t="s">
        <v>423</v>
      </c>
      <c r="D1674" s="12">
        <v>5561000</v>
      </c>
      <c r="E1674" s="158">
        <v>0.96341671500000003</v>
      </c>
      <c r="F1674" s="14">
        <v>5357560.3499999996</v>
      </c>
      <c r="G1674" s="14">
        <v>0.01</v>
      </c>
      <c r="H1674" s="10"/>
      <c r="I1674" s="10"/>
    </row>
    <row r="1675" spans="1:9">
      <c r="A1675" s="10" t="s">
        <v>2499</v>
      </c>
      <c r="B1675" s="124" t="s">
        <v>443</v>
      </c>
      <c r="C1675" s="124" t="s">
        <v>423</v>
      </c>
      <c r="D1675" s="14">
        <v>443866.08</v>
      </c>
      <c r="E1675" s="82">
        <v>0.99281918550000003</v>
      </c>
      <c r="F1675" s="14">
        <v>440678.76</v>
      </c>
      <c r="G1675" s="12">
        <v>0</v>
      </c>
      <c r="H1675" s="10"/>
      <c r="I1675" s="10"/>
    </row>
    <row r="1676" spans="1:9">
      <c r="A1676" s="10" t="s">
        <v>2500</v>
      </c>
      <c r="B1676" s="124" t="s">
        <v>660</v>
      </c>
      <c r="C1676" s="124" t="s">
        <v>423</v>
      </c>
      <c r="D1676" s="14">
        <v>258898.86</v>
      </c>
      <c r="E1676" s="82">
        <v>0.96932694119999996</v>
      </c>
      <c r="F1676" s="14">
        <v>250957.64</v>
      </c>
      <c r="G1676" s="12">
        <v>0</v>
      </c>
      <c r="H1676" s="10"/>
      <c r="I1676" s="10"/>
    </row>
    <row r="1677" spans="1:9">
      <c r="A1677" s="10" t="s">
        <v>2501</v>
      </c>
      <c r="B1677" s="124" t="s">
        <v>766</v>
      </c>
      <c r="C1677" s="124" t="s">
        <v>423</v>
      </c>
      <c r="D1677" s="14">
        <v>5556718.4800000004</v>
      </c>
      <c r="E1677" s="82">
        <v>0.97273686609999999</v>
      </c>
      <c r="F1677" s="14">
        <v>5405224.9199999999</v>
      </c>
      <c r="G1677" s="14">
        <v>0.01</v>
      </c>
      <c r="H1677" s="10"/>
      <c r="I1677" s="10"/>
    </row>
    <row r="1678" spans="1:9">
      <c r="A1678" s="10" t="s">
        <v>2502</v>
      </c>
      <c r="B1678" s="124" t="s">
        <v>502</v>
      </c>
      <c r="C1678" s="124" t="s">
        <v>423</v>
      </c>
      <c r="D1678" s="154">
        <v>6590432.0999999996</v>
      </c>
      <c r="E1678" s="82">
        <v>0.95099150730000004</v>
      </c>
      <c r="F1678" s="14">
        <v>6267444.96</v>
      </c>
      <c r="G1678" s="14">
        <v>0.01</v>
      </c>
      <c r="H1678" s="10"/>
      <c r="I1678" s="10"/>
    </row>
    <row r="1679" spans="1:9">
      <c r="A1679" s="10" t="s">
        <v>2503</v>
      </c>
      <c r="B1679" s="124" t="s">
        <v>948</v>
      </c>
      <c r="C1679" s="124" t="s">
        <v>423</v>
      </c>
      <c r="D1679" s="14">
        <v>3581660.97</v>
      </c>
      <c r="E1679" s="82">
        <v>0.9550975585</v>
      </c>
      <c r="F1679" s="14">
        <v>3420835.65</v>
      </c>
      <c r="G1679" s="12">
        <v>0</v>
      </c>
      <c r="H1679" s="10"/>
      <c r="I1679" s="10"/>
    </row>
    <row r="1680" spans="1:9">
      <c r="A1680" s="10" t="s">
        <v>2504</v>
      </c>
      <c r="B1680" s="124" t="s">
        <v>567</v>
      </c>
      <c r="C1680" s="124" t="s">
        <v>423</v>
      </c>
      <c r="D1680" s="154">
        <v>6590432.0999999996</v>
      </c>
      <c r="E1680" s="82">
        <v>0.94692060509999998</v>
      </c>
      <c r="F1680" s="14">
        <v>6240615.9500000002</v>
      </c>
      <c r="G1680" s="14">
        <v>0.01</v>
      </c>
      <c r="H1680" s="10"/>
      <c r="I1680" s="10"/>
    </row>
    <row r="1681" spans="1:9">
      <c r="A1681" s="10" t="s">
        <v>2505</v>
      </c>
      <c r="B1681" s="124" t="s">
        <v>655</v>
      </c>
      <c r="C1681" s="124" t="s">
        <v>423</v>
      </c>
      <c r="D1681" s="154">
        <v>6590432.0999999996</v>
      </c>
      <c r="E1681" s="82">
        <v>0.95017448159999995</v>
      </c>
      <c r="F1681" s="154">
        <v>6262060.4000000004</v>
      </c>
      <c r="G1681" s="14">
        <v>0.01</v>
      </c>
      <c r="H1681" s="10"/>
      <c r="I1681" s="10"/>
    </row>
    <row r="1682" spans="1:9">
      <c r="A1682" s="10" t="s">
        <v>2506</v>
      </c>
      <c r="B1682" s="124" t="s">
        <v>443</v>
      </c>
      <c r="C1682" s="124" t="s">
        <v>423</v>
      </c>
      <c r="D1682" s="14">
        <v>6917978.2800000003</v>
      </c>
      <c r="E1682" s="82">
        <v>0.99281917809999998</v>
      </c>
      <c r="F1682" s="14">
        <v>6868301.5099999998</v>
      </c>
      <c r="G1682" s="14">
        <v>0.01</v>
      </c>
      <c r="H1682" s="10"/>
      <c r="I1682" s="10"/>
    </row>
    <row r="1683" spans="1:9">
      <c r="A1683" s="10" t="s">
        <v>2507</v>
      </c>
      <c r="B1683" s="124" t="s">
        <v>490</v>
      </c>
      <c r="C1683" s="124" t="s">
        <v>423</v>
      </c>
      <c r="D1683" s="12">
        <v>284785</v>
      </c>
      <c r="E1683" s="158">
        <v>0.98049753299999998</v>
      </c>
      <c r="F1683" s="14">
        <v>279230.99</v>
      </c>
      <c r="G1683" s="12">
        <v>0</v>
      </c>
      <c r="H1683" s="10"/>
      <c r="I1683" s="10"/>
    </row>
    <row r="1684" spans="1:9">
      <c r="A1684" s="10" t="s">
        <v>2508</v>
      </c>
      <c r="B1684" s="124" t="s">
        <v>485</v>
      </c>
      <c r="C1684" s="124" t="s">
        <v>423</v>
      </c>
      <c r="D1684" s="12">
        <v>500000</v>
      </c>
      <c r="E1684" s="21">
        <v>0.98574066000000005</v>
      </c>
      <c r="F1684" s="14">
        <v>492870.33</v>
      </c>
      <c r="G1684" s="12">
        <v>0</v>
      </c>
      <c r="H1684" s="10"/>
      <c r="I1684" s="10"/>
    </row>
    <row r="1685" spans="1:9">
      <c r="A1685" s="10" t="s">
        <v>2509</v>
      </c>
      <c r="B1685" s="124" t="s">
        <v>680</v>
      </c>
      <c r="C1685" s="124" t="s">
        <v>423</v>
      </c>
      <c r="D1685" s="14">
        <v>1428441.71</v>
      </c>
      <c r="E1685" s="82">
        <v>0.96847810509999999</v>
      </c>
      <c r="F1685" s="14">
        <v>1383414.52</v>
      </c>
      <c r="G1685" s="12">
        <v>0</v>
      </c>
      <c r="H1685" s="10"/>
      <c r="I1685" s="10"/>
    </row>
    <row r="1686" spans="1:9">
      <c r="A1686" s="10" t="s">
        <v>2510</v>
      </c>
      <c r="B1686" s="124" t="s">
        <v>485</v>
      </c>
      <c r="C1686" s="124" t="s">
        <v>423</v>
      </c>
      <c r="D1686" s="12">
        <v>914507</v>
      </c>
      <c r="E1686" s="82">
        <v>0.98574066680000005</v>
      </c>
      <c r="F1686" s="14">
        <v>901466.74</v>
      </c>
      <c r="G1686" s="12">
        <v>0</v>
      </c>
      <c r="H1686" s="10"/>
      <c r="I1686" s="10"/>
    </row>
    <row r="1687" spans="1:9">
      <c r="A1687" s="10" t="s">
        <v>2511</v>
      </c>
      <c r="B1687" s="124" t="s">
        <v>438</v>
      </c>
      <c r="C1687" s="124" t="s">
        <v>423</v>
      </c>
      <c r="D1687" s="14">
        <v>7040260.4900000002</v>
      </c>
      <c r="E1687" s="82">
        <v>0.99192877889999997</v>
      </c>
      <c r="F1687" s="14">
        <v>6983436.9900000002</v>
      </c>
      <c r="G1687" s="14">
        <v>0.01</v>
      </c>
      <c r="H1687" s="10"/>
      <c r="I1687" s="10"/>
    </row>
    <row r="1688" spans="1:9">
      <c r="A1688" s="10" t="s">
        <v>2512</v>
      </c>
      <c r="B1688" s="124" t="s">
        <v>522</v>
      </c>
      <c r="C1688" s="124" t="s">
        <v>423</v>
      </c>
      <c r="D1688" s="14">
        <v>6813654.1900000004</v>
      </c>
      <c r="E1688" s="82">
        <v>0.97359316070000002</v>
      </c>
      <c r="F1688" s="14">
        <v>6633727.1200000001</v>
      </c>
      <c r="G1688" s="14">
        <v>0.01</v>
      </c>
      <c r="H1688" s="10"/>
      <c r="I1688" s="10"/>
    </row>
    <row r="1689" spans="1:9">
      <c r="A1689" s="10" t="s">
        <v>2513</v>
      </c>
      <c r="B1689" s="124" t="s">
        <v>883</v>
      </c>
      <c r="C1689" s="124" t="s">
        <v>423</v>
      </c>
      <c r="D1689" s="14">
        <v>1936748.66</v>
      </c>
      <c r="E1689" s="82">
        <v>0.9642566736</v>
      </c>
      <c r="F1689" s="14">
        <v>1867522.82</v>
      </c>
      <c r="G1689" s="12">
        <v>0</v>
      </c>
      <c r="H1689" s="10"/>
      <c r="I1689" s="10"/>
    </row>
    <row r="1690" spans="1:9">
      <c r="A1690" s="10" t="s">
        <v>2514</v>
      </c>
      <c r="B1690" s="124" t="s">
        <v>510</v>
      </c>
      <c r="C1690" s="124" t="s">
        <v>423</v>
      </c>
      <c r="D1690" s="14">
        <v>9698126.2200000007</v>
      </c>
      <c r="E1690" s="82">
        <v>0.99103997020000001</v>
      </c>
      <c r="F1690" s="14">
        <v>9611230.7200000007</v>
      </c>
      <c r="G1690" s="14">
        <v>0.01</v>
      </c>
      <c r="H1690" s="10"/>
      <c r="I1690" s="10"/>
    </row>
    <row r="1691" spans="1:9">
      <c r="A1691" s="10" t="s">
        <v>2515</v>
      </c>
      <c r="B1691" s="124" t="s">
        <v>660</v>
      </c>
      <c r="C1691" s="124" t="s">
        <v>423</v>
      </c>
      <c r="D1691" s="154">
        <v>155452.9</v>
      </c>
      <c r="E1691" s="82">
        <v>0.96932685110000005</v>
      </c>
      <c r="F1691" s="14">
        <v>150684.67000000001</v>
      </c>
      <c r="G1691" s="12">
        <v>0</v>
      </c>
      <c r="H1691" s="10"/>
      <c r="I1691" s="10"/>
    </row>
    <row r="1692" spans="1:9">
      <c r="A1692" s="10" t="s">
        <v>2516</v>
      </c>
      <c r="B1692" s="124" t="s">
        <v>520</v>
      </c>
      <c r="C1692" s="124" t="s">
        <v>423</v>
      </c>
      <c r="D1692" s="14">
        <v>1500114.43</v>
      </c>
      <c r="E1692" s="82">
        <v>0.97445074870000004</v>
      </c>
      <c r="F1692" s="14">
        <v>1461787.63</v>
      </c>
      <c r="G1692" s="12">
        <v>0</v>
      </c>
      <c r="H1692" s="10"/>
      <c r="I1692" s="10"/>
    </row>
    <row r="1693" spans="1:9">
      <c r="A1693" s="10" t="s">
        <v>2517</v>
      </c>
      <c r="B1693" s="124" t="s">
        <v>766</v>
      </c>
      <c r="C1693" s="124" t="s">
        <v>423</v>
      </c>
      <c r="D1693" s="14">
        <v>684028.33</v>
      </c>
      <c r="E1693" s="158">
        <v>0.97273687499999995</v>
      </c>
      <c r="F1693" s="14">
        <v>665379.57999999996</v>
      </c>
      <c r="G1693" s="12">
        <v>0</v>
      </c>
      <c r="H1693" s="10"/>
      <c r="I1693" s="10"/>
    </row>
    <row r="1694" spans="1:9">
      <c r="A1694" s="10" t="s">
        <v>2518</v>
      </c>
      <c r="B1694" s="124" t="s">
        <v>948</v>
      </c>
      <c r="C1694" s="124" t="s">
        <v>423</v>
      </c>
      <c r="D1694" s="14">
        <v>14295769.460000001</v>
      </c>
      <c r="E1694" s="82">
        <v>0.9550975585</v>
      </c>
      <c r="F1694" s="14">
        <v>13653854.51</v>
      </c>
      <c r="G1694" s="14">
        <v>0.02</v>
      </c>
      <c r="H1694" s="10"/>
      <c r="I1694" s="10"/>
    </row>
    <row r="1695" spans="1:9">
      <c r="A1695" s="10" t="s">
        <v>2519</v>
      </c>
      <c r="B1695" s="124" t="s">
        <v>754</v>
      </c>
      <c r="C1695" s="124" t="s">
        <v>423</v>
      </c>
      <c r="D1695" s="12">
        <v>55000000</v>
      </c>
      <c r="E1695" s="82">
        <v>0.9325498821</v>
      </c>
      <c r="F1695" s="14">
        <v>51290243.520000003</v>
      </c>
      <c r="G1695" s="14">
        <v>7.0000000000000007E-2</v>
      </c>
      <c r="H1695" s="10"/>
      <c r="I1695" s="10"/>
    </row>
    <row r="1696" spans="1:9">
      <c r="A1696" s="10" t="s">
        <v>2520</v>
      </c>
      <c r="B1696" s="124" t="s">
        <v>500</v>
      </c>
      <c r="C1696" s="124" t="s">
        <v>423</v>
      </c>
      <c r="D1696" s="12">
        <v>42000000</v>
      </c>
      <c r="E1696" s="82">
        <v>0.95052095830000005</v>
      </c>
      <c r="F1696" s="14">
        <v>39921880.25</v>
      </c>
      <c r="G1696" s="14">
        <v>0.05</v>
      </c>
      <c r="H1696" s="10"/>
      <c r="I1696" s="10"/>
    </row>
    <row r="1697" spans="1:9">
      <c r="A1697" s="10" t="s">
        <v>2521</v>
      </c>
      <c r="B1697" s="124" t="s">
        <v>504</v>
      </c>
      <c r="C1697" s="124" t="s">
        <v>423</v>
      </c>
      <c r="D1697" s="12">
        <v>15000000</v>
      </c>
      <c r="E1697" s="82">
        <v>0.95715119910000002</v>
      </c>
      <c r="F1697" s="14">
        <v>14357267.99</v>
      </c>
      <c r="G1697" s="14">
        <v>0.02</v>
      </c>
      <c r="H1697" s="10"/>
      <c r="I1697" s="10"/>
    </row>
    <row r="1698" spans="1:9">
      <c r="A1698" s="10" t="s">
        <v>2522</v>
      </c>
      <c r="B1698" s="124" t="s">
        <v>2210</v>
      </c>
      <c r="C1698" s="124" t="s">
        <v>423</v>
      </c>
      <c r="D1698" s="14">
        <v>51921649.450000003</v>
      </c>
      <c r="E1698" s="82">
        <v>0.91639484589999998</v>
      </c>
      <c r="F1698" s="14">
        <v>47580731.950000003</v>
      </c>
      <c r="G1698" s="14">
        <v>0.06</v>
      </c>
      <c r="H1698" s="10"/>
      <c r="I1698" s="10"/>
    </row>
    <row r="1699" spans="1:9">
      <c r="A1699" s="10" t="s">
        <v>2523</v>
      </c>
      <c r="B1699" s="124" t="s">
        <v>504</v>
      </c>
      <c r="C1699" s="124" t="s">
        <v>423</v>
      </c>
      <c r="D1699" s="14">
        <v>12008751.93</v>
      </c>
      <c r="E1699" s="82">
        <v>0.96586406650000001</v>
      </c>
      <c r="F1699" s="14">
        <v>11598821.970000001</v>
      </c>
      <c r="G1699" s="14">
        <v>0.02</v>
      </c>
      <c r="H1699" s="10"/>
      <c r="I1699" s="10"/>
    </row>
    <row r="1700" spans="1:9">
      <c r="A1700" s="10" t="s">
        <v>2524</v>
      </c>
      <c r="B1700" s="124" t="s">
        <v>574</v>
      </c>
      <c r="C1700" s="124" t="s">
        <v>423</v>
      </c>
      <c r="D1700" s="14">
        <v>5568708.9100000001</v>
      </c>
      <c r="E1700" s="82">
        <v>0.97048657940000005</v>
      </c>
      <c r="F1700" s="14">
        <v>5404357.2599999998</v>
      </c>
      <c r="G1700" s="14">
        <v>0.01</v>
      </c>
      <c r="H1700" s="10"/>
      <c r="I1700" s="10"/>
    </row>
    <row r="1701" spans="1:9">
      <c r="A1701" s="10" t="s">
        <v>2525</v>
      </c>
      <c r="B1701" s="124" t="s">
        <v>504</v>
      </c>
      <c r="C1701" s="124" t="s">
        <v>423</v>
      </c>
      <c r="D1701" s="14">
        <v>3554233.32</v>
      </c>
      <c r="E1701" s="82">
        <v>0.96586406759999999</v>
      </c>
      <c r="F1701" s="14">
        <v>3432906.25</v>
      </c>
      <c r="G1701" s="12">
        <v>0</v>
      </c>
      <c r="H1701" s="10"/>
      <c r="I1701" s="10"/>
    </row>
    <row r="1702" spans="1:9">
      <c r="A1702" s="10" t="s">
        <v>2526</v>
      </c>
      <c r="B1702" s="124" t="s">
        <v>504</v>
      </c>
      <c r="C1702" s="124" t="s">
        <v>423</v>
      </c>
      <c r="D1702" s="14">
        <v>8141903.9699999997</v>
      </c>
      <c r="E1702" s="82">
        <v>0.96586406540000003</v>
      </c>
      <c r="F1702" s="14">
        <v>7863972.4699999997</v>
      </c>
      <c r="G1702" s="14">
        <v>0.01</v>
      </c>
      <c r="H1702" s="10"/>
      <c r="I1702" s="10"/>
    </row>
    <row r="1703" spans="1:9">
      <c r="A1703" s="10" t="s">
        <v>2527</v>
      </c>
      <c r="B1703" s="124" t="s">
        <v>680</v>
      </c>
      <c r="C1703" s="124" t="s">
        <v>423</v>
      </c>
      <c r="D1703" s="12">
        <v>6377416</v>
      </c>
      <c r="E1703" s="82">
        <v>0.97126137430000004</v>
      </c>
      <c r="F1703" s="14">
        <v>6194137.8300000001</v>
      </c>
      <c r="G1703" s="14">
        <v>0.01</v>
      </c>
      <c r="H1703" s="10"/>
      <c r="I1703" s="10"/>
    </row>
    <row r="1704" spans="1:9">
      <c r="A1704" s="10" t="s">
        <v>2528</v>
      </c>
      <c r="B1704" s="124" t="s">
        <v>522</v>
      </c>
      <c r="C1704" s="124" t="s">
        <v>423</v>
      </c>
      <c r="D1704" s="14">
        <v>31628755.989999998</v>
      </c>
      <c r="E1704" s="82">
        <v>0.97593601279999997</v>
      </c>
      <c r="F1704" s="14">
        <v>30867642.010000002</v>
      </c>
      <c r="G1704" s="14">
        <v>0.04</v>
      </c>
      <c r="H1704" s="10"/>
      <c r="I1704" s="10"/>
    </row>
    <row r="1705" spans="1:9">
      <c r="A1705" s="10" t="s">
        <v>2529</v>
      </c>
      <c r="B1705" s="124" t="s">
        <v>660</v>
      </c>
      <c r="C1705" s="124" t="s">
        <v>423</v>
      </c>
      <c r="D1705" s="14">
        <v>4649844.34</v>
      </c>
      <c r="E1705" s="82">
        <v>0.97203739960000002</v>
      </c>
      <c r="F1705" s="154">
        <v>4519822.5999999996</v>
      </c>
      <c r="G1705" s="14">
        <v>0.01</v>
      </c>
      <c r="H1705" s="10"/>
      <c r="I1705" s="10"/>
    </row>
    <row r="1706" spans="1:9">
      <c r="A1706" s="10" t="s">
        <v>2530</v>
      </c>
      <c r="B1706" s="124" t="s">
        <v>504</v>
      </c>
      <c r="C1706" s="124" t="s">
        <v>423</v>
      </c>
      <c r="D1706" s="14">
        <v>14376774.91</v>
      </c>
      <c r="E1706" s="82">
        <v>0.96586406650000001</v>
      </c>
      <c r="F1706" s="14">
        <v>13886010.279999999</v>
      </c>
      <c r="G1706" s="14">
        <v>0.02</v>
      </c>
      <c r="H1706" s="10"/>
      <c r="I1706" s="10"/>
    </row>
    <row r="1707" spans="1:9">
      <c r="A1707" s="10" t="s">
        <v>2531</v>
      </c>
      <c r="B1707" s="124" t="s">
        <v>504</v>
      </c>
      <c r="C1707" s="124" t="s">
        <v>423</v>
      </c>
      <c r="D1707" s="14">
        <v>21728976.760000002</v>
      </c>
      <c r="E1707" s="82">
        <v>0.96586406650000001</v>
      </c>
      <c r="F1707" s="14">
        <v>20987237.850000001</v>
      </c>
      <c r="G1707" s="14">
        <v>0.03</v>
      </c>
      <c r="H1707" s="10"/>
      <c r="I1707" s="10"/>
    </row>
    <row r="1708" spans="1:9">
      <c r="A1708" s="10" t="s">
        <v>2532</v>
      </c>
      <c r="B1708" s="124" t="s">
        <v>680</v>
      </c>
      <c r="C1708" s="124" t="s">
        <v>423</v>
      </c>
      <c r="D1708" s="14">
        <v>6704674.6699999999</v>
      </c>
      <c r="E1708" s="82">
        <v>0.9712613725</v>
      </c>
      <c r="F1708" s="14">
        <v>6511991.5199999996</v>
      </c>
      <c r="G1708" s="14">
        <v>0.01</v>
      </c>
      <c r="H1708" s="10"/>
      <c r="I1708" s="10"/>
    </row>
    <row r="1709" spans="1:9">
      <c r="A1709" s="10" t="s">
        <v>2533</v>
      </c>
      <c r="B1709" s="124" t="s">
        <v>680</v>
      </c>
      <c r="C1709" s="124" t="s">
        <v>423</v>
      </c>
      <c r="D1709" s="14">
        <v>9655864.5399999991</v>
      </c>
      <c r="E1709" s="82">
        <v>0.97126137059999995</v>
      </c>
      <c r="F1709" s="14">
        <v>9378368.2300000004</v>
      </c>
      <c r="G1709" s="14">
        <v>0.01</v>
      </c>
      <c r="H1709" s="10"/>
      <c r="I1709" s="10"/>
    </row>
    <row r="1710" spans="1:9">
      <c r="A1710" s="10" t="s">
        <v>2534</v>
      </c>
      <c r="B1710" s="124" t="s">
        <v>460</v>
      </c>
      <c r="C1710" s="124" t="s">
        <v>423</v>
      </c>
      <c r="D1710" s="12">
        <v>1869225</v>
      </c>
      <c r="E1710" s="82">
        <v>0.91423725379999998</v>
      </c>
      <c r="F1710" s="14">
        <v>1708915.13</v>
      </c>
      <c r="G1710" s="12">
        <v>0</v>
      </c>
      <c r="H1710" s="10"/>
      <c r="I1710" s="10"/>
    </row>
    <row r="1711" spans="1:9">
      <c r="A1711" s="10" t="s">
        <v>2535</v>
      </c>
      <c r="B1711" s="124" t="s">
        <v>485</v>
      </c>
      <c r="C1711" s="124" t="s">
        <v>423</v>
      </c>
      <c r="D1711" s="12">
        <v>1869225</v>
      </c>
      <c r="E1711" s="82">
        <v>0.98616677480000003</v>
      </c>
      <c r="F1711" s="14">
        <v>1843367.59</v>
      </c>
      <c r="G1711" s="12">
        <v>0</v>
      </c>
      <c r="H1711" s="10"/>
      <c r="I1711" s="10"/>
    </row>
    <row r="1712" spans="1:9">
      <c r="A1712" s="10" t="s">
        <v>2536</v>
      </c>
      <c r="B1712" s="124" t="s">
        <v>450</v>
      </c>
      <c r="C1712" s="124" t="s">
        <v>423</v>
      </c>
      <c r="D1712" s="12">
        <v>1869225</v>
      </c>
      <c r="E1712" s="82">
        <v>0.93599362239999995</v>
      </c>
      <c r="F1712" s="14">
        <v>1749582.68</v>
      </c>
      <c r="G1712" s="12">
        <v>0</v>
      </c>
      <c r="H1712" s="10"/>
      <c r="I1712" s="10"/>
    </row>
    <row r="1713" spans="1:9">
      <c r="A1713" s="10" t="s">
        <v>2537</v>
      </c>
      <c r="B1713" s="124" t="s">
        <v>587</v>
      </c>
      <c r="C1713" s="124" t="s">
        <v>423</v>
      </c>
      <c r="D1713" s="12">
        <v>1869225</v>
      </c>
      <c r="E1713" s="82">
        <v>0.95961721079999995</v>
      </c>
      <c r="F1713" s="14">
        <v>1793740.48</v>
      </c>
      <c r="G1713" s="12">
        <v>0</v>
      </c>
      <c r="H1713" s="10"/>
      <c r="I1713" s="10"/>
    </row>
    <row r="1714" spans="1:9">
      <c r="A1714" s="10" t="s">
        <v>2538</v>
      </c>
      <c r="B1714" s="124" t="s">
        <v>651</v>
      </c>
      <c r="C1714" s="124" t="s">
        <v>423</v>
      </c>
      <c r="D1714" s="14">
        <v>353613.17</v>
      </c>
      <c r="E1714" s="82">
        <v>0.93984966650000001</v>
      </c>
      <c r="F1714" s="14">
        <v>332343.21999999997</v>
      </c>
      <c r="G1714" s="12">
        <v>0</v>
      </c>
      <c r="H1714" s="10"/>
      <c r="I1714" s="10"/>
    </row>
    <row r="1715" spans="1:9">
      <c r="A1715" s="10" t="s">
        <v>2539</v>
      </c>
      <c r="B1715" s="124" t="s">
        <v>1525</v>
      </c>
      <c r="C1715" s="124" t="s">
        <v>423</v>
      </c>
      <c r="D1715" s="14">
        <v>353613.17</v>
      </c>
      <c r="E1715" s="82">
        <v>0.89346932509999999</v>
      </c>
      <c r="F1715" s="14">
        <v>315942.52</v>
      </c>
      <c r="G1715" s="12">
        <v>0</v>
      </c>
      <c r="H1715" s="10"/>
      <c r="I1715" s="10"/>
    </row>
    <row r="1716" spans="1:9">
      <c r="A1716" s="10" t="s">
        <v>2540</v>
      </c>
      <c r="B1716" s="124" t="s">
        <v>2541</v>
      </c>
      <c r="C1716" s="124" t="s">
        <v>423</v>
      </c>
      <c r="D1716" s="14">
        <v>353613.17</v>
      </c>
      <c r="E1716" s="82">
        <v>0.87563593969999998</v>
      </c>
      <c r="F1716" s="154">
        <v>309636.40000000002</v>
      </c>
      <c r="G1716" s="12">
        <v>0</v>
      </c>
      <c r="H1716" s="10"/>
      <c r="I1716" s="10"/>
    </row>
    <row r="1717" spans="1:9">
      <c r="A1717" s="10" t="s">
        <v>2542</v>
      </c>
      <c r="B1717" s="124" t="s">
        <v>2543</v>
      </c>
      <c r="C1717" s="124" t="s">
        <v>423</v>
      </c>
      <c r="D1717" s="14">
        <v>353613.17</v>
      </c>
      <c r="E1717" s="82">
        <v>0.91865506549999998</v>
      </c>
      <c r="F1717" s="14">
        <v>324848.53000000003</v>
      </c>
      <c r="G1717" s="12">
        <v>0</v>
      </c>
      <c r="H1717" s="10"/>
      <c r="I1717" s="10"/>
    </row>
    <row r="1718" spans="1:9">
      <c r="A1718" s="10" t="s">
        <v>2544</v>
      </c>
      <c r="B1718" s="124" t="s">
        <v>680</v>
      </c>
      <c r="C1718" s="124" t="s">
        <v>423</v>
      </c>
      <c r="D1718" s="14">
        <v>891634.28</v>
      </c>
      <c r="E1718" s="82">
        <v>0.96940408150000001</v>
      </c>
      <c r="F1718" s="14">
        <v>864353.91</v>
      </c>
      <c r="G1718" s="12">
        <v>0</v>
      </c>
      <c r="H1718" s="10"/>
      <c r="I1718" s="10"/>
    </row>
    <row r="1719" spans="1:9">
      <c r="A1719" s="10" t="s">
        <v>2545</v>
      </c>
      <c r="B1719" s="124" t="s">
        <v>793</v>
      </c>
      <c r="C1719" s="124" t="s">
        <v>423</v>
      </c>
      <c r="D1719" s="154">
        <v>851519.2</v>
      </c>
      <c r="E1719" s="82">
        <v>0.94687157919999998</v>
      </c>
      <c r="F1719" s="14">
        <v>806279.33</v>
      </c>
      <c r="G1719" s="12">
        <v>0</v>
      </c>
      <c r="H1719" s="10"/>
      <c r="I1719" s="10"/>
    </row>
    <row r="1720" spans="1:9">
      <c r="A1720" s="10" t="s">
        <v>2546</v>
      </c>
      <c r="B1720" s="124" t="s">
        <v>774</v>
      </c>
      <c r="C1720" s="124" t="s">
        <v>423</v>
      </c>
      <c r="D1720" s="14">
        <v>1264579.98</v>
      </c>
      <c r="E1720" s="82">
        <v>0.89067856229999998</v>
      </c>
      <c r="F1720" s="14">
        <v>1126334.28</v>
      </c>
      <c r="G1720" s="12">
        <v>0</v>
      </c>
      <c r="H1720" s="10"/>
      <c r="I1720" s="10"/>
    </row>
    <row r="1721" spans="1:9">
      <c r="A1721" s="10" t="s">
        <v>2547</v>
      </c>
      <c r="B1721" s="124" t="s">
        <v>257</v>
      </c>
      <c r="C1721" s="124" t="s">
        <v>423</v>
      </c>
      <c r="D1721" s="14">
        <v>1102078.1599999999</v>
      </c>
      <c r="E1721" s="82">
        <v>0.91497044930000004</v>
      </c>
      <c r="F1721" s="14">
        <v>1008368.95</v>
      </c>
      <c r="G1721" s="12">
        <v>0</v>
      </c>
      <c r="H1721" s="10"/>
      <c r="I1721" s="10"/>
    </row>
    <row r="1722" spans="1:9">
      <c r="A1722" s="10" t="s">
        <v>2548</v>
      </c>
      <c r="B1722" s="124" t="s">
        <v>1360</v>
      </c>
      <c r="C1722" s="124" t="s">
        <v>423</v>
      </c>
      <c r="D1722" s="14">
        <v>8123170.71</v>
      </c>
      <c r="E1722" s="82">
        <v>0.93753218959999995</v>
      </c>
      <c r="F1722" s="14">
        <v>7615734.0199999996</v>
      </c>
      <c r="G1722" s="14">
        <v>0.01</v>
      </c>
      <c r="H1722" s="10"/>
      <c r="I1722" s="10"/>
    </row>
    <row r="1723" spans="1:9">
      <c r="A1723" s="10" t="s">
        <v>2549</v>
      </c>
      <c r="B1723" s="124" t="s">
        <v>497</v>
      </c>
      <c r="C1723" s="124" t="s">
        <v>423</v>
      </c>
      <c r="D1723" s="14">
        <v>8123170.71</v>
      </c>
      <c r="E1723" s="82">
        <v>0.96285746890000001</v>
      </c>
      <c r="F1723" s="14">
        <v>7821455.5899999999</v>
      </c>
      <c r="G1723" s="14">
        <v>0.01</v>
      </c>
      <c r="H1723" s="10"/>
      <c r="I1723" s="10"/>
    </row>
    <row r="1724" spans="1:9">
      <c r="A1724" s="10" t="s">
        <v>2550</v>
      </c>
      <c r="B1724" s="124" t="s">
        <v>485</v>
      </c>
      <c r="C1724" s="124" t="s">
        <v>423</v>
      </c>
      <c r="D1724" s="14">
        <v>8123170.71</v>
      </c>
      <c r="E1724" s="82">
        <v>0.98616677740000003</v>
      </c>
      <c r="F1724" s="14">
        <v>8010801.0800000001</v>
      </c>
      <c r="G1724" s="14">
        <v>0.01</v>
      </c>
      <c r="H1724" s="10"/>
      <c r="I1724" s="10"/>
    </row>
    <row r="1725" spans="1:9">
      <c r="A1725" s="10" t="s">
        <v>2551</v>
      </c>
      <c r="B1725" s="124" t="s">
        <v>2552</v>
      </c>
      <c r="C1725" s="124" t="s">
        <v>423</v>
      </c>
      <c r="D1725" s="14">
        <v>8123170.7400000002</v>
      </c>
      <c r="E1725" s="82">
        <v>0.87429343079999999</v>
      </c>
      <c r="F1725" s="14">
        <v>7102034.8200000003</v>
      </c>
      <c r="G1725" s="14">
        <v>0.01</v>
      </c>
      <c r="H1725" s="10"/>
      <c r="I1725" s="10"/>
    </row>
    <row r="1726" spans="1:9">
      <c r="A1726" s="10" t="s">
        <v>2553</v>
      </c>
      <c r="B1726" s="124" t="s">
        <v>1525</v>
      </c>
      <c r="C1726" s="124" t="s">
        <v>423</v>
      </c>
      <c r="D1726" s="14">
        <v>8123170.71</v>
      </c>
      <c r="E1726" s="82">
        <v>0.89346931620000003</v>
      </c>
      <c r="F1726" s="14">
        <v>7257803.7800000003</v>
      </c>
      <c r="G1726" s="14">
        <v>0.01</v>
      </c>
      <c r="H1726" s="10"/>
      <c r="I1726" s="10"/>
    </row>
    <row r="1727" spans="1:9">
      <c r="A1727" s="10" t="s">
        <v>2554</v>
      </c>
      <c r="B1727" s="124" t="s">
        <v>257</v>
      </c>
      <c r="C1727" s="124" t="s">
        <v>423</v>
      </c>
      <c r="D1727" s="14">
        <v>8123170.71</v>
      </c>
      <c r="E1727" s="82">
        <v>0.91497044930000004</v>
      </c>
      <c r="F1727" s="14">
        <v>7432461.1500000004</v>
      </c>
      <c r="G1727" s="14">
        <v>0.01</v>
      </c>
      <c r="H1727" s="10"/>
      <c r="I1727" s="10"/>
    </row>
    <row r="1728" spans="1:9">
      <c r="A1728" s="10" t="s">
        <v>2555</v>
      </c>
      <c r="B1728" s="124" t="s">
        <v>504</v>
      </c>
      <c r="C1728" s="124" t="s">
        <v>423</v>
      </c>
      <c r="D1728" s="12">
        <v>445000</v>
      </c>
      <c r="E1728" s="82">
        <v>0.96367101150000001</v>
      </c>
      <c r="F1728" s="154">
        <v>428833.6</v>
      </c>
      <c r="G1728" s="12">
        <v>0</v>
      </c>
      <c r="H1728" s="10"/>
      <c r="I1728" s="10"/>
    </row>
    <row r="1729" spans="1:9">
      <c r="A1729" s="10" t="s">
        <v>2556</v>
      </c>
      <c r="B1729" s="124" t="s">
        <v>485</v>
      </c>
      <c r="C1729" s="124" t="s">
        <v>423</v>
      </c>
      <c r="D1729" s="14">
        <v>1129854.56</v>
      </c>
      <c r="E1729" s="82">
        <v>0.98616678589999995</v>
      </c>
      <c r="F1729" s="14">
        <v>1114225.04</v>
      </c>
      <c r="G1729" s="12">
        <v>0</v>
      </c>
      <c r="H1729" s="10"/>
      <c r="I1729" s="10"/>
    </row>
    <row r="1730" spans="1:9">
      <c r="A1730" s="10" t="s">
        <v>2557</v>
      </c>
      <c r="B1730" s="124" t="s">
        <v>1007</v>
      </c>
      <c r="C1730" s="124" t="s">
        <v>423</v>
      </c>
      <c r="D1730" s="14">
        <v>1129854.56</v>
      </c>
      <c r="E1730" s="158">
        <v>0.96204553100000001</v>
      </c>
      <c r="F1730" s="14">
        <v>1086971.53</v>
      </c>
      <c r="G1730" s="12">
        <v>0</v>
      </c>
      <c r="H1730" s="10"/>
      <c r="I1730" s="10"/>
    </row>
    <row r="1731" spans="1:9">
      <c r="A1731" s="10" t="s">
        <v>2558</v>
      </c>
      <c r="B1731" s="124" t="s">
        <v>1019</v>
      </c>
      <c r="C1731" s="124" t="s">
        <v>423</v>
      </c>
      <c r="D1731" s="14">
        <v>1129854.56</v>
      </c>
      <c r="E1731" s="82">
        <v>0.93676216160000003</v>
      </c>
      <c r="F1731" s="12">
        <v>1058405</v>
      </c>
      <c r="G1731" s="12">
        <v>0</v>
      </c>
      <c r="H1731" s="10"/>
      <c r="I1731" s="10"/>
    </row>
    <row r="1732" spans="1:9">
      <c r="A1732" s="10" t="s">
        <v>2559</v>
      </c>
      <c r="B1732" s="124" t="s">
        <v>257</v>
      </c>
      <c r="C1732" s="124" t="s">
        <v>423</v>
      </c>
      <c r="D1732" s="14">
        <v>1129854.56</v>
      </c>
      <c r="E1732" s="82">
        <v>0.91497044439999997</v>
      </c>
      <c r="F1732" s="14">
        <v>1033783.53</v>
      </c>
      <c r="G1732" s="12">
        <v>0</v>
      </c>
      <c r="H1732" s="10"/>
      <c r="I1732" s="10"/>
    </row>
    <row r="1733" spans="1:9">
      <c r="A1733" s="10" t="s">
        <v>2560</v>
      </c>
      <c r="B1733" s="124" t="s">
        <v>356</v>
      </c>
      <c r="C1733" s="124" t="s">
        <v>423</v>
      </c>
      <c r="D1733" s="14">
        <v>1129854.56</v>
      </c>
      <c r="E1733" s="82">
        <v>0.87228764169999995</v>
      </c>
      <c r="F1733" s="14">
        <v>985558.17</v>
      </c>
      <c r="G1733" s="12">
        <v>0</v>
      </c>
      <c r="H1733" s="10"/>
      <c r="I1733" s="10"/>
    </row>
    <row r="1734" spans="1:9">
      <c r="A1734" s="10" t="s">
        <v>2561</v>
      </c>
      <c r="B1734" s="124" t="s">
        <v>462</v>
      </c>
      <c r="C1734" s="124" t="s">
        <v>423</v>
      </c>
      <c r="D1734" s="14">
        <v>1129854.56</v>
      </c>
      <c r="E1734" s="82">
        <v>0.89137444430000001</v>
      </c>
      <c r="F1734" s="14">
        <v>1007123.48</v>
      </c>
      <c r="G1734" s="12">
        <v>0</v>
      </c>
      <c r="H1734" s="10"/>
      <c r="I1734" s="10"/>
    </row>
    <row r="1735" spans="1:9">
      <c r="A1735" s="10" t="s">
        <v>2562</v>
      </c>
      <c r="B1735" s="124" t="s">
        <v>450</v>
      </c>
      <c r="C1735" s="124" t="s">
        <v>423</v>
      </c>
      <c r="D1735" s="14">
        <v>2112204.7400000002</v>
      </c>
      <c r="E1735" s="82">
        <v>0.93599362990000001</v>
      </c>
      <c r="F1735" s="14">
        <v>1977010.18</v>
      </c>
      <c r="G1735" s="12">
        <v>0</v>
      </c>
      <c r="H1735" s="10"/>
      <c r="I1735" s="10"/>
    </row>
    <row r="1736" spans="1:9">
      <c r="A1736" s="10" t="s">
        <v>2563</v>
      </c>
      <c r="B1736" s="124" t="s">
        <v>448</v>
      </c>
      <c r="C1736" s="124" t="s">
        <v>423</v>
      </c>
      <c r="D1736" s="14">
        <v>2112204.7400000002</v>
      </c>
      <c r="E1736" s="82">
        <v>0.98531484670000002</v>
      </c>
      <c r="F1736" s="14">
        <v>2081186.69</v>
      </c>
      <c r="G1736" s="12">
        <v>0</v>
      </c>
      <c r="H1736" s="10"/>
      <c r="I1736" s="10"/>
    </row>
    <row r="1737" spans="1:9">
      <c r="A1737" s="10" t="s">
        <v>2564</v>
      </c>
      <c r="B1737" s="124" t="s">
        <v>500</v>
      </c>
      <c r="C1737" s="124" t="s">
        <v>423</v>
      </c>
      <c r="D1737" s="14">
        <v>2112204.7400000002</v>
      </c>
      <c r="E1737" s="82">
        <v>0.95800534989999997</v>
      </c>
      <c r="F1737" s="14">
        <v>2023503.44</v>
      </c>
      <c r="G1737" s="12">
        <v>0</v>
      </c>
      <c r="H1737" s="10"/>
      <c r="I1737" s="10"/>
    </row>
    <row r="1738" spans="1:9">
      <c r="A1738" s="10" t="s">
        <v>2565</v>
      </c>
      <c r="B1738" s="124" t="s">
        <v>583</v>
      </c>
      <c r="C1738" s="124" t="s">
        <v>423</v>
      </c>
      <c r="D1738" s="14">
        <v>2188623.9300000002</v>
      </c>
      <c r="E1738" s="82">
        <v>0.95720134560000003</v>
      </c>
      <c r="F1738" s="14">
        <v>2094953.77</v>
      </c>
      <c r="G1738" s="12">
        <v>0</v>
      </c>
      <c r="H1738" s="10"/>
      <c r="I1738" s="10"/>
    </row>
    <row r="1739" spans="1:9">
      <c r="A1739" s="10" t="s">
        <v>2566</v>
      </c>
      <c r="B1739" s="124" t="s">
        <v>2567</v>
      </c>
      <c r="C1739" s="124" t="s">
        <v>423</v>
      </c>
      <c r="D1739" s="12">
        <v>11820000</v>
      </c>
      <c r="E1739" s="82">
        <v>0.87900976249999996</v>
      </c>
      <c r="F1739" s="14">
        <v>10389895.390000001</v>
      </c>
      <c r="G1739" s="14">
        <v>0.01</v>
      </c>
      <c r="H1739" s="10"/>
      <c r="I1739" s="10"/>
    </row>
    <row r="1740" spans="1:9">
      <c r="A1740" s="10" t="s">
        <v>2569</v>
      </c>
      <c r="B1740" s="124" t="s">
        <v>527</v>
      </c>
      <c r="C1740" s="124" t="s">
        <v>423</v>
      </c>
      <c r="D1740" s="12">
        <v>1509475</v>
      </c>
      <c r="E1740" s="82">
        <v>0.97604031830000004</v>
      </c>
      <c r="F1740" s="14">
        <v>1473308.46</v>
      </c>
      <c r="G1740" s="12">
        <v>0</v>
      </c>
      <c r="H1740" s="10"/>
      <c r="I1740" s="10"/>
    </row>
    <row r="1741" spans="1:9">
      <c r="A1741" s="10" t="s">
        <v>2570</v>
      </c>
      <c r="B1741" s="124" t="s">
        <v>750</v>
      </c>
      <c r="C1741" s="124" t="s">
        <v>423</v>
      </c>
      <c r="D1741" s="12">
        <v>1509475</v>
      </c>
      <c r="E1741" s="82">
        <v>0.95081795960000004</v>
      </c>
      <c r="F1741" s="14">
        <v>1435235.94</v>
      </c>
      <c r="G1741" s="12">
        <v>0</v>
      </c>
      <c r="H1741" s="10"/>
      <c r="I1741" s="10"/>
    </row>
    <row r="1742" spans="1:9">
      <c r="A1742" s="10" t="s">
        <v>2571</v>
      </c>
      <c r="B1742" s="124" t="s">
        <v>2572</v>
      </c>
      <c r="C1742" s="124" t="s">
        <v>423</v>
      </c>
      <c r="D1742" s="14">
        <v>1648012.48</v>
      </c>
      <c r="E1742" s="82">
        <v>0.90624709290000005</v>
      </c>
      <c r="F1742" s="14">
        <v>1493506.52</v>
      </c>
      <c r="G1742" s="12">
        <v>0</v>
      </c>
      <c r="H1742" s="10"/>
      <c r="I1742" s="10"/>
    </row>
    <row r="1743" spans="1:9">
      <c r="A1743" s="10" t="s">
        <v>2573</v>
      </c>
      <c r="B1743" s="124" t="s">
        <v>769</v>
      </c>
      <c r="C1743" s="124" t="s">
        <v>423</v>
      </c>
      <c r="D1743" s="12">
        <v>1620000</v>
      </c>
      <c r="E1743" s="82">
        <v>0.9268665546</v>
      </c>
      <c r="F1743" s="14">
        <v>1501523.82</v>
      </c>
      <c r="G1743" s="12">
        <v>0</v>
      </c>
      <c r="H1743" s="10"/>
      <c r="I1743" s="10"/>
    </row>
    <row r="1744" spans="1:9">
      <c r="A1744" s="10" t="s">
        <v>2574</v>
      </c>
      <c r="B1744" s="124" t="s">
        <v>655</v>
      </c>
      <c r="C1744" s="124" t="s">
        <v>423</v>
      </c>
      <c r="D1744" s="12">
        <v>1620000</v>
      </c>
      <c r="E1744" s="82">
        <v>0.95161129030000002</v>
      </c>
      <c r="F1744" s="14">
        <v>1541610.29</v>
      </c>
      <c r="G1744" s="12">
        <v>0</v>
      </c>
      <c r="H1744" s="10"/>
      <c r="I1744" s="10"/>
    </row>
    <row r="1745" spans="1:9">
      <c r="A1745" s="10" t="s">
        <v>2575</v>
      </c>
      <c r="B1745" s="124" t="s">
        <v>497</v>
      </c>
      <c r="C1745" s="124" t="s">
        <v>423</v>
      </c>
      <c r="D1745" s="14">
        <v>428767.71</v>
      </c>
      <c r="E1745" s="82">
        <v>0.96285748790000003</v>
      </c>
      <c r="F1745" s="154">
        <v>412842.2</v>
      </c>
      <c r="G1745" s="12">
        <v>0</v>
      </c>
      <c r="H1745" s="10"/>
      <c r="I1745" s="10"/>
    </row>
    <row r="1746" spans="1:9">
      <c r="A1746" s="10" t="s">
        <v>2576</v>
      </c>
      <c r="B1746" s="124" t="s">
        <v>1360</v>
      </c>
      <c r="C1746" s="124" t="s">
        <v>423</v>
      </c>
      <c r="D1746" s="14">
        <v>428767.71</v>
      </c>
      <c r="E1746" s="82">
        <v>0.93753221340000004</v>
      </c>
      <c r="F1746" s="14">
        <v>401983.54</v>
      </c>
      <c r="G1746" s="12">
        <v>0</v>
      </c>
      <c r="H1746" s="10"/>
      <c r="I1746" s="10"/>
    </row>
    <row r="1747" spans="1:9">
      <c r="A1747" s="10" t="s">
        <v>2577</v>
      </c>
      <c r="B1747" s="124" t="s">
        <v>450</v>
      </c>
      <c r="C1747" s="124" t="s">
        <v>423</v>
      </c>
      <c r="D1747" s="14">
        <v>1566916.35</v>
      </c>
      <c r="E1747" s="82">
        <v>0.93599363550000003</v>
      </c>
      <c r="F1747" s="14">
        <v>1466623.73</v>
      </c>
      <c r="G1747" s="12">
        <v>0</v>
      </c>
      <c r="H1747" s="10"/>
      <c r="I1747" s="10"/>
    </row>
    <row r="1748" spans="1:9">
      <c r="A1748" s="10" t="s">
        <v>2578</v>
      </c>
      <c r="B1748" s="124" t="s">
        <v>448</v>
      </c>
      <c r="C1748" s="124" t="s">
        <v>423</v>
      </c>
      <c r="D1748" s="14">
        <v>1566916.35</v>
      </c>
      <c r="E1748" s="82">
        <v>0.98531484449999995</v>
      </c>
      <c r="F1748" s="14">
        <v>1543905.94</v>
      </c>
      <c r="G1748" s="12">
        <v>0</v>
      </c>
      <c r="H1748" s="10"/>
      <c r="I1748" s="10"/>
    </row>
    <row r="1749" spans="1:9">
      <c r="A1749" s="10" t="s">
        <v>2579</v>
      </c>
      <c r="B1749" s="124" t="s">
        <v>2210</v>
      </c>
      <c r="C1749" s="124" t="s">
        <v>423</v>
      </c>
      <c r="D1749" s="14">
        <v>1566916.35</v>
      </c>
      <c r="E1749" s="158">
        <v>0.91131547700000004</v>
      </c>
      <c r="F1749" s="14">
        <v>1427955.12</v>
      </c>
      <c r="G1749" s="12">
        <v>0</v>
      </c>
      <c r="H1749" s="10"/>
      <c r="I1749" s="10"/>
    </row>
    <row r="1750" spans="1:9">
      <c r="A1750" s="10" t="s">
        <v>2580</v>
      </c>
      <c r="B1750" s="124" t="s">
        <v>500</v>
      </c>
      <c r="C1750" s="124" t="s">
        <v>423</v>
      </c>
      <c r="D1750" s="14">
        <v>1566916.35</v>
      </c>
      <c r="E1750" s="82">
        <v>0.95800535870000003</v>
      </c>
      <c r="F1750" s="14">
        <v>1501114.26</v>
      </c>
      <c r="G1750" s="12">
        <v>0</v>
      </c>
      <c r="H1750" s="10"/>
      <c r="I1750" s="10"/>
    </row>
    <row r="1751" spans="1:9">
      <c r="A1751" s="10" t="s">
        <v>2581</v>
      </c>
      <c r="B1751" s="124" t="s">
        <v>1699</v>
      </c>
      <c r="C1751" s="124" t="s">
        <v>423</v>
      </c>
      <c r="D1751" s="14">
        <v>1566916.35</v>
      </c>
      <c r="E1751" s="82">
        <v>0.88998355409999996</v>
      </c>
      <c r="F1751" s="14">
        <v>1394529.78</v>
      </c>
      <c r="G1751" s="12">
        <v>0</v>
      </c>
      <c r="H1751" s="10"/>
      <c r="I1751" s="10"/>
    </row>
    <row r="1752" spans="1:9">
      <c r="A1752" s="10" t="s">
        <v>2582</v>
      </c>
      <c r="B1752" s="124" t="s">
        <v>1360</v>
      </c>
      <c r="C1752" s="124" t="s">
        <v>423</v>
      </c>
      <c r="D1752" s="14">
        <v>17763197.079999998</v>
      </c>
      <c r="E1752" s="82">
        <v>0.93753218780000003</v>
      </c>
      <c r="F1752" s="14">
        <v>16653569.02</v>
      </c>
      <c r="G1752" s="14">
        <v>0.02</v>
      </c>
      <c r="H1752" s="10"/>
      <c r="I1752" s="10"/>
    </row>
    <row r="1753" spans="1:9">
      <c r="A1753" s="10" t="s">
        <v>2583</v>
      </c>
      <c r="B1753" s="124" t="s">
        <v>497</v>
      </c>
      <c r="C1753" s="124" t="s">
        <v>423</v>
      </c>
      <c r="D1753" s="14">
        <v>17763197.079999998</v>
      </c>
      <c r="E1753" s="82">
        <v>0.96285746890000001</v>
      </c>
      <c r="F1753" s="14">
        <v>17103426.98</v>
      </c>
      <c r="G1753" s="14">
        <v>0.02</v>
      </c>
      <c r="H1753" s="10"/>
      <c r="I1753" s="10"/>
    </row>
    <row r="1754" spans="1:9">
      <c r="A1754" s="10" t="s">
        <v>2584</v>
      </c>
      <c r="B1754" s="124" t="s">
        <v>529</v>
      </c>
      <c r="C1754" s="124" t="s">
        <v>423</v>
      </c>
      <c r="D1754" s="12">
        <v>5000000</v>
      </c>
      <c r="E1754" s="158">
        <v>0.98276802799999996</v>
      </c>
      <c r="F1754" s="14">
        <v>4913840.1399999997</v>
      </c>
      <c r="G1754" s="14">
        <v>0.01</v>
      </c>
      <c r="H1754" s="10"/>
      <c r="I1754" s="10"/>
    </row>
    <row r="1755" spans="1:9">
      <c r="A1755" s="10" t="s">
        <v>2585</v>
      </c>
      <c r="B1755" s="124" t="s">
        <v>500</v>
      </c>
      <c r="C1755" s="124" t="s">
        <v>423</v>
      </c>
      <c r="D1755" s="12">
        <v>5000000</v>
      </c>
      <c r="E1755" s="82">
        <v>0.95800535620000005</v>
      </c>
      <c r="F1755" s="14">
        <v>4790026.78</v>
      </c>
      <c r="G1755" s="14">
        <v>0.01</v>
      </c>
      <c r="H1755" s="10"/>
      <c r="I1755" s="10"/>
    </row>
    <row r="1756" spans="1:9">
      <c r="A1756" s="10" t="s">
        <v>2586</v>
      </c>
      <c r="B1756" s="124" t="s">
        <v>819</v>
      </c>
      <c r="C1756" s="124" t="s">
        <v>423</v>
      </c>
      <c r="D1756" s="12">
        <v>5000000</v>
      </c>
      <c r="E1756" s="82">
        <v>0.93522611649999998</v>
      </c>
      <c r="F1756" s="14">
        <v>4676130.58</v>
      </c>
      <c r="G1756" s="14">
        <v>0.01</v>
      </c>
      <c r="H1756" s="10"/>
      <c r="I1756" s="10"/>
    </row>
    <row r="1757" spans="1:9">
      <c r="A1757" s="10" t="s">
        <v>2587</v>
      </c>
      <c r="B1757" s="124" t="s">
        <v>504</v>
      </c>
      <c r="C1757" s="124" t="s">
        <v>423</v>
      </c>
      <c r="D1757" s="12">
        <v>2073150</v>
      </c>
      <c r="E1757" s="82">
        <v>0.96367101259999999</v>
      </c>
      <c r="F1757" s="14">
        <v>1997834.56</v>
      </c>
      <c r="G1757" s="12">
        <v>0</v>
      </c>
      <c r="H1757" s="10"/>
      <c r="I1757" s="10"/>
    </row>
    <row r="1758" spans="1:9">
      <c r="A1758" s="10" t="s">
        <v>2588</v>
      </c>
      <c r="B1758" s="124" t="s">
        <v>520</v>
      </c>
      <c r="C1758" s="124" t="s">
        <v>423</v>
      </c>
      <c r="D1758" s="12">
        <v>10000000</v>
      </c>
      <c r="E1758" s="82">
        <v>0.97445075020000005</v>
      </c>
      <c r="F1758" s="154">
        <v>9744507.5</v>
      </c>
      <c r="G1758" s="14">
        <v>0.01</v>
      </c>
      <c r="H1758" s="10"/>
      <c r="I1758" s="10"/>
    </row>
    <row r="1759" spans="1:9">
      <c r="A1759" s="10" t="s">
        <v>2589</v>
      </c>
      <c r="B1759" s="124" t="s">
        <v>520</v>
      </c>
      <c r="C1759" s="124" t="s">
        <v>423</v>
      </c>
      <c r="D1759" s="12">
        <v>40000000</v>
      </c>
      <c r="E1759" s="82">
        <v>0.97445074949999999</v>
      </c>
      <c r="F1759" s="14">
        <v>38978029.979999997</v>
      </c>
      <c r="G1759" s="14">
        <v>0.05</v>
      </c>
      <c r="H1759" s="10"/>
      <c r="I1759" s="10"/>
    </row>
    <row r="1760" spans="1:9">
      <c r="A1760" s="10" t="s">
        <v>2590</v>
      </c>
      <c r="B1760" s="124" t="s">
        <v>520</v>
      </c>
      <c r="C1760" s="124" t="s">
        <v>423</v>
      </c>
      <c r="D1760" s="12">
        <v>20000000</v>
      </c>
      <c r="E1760" s="82">
        <v>0.97445074949999999</v>
      </c>
      <c r="F1760" s="14">
        <v>19489014.989999998</v>
      </c>
      <c r="G1760" s="14">
        <v>0.03</v>
      </c>
      <c r="H1760" s="10"/>
      <c r="I1760" s="10"/>
    </row>
    <row r="1761" spans="1:9">
      <c r="A1761" s="10" t="s">
        <v>2591</v>
      </c>
      <c r="B1761" s="124" t="s">
        <v>750</v>
      </c>
      <c r="C1761" s="124" t="s">
        <v>423</v>
      </c>
      <c r="D1761" s="12">
        <v>50000000</v>
      </c>
      <c r="E1761" s="82">
        <v>0.94935885760000005</v>
      </c>
      <c r="F1761" s="14">
        <v>47467942.880000003</v>
      </c>
      <c r="G1761" s="14">
        <v>0.06</v>
      </c>
      <c r="H1761" s="10"/>
      <c r="I1761" s="10"/>
    </row>
    <row r="1762" spans="1:9">
      <c r="A1762" s="10" t="s">
        <v>2592</v>
      </c>
      <c r="B1762" s="124" t="s">
        <v>948</v>
      </c>
      <c r="C1762" s="124" t="s">
        <v>423</v>
      </c>
      <c r="D1762" s="12">
        <v>20000000</v>
      </c>
      <c r="E1762" s="82">
        <v>0.9550975585</v>
      </c>
      <c r="F1762" s="14">
        <v>19101951.170000002</v>
      </c>
      <c r="G1762" s="14">
        <v>0.03</v>
      </c>
      <c r="H1762" s="10"/>
      <c r="I1762" s="10"/>
    </row>
    <row r="1763" spans="1:9">
      <c r="A1763" s="10" t="s">
        <v>2593</v>
      </c>
      <c r="B1763" s="124" t="s">
        <v>806</v>
      </c>
      <c r="C1763" s="124" t="s">
        <v>423</v>
      </c>
      <c r="D1763" s="12">
        <v>520000000</v>
      </c>
      <c r="E1763" s="82">
        <v>0.90805066869999995</v>
      </c>
      <c r="F1763" s="14">
        <v>472186347.72000003</v>
      </c>
      <c r="G1763" s="14">
        <v>0.63</v>
      </c>
      <c r="H1763" s="10"/>
      <c r="I1763" s="10"/>
    </row>
    <row r="1764" spans="1:9">
      <c r="A1764" s="10" t="s">
        <v>2594</v>
      </c>
      <c r="B1764" s="124" t="s">
        <v>500</v>
      </c>
      <c r="C1764" s="124" t="s">
        <v>423</v>
      </c>
      <c r="D1764" s="12">
        <v>375000000</v>
      </c>
      <c r="E1764" s="82">
        <v>0.9567497827</v>
      </c>
      <c r="F1764" s="14">
        <v>358781168.50999999</v>
      </c>
      <c r="G1764" s="14">
        <v>0.48</v>
      </c>
      <c r="H1764" s="10"/>
      <c r="I1764" s="10"/>
    </row>
    <row r="1765" spans="1:9">
      <c r="A1765" s="10" t="s">
        <v>2595</v>
      </c>
      <c r="B1765" s="124" t="s">
        <v>819</v>
      </c>
      <c r="C1765" s="124" t="s">
        <v>423</v>
      </c>
      <c r="D1765" s="12">
        <v>375000000</v>
      </c>
      <c r="E1765" s="82">
        <v>0.93333686910000002</v>
      </c>
      <c r="F1765" s="14">
        <v>350001325.91000003</v>
      </c>
      <c r="G1765" s="14">
        <v>0.47</v>
      </c>
      <c r="H1765" s="10"/>
      <c r="I1765" s="10"/>
    </row>
    <row r="1766" spans="1:9">
      <c r="A1766" s="10" t="s">
        <v>2629</v>
      </c>
      <c r="B1766" s="124" t="s">
        <v>778</v>
      </c>
      <c r="C1766" s="124" t="s">
        <v>420</v>
      </c>
      <c r="D1766" s="12">
        <v>7000000</v>
      </c>
      <c r="E1766" s="82">
        <v>0.92475304879999998</v>
      </c>
      <c r="F1766" s="14">
        <v>6473271.3399999999</v>
      </c>
      <c r="G1766" s="14">
        <v>0.01</v>
      </c>
      <c r="H1766" s="10"/>
      <c r="I1766" s="10"/>
    </row>
    <row r="1767" spans="1:9">
      <c r="A1767" s="10" t="s">
        <v>2630</v>
      </c>
      <c r="B1767" s="124" t="s">
        <v>257</v>
      </c>
      <c r="C1767" s="124" t="s">
        <v>420</v>
      </c>
      <c r="D1767" s="12">
        <v>7000000</v>
      </c>
      <c r="E1767" s="82">
        <v>0.91985895939999995</v>
      </c>
      <c r="F1767" s="14">
        <v>6439012.7199999997</v>
      </c>
      <c r="G1767" s="14">
        <v>0.01</v>
      </c>
      <c r="H1767" s="10"/>
      <c r="I1767" s="10"/>
    </row>
    <row r="1768" spans="1:9">
      <c r="A1768" s="10" t="s">
        <v>2631</v>
      </c>
      <c r="B1768" s="124" t="s">
        <v>1519</v>
      </c>
      <c r="C1768" s="124" t="s">
        <v>420</v>
      </c>
      <c r="D1768" s="12">
        <v>14000000</v>
      </c>
      <c r="E1768" s="82">
        <v>0.90548265319999999</v>
      </c>
      <c r="F1768" s="14">
        <v>12676757.140000001</v>
      </c>
      <c r="G1768" s="14">
        <v>0.02</v>
      </c>
      <c r="H1768" s="10"/>
      <c r="I1768" s="10"/>
    </row>
    <row r="1769" spans="1:9">
      <c r="A1769" s="10" t="s">
        <v>2632</v>
      </c>
      <c r="B1769" s="124" t="s">
        <v>655</v>
      </c>
      <c r="C1769" s="124" t="s">
        <v>420</v>
      </c>
      <c r="D1769" s="12">
        <v>20000000</v>
      </c>
      <c r="E1769" s="158">
        <v>0.95449803099999997</v>
      </c>
      <c r="F1769" s="14">
        <v>19089960.620000001</v>
      </c>
      <c r="G1769" s="14">
        <v>0.03</v>
      </c>
      <c r="H1769" s="10"/>
      <c r="I1769" s="10"/>
    </row>
    <row r="1770" spans="1:9">
      <c r="A1770" s="10" t="s">
        <v>2633</v>
      </c>
      <c r="B1770" s="124" t="s">
        <v>948</v>
      </c>
      <c r="C1770" s="124" t="s">
        <v>420</v>
      </c>
      <c r="D1770" s="12">
        <v>10000000</v>
      </c>
      <c r="E1770" s="82">
        <v>0.95901212810000003</v>
      </c>
      <c r="F1770" s="14">
        <v>9590121.2799999993</v>
      </c>
      <c r="G1770" s="14">
        <v>0.01</v>
      </c>
      <c r="H1770" s="10"/>
      <c r="I1770" s="10"/>
    </row>
    <row r="1771" spans="1:9">
      <c r="A1771" s="10" t="s">
        <v>2634</v>
      </c>
      <c r="B1771" s="124" t="s">
        <v>583</v>
      </c>
      <c r="C1771" s="124" t="s">
        <v>420</v>
      </c>
      <c r="D1771" s="12">
        <v>10000000</v>
      </c>
      <c r="E1771" s="82">
        <v>0.95976870670000003</v>
      </c>
      <c r="F1771" s="14">
        <v>9597687.0700000003</v>
      </c>
      <c r="G1771" s="14">
        <v>0.01</v>
      </c>
      <c r="H1771" s="10"/>
      <c r="I1771" s="10"/>
    </row>
    <row r="1772" spans="1:9">
      <c r="A1772" s="10" t="s">
        <v>2635</v>
      </c>
      <c r="B1772" s="124" t="s">
        <v>502</v>
      </c>
      <c r="C1772" s="124" t="s">
        <v>420</v>
      </c>
      <c r="D1772" s="12">
        <v>10000000</v>
      </c>
      <c r="E1772" s="82">
        <v>0.95524749990000002</v>
      </c>
      <c r="F1772" s="12">
        <v>9552475</v>
      </c>
      <c r="G1772" s="14">
        <v>0.01</v>
      </c>
      <c r="H1772" s="10"/>
      <c r="I1772" s="10"/>
    </row>
    <row r="1773" spans="1:9">
      <c r="A1773" s="10" t="s">
        <v>2636</v>
      </c>
      <c r="B1773" s="124" t="s">
        <v>1699</v>
      </c>
      <c r="C1773" s="124" t="s">
        <v>420</v>
      </c>
      <c r="D1773" s="12">
        <v>35000000</v>
      </c>
      <c r="E1773" s="82">
        <v>0.89614552420000004</v>
      </c>
      <c r="F1773" s="14">
        <v>31365093.350000001</v>
      </c>
      <c r="G1773" s="14">
        <v>0.04</v>
      </c>
      <c r="H1773" s="10"/>
      <c r="I1773" s="10"/>
    </row>
    <row r="1774" spans="1:9">
      <c r="A1774" s="10" t="s">
        <v>2637</v>
      </c>
      <c r="B1774" s="124" t="s">
        <v>778</v>
      </c>
      <c r="C1774" s="124" t="s">
        <v>420</v>
      </c>
      <c r="D1774" s="12">
        <v>10000000</v>
      </c>
      <c r="E1774" s="82">
        <v>0.92475304879999998</v>
      </c>
      <c r="F1774" s="14">
        <v>9247530.4900000002</v>
      </c>
      <c r="G1774" s="14">
        <v>0.01</v>
      </c>
      <c r="H1774" s="10"/>
      <c r="I1774" s="10"/>
    </row>
    <row r="1775" spans="1:9">
      <c r="A1775" s="10" t="s">
        <v>2638</v>
      </c>
      <c r="B1775" s="124" t="s">
        <v>808</v>
      </c>
      <c r="C1775" s="124" t="s">
        <v>420</v>
      </c>
      <c r="D1775" s="12">
        <v>10000000</v>
      </c>
      <c r="E1775" s="82">
        <v>0.92969949190000001</v>
      </c>
      <c r="F1775" s="14">
        <v>9296994.9199999999</v>
      </c>
      <c r="G1775" s="14">
        <v>0.01</v>
      </c>
      <c r="H1775" s="10"/>
      <c r="I1775" s="10"/>
    </row>
    <row r="1776" spans="1:9">
      <c r="A1776" s="10" t="s">
        <v>2639</v>
      </c>
      <c r="B1776" s="124" t="s">
        <v>778</v>
      </c>
      <c r="C1776" s="124" t="s">
        <v>420</v>
      </c>
      <c r="D1776" s="12">
        <v>10000000</v>
      </c>
      <c r="E1776" s="82">
        <v>0.92475304879999998</v>
      </c>
      <c r="F1776" s="14">
        <v>9247530.4900000002</v>
      </c>
      <c r="G1776" s="14">
        <v>0.01</v>
      </c>
      <c r="H1776" s="10"/>
      <c r="I1776" s="10"/>
    </row>
    <row r="1777" spans="1:9">
      <c r="A1777" s="10" t="s">
        <v>2640</v>
      </c>
      <c r="B1777" s="124" t="s">
        <v>2641</v>
      </c>
      <c r="C1777" s="124" t="s">
        <v>420</v>
      </c>
      <c r="D1777" s="12">
        <v>10000000</v>
      </c>
      <c r="E1777" s="82">
        <v>0.9240506423</v>
      </c>
      <c r="F1777" s="14">
        <v>9240506.4199999999</v>
      </c>
      <c r="G1777" s="14">
        <v>0.01</v>
      </c>
      <c r="H1777" s="10"/>
      <c r="I1777" s="10"/>
    </row>
    <row r="1778" spans="1:9">
      <c r="A1778" s="10" t="s">
        <v>2643</v>
      </c>
      <c r="B1778" s="124" t="s">
        <v>474</v>
      </c>
      <c r="C1778" s="124" t="s">
        <v>420</v>
      </c>
      <c r="D1778" s="14">
        <v>9033526.6500000004</v>
      </c>
      <c r="E1778" s="82">
        <v>0.99696816629999996</v>
      </c>
      <c r="F1778" s="154">
        <v>9006138.5</v>
      </c>
      <c r="G1778" s="14">
        <v>0.01</v>
      </c>
      <c r="H1778" s="10"/>
      <c r="I1778" s="10"/>
    </row>
    <row r="1779" spans="1:9">
      <c r="A1779" s="10" t="s">
        <v>2644</v>
      </c>
      <c r="B1779" s="124" t="s">
        <v>441</v>
      </c>
      <c r="C1779" s="124" t="s">
        <v>420</v>
      </c>
      <c r="D1779" s="14">
        <v>7054622.8799999999</v>
      </c>
      <c r="E1779" s="82">
        <v>0.99395467049999997</v>
      </c>
      <c r="F1779" s="14">
        <v>7011975.3600000003</v>
      </c>
      <c r="G1779" s="14">
        <v>0.01</v>
      </c>
      <c r="H1779" s="10"/>
      <c r="I1779" s="10"/>
    </row>
    <row r="1780" spans="1:9">
      <c r="A1780" s="10" t="s">
        <v>2645</v>
      </c>
      <c r="B1780" s="124" t="s">
        <v>778</v>
      </c>
      <c r="C1780" s="124" t="s">
        <v>420</v>
      </c>
      <c r="D1780" s="12">
        <v>4000000</v>
      </c>
      <c r="E1780" s="82">
        <v>0.92013721859999997</v>
      </c>
      <c r="F1780" s="14">
        <v>3680548.87</v>
      </c>
      <c r="G1780" s="12">
        <v>0</v>
      </c>
      <c r="H1780" s="10"/>
      <c r="I1780" s="10"/>
    </row>
    <row r="1781" spans="1:9">
      <c r="A1781" s="10" t="s">
        <v>2646</v>
      </c>
      <c r="B1781" s="124" t="s">
        <v>808</v>
      </c>
      <c r="C1781" s="124" t="s">
        <v>420</v>
      </c>
      <c r="D1781" s="12">
        <v>4000000</v>
      </c>
      <c r="E1781" s="82">
        <v>0.92536259330000004</v>
      </c>
      <c r="F1781" s="14">
        <v>3701450.37</v>
      </c>
      <c r="G1781" s="12">
        <v>0</v>
      </c>
      <c r="H1781" s="10"/>
      <c r="I1781" s="10"/>
    </row>
    <row r="1782" spans="1:9">
      <c r="A1782" s="10" t="s">
        <v>2647</v>
      </c>
      <c r="B1782" s="124" t="s">
        <v>450</v>
      </c>
      <c r="C1782" s="124" t="s">
        <v>420</v>
      </c>
      <c r="D1782" s="14">
        <v>29431.84</v>
      </c>
      <c r="E1782" s="82">
        <v>0.93041107909999998</v>
      </c>
      <c r="F1782" s="14">
        <v>27383.71</v>
      </c>
      <c r="G1782" s="12">
        <v>0</v>
      </c>
      <c r="H1782" s="10"/>
      <c r="I1782" s="10"/>
    </row>
    <row r="1783" spans="1:9">
      <c r="A1783" s="10" t="s">
        <v>2648</v>
      </c>
      <c r="B1783" s="124" t="s">
        <v>446</v>
      </c>
      <c r="C1783" s="124" t="s">
        <v>420</v>
      </c>
      <c r="D1783" s="14">
        <v>29431.84</v>
      </c>
      <c r="E1783" s="82">
        <v>0.95512275179999995</v>
      </c>
      <c r="F1783" s="14">
        <v>28111.02</v>
      </c>
      <c r="G1783" s="12">
        <v>0</v>
      </c>
      <c r="H1783" s="10"/>
      <c r="I1783" s="10"/>
    </row>
    <row r="1784" spans="1:9">
      <c r="A1784" s="10" t="s">
        <v>2649</v>
      </c>
      <c r="B1784" s="124" t="s">
        <v>583</v>
      </c>
      <c r="C1784" s="124" t="s">
        <v>420</v>
      </c>
      <c r="D1784" s="14">
        <v>278508.32</v>
      </c>
      <c r="E1784" s="82">
        <v>0.95337611519999998</v>
      </c>
      <c r="F1784" s="14">
        <v>265523.18</v>
      </c>
      <c r="G1784" s="12">
        <v>0</v>
      </c>
      <c r="H1784" s="10"/>
      <c r="I1784" s="10"/>
    </row>
    <row r="1785" spans="1:9">
      <c r="A1785" s="10" t="s">
        <v>2650</v>
      </c>
      <c r="B1785" s="124" t="s">
        <v>488</v>
      </c>
      <c r="C1785" s="124" t="s">
        <v>420</v>
      </c>
      <c r="D1785" s="12">
        <v>5000000</v>
      </c>
      <c r="E1785" s="82">
        <v>0.98303271219999999</v>
      </c>
      <c r="F1785" s="14">
        <v>4915163.5599999996</v>
      </c>
      <c r="G1785" s="14">
        <v>0.01</v>
      </c>
      <c r="H1785" s="10"/>
      <c r="I1785" s="10"/>
    </row>
    <row r="1786" spans="1:9">
      <c r="A1786" s="10" t="s">
        <v>2651</v>
      </c>
      <c r="B1786" s="124" t="s">
        <v>480</v>
      </c>
      <c r="C1786" s="124" t="s">
        <v>420</v>
      </c>
      <c r="D1786" s="12">
        <v>5000000</v>
      </c>
      <c r="E1786" s="21">
        <v>0.99427953999999996</v>
      </c>
      <c r="F1786" s="154">
        <v>4971397.7</v>
      </c>
      <c r="G1786" s="14">
        <v>0.01</v>
      </c>
      <c r="H1786" s="10"/>
      <c r="I1786" s="10"/>
    </row>
    <row r="1787" spans="1:9">
      <c r="A1787" s="10" t="s">
        <v>2652</v>
      </c>
      <c r="B1787" s="124" t="s">
        <v>574</v>
      </c>
      <c r="C1787" s="124" t="s">
        <v>420</v>
      </c>
      <c r="D1787" s="12">
        <v>475000000</v>
      </c>
      <c r="E1787" s="82">
        <v>0.96858089660000002</v>
      </c>
      <c r="F1787" s="14">
        <v>460075925.88999999</v>
      </c>
      <c r="G1787" s="14">
        <v>0.61</v>
      </c>
      <c r="H1787" s="10"/>
      <c r="I1787" s="10"/>
    </row>
    <row r="1788" spans="1:9">
      <c r="A1788" s="10" t="s">
        <v>2653</v>
      </c>
      <c r="B1788" s="124" t="s">
        <v>948</v>
      </c>
      <c r="C1788" s="124" t="s">
        <v>420</v>
      </c>
      <c r="D1788" s="12">
        <v>10000000</v>
      </c>
      <c r="E1788" s="158">
        <v>0.95639874599999997</v>
      </c>
      <c r="F1788" s="14">
        <v>9563987.4600000009</v>
      </c>
      <c r="G1788" s="14">
        <v>0.01</v>
      </c>
      <c r="H1788" s="10"/>
      <c r="I1788" s="10"/>
    </row>
    <row r="1789" spans="1:9">
      <c r="A1789" s="10" t="s">
        <v>2654</v>
      </c>
      <c r="B1789" s="124" t="s">
        <v>488</v>
      </c>
      <c r="C1789" s="124" t="s">
        <v>420</v>
      </c>
      <c r="D1789" s="12">
        <v>80000000</v>
      </c>
      <c r="E1789" s="82">
        <v>0.98136759630000003</v>
      </c>
      <c r="F1789" s="154">
        <v>78509407.700000003</v>
      </c>
      <c r="G1789" s="154">
        <v>0.1</v>
      </c>
      <c r="H1789" s="10"/>
      <c r="I1789" s="10"/>
    </row>
    <row r="1790" spans="1:9">
      <c r="A1790" s="10" t="s">
        <v>2655</v>
      </c>
      <c r="B1790" s="124" t="s">
        <v>497</v>
      </c>
      <c r="C1790" s="124" t="s">
        <v>420</v>
      </c>
      <c r="D1790" s="154">
        <v>37348528.700000003</v>
      </c>
      <c r="E1790" s="82">
        <v>0.96285753259999995</v>
      </c>
      <c r="F1790" s="14">
        <v>35961312.189999998</v>
      </c>
      <c r="G1790" s="14">
        <v>0.05</v>
      </c>
      <c r="H1790" s="10"/>
      <c r="I1790" s="10"/>
    </row>
    <row r="1791" spans="1:9">
      <c r="A1791" s="10" t="s">
        <v>2656</v>
      </c>
      <c r="B1791" s="124" t="s">
        <v>485</v>
      </c>
      <c r="C1791" s="124" t="s">
        <v>420</v>
      </c>
      <c r="D1791" s="154">
        <v>37348528.700000003</v>
      </c>
      <c r="E1791" s="158">
        <v>0.98616665800000003</v>
      </c>
      <c r="F1791" s="14">
        <v>36831873.729999997</v>
      </c>
      <c r="G1791" s="14">
        <v>0.05</v>
      </c>
      <c r="H1791" s="10"/>
      <c r="I1791" s="10"/>
    </row>
    <row r="1792" spans="1:9">
      <c r="A1792" s="10" t="s">
        <v>2657</v>
      </c>
      <c r="B1792" s="124" t="s">
        <v>819</v>
      </c>
      <c r="C1792" s="124" t="s">
        <v>420</v>
      </c>
      <c r="D1792" s="14">
        <v>1027513.96</v>
      </c>
      <c r="E1792" s="82">
        <v>0.93522617519999995</v>
      </c>
      <c r="F1792" s="14">
        <v>960957.95</v>
      </c>
      <c r="G1792" s="12">
        <v>0</v>
      </c>
      <c r="H1792" s="10"/>
      <c r="I1792" s="10"/>
    </row>
    <row r="1793" spans="1:9">
      <c r="A1793" s="10" t="s">
        <v>2658</v>
      </c>
      <c r="B1793" s="124" t="s">
        <v>500</v>
      </c>
      <c r="C1793" s="124" t="s">
        <v>420</v>
      </c>
      <c r="D1793" s="14">
        <v>1027513.96</v>
      </c>
      <c r="E1793" s="82">
        <v>0.95800542659999999</v>
      </c>
      <c r="F1793" s="14">
        <v>984363.95</v>
      </c>
      <c r="G1793" s="12">
        <v>0</v>
      </c>
      <c r="H1793" s="10"/>
      <c r="I1793" s="10"/>
    </row>
    <row r="1794" spans="1:9">
      <c r="A1794" s="10" t="s">
        <v>2659</v>
      </c>
      <c r="B1794" s="124" t="s">
        <v>806</v>
      </c>
      <c r="C1794" s="124" t="s">
        <v>420</v>
      </c>
      <c r="D1794" s="14">
        <v>1027513.96</v>
      </c>
      <c r="E1794" s="82">
        <v>0.91058794890000005</v>
      </c>
      <c r="F1794" s="14">
        <v>935641.83</v>
      </c>
      <c r="G1794" s="12">
        <v>0</v>
      </c>
      <c r="H1794" s="10"/>
      <c r="I1794" s="10"/>
    </row>
    <row r="1795" spans="1:9">
      <c r="A1795" s="10" t="s">
        <v>2660</v>
      </c>
      <c r="B1795" s="124" t="s">
        <v>1699</v>
      </c>
      <c r="C1795" s="124" t="s">
        <v>420</v>
      </c>
      <c r="D1795" s="14">
        <v>1027513.96</v>
      </c>
      <c r="E1795" s="82">
        <v>0.88998361530000003</v>
      </c>
      <c r="F1795" s="14">
        <v>914470.59</v>
      </c>
      <c r="G1795" s="12">
        <v>0</v>
      </c>
      <c r="H1795" s="10"/>
      <c r="I1795" s="10"/>
    </row>
    <row r="1796" spans="1:9">
      <c r="A1796" s="10" t="s">
        <v>2661</v>
      </c>
      <c r="B1796" s="124" t="s">
        <v>754</v>
      </c>
      <c r="C1796" s="124" t="s">
        <v>420</v>
      </c>
      <c r="D1796" s="14">
        <v>21145734.48</v>
      </c>
      <c r="E1796" s="82">
        <v>0.93445992980000003</v>
      </c>
      <c r="F1796" s="14">
        <v>19759841.559999999</v>
      </c>
      <c r="G1796" s="14">
        <v>0.03</v>
      </c>
      <c r="H1796" s="10"/>
      <c r="I1796" s="10"/>
    </row>
    <row r="1797" spans="1:9">
      <c r="A1797" s="10" t="s">
        <v>2662</v>
      </c>
      <c r="B1797" s="124" t="s">
        <v>1178</v>
      </c>
      <c r="C1797" s="124" t="s">
        <v>420</v>
      </c>
      <c r="D1797" s="14">
        <v>21145734.48</v>
      </c>
      <c r="E1797" s="158">
        <v>0.88928966600000003</v>
      </c>
      <c r="F1797" s="14">
        <v>18804683.149999999</v>
      </c>
      <c r="G1797" s="14">
        <v>0.03</v>
      </c>
      <c r="H1797" s="10"/>
      <c r="I1797" s="10"/>
    </row>
    <row r="1798" spans="1:9">
      <c r="A1798" s="10" t="s">
        <v>2663</v>
      </c>
      <c r="B1798" s="124" t="s">
        <v>814</v>
      </c>
      <c r="C1798" s="124" t="s">
        <v>420</v>
      </c>
      <c r="D1798" s="14">
        <v>21145734.48</v>
      </c>
      <c r="E1798" s="82">
        <v>0.90986151469999998</v>
      </c>
      <c r="F1798" s="12">
        <v>19239690</v>
      </c>
      <c r="G1798" s="14">
        <v>0.03</v>
      </c>
      <c r="H1798" s="10"/>
      <c r="I1798" s="10"/>
    </row>
    <row r="1799" spans="1:9">
      <c r="A1799" s="10" t="s">
        <v>2664</v>
      </c>
      <c r="B1799" s="124" t="s">
        <v>1180</v>
      </c>
      <c r="C1799" s="124" t="s">
        <v>420</v>
      </c>
      <c r="D1799" s="14">
        <v>21145734.48</v>
      </c>
      <c r="E1799" s="82">
        <v>0.87029108580000003</v>
      </c>
      <c r="F1799" s="14">
        <v>18402944.219999999</v>
      </c>
      <c r="G1799" s="14">
        <v>0.02</v>
      </c>
      <c r="H1799" s="10"/>
      <c r="I1799" s="10"/>
    </row>
    <row r="1800" spans="1:9">
      <c r="A1800" s="10" t="s">
        <v>2665</v>
      </c>
      <c r="B1800" s="124" t="s">
        <v>502</v>
      </c>
      <c r="C1800" s="124" t="s">
        <v>420</v>
      </c>
      <c r="D1800" s="154">
        <v>121402.9</v>
      </c>
      <c r="E1800" s="82">
        <v>0.95099153270000003</v>
      </c>
      <c r="F1800" s="14">
        <v>115453.13</v>
      </c>
      <c r="G1800" s="12">
        <v>0</v>
      </c>
      <c r="H1800" s="10"/>
      <c r="I1800" s="10"/>
    </row>
    <row r="1801" spans="1:9">
      <c r="A1801" s="10" t="s">
        <v>2666</v>
      </c>
      <c r="B1801" s="124" t="s">
        <v>497</v>
      </c>
      <c r="C1801" s="124" t="s">
        <v>420</v>
      </c>
      <c r="D1801" s="14">
        <v>437966.99</v>
      </c>
      <c r="E1801" s="82">
        <v>0.9617412259</v>
      </c>
      <c r="F1801" s="14">
        <v>421210.91</v>
      </c>
      <c r="G1801" s="12">
        <v>0</v>
      </c>
      <c r="H1801" s="10"/>
      <c r="I1801" s="10"/>
    </row>
    <row r="1802" spans="1:9">
      <c r="A1802" s="10" t="s">
        <v>2667</v>
      </c>
      <c r="B1802" s="124" t="s">
        <v>1019</v>
      </c>
      <c r="C1802" s="124" t="s">
        <v>420</v>
      </c>
      <c r="D1802" s="14">
        <v>78805.34</v>
      </c>
      <c r="E1802" s="82">
        <v>0.93491443679999997</v>
      </c>
      <c r="F1802" s="14">
        <v>73676.25</v>
      </c>
      <c r="G1802" s="12">
        <v>0</v>
      </c>
      <c r="H1802" s="10"/>
      <c r="I1802" s="10"/>
    </row>
    <row r="1803" spans="1:9">
      <c r="A1803" s="10" t="s">
        <v>2668</v>
      </c>
      <c r="B1803" s="124" t="s">
        <v>502</v>
      </c>
      <c r="C1803" s="124" t="s">
        <v>420</v>
      </c>
      <c r="D1803" s="14">
        <v>281718.78999999998</v>
      </c>
      <c r="E1803" s="82">
        <v>0.95099162589999997</v>
      </c>
      <c r="F1803" s="14">
        <v>267912.21000000002</v>
      </c>
      <c r="G1803" s="12">
        <v>0</v>
      </c>
      <c r="H1803" s="10"/>
      <c r="I1803" s="10"/>
    </row>
    <row r="1804" spans="1:9">
      <c r="A1804" s="10" t="s">
        <v>2669</v>
      </c>
      <c r="B1804" s="124" t="s">
        <v>769</v>
      </c>
      <c r="C1804" s="124" t="s">
        <v>420</v>
      </c>
      <c r="D1804" s="12">
        <v>85000000</v>
      </c>
      <c r="E1804" s="82">
        <v>0.92055505770000001</v>
      </c>
      <c r="F1804" s="154">
        <v>78247179.900000006</v>
      </c>
      <c r="G1804" s="154">
        <v>0.1</v>
      </c>
      <c r="H1804" s="10"/>
      <c r="I1804" s="10"/>
    </row>
    <row r="1805" spans="1:9">
      <c r="A1805" s="10" t="s">
        <v>2670</v>
      </c>
      <c r="B1805" s="124" t="s">
        <v>524</v>
      </c>
      <c r="C1805" s="124" t="s">
        <v>420</v>
      </c>
      <c r="D1805" s="12">
        <v>50000000</v>
      </c>
      <c r="E1805" s="82">
        <v>0.97105461910000002</v>
      </c>
      <c r="F1805" s="14">
        <v>48552730.960000001</v>
      </c>
      <c r="G1805" s="14">
        <v>0.06</v>
      </c>
      <c r="H1805" s="10"/>
      <c r="I1805" s="10"/>
    </row>
    <row r="1806" spans="1:9">
      <c r="A1806" s="10" t="s">
        <v>2671</v>
      </c>
      <c r="B1806" s="124" t="s">
        <v>819</v>
      </c>
      <c r="C1806" s="124" t="s">
        <v>420</v>
      </c>
      <c r="D1806" s="12">
        <v>50000000</v>
      </c>
      <c r="E1806" s="82">
        <v>0.93522618280000003</v>
      </c>
      <c r="F1806" s="14">
        <v>46761309.140000001</v>
      </c>
      <c r="G1806" s="14">
        <v>0.06</v>
      </c>
      <c r="H1806" s="10"/>
      <c r="I1806" s="10"/>
    </row>
    <row r="1807" spans="1:9">
      <c r="A1807" s="10" t="s">
        <v>2672</v>
      </c>
      <c r="B1807" s="124" t="s">
        <v>883</v>
      </c>
      <c r="C1807" s="124" t="s">
        <v>420</v>
      </c>
      <c r="D1807" s="12">
        <v>50000000</v>
      </c>
      <c r="E1807" s="82">
        <v>0.96530206659999995</v>
      </c>
      <c r="F1807" s="14">
        <v>48265103.329999998</v>
      </c>
      <c r="G1807" s="14">
        <v>0.06</v>
      </c>
      <c r="H1807" s="10"/>
      <c r="I1807" s="10"/>
    </row>
    <row r="1808" spans="1:9">
      <c r="A1808" s="10" t="s">
        <v>2673</v>
      </c>
      <c r="B1808" s="124" t="s">
        <v>1007</v>
      </c>
      <c r="C1808" s="124" t="s">
        <v>420</v>
      </c>
      <c r="D1808" s="12">
        <v>50000000</v>
      </c>
      <c r="E1808" s="82">
        <v>0.96204535980000006</v>
      </c>
      <c r="F1808" s="14">
        <v>48102267.990000002</v>
      </c>
      <c r="G1808" s="14">
        <v>0.06</v>
      </c>
      <c r="H1808" s="10"/>
      <c r="I1808" s="10"/>
    </row>
    <row r="1809" spans="1:9">
      <c r="A1809" s="10" t="s">
        <v>2674</v>
      </c>
      <c r="B1809" s="124" t="s">
        <v>446</v>
      </c>
      <c r="C1809" s="124" t="s">
        <v>420</v>
      </c>
      <c r="D1809" s="12">
        <v>50000000</v>
      </c>
      <c r="E1809" s="82">
        <v>0.95881055319999997</v>
      </c>
      <c r="F1809" s="14">
        <v>47940527.659999996</v>
      </c>
      <c r="G1809" s="14">
        <v>0.06</v>
      </c>
      <c r="H1809" s="10"/>
      <c r="I1809" s="10"/>
    </row>
    <row r="1810" spans="1:9">
      <c r="A1810" s="10" t="s">
        <v>2675</v>
      </c>
      <c r="B1810" s="124" t="s">
        <v>1519</v>
      </c>
      <c r="C1810" s="124" t="s">
        <v>420</v>
      </c>
      <c r="D1810" s="12">
        <v>32000000</v>
      </c>
      <c r="E1810" s="82">
        <v>0.89143989940000001</v>
      </c>
      <c r="F1810" s="14">
        <v>28526076.780000001</v>
      </c>
      <c r="G1810" s="14">
        <v>0.04</v>
      </c>
      <c r="H1810" s="10"/>
      <c r="I1810" s="10"/>
    </row>
    <row r="1811" spans="1:9">
      <c r="A1811" s="10" t="s">
        <v>2676</v>
      </c>
      <c r="B1811" s="124" t="s">
        <v>287</v>
      </c>
      <c r="C1811" s="124" t="s">
        <v>420</v>
      </c>
      <c r="D1811" s="12">
        <v>50000000</v>
      </c>
      <c r="E1811" s="82">
        <v>0.91022456419999997</v>
      </c>
      <c r="F1811" s="14">
        <v>45511228.210000001</v>
      </c>
      <c r="G1811" s="14">
        <v>0.06</v>
      </c>
      <c r="H1811" s="10"/>
      <c r="I1811" s="10"/>
    </row>
    <row r="1812" spans="1:9">
      <c r="A1812" s="10" t="s">
        <v>2677</v>
      </c>
      <c r="B1812" s="124" t="s">
        <v>1378</v>
      </c>
      <c r="C1812" s="124" t="s">
        <v>420</v>
      </c>
      <c r="D1812" s="12">
        <v>50000000</v>
      </c>
      <c r="E1812" s="158">
        <v>0.91364226299999995</v>
      </c>
      <c r="F1812" s="14">
        <v>45682113.149999999</v>
      </c>
      <c r="G1812" s="14">
        <v>0.06</v>
      </c>
      <c r="H1812" s="10"/>
      <c r="I1812" s="10"/>
    </row>
    <row r="1813" spans="1:9">
      <c r="A1813" s="10" t="s">
        <v>2678</v>
      </c>
      <c r="B1813" s="124" t="s">
        <v>287</v>
      </c>
      <c r="C1813" s="124" t="s">
        <v>420</v>
      </c>
      <c r="D1813" s="12">
        <v>50000000</v>
      </c>
      <c r="E1813" s="82">
        <v>0.91022456419999997</v>
      </c>
      <c r="F1813" s="14">
        <v>45511228.210000001</v>
      </c>
      <c r="G1813" s="14">
        <v>0.06</v>
      </c>
      <c r="H1813" s="10"/>
      <c r="I1813" s="10"/>
    </row>
    <row r="1814" spans="1:9">
      <c r="A1814" s="10" t="s">
        <v>2679</v>
      </c>
      <c r="B1814" s="124" t="s">
        <v>2680</v>
      </c>
      <c r="C1814" s="124" t="s">
        <v>420</v>
      </c>
      <c r="D1814" s="12">
        <v>50000000</v>
      </c>
      <c r="E1814" s="82">
        <v>0.90886454459999999</v>
      </c>
      <c r="F1814" s="14">
        <v>45443227.229999997</v>
      </c>
      <c r="G1814" s="14">
        <v>0.06</v>
      </c>
      <c r="H1814" s="10"/>
      <c r="I1814" s="10"/>
    </row>
    <row r="1815" spans="1:9">
      <c r="A1815" s="10" t="s">
        <v>2681</v>
      </c>
      <c r="B1815" s="124" t="s">
        <v>257</v>
      </c>
      <c r="C1815" s="124" t="s">
        <v>420</v>
      </c>
      <c r="D1815" s="12">
        <v>17200000</v>
      </c>
      <c r="E1815" s="158">
        <v>0.91497051500000004</v>
      </c>
      <c r="F1815" s="14">
        <v>15737492.859999999</v>
      </c>
      <c r="G1815" s="14">
        <v>0.02</v>
      </c>
      <c r="H1815" s="10"/>
      <c r="I1815" s="10"/>
    </row>
    <row r="1816" spans="1:9">
      <c r="A1816" s="10" t="s">
        <v>2682</v>
      </c>
      <c r="B1816" s="124" t="s">
        <v>1378</v>
      </c>
      <c r="C1816" s="124" t="s">
        <v>420</v>
      </c>
      <c r="D1816" s="12">
        <v>19500000</v>
      </c>
      <c r="E1816" s="82">
        <v>0.9084123663</v>
      </c>
      <c r="F1816" s="14">
        <v>17714041.140000001</v>
      </c>
      <c r="G1816" s="14">
        <v>0.02</v>
      </c>
      <c r="H1816" s="10"/>
      <c r="I1816" s="10"/>
    </row>
    <row r="1817" spans="1:9">
      <c r="A1817" s="10" t="s">
        <v>2683</v>
      </c>
      <c r="B1817" s="124" t="s">
        <v>814</v>
      </c>
      <c r="C1817" s="124" t="s">
        <v>420</v>
      </c>
      <c r="D1817" s="12">
        <v>18500000</v>
      </c>
      <c r="E1817" s="82">
        <v>0.90986151469999998</v>
      </c>
      <c r="F1817" s="14">
        <v>16832438.02</v>
      </c>
      <c r="G1817" s="14">
        <v>0.02</v>
      </c>
      <c r="H1817" s="10"/>
      <c r="I1817" s="10"/>
    </row>
    <row r="1818" spans="1:9">
      <c r="A1818" s="10" t="s">
        <v>2684</v>
      </c>
      <c r="B1818" s="124" t="s">
        <v>651</v>
      </c>
      <c r="C1818" s="124" t="s">
        <v>420</v>
      </c>
      <c r="D1818" s="12">
        <v>8000000</v>
      </c>
      <c r="E1818" s="82">
        <v>0.93984972830000002</v>
      </c>
      <c r="F1818" s="14">
        <v>7518797.8300000001</v>
      </c>
      <c r="G1818" s="14">
        <v>0.01</v>
      </c>
      <c r="H1818" s="10"/>
      <c r="I1818" s="10"/>
    </row>
    <row r="1819" spans="1:9">
      <c r="A1819" s="10" t="s">
        <v>2685</v>
      </c>
      <c r="B1819" s="124" t="s">
        <v>651</v>
      </c>
      <c r="C1819" s="124" t="s">
        <v>420</v>
      </c>
      <c r="D1819" s="12">
        <v>8000000</v>
      </c>
      <c r="E1819" s="82">
        <v>0.93984972830000002</v>
      </c>
      <c r="F1819" s="14">
        <v>7518797.8300000001</v>
      </c>
      <c r="G1819" s="14">
        <v>0.01</v>
      </c>
      <c r="H1819" s="10"/>
      <c r="I1819" s="10"/>
    </row>
    <row r="1820" spans="1:9">
      <c r="A1820" s="10" t="s">
        <v>2686</v>
      </c>
      <c r="B1820" s="124" t="s">
        <v>651</v>
      </c>
      <c r="C1820" s="124" t="s">
        <v>420</v>
      </c>
      <c r="D1820" s="12">
        <v>8000000</v>
      </c>
      <c r="E1820" s="82">
        <v>0.93984972830000002</v>
      </c>
      <c r="F1820" s="14">
        <v>7518797.8300000001</v>
      </c>
      <c r="G1820" s="14">
        <v>0.01</v>
      </c>
      <c r="H1820" s="10"/>
      <c r="I1820" s="10"/>
    </row>
    <row r="1821" spans="1:9">
      <c r="A1821" s="10" t="s">
        <v>2687</v>
      </c>
      <c r="B1821" s="124" t="s">
        <v>651</v>
      </c>
      <c r="C1821" s="124" t="s">
        <v>420</v>
      </c>
      <c r="D1821" s="12">
        <v>8000000</v>
      </c>
      <c r="E1821" s="82">
        <v>0.93984972830000002</v>
      </c>
      <c r="F1821" s="14">
        <v>7518797.8300000001</v>
      </c>
      <c r="G1821" s="14">
        <v>0.01</v>
      </c>
      <c r="H1821" s="10"/>
      <c r="I1821" s="10"/>
    </row>
    <row r="1822" spans="1:9">
      <c r="A1822" s="10" t="s">
        <v>2688</v>
      </c>
      <c r="B1822" s="124" t="s">
        <v>651</v>
      </c>
      <c r="C1822" s="124" t="s">
        <v>420</v>
      </c>
      <c r="D1822" s="12">
        <v>8000000</v>
      </c>
      <c r="E1822" s="82">
        <v>0.93984972830000002</v>
      </c>
      <c r="F1822" s="14">
        <v>7518797.8300000001</v>
      </c>
      <c r="G1822" s="14">
        <v>0.01</v>
      </c>
      <c r="H1822" s="10"/>
      <c r="I1822" s="10"/>
    </row>
    <row r="1823" spans="1:9">
      <c r="A1823" s="10" t="s">
        <v>2689</v>
      </c>
      <c r="B1823" s="124" t="s">
        <v>1360</v>
      </c>
      <c r="C1823" s="124" t="s">
        <v>420</v>
      </c>
      <c r="D1823" s="12">
        <v>8000000</v>
      </c>
      <c r="E1823" s="82">
        <v>0.93753225549999997</v>
      </c>
      <c r="F1823" s="14">
        <v>7500258.04</v>
      </c>
      <c r="G1823" s="14">
        <v>0.01</v>
      </c>
      <c r="H1823" s="10"/>
      <c r="I1823" s="10"/>
    </row>
    <row r="1824" spans="1:9">
      <c r="A1824" s="10" t="s">
        <v>2690</v>
      </c>
      <c r="B1824" s="124" t="s">
        <v>527</v>
      </c>
      <c r="C1824" s="124" t="s">
        <v>420</v>
      </c>
      <c r="D1824" s="12">
        <v>358000000</v>
      </c>
      <c r="E1824" s="82">
        <v>0.97022879890000002</v>
      </c>
      <c r="F1824" s="14">
        <v>347341910.00999999</v>
      </c>
      <c r="G1824" s="14">
        <v>0.46</v>
      </c>
      <c r="H1824" s="10"/>
      <c r="I1824" s="10"/>
    </row>
    <row r="1825" spans="1:9">
      <c r="A1825" s="10" t="s">
        <v>2691</v>
      </c>
      <c r="B1825" s="124" t="s">
        <v>819</v>
      </c>
      <c r="C1825" s="124" t="s">
        <v>420</v>
      </c>
      <c r="D1825" s="12">
        <v>2019362</v>
      </c>
      <c r="E1825" s="82">
        <v>0.94478829490000005</v>
      </c>
      <c r="F1825" s="14">
        <v>1907869.58</v>
      </c>
      <c r="G1825" s="12">
        <v>0</v>
      </c>
      <c r="H1825" s="10"/>
      <c r="I1825" s="10"/>
    </row>
    <row r="1826" spans="1:9">
      <c r="A1826" s="10" t="s">
        <v>2692</v>
      </c>
      <c r="B1826" s="124" t="s">
        <v>529</v>
      </c>
      <c r="C1826" s="124" t="s">
        <v>420</v>
      </c>
      <c r="D1826" s="12">
        <v>576780</v>
      </c>
      <c r="E1826" s="82">
        <v>0.98542132169999996</v>
      </c>
      <c r="F1826" s="14">
        <v>568371.31000000006</v>
      </c>
      <c r="G1826" s="12">
        <v>0</v>
      </c>
      <c r="H1826" s="10"/>
      <c r="I1826" s="10"/>
    </row>
    <row r="1827" spans="1:9">
      <c r="A1827" s="10" t="s">
        <v>2706</v>
      </c>
      <c r="B1827" s="124" t="s">
        <v>1486</v>
      </c>
      <c r="C1827" s="124" t="s">
        <v>422</v>
      </c>
      <c r="D1827" s="12">
        <v>50000000</v>
      </c>
      <c r="E1827" s="158">
        <v>0.912260556</v>
      </c>
      <c r="F1827" s="154">
        <v>45613027.799999997</v>
      </c>
      <c r="G1827" s="14">
        <v>0.06</v>
      </c>
      <c r="H1827" s="10"/>
      <c r="I1827" s="10"/>
    </row>
    <row r="1828" spans="1:9">
      <c r="A1828" s="10" t="s">
        <v>2707</v>
      </c>
      <c r="B1828" s="124" t="s">
        <v>450</v>
      </c>
      <c r="C1828" s="124" t="s">
        <v>422</v>
      </c>
      <c r="D1828" s="12">
        <v>20000000</v>
      </c>
      <c r="E1828" s="82">
        <v>0.93975291139999995</v>
      </c>
      <c r="F1828" s="14">
        <v>18795058.23</v>
      </c>
      <c r="G1828" s="14">
        <v>0.02</v>
      </c>
      <c r="H1828" s="10"/>
      <c r="I1828" s="10"/>
    </row>
    <row r="1829" spans="1:9">
      <c r="A1829" s="10" t="s">
        <v>2708</v>
      </c>
      <c r="B1829" s="124" t="s">
        <v>756</v>
      </c>
      <c r="C1829" s="124" t="s">
        <v>422</v>
      </c>
      <c r="D1829" s="12">
        <v>5000000</v>
      </c>
      <c r="E1829" s="82">
        <v>0.90012346639999996</v>
      </c>
      <c r="F1829" s="14">
        <v>4500617.33</v>
      </c>
      <c r="G1829" s="14">
        <v>0.01</v>
      </c>
      <c r="H1829" s="10"/>
      <c r="I1829" s="10"/>
    </row>
    <row r="1830" spans="1:9">
      <c r="A1830" s="10" t="s">
        <v>2709</v>
      </c>
      <c r="B1830" s="124" t="s">
        <v>2543</v>
      </c>
      <c r="C1830" s="124" t="s">
        <v>422</v>
      </c>
      <c r="D1830" s="12">
        <v>25000000</v>
      </c>
      <c r="E1830" s="82">
        <v>0.92334936440000004</v>
      </c>
      <c r="F1830" s="14">
        <v>23083734.109999999</v>
      </c>
      <c r="G1830" s="14">
        <v>0.03</v>
      </c>
      <c r="H1830" s="10"/>
      <c r="I1830" s="10"/>
    </row>
    <row r="1831" spans="1:9">
      <c r="A1831" s="10" t="s">
        <v>2710</v>
      </c>
      <c r="B1831" s="124" t="s">
        <v>758</v>
      </c>
      <c r="C1831" s="124" t="s">
        <v>422</v>
      </c>
      <c r="D1831" s="12">
        <v>25000000</v>
      </c>
      <c r="E1831" s="82">
        <v>0.92055506949999999</v>
      </c>
      <c r="F1831" s="14">
        <v>23013876.739999998</v>
      </c>
      <c r="G1831" s="14">
        <v>0.03</v>
      </c>
      <c r="H1831" s="10"/>
      <c r="I1831" s="10"/>
    </row>
    <row r="1832" spans="1:9">
      <c r="A1832" s="10" t="s">
        <v>2711</v>
      </c>
      <c r="B1832" s="124" t="s">
        <v>769</v>
      </c>
      <c r="C1832" s="124" t="s">
        <v>422</v>
      </c>
      <c r="D1832" s="12">
        <v>250000000</v>
      </c>
      <c r="E1832" s="82">
        <v>0.93758028309999997</v>
      </c>
      <c r="F1832" s="14">
        <v>234395070.78</v>
      </c>
      <c r="G1832" s="14">
        <v>0.31</v>
      </c>
      <c r="H1832" s="10"/>
      <c r="I1832" s="10"/>
    </row>
    <row r="1833" spans="1:9">
      <c r="A1833" s="10" t="s">
        <v>2712</v>
      </c>
      <c r="B1833" s="124" t="s">
        <v>697</v>
      </c>
      <c r="C1833" s="124" t="s">
        <v>422</v>
      </c>
      <c r="D1833" s="12">
        <v>265000000</v>
      </c>
      <c r="E1833" s="82">
        <v>0.94084298079999995</v>
      </c>
      <c r="F1833" s="14">
        <v>249323389.91</v>
      </c>
      <c r="G1833" s="14">
        <v>0.33</v>
      </c>
      <c r="H1833" s="10"/>
      <c r="I1833" s="10"/>
    </row>
    <row r="1834" spans="1:9">
      <c r="A1834" s="10" t="s">
        <v>2713</v>
      </c>
      <c r="B1834" s="124" t="s">
        <v>651</v>
      </c>
      <c r="C1834" s="124" t="s">
        <v>422</v>
      </c>
      <c r="D1834" s="12">
        <v>30000000</v>
      </c>
      <c r="E1834" s="82">
        <v>0.94339639019999999</v>
      </c>
      <c r="F1834" s="14">
        <v>28301891.710000001</v>
      </c>
      <c r="G1834" s="14">
        <v>0.04</v>
      </c>
      <c r="H1834" s="10"/>
      <c r="I1834" s="10"/>
    </row>
    <row r="1835" spans="1:9">
      <c r="A1835" s="10" t="s">
        <v>2714</v>
      </c>
      <c r="B1835" s="124" t="s">
        <v>1007</v>
      </c>
      <c r="C1835" s="124" t="s">
        <v>422</v>
      </c>
      <c r="D1835" s="12">
        <v>30000000</v>
      </c>
      <c r="E1835" s="82">
        <v>0.96433297780000005</v>
      </c>
      <c r="F1835" s="14">
        <v>28929989.329999998</v>
      </c>
      <c r="G1835" s="14">
        <v>0.04</v>
      </c>
      <c r="H1835" s="10"/>
      <c r="I1835" s="10"/>
    </row>
    <row r="1836" spans="1:9">
      <c r="A1836" s="10" t="s">
        <v>2715</v>
      </c>
      <c r="B1836" s="124" t="s">
        <v>502</v>
      </c>
      <c r="C1836" s="124" t="s">
        <v>422</v>
      </c>
      <c r="D1836" s="12">
        <v>140000000</v>
      </c>
      <c r="E1836" s="82">
        <v>0.96040502019999996</v>
      </c>
      <c r="F1836" s="14">
        <v>134456702.83000001</v>
      </c>
      <c r="G1836" s="14">
        <v>0.18</v>
      </c>
      <c r="H1836" s="10"/>
      <c r="I1836" s="10"/>
    </row>
    <row r="1837" spans="1:9">
      <c r="A1837" s="10" t="s">
        <v>2716</v>
      </c>
      <c r="B1837" s="124" t="s">
        <v>1039</v>
      </c>
      <c r="C1837" s="124" t="s">
        <v>422</v>
      </c>
      <c r="D1837" s="12">
        <v>18000000</v>
      </c>
      <c r="E1837" s="82">
        <v>0.93041057930000004</v>
      </c>
      <c r="F1837" s="14">
        <v>16747390.43</v>
      </c>
      <c r="G1837" s="14">
        <v>0.02</v>
      </c>
      <c r="H1837" s="10"/>
      <c r="I1837" s="10"/>
    </row>
    <row r="1838" spans="1:9">
      <c r="A1838" s="10" t="s">
        <v>2717</v>
      </c>
      <c r="B1838" s="124" t="s">
        <v>647</v>
      </c>
      <c r="C1838" s="124" t="s">
        <v>422</v>
      </c>
      <c r="D1838" s="12">
        <v>8000000</v>
      </c>
      <c r="E1838" s="82">
        <v>0.94834759290000004</v>
      </c>
      <c r="F1838" s="14">
        <v>7586780.7400000002</v>
      </c>
      <c r="G1838" s="14">
        <v>0.01</v>
      </c>
      <c r="H1838" s="10"/>
      <c r="I1838" s="10"/>
    </row>
    <row r="1839" spans="1:9">
      <c r="A1839" s="10" t="s">
        <v>2718</v>
      </c>
      <c r="B1839" s="124" t="s">
        <v>524</v>
      </c>
      <c r="C1839" s="124" t="s">
        <v>422</v>
      </c>
      <c r="D1839" s="12">
        <v>7000000</v>
      </c>
      <c r="E1839" s="82">
        <v>0.97458087280000005</v>
      </c>
      <c r="F1839" s="14">
        <v>6822066.1100000003</v>
      </c>
      <c r="G1839" s="14">
        <v>0.01</v>
      </c>
      <c r="H1839" s="10"/>
      <c r="I1839" s="10"/>
    </row>
    <row r="1840" spans="1:9">
      <c r="A1840" s="10" t="s">
        <v>2719</v>
      </c>
      <c r="B1840" s="124" t="s">
        <v>504</v>
      </c>
      <c r="C1840" s="124" t="s">
        <v>422</v>
      </c>
      <c r="D1840" s="12">
        <v>7000000</v>
      </c>
      <c r="E1840" s="82">
        <v>0.96806723959999996</v>
      </c>
      <c r="F1840" s="14">
        <v>6776470.6799999997</v>
      </c>
      <c r="G1840" s="14">
        <v>0.01</v>
      </c>
      <c r="H1840" s="10"/>
      <c r="I1840" s="10"/>
    </row>
    <row r="1841" spans="1:9">
      <c r="A1841" s="10" t="s">
        <v>2720</v>
      </c>
      <c r="B1841" s="124" t="s">
        <v>883</v>
      </c>
      <c r="C1841" s="124" t="s">
        <v>422</v>
      </c>
      <c r="D1841" s="12">
        <v>7000000</v>
      </c>
      <c r="E1841" s="82">
        <v>0.96950710949999996</v>
      </c>
      <c r="F1841" s="14">
        <v>6786549.7699999996</v>
      </c>
      <c r="G1841" s="14">
        <v>0.01</v>
      </c>
      <c r="H1841" s="10"/>
      <c r="I1841" s="10"/>
    </row>
    <row r="1842" spans="1:9">
      <c r="A1842" s="10" t="s">
        <v>2721</v>
      </c>
      <c r="B1842" s="124" t="s">
        <v>793</v>
      </c>
      <c r="C1842" s="124" t="s">
        <v>422</v>
      </c>
      <c r="D1842" s="12">
        <v>8000000</v>
      </c>
      <c r="E1842" s="82">
        <v>0.95320175139999996</v>
      </c>
      <c r="F1842" s="14">
        <v>7625614.0099999998</v>
      </c>
      <c r="G1842" s="14">
        <v>0.01</v>
      </c>
      <c r="H1842" s="10"/>
      <c r="I1842" s="10"/>
    </row>
    <row r="1843" spans="1:9">
      <c r="A1843" s="10" t="s">
        <v>2722</v>
      </c>
      <c r="B1843" s="124" t="s">
        <v>567</v>
      </c>
      <c r="C1843" s="124" t="s">
        <v>422</v>
      </c>
      <c r="D1843" s="12">
        <v>8000000</v>
      </c>
      <c r="E1843" s="82">
        <v>0.9545979161</v>
      </c>
      <c r="F1843" s="14">
        <v>7636783.3300000001</v>
      </c>
      <c r="G1843" s="14">
        <v>0.01</v>
      </c>
      <c r="H1843" s="10"/>
      <c r="I1843" s="10"/>
    </row>
    <row r="1844" spans="1:9">
      <c r="A1844" s="10" t="s">
        <v>2723</v>
      </c>
      <c r="B1844" s="124" t="s">
        <v>948</v>
      </c>
      <c r="C1844" s="124" t="s">
        <v>422</v>
      </c>
      <c r="D1844" s="12">
        <v>8000000</v>
      </c>
      <c r="E1844" s="82">
        <v>0.96163989090000002</v>
      </c>
      <c r="F1844" s="14">
        <v>7693119.1299999999</v>
      </c>
      <c r="G1844" s="14">
        <v>0.01</v>
      </c>
      <c r="H1844" s="10"/>
      <c r="I1844" s="10"/>
    </row>
    <row r="1845" spans="1:9">
      <c r="A1845" s="10" t="s">
        <v>2724</v>
      </c>
      <c r="B1845" s="124" t="s">
        <v>450</v>
      </c>
      <c r="C1845" s="124" t="s">
        <v>422</v>
      </c>
      <c r="D1845" s="12">
        <v>8000000</v>
      </c>
      <c r="E1845" s="82">
        <v>0.9435426241</v>
      </c>
      <c r="F1845" s="14">
        <v>7548340.9900000002</v>
      </c>
      <c r="G1845" s="14">
        <v>0.01</v>
      </c>
      <c r="H1845" s="10"/>
      <c r="I1845" s="10"/>
    </row>
    <row r="1846" spans="1:9">
      <c r="A1846" s="10" t="s">
        <v>2725</v>
      </c>
      <c r="B1846" s="124" t="s">
        <v>500</v>
      </c>
      <c r="C1846" s="124" t="s">
        <v>422</v>
      </c>
      <c r="D1846" s="12">
        <v>8000000</v>
      </c>
      <c r="E1846" s="82">
        <v>0.96306068860000005</v>
      </c>
      <c r="F1846" s="14">
        <v>7704485.5099999998</v>
      </c>
      <c r="G1846" s="14">
        <v>0.01</v>
      </c>
      <c r="H1846" s="10"/>
      <c r="I1846" s="10"/>
    </row>
    <row r="1847" spans="1:9">
      <c r="A1847" s="10" t="s">
        <v>2726</v>
      </c>
      <c r="B1847" s="124" t="s">
        <v>450</v>
      </c>
      <c r="C1847" s="124" t="s">
        <v>422</v>
      </c>
      <c r="D1847" s="12">
        <v>8000000</v>
      </c>
      <c r="E1847" s="82">
        <v>0.9435426241</v>
      </c>
      <c r="F1847" s="14">
        <v>7548340.9900000002</v>
      </c>
      <c r="G1847" s="14">
        <v>0.01</v>
      </c>
      <c r="H1847" s="10"/>
      <c r="I1847" s="10"/>
    </row>
    <row r="1848" spans="1:9">
      <c r="A1848" s="10" t="s">
        <v>2727</v>
      </c>
      <c r="B1848" s="124" t="s">
        <v>651</v>
      </c>
      <c r="C1848" s="124" t="s">
        <v>422</v>
      </c>
      <c r="D1848" s="12">
        <v>8000000</v>
      </c>
      <c r="E1848" s="82">
        <v>0.94696985119999999</v>
      </c>
      <c r="F1848" s="14">
        <v>7575758.8099999996</v>
      </c>
      <c r="G1848" s="14">
        <v>0.01</v>
      </c>
      <c r="H1848" s="10"/>
      <c r="I1848" s="10"/>
    </row>
    <row r="1849" spans="1:9">
      <c r="A1849" s="10" t="s">
        <v>2728</v>
      </c>
      <c r="B1849" s="124" t="s">
        <v>758</v>
      </c>
      <c r="C1849" s="124" t="s">
        <v>422</v>
      </c>
      <c r="D1849" s="12">
        <v>7000000</v>
      </c>
      <c r="E1849" s="82">
        <v>0.92545659390000001</v>
      </c>
      <c r="F1849" s="14">
        <v>6478196.1600000001</v>
      </c>
      <c r="G1849" s="14">
        <v>0.01</v>
      </c>
      <c r="H1849" s="10"/>
      <c r="I1849" s="10"/>
    </row>
    <row r="1850" spans="1:9">
      <c r="A1850" s="10" t="s">
        <v>2729</v>
      </c>
      <c r="B1850" s="124" t="s">
        <v>651</v>
      </c>
      <c r="C1850" s="124" t="s">
        <v>422</v>
      </c>
      <c r="D1850" s="12">
        <v>8000000</v>
      </c>
      <c r="E1850" s="82">
        <v>0.94696985119999999</v>
      </c>
      <c r="F1850" s="14">
        <v>7575758.8099999996</v>
      </c>
      <c r="G1850" s="14">
        <v>0.01</v>
      </c>
      <c r="H1850" s="10"/>
      <c r="I1850" s="10"/>
    </row>
    <row r="1851" spans="1:9">
      <c r="A1851" s="10" t="s">
        <v>2730</v>
      </c>
      <c r="B1851" s="124" t="s">
        <v>680</v>
      </c>
      <c r="C1851" s="124" t="s">
        <v>422</v>
      </c>
      <c r="D1851" s="12">
        <v>33170000</v>
      </c>
      <c r="E1851" s="82">
        <v>0.97406079479999996</v>
      </c>
      <c r="F1851" s="14">
        <v>32309596.559999999</v>
      </c>
      <c r="G1851" s="14">
        <v>0.04</v>
      </c>
      <c r="H1851" s="10"/>
      <c r="I1851" s="10"/>
    </row>
    <row r="1852" spans="1:9">
      <c r="A1852" s="10" t="s">
        <v>2731</v>
      </c>
      <c r="B1852" s="124" t="s">
        <v>269</v>
      </c>
      <c r="C1852" s="124" t="s">
        <v>422</v>
      </c>
      <c r="D1852" s="12">
        <v>33250000</v>
      </c>
      <c r="E1852" s="82">
        <v>0.94943314769999998</v>
      </c>
      <c r="F1852" s="14">
        <v>31568652.16</v>
      </c>
      <c r="G1852" s="14">
        <v>0.04</v>
      </c>
      <c r="H1852" s="10"/>
      <c r="I1852" s="10"/>
    </row>
    <row r="1853" spans="1:9">
      <c r="A1853" s="10" t="s">
        <v>2732</v>
      </c>
      <c r="B1853" s="124" t="s">
        <v>504</v>
      </c>
      <c r="C1853" s="124" t="s">
        <v>422</v>
      </c>
      <c r="D1853" s="12">
        <v>33580000</v>
      </c>
      <c r="E1853" s="82">
        <v>0.96917253820000004</v>
      </c>
      <c r="F1853" s="14">
        <v>32544813.829999998</v>
      </c>
      <c r="G1853" s="14">
        <v>0.04</v>
      </c>
      <c r="H1853" s="10"/>
      <c r="I1853" s="10"/>
    </row>
    <row r="1854" spans="1:9">
      <c r="A1854" s="10" t="s">
        <v>2733</v>
      </c>
      <c r="B1854" s="124" t="s">
        <v>593</v>
      </c>
      <c r="C1854" s="124" t="s">
        <v>422</v>
      </c>
      <c r="D1854" s="12">
        <v>5000000</v>
      </c>
      <c r="E1854" s="157">
        <v>0.96663140000000003</v>
      </c>
      <c r="F1854" s="12">
        <v>4833157</v>
      </c>
      <c r="G1854" s="14">
        <v>0.01</v>
      </c>
      <c r="H1854" s="10"/>
      <c r="I1854" s="10"/>
    </row>
    <row r="1855" spans="1:9">
      <c r="A1855" s="10" t="s">
        <v>2734</v>
      </c>
      <c r="B1855" s="124" t="s">
        <v>524</v>
      </c>
      <c r="C1855" s="124" t="s">
        <v>422</v>
      </c>
      <c r="D1855" s="12">
        <v>5000000</v>
      </c>
      <c r="E1855" s="21">
        <v>0.97281457999999998</v>
      </c>
      <c r="F1855" s="154">
        <v>4864072.9000000004</v>
      </c>
      <c r="G1855" s="14">
        <v>0.01</v>
      </c>
      <c r="H1855" s="10"/>
      <c r="I1855" s="10"/>
    </row>
    <row r="1856" spans="1:9">
      <c r="A1856" s="10" t="s">
        <v>2735</v>
      </c>
      <c r="B1856" s="124" t="s">
        <v>527</v>
      </c>
      <c r="C1856" s="124" t="s">
        <v>422</v>
      </c>
      <c r="D1856" s="12">
        <v>5000000</v>
      </c>
      <c r="E1856" s="82">
        <v>0.9775040237</v>
      </c>
      <c r="F1856" s="14">
        <v>4887520.12</v>
      </c>
      <c r="G1856" s="14">
        <v>0.01</v>
      </c>
      <c r="H1856" s="10"/>
      <c r="I1856" s="10"/>
    </row>
    <row r="1857" spans="1:9">
      <c r="A1857" s="10" t="s">
        <v>2736</v>
      </c>
      <c r="B1857" s="124" t="s">
        <v>448</v>
      </c>
      <c r="C1857" s="124" t="s">
        <v>422</v>
      </c>
      <c r="D1857" s="12">
        <v>5000000</v>
      </c>
      <c r="E1857" s="82">
        <v>0.9862199519</v>
      </c>
      <c r="F1857" s="14">
        <v>4931099.76</v>
      </c>
      <c r="G1857" s="14">
        <v>0.01</v>
      </c>
      <c r="H1857" s="10"/>
      <c r="I1857" s="10"/>
    </row>
    <row r="1858" spans="1:9">
      <c r="A1858" s="10" t="s">
        <v>2737</v>
      </c>
      <c r="B1858" s="124" t="s">
        <v>680</v>
      </c>
      <c r="C1858" s="124" t="s">
        <v>422</v>
      </c>
      <c r="D1858" s="12">
        <v>5000000</v>
      </c>
      <c r="E1858" s="82">
        <v>0.97126148970000004</v>
      </c>
      <c r="F1858" s="14">
        <v>4856307.45</v>
      </c>
      <c r="G1858" s="14">
        <v>0.01</v>
      </c>
      <c r="H1858" s="10"/>
      <c r="I1858" s="10"/>
    </row>
    <row r="1859" spans="1:9">
      <c r="A1859" s="10" t="s">
        <v>2738</v>
      </c>
      <c r="B1859" s="124" t="s">
        <v>510</v>
      </c>
      <c r="C1859" s="124" t="s">
        <v>422</v>
      </c>
      <c r="D1859" s="12">
        <v>5000000</v>
      </c>
      <c r="E1859" s="158">
        <v>0.99184795599999998</v>
      </c>
      <c r="F1859" s="14">
        <v>4959239.78</v>
      </c>
      <c r="G1859" s="14">
        <v>0.01</v>
      </c>
      <c r="H1859" s="10"/>
      <c r="I1859" s="10"/>
    </row>
    <row r="1860" spans="1:9">
      <c r="A1860" s="10" t="s">
        <v>2739</v>
      </c>
      <c r="B1860" s="124" t="s">
        <v>772</v>
      </c>
      <c r="C1860" s="124" t="s">
        <v>422</v>
      </c>
      <c r="D1860" s="12">
        <v>27000000</v>
      </c>
      <c r="E1860" s="82">
        <v>0.8919407654</v>
      </c>
      <c r="F1860" s="14">
        <v>24082400.670000002</v>
      </c>
      <c r="G1860" s="14">
        <v>0.03</v>
      </c>
      <c r="H1860" s="10"/>
      <c r="I1860" s="10"/>
    </row>
    <row r="1861" spans="1:9">
      <c r="A1861" s="10" t="s">
        <v>2740</v>
      </c>
      <c r="B1861" s="124" t="s">
        <v>950</v>
      </c>
      <c r="C1861" s="124" t="s">
        <v>422</v>
      </c>
      <c r="D1861" s="154">
        <v>1555000.5</v>
      </c>
      <c r="E1861" s="82">
        <v>0.94903805549999998</v>
      </c>
      <c r="F1861" s="14">
        <v>1475754.65</v>
      </c>
      <c r="G1861" s="12">
        <v>0</v>
      </c>
      <c r="H1861" s="10"/>
      <c r="I1861" s="10"/>
    </row>
    <row r="1862" spans="1:9">
      <c r="A1862" s="10" t="s">
        <v>2741</v>
      </c>
      <c r="B1862" s="124" t="s">
        <v>948</v>
      </c>
      <c r="C1862" s="124" t="s">
        <v>422</v>
      </c>
      <c r="D1862" s="154">
        <v>1555000.5</v>
      </c>
      <c r="E1862" s="82">
        <v>0.95250533940000004</v>
      </c>
      <c r="F1862" s="14">
        <v>1481146.28</v>
      </c>
      <c r="G1862" s="12">
        <v>0</v>
      </c>
      <c r="H1862" s="10"/>
      <c r="I1862" s="10"/>
    </row>
    <row r="1863" spans="1:9">
      <c r="A1863" s="10" t="s">
        <v>2742</v>
      </c>
      <c r="B1863" s="124" t="s">
        <v>948</v>
      </c>
      <c r="C1863" s="124" t="s">
        <v>422</v>
      </c>
      <c r="D1863" s="14">
        <v>1250300.6499999999</v>
      </c>
      <c r="E1863" s="82">
        <v>0.95250533550000005</v>
      </c>
      <c r="F1863" s="14">
        <v>1190918.04</v>
      </c>
      <c r="G1863" s="12">
        <v>0</v>
      </c>
      <c r="H1863" s="10"/>
      <c r="I1863" s="10"/>
    </row>
    <row r="1864" spans="1:9">
      <c r="A1864" s="10" t="s">
        <v>2743</v>
      </c>
      <c r="B1864" s="124" t="s">
        <v>583</v>
      </c>
      <c r="C1864" s="124" t="s">
        <v>422</v>
      </c>
      <c r="D1864" s="154">
        <v>3256800.5</v>
      </c>
      <c r="E1864" s="82">
        <v>0.95337618629999998</v>
      </c>
      <c r="F1864" s="14">
        <v>3104956.04</v>
      </c>
      <c r="G1864" s="12">
        <v>0</v>
      </c>
      <c r="H1864" s="10"/>
      <c r="I1864" s="10"/>
    </row>
    <row r="1865" spans="1:9">
      <c r="A1865" s="10" t="s">
        <v>2744</v>
      </c>
      <c r="B1865" s="124" t="s">
        <v>593</v>
      </c>
      <c r="C1865" s="124" t="s">
        <v>422</v>
      </c>
      <c r="D1865" s="14">
        <v>1250300.6499999999</v>
      </c>
      <c r="E1865" s="82">
        <v>0.96128527939999997</v>
      </c>
      <c r="F1865" s="14">
        <v>1201895.6100000001</v>
      </c>
      <c r="G1865" s="12">
        <v>0</v>
      </c>
      <c r="H1865" s="10"/>
      <c r="I1865" s="10"/>
    </row>
    <row r="1866" spans="1:9">
      <c r="A1866" s="10" t="s">
        <v>2745</v>
      </c>
      <c r="B1866" s="124" t="s">
        <v>883</v>
      </c>
      <c r="C1866" s="124" t="s">
        <v>422</v>
      </c>
      <c r="D1866" s="154">
        <v>1555000.5</v>
      </c>
      <c r="E1866" s="82">
        <v>0.96217225610000001</v>
      </c>
      <c r="F1866" s="14">
        <v>1496178.34</v>
      </c>
      <c r="G1866" s="12">
        <v>0</v>
      </c>
      <c r="H1866" s="10"/>
      <c r="I1866" s="10"/>
    </row>
    <row r="1867" spans="1:9">
      <c r="A1867" s="10" t="s">
        <v>2746</v>
      </c>
      <c r="B1867" s="124" t="s">
        <v>502</v>
      </c>
      <c r="C1867" s="124" t="s">
        <v>422</v>
      </c>
      <c r="D1867" s="154">
        <v>3256800.5</v>
      </c>
      <c r="E1867" s="82">
        <v>0.94817511290000001</v>
      </c>
      <c r="F1867" s="14">
        <v>3088017.18</v>
      </c>
      <c r="G1867" s="12">
        <v>0</v>
      </c>
      <c r="H1867" s="10"/>
      <c r="I1867" s="10"/>
    </row>
    <row r="1868" spans="1:9">
      <c r="A1868" s="10" t="s">
        <v>2747</v>
      </c>
      <c r="B1868" s="124" t="s">
        <v>950</v>
      </c>
      <c r="C1868" s="124" t="s">
        <v>422</v>
      </c>
      <c r="D1868" s="14">
        <v>1250300.6499999999</v>
      </c>
      <c r="E1868" s="82">
        <v>0.94903805689999998</v>
      </c>
      <c r="F1868" s="154">
        <v>1186582.8999999999</v>
      </c>
      <c r="G1868" s="12">
        <v>0</v>
      </c>
      <c r="H1868" s="10"/>
      <c r="I1868" s="10"/>
    </row>
    <row r="1869" spans="1:9">
      <c r="A1869" s="10" t="s">
        <v>2748</v>
      </c>
      <c r="B1869" s="124" t="s">
        <v>883</v>
      </c>
      <c r="C1869" s="124" t="s">
        <v>422</v>
      </c>
      <c r="D1869" s="14">
        <v>1250300.6499999999</v>
      </c>
      <c r="E1869" s="82">
        <v>0.96217224990000005</v>
      </c>
      <c r="F1869" s="14">
        <v>1203004.5900000001</v>
      </c>
      <c r="G1869" s="12">
        <v>0</v>
      </c>
      <c r="H1869" s="10"/>
      <c r="I1869" s="10"/>
    </row>
    <row r="1870" spans="1:9">
      <c r="A1870" s="10" t="s">
        <v>2749</v>
      </c>
      <c r="B1870" s="124" t="s">
        <v>504</v>
      </c>
      <c r="C1870" s="124" t="s">
        <v>422</v>
      </c>
      <c r="D1870" s="154">
        <v>3256800.5</v>
      </c>
      <c r="E1870" s="158">
        <v>0.96040018100000002</v>
      </c>
      <c r="F1870" s="14">
        <v>3127831.79</v>
      </c>
      <c r="G1870" s="12">
        <v>0</v>
      </c>
      <c r="H1870" s="10"/>
      <c r="I1870" s="10"/>
    </row>
    <row r="1871" spans="1:9">
      <c r="A1871" s="10" t="s">
        <v>2750</v>
      </c>
      <c r="B1871" s="124" t="s">
        <v>504</v>
      </c>
      <c r="C1871" s="124" t="s">
        <v>422</v>
      </c>
      <c r="D1871" s="154">
        <v>3256800.5</v>
      </c>
      <c r="E1871" s="158">
        <v>0.96040018100000002</v>
      </c>
      <c r="F1871" s="14">
        <v>3127831.79</v>
      </c>
      <c r="G1871" s="12">
        <v>0</v>
      </c>
      <c r="H1871" s="10"/>
      <c r="I1871" s="10"/>
    </row>
    <row r="1872" spans="1:9">
      <c r="A1872" s="10" t="s">
        <v>2751</v>
      </c>
      <c r="B1872" s="124" t="s">
        <v>574</v>
      </c>
      <c r="C1872" s="124" t="s">
        <v>422</v>
      </c>
      <c r="D1872" s="154">
        <v>3256800.5</v>
      </c>
      <c r="E1872" s="82">
        <v>0.96573635030000005</v>
      </c>
      <c r="F1872" s="14">
        <v>3145210.63</v>
      </c>
      <c r="G1872" s="12">
        <v>0</v>
      </c>
      <c r="H1872" s="10"/>
      <c r="I1872" s="10"/>
    </row>
    <row r="1873" spans="1:9">
      <c r="A1873" s="10" t="s">
        <v>2752</v>
      </c>
      <c r="B1873" s="124" t="s">
        <v>497</v>
      </c>
      <c r="C1873" s="124" t="s">
        <v>422</v>
      </c>
      <c r="D1873" s="14">
        <v>1250300.6499999999</v>
      </c>
      <c r="E1873" s="82">
        <v>0.95951646509999999</v>
      </c>
      <c r="F1873" s="14">
        <v>1199684.06</v>
      </c>
      <c r="G1873" s="12">
        <v>0</v>
      </c>
      <c r="H1873" s="10"/>
      <c r="I1873" s="10"/>
    </row>
    <row r="1874" spans="1:9">
      <c r="A1874" s="10" t="s">
        <v>2753</v>
      </c>
      <c r="B1874" s="124" t="s">
        <v>497</v>
      </c>
      <c r="C1874" s="124" t="s">
        <v>422</v>
      </c>
      <c r="D1874" s="154">
        <v>1555000.5</v>
      </c>
      <c r="E1874" s="82">
        <v>0.95951646290000003</v>
      </c>
      <c r="F1874" s="14">
        <v>1492048.58</v>
      </c>
      <c r="G1874" s="12">
        <v>0</v>
      </c>
      <c r="H1874" s="10"/>
      <c r="I1874" s="10"/>
    </row>
    <row r="1875" spans="1:9">
      <c r="A1875" s="10" t="s">
        <v>2754</v>
      </c>
      <c r="B1875" s="124" t="s">
        <v>593</v>
      </c>
      <c r="C1875" s="124" t="s">
        <v>422</v>
      </c>
      <c r="D1875" s="154">
        <v>1555000.5</v>
      </c>
      <c r="E1875" s="82">
        <v>0.96128528579999994</v>
      </c>
      <c r="F1875" s="154">
        <v>1494799.1</v>
      </c>
      <c r="G1875" s="12">
        <v>0</v>
      </c>
      <c r="H1875" s="10"/>
      <c r="I1875" s="10"/>
    </row>
    <row r="1876" spans="1:9">
      <c r="A1876" s="10" t="s">
        <v>2755</v>
      </c>
      <c r="B1876" s="124" t="s">
        <v>655</v>
      </c>
      <c r="C1876" s="124" t="s">
        <v>422</v>
      </c>
      <c r="D1876" s="14">
        <v>47373027.109999999</v>
      </c>
      <c r="E1876" s="82">
        <v>0.95305257070000005</v>
      </c>
      <c r="F1876" s="14">
        <v>45148985.270000003</v>
      </c>
      <c r="G1876" s="14">
        <v>0.06</v>
      </c>
      <c r="H1876" s="10"/>
      <c r="I1876" s="10"/>
    </row>
    <row r="1877" spans="1:9">
      <c r="A1877" s="10" t="s">
        <v>2756</v>
      </c>
      <c r="B1877" s="124" t="s">
        <v>808</v>
      </c>
      <c r="C1877" s="124" t="s">
        <v>422</v>
      </c>
      <c r="D1877" s="14">
        <v>47373027.109999999</v>
      </c>
      <c r="E1877" s="82">
        <v>0.92752603919999999</v>
      </c>
      <c r="F1877" s="154">
        <v>43939716.200000003</v>
      </c>
      <c r="G1877" s="14">
        <v>0.06</v>
      </c>
      <c r="H1877" s="10"/>
      <c r="I1877" s="10"/>
    </row>
    <row r="1878" spans="1:9">
      <c r="A1878" s="10" t="s">
        <v>2757</v>
      </c>
      <c r="B1878" s="124" t="s">
        <v>500</v>
      </c>
      <c r="C1878" s="124" t="s">
        <v>422</v>
      </c>
      <c r="D1878" s="12">
        <v>25000000</v>
      </c>
      <c r="E1878" s="82">
        <v>0.96433289550000001</v>
      </c>
      <c r="F1878" s="14">
        <v>24108322.390000001</v>
      </c>
      <c r="G1878" s="14">
        <v>0.03</v>
      </c>
      <c r="H1878" s="10"/>
      <c r="I1878" s="10"/>
    </row>
    <row r="1879" spans="1:9">
      <c r="A1879" s="10" t="s">
        <v>2758</v>
      </c>
      <c r="B1879" s="124" t="s">
        <v>583</v>
      </c>
      <c r="C1879" s="124" t="s">
        <v>422</v>
      </c>
      <c r="D1879" s="12">
        <v>25000000</v>
      </c>
      <c r="E1879" s="82">
        <v>0.96364563459999997</v>
      </c>
      <c r="F1879" s="14">
        <v>24091140.870000001</v>
      </c>
      <c r="G1879" s="14">
        <v>0.03</v>
      </c>
      <c r="H1879" s="10"/>
      <c r="I1879" s="10"/>
    </row>
    <row r="1880" spans="1:9">
      <c r="A1880" s="10" t="s">
        <v>2759</v>
      </c>
      <c r="B1880" s="124" t="s">
        <v>500</v>
      </c>
      <c r="C1880" s="124" t="s">
        <v>422</v>
      </c>
      <c r="D1880" s="12">
        <v>25000000</v>
      </c>
      <c r="E1880" s="82">
        <v>0.96433289550000001</v>
      </c>
      <c r="F1880" s="14">
        <v>24108322.390000001</v>
      </c>
      <c r="G1880" s="14">
        <v>0.03</v>
      </c>
      <c r="H1880" s="10"/>
      <c r="I1880" s="10"/>
    </row>
    <row r="1881" spans="1:9">
      <c r="A1881" s="10" t="s">
        <v>2760</v>
      </c>
      <c r="B1881" s="124" t="s">
        <v>500</v>
      </c>
      <c r="C1881" s="124" t="s">
        <v>422</v>
      </c>
      <c r="D1881" s="12">
        <v>25000000</v>
      </c>
      <c r="E1881" s="82">
        <v>0.96433289550000001</v>
      </c>
      <c r="F1881" s="14">
        <v>24108322.390000001</v>
      </c>
      <c r="G1881" s="14">
        <v>0.03</v>
      </c>
      <c r="H1881" s="10"/>
      <c r="I1881" s="10"/>
    </row>
    <row r="1882" spans="1:9">
      <c r="A1882" s="10" t="s">
        <v>2761</v>
      </c>
      <c r="B1882" s="124" t="s">
        <v>2762</v>
      </c>
      <c r="C1882" s="124" t="s">
        <v>422</v>
      </c>
      <c r="D1882" s="12">
        <v>19000000</v>
      </c>
      <c r="E1882" s="82">
        <v>0.88403427769999998</v>
      </c>
      <c r="F1882" s="14">
        <v>16796651.280000001</v>
      </c>
      <c r="G1882" s="14">
        <v>0.02</v>
      </c>
      <c r="H1882" s="10"/>
      <c r="I1882" s="10"/>
    </row>
    <row r="1883" spans="1:9">
      <c r="A1883" s="10" t="s">
        <v>2763</v>
      </c>
      <c r="B1883" s="124" t="s">
        <v>2764</v>
      </c>
      <c r="C1883" s="124" t="s">
        <v>422</v>
      </c>
      <c r="D1883" s="12">
        <v>19000000</v>
      </c>
      <c r="E1883" s="82">
        <v>0.88164266859999996</v>
      </c>
      <c r="F1883" s="154">
        <v>16751210.699999999</v>
      </c>
      <c r="G1883" s="14">
        <v>0.02</v>
      </c>
      <c r="H1883" s="10"/>
      <c r="I1883" s="10"/>
    </row>
    <row r="1884" spans="1:9">
      <c r="A1884" s="10" t="s">
        <v>2765</v>
      </c>
      <c r="B1884" s="124" t="s">
        <v>2343</v>
      </c>
      <c r="C1884" s="124" t="s">
        <v>422</v>
      </c>
      <c r="D1884" s="12">
        <v>19000000</v>
      </c>
      <c r="E1884" s="82">
        <v>0.87689805919999997</v>
      </c>
      <c r="F1884" s="14">
        <v>16661063.119999999</v>
      </c>
      <c r="G1884" s="14">
        <v>0.02</v>
      </c>
      <c r="H1884" s="10"/>
      <c r="I1884" s="10"/>
    </row>
    <row r="1885" spans="1:9">
      <c r="A1885" s="10" t="s">
        <v>2766</v>
      </c>
      <c r="B1885" s="124" t="s">
        <v>500</v>
      </c>
      <c r="C1885" s="124" t="s">
        <v>422</v>
      </c>
      <c r="D1885" s="14">
        <v>165489.23000000001</v>
      </c>
      <c r="E1885" s="82">
        <v>0.95674963219999998</v>
      </c>
      <c r="F1885" s="14">
        <v>158331.76</v>
      </c>
      <c r="G1885" s="12">
        <v>0</v>
      </c>
      <c r="H1885" s="10"/>
      <c r="I1885" s="10"/>
    </row>
    <row r="1886" spans="1:9">
      <c r="A1886" s="10" t="s">
        <v>2767</v>
      </c>
      <c r="B1886" s="124" t="s">
        <v>819</v>
      </c>
      <c r="C1886" s="124" t="s">
        <v>422</v>
      </c>
      <c r="D1886" s="14">
        <v>165489.23000000001</v>
      </c>
      <c r="E1886" s="82">
        <v>0.93333681069999996</v>
      </c>
      <c r="F1886" s="14">
        <v>154457.19</v>
      </c>
      <c r="G1886" s="12">
        <v>0</v>
      </c>
      <c r="H1886" s="10"/>
      <c r="I1886" s="10"/>
    </row>
    <row r="1887" spans="1:9">
      <c r="A1887" s="10" t="s">
        <v>2768</v>
      </c>
      <c r="B1887" s="124" t="s">
        <v>660</v>
      </c>
      <c r="C1887" s="124" t="s">
        <v>422</v>
      </c>
      <c r="D1887" s="14">
        <v>102281981.31999999</v>
      </c>
      <c r="E1887" s="82">
        <v>0.97113212770000001</v>
      </c>
      <c r="F1887" s="14">
        <v>99329318.140000001</v>
      </c>
      <c r="G1887" s="14">
        <v>0.13</v>
      </c>
      <c r="H1887" s="10"/>
      <c r="I1887" s="10"/>
    </row>
    <row r="1888" spans="1:9">
      <c r="A1888" s="10" t="s">
        <v>2777</v>
      </c>
      <c r="B1888" s="124" t="s">
        <v>574</v>
      </c>
      <c r="C1888" s="124" t="s">
        <v>486</v>
      </c>
      <c r="D1888" s="12">
        <v>1500000</v>
      </c>
      <c r="E1888" s="82">
        <v>0.97240000010000005</v>
      </c>
      <c r="F1888" s="12">
        <v>1458600</v>
      </c>
      <c r="G1888" s="12">
        <v>0</v>
      </c>
      <c r="H1888" s="10"/>
      <c r="I1888" s="10"/>
    </row>
    <row r="1889" spans="1:9">
      <c r="A1889" s="10" t="s">
        <v>2778</v>
      </c>
      <c r="B1889" s="124" t="s">
        <v>950</v>
      </c>
      <c r="C1889" s="124" t="s">
        <v>486</v>
      </c>
      <c r="D1889" s="12">
        <v>3000000</v>
      </c>
      <c r="E1889" s="82">
        <v>0.95881069060000002</v>
      </c>
      <c r="F1889" s="14">
        <v>2876432.07</v>
      </c>
      <c r="G1889" s="12">
        <v>0</v>
      </c>
      <c r="H1889" s="10"/>
      <c r="I1889" s="10"/>
    </row>
    <row r="1890" spans="1:9">
      <c r="A1890" s="10" t="s">
        <v>2779</v>
      </c>
      <c r="B1890" s="124" t="s">
        <v>793</v>
      </c>
      <c r="C1890" s="124" t="s">
        <v>486</v>
      </c>
      <c r="D1890" s="12">
        <v>5000000</v>
      </c>
      <c r="E1890" s="82">
        <v>0.95320181189999997</v>
      </c>
      <c r="F1890" s="14">
        <v>4766009.0599999996</v>
      </c>
      <c r="G1890" s="14">
        <v>0.01</v>
      </c>
      <c r="H1890" s="10"/>
      <c r="I1890" s="10"/>
    </row>
    <row r="1891" spans="1:9">
      <c r="A1891" s="10" t="s">
        <v>2780</v>
      </c>
      <c r="B1891" s="124" t="s">
        <v>450</v>
      </c>
      <c r="C1891" s="124" t="s">
        <v>486</v>
      </c>
      <c r="D1891" s="12">
        <v>3700000</v>
      </c>
      <c r="E1891" s="82">
        <v>0.93786951669999996</v>
      </c>
      <c r="F1891" s="14">
        <v>3470117.21</v>
      </c>
      <c r="G1891" s="12">
        <v>0</v>
      </c>
      <c r="H1891" s="10"/>
      <c r="I1891" s="10"/>
    </row>
    <row r="1892" spans="1:9">
      <c r="A1892" s="10" t="s">
        <v>2781</v>
      </c>
      <c r="B1892" s="124" t="s">
        <v>2782</v>
      </c>
      <c r="C1892" s="124" t="s">
        <v>486</v>
      </c>
      <c r="D1892" s="12">
        <v>3700000</v>
      </c>
      <c r="E1892" s="82">
        <v>0.87513208070000004</v>
      </c>
      <c r="F1892" s="154">
        <v>3237988.7</v>
      </c>
      <c r="G1892" s="12">
        <v>0</v>
      </c>
      <c r="H1892" s="10"/>
      <c r="I1892" s="10"/>
    </row>
    <row r="1893" spans="1:9">
      <c r="A1893" s="10" t="s">
        <v>2783</v>
      </c>
      <c r="B1893" s="124" t="s">
        <v>2784</v>
      </c>
      <c r="C1893" s="124" t="s">
        <v>486</v>
      </c>
      <c r="D1893" s="12">
        <v>3700000</v>
      </c>
      <c r="E1893" s="82">
        <v>0.83658053310000002</v>
      </c>
      <c r="F1893" s="14">
        <v>3095347.97</v>
      </c>
      <c r="G1893" s="12">
        <v>0</v>
      </c>
      <c r="H1893" s="10"/>
      <c r="I1893" s="10"/>
    </row>
    <row r="1894" spans="1:9">
      <c r="A1894" s="10" t="s">
        <v>2785</v>
      </c>
      <c r="B1894" s="124" t="s">
        <v>2786</v>
      </c>
      <c r="C1894" s="124" t="s">
        <v>486</v>
      </c>
      <c r="D1894" s="12">
        <v>3700000</v>
      </c>
      <c r="E1894" s="82">
        <v>0.85604406349999995</v>
      </c>
      <c r="F1894" s="14">
        <v>3167363.03</v>
      </c>
      <c r="G1894" s="12">
        <v>0</v>
      </c>
      <c r="H1894" s="10"/>
      <c r="I1894" s="10"/>
    </row>
    <row r="1895" spans="1:9">
      <c r="A1895" s="10" t="s">
        <v>2787</v>
      </c>
      <c r="B1895" s="124" t="s">
        <v>2452</v>
      </c>
      <c r="C1895" s="124" t="s">
        <v>486</v>
      </c>
      <c r="D1895" s="12">
        <v>3700000</v>
      </c>
      <c r="E1895" s="82">
        <v>0.91598082110000001</v>
      </c>
      <c r="F1895" s="14">
        <v>3389129.04</v>
      </c>
      <c r="G1895" s="12">
        <v>0</v>
      </c>
      <c r="H1895" s="10"/>
      <c r="I1895" s="10"/>
    </row>
    <row r="1896" spans="1:9">
      <c r="A1896" s="10" t="s">
        <v>2788</v>
      </c>
      <c r="B1896" s="124" t="s">
        <v>774</v>
      </c>
      <c r="C1896" s="124" t="s">
        <v>486</v>
      </c>
      <c r="D1896" s="12">
        <v>3700000</v>
      </c>
      <c r="E1896" s="82">
        <v>0.89373178269999998</v>
      </c>
      <c r="F1896" s="154">
        <v>3306807.6</v>
      </c>
      <c r="G1896" s="12">
        <v>0</v>
      </c>
      <c r="H1896" s="10"/>
      <c r="I1896" s="10"/>
    </row>
    <row r="1897" spans="1:9">
      <c r="A1897" s="10" t="s">
        <v>2789</v>
      </c>
      <c r="B1897" s="124" t="s">
        <v>490</v>
      </c>
      <c r="C1897" s="124" t="s">
        <v>486</v>
      </c>
      <c r="D1897" s="14">
        <v>534556.75</v>
      </c>
      <c r="E1897" s="82">
        <v>0.98340357690000002</v>
      </c>
      <c r="F1897" s="14">
        <v>525685.02</v>
      </c>
      <c r="G1897" s="12">
        <v>0</v>
      </c>
      <c r="H1897" s="10"/>
      <c r="I1897" s="10"/>
    </row>
    <row r="1898" spans="1:9">
      <c r="A1898" s="10" t="s">
        <v>2790</v>
      </c>
      <c r="B1898" s="124" t="s">
        <v>490</v>
      </c>
      <c r="C1898" s="124" t="s">
        <v>486</v>
      </c>
      <c r="D1898" s="12">
        <v>18000000</v>
      </c>
      <c r="E1898" s="82">
        <v>0.98340355710000005</v>
      </c>
      <c r="F1898" s="14">
        <v>17701264.030000001</v>
      </c>
      <c r="G1898" s="14">
        <v>0.02</v>
      </c>
      <c r="H1898" s="10"/>
      <c r="I1898" s="10"/>
    </row>
    <row r="1899" spans="1:9">
      <c r="A1899" s="10" t="s">
        <v>2791</v>
      </c>
      <c r="B1899" s="124" t="s">
        <v>2210</v>
      </c>
      <c r="C1899" s="124" t="s">
        <v>486</v>
      </c>
      <c r="D1899" s="12">
        <v>16000000</v>
      </c>
      <c r="E1899" s="82">
        <v>0.91639481020000002</v>
      </c>
      <c r="F1899" s="14">
        <v>14662316.960000001</v>
      </c>
      <c r="G1899" s="14">
        <v>0.02</v>
      </c>
      <c r="H1899" s="10"/>
      <c r="I1899" s="10"/>
    </row>
    <row r="1900" spans="1:9">
      <c r="A1900" s="10" t="s">
        <v>2792</v>
      </c>
      <c r="B1900" s="124" t="s">
        <v>1550</v>
      </c>
      <c r="C1900" s="124" t="s">
        <v>486</v>
      </c>
      <c r="D1900" s="12">
        <v>6441003</v>
      </c>
      <c r="E1900" s="82">
        <v>0.88699889850000002</v>
      </c>
      <c r="F1900" s="14">
        <v>5713162.5700000003</v>
      </c>
      <c r="G1900" s="14">
        <v>0.01</v>
      </c>
      <c r="H1900" s="10"/>
      <c r="I1900" s="10"/>
    </row>
    <row r="1901" spans="1:9">
      <c r="A1901" s="10" t="s">
        <v>2793</v>
      </c>
      <c r="B1901" s="124" t="s">
        <v>1519</v>
      </c>
      <c r="C1901" s="124" t="s">
        <v>486</v>
      </c>
      <c r="D1901" s="12">
        <v>6441003</v>
      </c>
      <c r="E1901" s="82">
        <v>0.90548255330000005</v>
      </c>
      <c r="F1901" s="14">
        <v>5832215.8399999999</v>
      </c>
      <c r="G1901" s="14">
        <v>0.01</v>
      </c>
      <c r="H1901" s="10"/>
      <c r="I1901" s="10"/>
    </row>
    <row r="1902" spans="1:9">
      <c r="A1902" s="10" t="s">
        <v>2794</v>
      </c>
      <c r="B1902" s="124" t="s">
        <v>1519</v>
      </c>
      <c r="C1902" s="124" t="s">
        <v>486</v>
      </c>
      <c r="D1902" s="14">
        <v>961486.87</v>
      </c>
      <c r="E1902" s="82">
        <v>0.90548253619999997</v>
      </c>
      <c r="F1902" s="14">
        <v>870609.57</v>
      </c>
      <c r="G1902" s="12">
        <v>0</v>
      </c>
      <c r="H1902" s="10"/>
      <c r="I1902" s="10"/>
    </row>
    <row r="1903" spans="1:9">
      <c r="A1903" s="10" t="s">
        <v>2795</v>
      </c>
      <c r="B1903" s="124" t="s">
        <v>1550</v>
      </c>
      <c r="C1903" s="124" t="s">
        <v>486</v>
      </c>
      <c r="D1903" s="12">
        <v>2122114</v>
      </c>
      <c r="E1903" s="82">
        <v>0.88699889850000002</v>
      </c>
      <c r="F1903" s="14">
        <v>1882312.78</v>
      </c>
      <c r="G1903" s="12">
        <v>0</v>
      </c>
      <c r="H1903" s="10"/>
      <c r="I1903" s="10"/>
    </row>
    <row r="1904" spans="1:9">
      <c r="A1904" s="10" t="s">
        <v>2796</v>
      </c>
      <c r="B1904" s="124" t="s">
        <v>806</v>
      </c>
      <c r="C1904" s="124" t="s">
        <v>486</v>
      </c>
      <c r="D1904" s="12">
        <v>25000000</v>
      </c>
      <c r="E1904" s="82">
        <v>0.91570503690000005</v>
      </c>
      <c r="F1904" s="14">
        <v>22892625.920000002</v>
      </c>
      <c r="G1904" s="14">
        <v>0.03</v>
      </c>
      <c r="H1904" s="10"/>
      <c r="I1904" s="10"/>
    </row>
    <row r="1905" spans="1:9">
      <c r="A1905" s="10" t="s">
        <v>2797</v>
      </c>
      <c r="B1905" s="124" t="s">
        <v>1699</v>
      </c>
      <c r="C1905" s="124" t="s">
        <v>486</v>
      </c>
      <c r="D1905" s="12">
        <v>5580000</v>
      </c>
      <c r="E1905" s="82">
        <v>0.89614542809999997</v>
      </c>
      <c r="F1905" s="14">
        <v>5000491.49</v>
      </c>
      <c r="G1905" s="14">
        <v>0.01</v>
      </c>
      <c r="H1905" s="10"/>
      <c r="I1905" s="10"/>
    </row>
    <row r="1906" spans="1:9">
      <c r="A1906" s="10" t="s">
        <v>2798</v>
      </c>
      <c r="B1906" s="124" t="s">
        <v>806</v>
      </c>
      <c r="C1906" s="124" t="s">
        <v>486</v>
      </c>
      <c r="D1906" s="12">
        <v>5580000</v>
      </c>
      <c r="E1906" s="82">
        <v>0.91570503690000005</v>
      </c>
      <c r="F1906" s="14">
        <v>5109634.1100000003</v>
      </c>
      <c r="G1906" s="14">
        <v>0.01</v>
      </c>
      <c r="H1906" s="10"/>
      <c r="I1906" s="10"/>
    </row>
    <row r="1907" spans="1:9">
      <c r="A1907" s="10" t="s">
        <v>2799</v>
      </c>
      <c r="B1907" s="124" t="s">
        <v>1180</v>
      </c>
      <c r="C1907" s="124" t="s">
        <v>486</v>
      </c>
      <c r="D1907" s="12">
        <v>5580000</v>
      </c>
      <c r="E1907" s="82">
        <v>0.87740393579999998</v>
      </c>
      <c r="F1907" s="14">
        <v>4895913.96</v>
      </c>
      <c r="G1907" s="14">
        <v>0.01</v>
      </c>
      <c r="H1907" s="10"/>
      <c r="I1907" s="10"/>
    </row>
    <row r="1908" spans="1:9">
      <c r="A1908" s="10" t="s">
        <v>2800</v>
      </c>
      <c r="B1908" s="124" t="s">
        <v>854</v>
      </c>
      <c r="C1908" s="124" t="s">
        <v>486</v>
      </c>
      <c r="D1908" s="12">
        <v>5580000</v>
      </c>
      <c r="E1908" s="82">
        <v>0.94928482879999998</v>
      </c>
      <c r="F1908" s="14">
        <v>5297009.34</v>
      </c>
      <c r="G1908" s="14">
        <v>0.01</v>
      </c>
      <c r="H1908" s="10"/>
      <c r="I1908" s="10"/>
    </row>
    <row r="1909" spans="1:9">
      <c r="A1909" s="10" t="s">
        <v>2801</v>
      </c>
      <c r="B1909" s="124" t="s">
        <v>680</v>
      </c>
      <c r="C1909" s="124" t="s">
        <v>486</v>
      </c>
      <c r="D1909" s="12">
        <v>5580000</v>
      </c>
      <c r="E1909" s="82">
        <v>0.97126134080000004</v>
      </c>
      <c r="F1909" s="14">
        <v>5419638.2800000003</v>
      </c>
      <c r="G1909" s="14">
        <v>0.01</v>
      </c>
      <c r="H1909" s="10"/>
      <c r="I1909" s="10"/>
    </row>
    <row r="1910" spans="1:9">
      <c r="A1910" s="10" t="s">
        <v>2802</v>
      </c>
      <c r="B1910" s="124" t="s">
        <v>754</v>
      </c>
      <c r="C1910" s="124" t="s">
        <v>486</v>
      </c>
      <c r="D1910" s="12">
        <v>5580000</v>
      </c>
      <c r="E1910" s="82">
        <v>0.93830335730000003</v>
      </c>
      <c r="F1910" s="14">
        <v>5235732.7300000004</v>
      </c>
      <c r="G1910" s="14">
        <v>0.01</v>
      </c>
      <c r="H1910" s="10"/>
      <c r="I1910" s="10"/>
    </row>
    <row r="1911" spans="1:9">
      <c r="A1911" s="10" t="s">
        <v>2803</v>
      </c>
      <c r="B1911" s="124" t="s">
        <v>778</v>
      </c>
      <c r="C1911" s="124" t="s">
        <v>486</v>
      </c>
      <c r="D1911" s="12">
        <v>5580000</v>
      </c>
      <c r="E1911" s="82">
        <v>0.92475317639999999</v>
      </c>
      <c r="F1911" s="14">
        <v>5160122.72</v>
      </c>
      <c r="G1911" s="14">
        <v>0.01</v>
      </c>
      <c r="H1911" s="10"/>
      <c r="I1911" s="10"/>
    </row>
    <row r="1912" spans="1:9">
      <c r="A1912" s="10" t="s">
        <v>2804</v>
      </c>
      <c r="B1912" s="124" t="s">
        <v>2805</v>
      </c>
      <c r="C1912" s="124" t="s">
        <v>486</v>
      </c>
      <c r="D1912" s="12">
        <v>5580000</v>
      </c>
      <c r="E1912" s="82">
        <v>0.86616051810000005</v>
      </c>
      <c r="F1912" s="14">
        <v>4833175.6900000004</v>
      </c>
      <c r="G1912" s="14">
        <v>0.01</v>
      </c>
      <c r="H1912" s="10"/>
      <c r="I1912" s="10"/>
    </row>
    <row r="1913" spans="1:9">
      <c r="A1913" s="10" t="s">
        <v>2806</v>
      </c>
      <c r="B1913" s="124" t="s">
        <v>1704</v>
      </c>
      <c r="C1913" s="124" t="s">
        <v>486</v>
      </c>
      <c r="D1913" s="12">
        <v>5580000</v>
      </c>
      <c r="E1913" s="82">
        <v>0.90615700659999998</v>
      </c>
      <c r="F1913" s="154">
        <v>5056356.0999999996</v>
      </c>
      <c r="G1913" s="14">
        <v>0.01</v>
      </c>
      <c r="H1913" s="10"/>
      <c r="I1913" s="10"/>
    </row>
    <row r="1914" spans="1:9">
      <c r="A1914" s="10" t="s">
        <v>2807</v>
      </c>
      <c r="B1914" s="124" t="s">
        <v>500</v>
      </c>
      <c r="C1914" s="124" t="s">
        <v>486</v>
      </c>
      <c r="D1914" s="12">
        <v>5580000</v>
      </c>
      <c r="E1914" s="82">
        <v>0.96052637770000004</v>
      </c>
      <c r="F1914" s="14">
        <v>5359737.1900000004</v>
      </c>
      <c r="G1914" s="14">
        <v>0.01</v>
      </c>
      <c r="H1914" s="10"/>
      <c r="I1914" s="10"/>
    </row>
    <row r="1915" spans="1:9">
      <c r="A1915" s="10" t="s">
        <v>2808</v>
      </c>
      <c r="B1915" s="124" t="s">
        <v>488</v>
      </c>
      <c r="C1915" s="124" t="s">
        <v>486</v>
      </c>
      <c r="D1915" s="12">
        <v>5580000</v>
      </c>
      <c r="E1915" s="82">
        <v>0.98303263439999999</v>
      </c>
      <c r="F1915" s="154">
        <v>5485322.0999999996</v>
      </c>
      <c r="G1915" s="14">
        <v>0.01</v>
      </c>
      <c r="H1915" s="10"/>
      <c r="I1915" s="10"/>
    </row>
    <row r="1916" spans="1:9">
      <c r="A1916" s="10" t="s">
        <v>2809</v>
      </c>
      <c r="B1916" s="124" t="s">
        <v>1550</v>
      </c>
      <c r="C1916" s="124" t="s">
        <v>486</v>
      </c>
      <c r="D1916" s="12">
        <v>5580000</v>
      </c>
      <c r="E1916" s="82">
        <v>0.88699889850000002</v>
      </c>
      <c r="F1916" s="14">
        <v>4949453.8499999996</v>
      </c>
      <c r="G1916" s="14">
        <v>0.01</v>
      </c>
      <c r="H1916" s="10"/>
      <c r="I1916" s="10"/>
    </row>
    <row r="1917" spans="1:9">
      <c r="A1917" s="10" t="s">
        <v>2810</v>
      </c>
      <c r="B1917" s="124" t="s">
        <v>819</v>
      </c>
      <c r="C1917" s="124" t="s">
        <v>486</v>
      </c>
      <c r="D1917" s="12">
        <v>40000000</v>
      </c>
      <c r="E1917" s="82">
        <v>0.94286017010000001</v>
      </c>
      <c r="F1917" s="154">
        <v>37714406.799999997</v>
      </c>
      <c r="G1917" s="14">
        <v>0.05</v>
      </c>
      <c r="H1917" s="10"/>
      <c r="I1917" s="10"/>
    </row>
    <row r="1918" spans="1:9">
      <c r="A1918" s="10" t="s">
        <v>2811</v>
      </c>
      <c r="B1918" s="124" t="s">
        <v>812</v>
      </c>
      <c r="C1918" s="124" t="s">
        <v>486</v>
      </c>
      <c r="D1918" s="12">
        <v>40000000</v>
      </c>
      <c r="E1918" s="82">
        <v>0.94014017380000003</v>
      </c>
      <c r="F1918" s="14">
        <v>37605606.950000003</v>
      </c>
      <c r="G1918" s="14">
        <v>0.05</v>
      </c>
      <c r="H1918" s="10"/>
      <c r="I1918" s="10"/>
    </row>
    <row r="1919" spans="1:9">
      <c r="A1919" s="10" t="s">
        <v>2812</v>
      </c>
      <c r="B1919" s="124" t="s">
        <v>769</v>
      </c>
      <c r="C1919" s="124" t="s">
        <v>486</v>
      </c>
      <c r="D1919" s="12">
        <v>40000000</v>
      </c>
      <c r="E1919" s="82">
        <v>0.93541780569999999</v>
      </c>
      <c r="F1919" s="14">
        <v>37416712.229999997</v>
      </c>
      <c r="G1919" s="14">
        <v>0.05</v>
      </c>
      <c r="H1919" s="10"/>
      <c r="I1919" s="10"/>
    </row>
    <row r="1920" spans="1:9">
      <c r="A1920" s="10" t="s">
        <v>2813</v>
      </c>
      <c r="B1920" s="124" t="s">
        <v>697</v>
      </c>
      <c r="C1920" s="124" t="s">
        <v>486</v>
      </c>
      <c r="D1920" s="12">
        <v>50000000</v>
      </c>
      <c r="E1920" s="82">
        <v>0.93878616010000004</v>
      </c>
      <c r="F1920" s="14">
        <v>46939308.009999998</v>
      </c>
      <c r="G1920" s="14">
        <v>0.06</v>
      </c>
      <c r="H1920" s="10"/>
      <c r="I1920" s="10"/>
    </row>
    <row r="1921" spans="1:9">
      <c r="A1921" s="10" t="s">
        <v>2814</v>
      </c>
      <c r="B1921" s="124" t="s">
        <v>520</v>
      </c>
      <c r="C1921" s="124" t="s">
        <v>486</v>
      </c>
      <c r="D1921" s="12">
        <v>5000000</v>
      </c>
      <c r="E1921" s="82">
        <v>0.97747784770000001</v>
      </c>
      <c r="F1921" s="14">
        <v>4887389.24</v>
      </c>
      <c r="G1921" s="14">
        <v>0.01</v>
      </c>
      <c r="H1921" s="10"/>
      <c r="I1921" s="10"/>
    </row>
    <row r="1922" spans="1:9">
      <c r="A1922" s="10" t="s">
        <v>2815</v>
      </c>
      <c r="B1922" s="124" t="s">
        <v>1550</v>
      </c>
      <c r="C1922" s="124" t="s">
        <v>486</v>
      </c>
      <c r="D1922" s="12">
        <v>4715388</v>
      </c>
      <c r="E1922" s="82">
        <v>0.89035259310000003</v>
      </c>
      <c r="F1922" s="14">
        <v>4198357.93</v>
      </c>
      <c r="G1922" s="14">
        <v>0.01</v>
      </c>
      <c r="H1922" s="10"/>
      <c r="I1922" s="10"/>
    </row>
    <row r="1923" spans="1:9">
      <c r="A1923" s="10" t="s">
        <v>2816</v>
      </c>
      <c r="B1923" s="124" t="s">
        <v>750</v>
      </c>
      <c r="C1923" s="124" t="s">
        <v>486</v>
      </c>
      <c r="D1923" s="12">
        <v>5000000</v>
      </c>
      <c r="E1923" s="82">
        <v>0.95522249960000005</v>
      </c>
      <c r="F1923" s="154">
        <v>4776112.5</v>
      </c>
      <c r="G1923" s="14">
        <v>0.01</v>
      </c>
      <c r="H1923" s="10"/>
      <c r="I1923" s="10"/>
    </row>
    <row r="1924" spans="1:9">
      <c r="A1924" s="10" t="s">
        <v>2817</v>
      </c>
      <c r="B1924" s="124" t="s">
        <v>520</v>
      </c>
      <c r="C1924" s="124" t="s">
        <v>486</v>
      </c>
      <c r="D1924" s="12">
        <v>5000000</v>
      </c>
      <c r="E1924" s="82">
        <v>0.97747784770000001</v>
      </c>
      <c r="F1924" s="14">
        <v>4887389.24</v>
      </c>
      <c r="G1924" s="14">
        <v>0.01</v>
      </c>
      <c r="H1924" s="10"/>
      <c r="I1924" s="10"/>
    </row>
    <row r="1925" spans="1:9">
      <c r="A1925" s="10" t="s">
        <v>2818</v>
      </c>
      <c r="B1925" s="124" t="s">
        <v>655</v>
      </c>
      <c r="C1925" s="124" t="s">
        <v>486</v>
      </c>
      <c r="D1925" s="12">
        <v>5000000</v>
      </c>
      <c r="E1925" s="82">
        <v>0.95594784769999996</v>
      </c>
      <c r="F1925" s="14">
        <v>4779739.24</v>
      </c>
      <c r="G1925" s="14">
        <v>0.01</v>
      </c>
      <c r="H1925" s="10"/>
      <c r="I1925" s="10"/>
    </row>
    <row r="1926" spans="1:9">
      <c r="A1926" s="10" t="s">
        <v>2819</v>
      </c>
      <c r="B1926" s="124" t="s">
        <v>655</v>
      </c>
      <c r="C1926" s="124" t="s">
        <v>486</v>
      </c>
      <c r="D1926" s="12">
        <v>5000000</v>
      </c>
      <c r="E1926" s="82">
        <v>0.95594784769999996</v>
      </c>
      <c r="F1926" s="14">
        <v>4779739.24</v>
      </c>
      <c r="G1926" s="14">
        <v>0.01</v>
      </c>
      <c r="H1926" s="10"/>
      <c r="I1926" s="10"/>
    </row>
    <row r="1927" spans="1:9">
      <c r="A1927" s="10" t="s">
        <v>2820</v>
      </c>
      <c r="B1927" s="124" t="s">
        <v>520</v>
      </c>
      <c r="C1927" s="124" t="s">
        <v>486</v>
      </c>
      <c r="D1927" s="12">
        <v>5000000</v>
      </c>
      <c r="E1927" s="82">
        <v>0.97747784770000001</v>
      </c>
      <c r="F1927" s="14">
        <v>4887389.24</v>
      </c>
      <c r="G1927" s="14">
        <v>0.01</v>
      </c>
      <c r="H1927" s="10"/>
      <c r="I1927" s="10"/>
    </row>
    <row r="1928" spans="1:9">
      <c r="A1928" s="10" t="s">
        <v>2821</v>
      </c>
      <c r="B1928" s="124" t="s">
        <v>655</v>
      </c>
      <c r="C1928" s="124" t="s">
        <v>486</v>
      </c>
      <c r="D1928" s="12">
        <v>5000000</v>
      </c>
      <c r="E1928" s="82">
        <v>0.95594784769999996</v>
      </c>
      <c r="F1928" s="14">
        <v>4779739.24</v>
      </c>
      <c r="G1928" s="14">
        <v>0.01</v>
      </c>
      <c r="H1928" s="10"/>
      <c r="I1928" s="10"/>
    </row>
    <row r="1929" spans="1:9">
      <c r="A1929" s="10" t="s">
        <v>2822</v>
      </c>
      <c r="B1929" s="124" t="s">
        <v>655</v>
      </c>
      <c r="C1929" s="124" t="s">
        <v>486</v>
      </c>
      <c r="D1929" s="12">
        <v>5000000</v>
      </c>
      <c r="E1929" s="82">
        <v>0.95594784769999996</v>
      </c>
      <c r="F1929" s="14">
        <v>4779739.24</v>
      </c>
      <c r="G1929" s="14">
        <v>0.01</v>
      </c>
      <c r="H1929" s="10"/>
      <c r="I1929" s="10"/>
    </row>
    <row r="1930" spans="1:9">
      <c r="A1930" s="10" t="s">
        <v>2823</v>
      </c>
      <c r="B1930" s="124" t="s">
        <v>520</v>
      </c>
      <c r="C1930" s="124" t="s">
        <v>486</v>
      </c>
      <c r="D1930" s="12">
        <v>5000000</v>
      </c>
      <c r="E1930" s="82">
        <v>0.97747784770000001</v>
      </c>
      <c r="F1930" s="14">
        <v>4887389.24</v>
      </c>
      <c r="G1930" s="14">
        <v>0.01</v>
      </c>
      <c r="H1930" s="10"/>
      <c r="I1930" s="10"/>
    </row>
    <row r="1931" spans="1:9">
      <c r="A1931" s="10" t="s">
        <v>2824</v>
      </c>
      <c r="B1931" s="124" t="s">
        <v>520</v>
      </c>
      <c r="C1931" s="124" t="s">
        <v>486</v>
      </c>
      <c r="D1931" s="12">
        <v>5000000</v>
      </c>
      <c r="E1931" s="82">
        <v>0.97747784770000001</v>
      </c>
      <c r="F1931" s="14">
        <v>4887389.24</v>
      </c>
      <c r="G1931" s="14">
        <v>0.01</v>
      </c>
      <c r="H1931" s="10"/>
      <c r="I1931" s="10"/>
    </row>
    <row r="1932" spans="1:9">
      <c r="A1932" s="10" t="s">
        <v>2825</v>
      </c>
      <c r="B1932" s="124" t="s">
        <v>750</v>
      </c>
      <c r="C1932" s="124" t="s">
        <v>486</v>
      </c>
      <c r="D1932" s="12">
        <v>5000000</v>
      </c>
      <c r="E1932" s="82">
        <v>0.95522249960000005</v>
      </c>
      <c r="F1932" s="154">
        <v>4776112.5</v>
      </c>
      <c r="G1932" s="14">
        <v>0.01</v>
      </c>
      <c r="H1932" s="10"/>
      <c r="I1932" s="10"/>
    </row>
    <row r="1933" spans="1:9">
      <c r="A1933" s="10" t="s">
        <v>2826</v>
      </c>
      <c r="B1933" s="124" t="s">
        <v>750</v>
      </c>
      <c r="C1933" s="124" t="s">
        <v>486</v>
      </c>
      <c r="D1933" s="12">
        <v>5000000</v>
      </c>
      <c r="E1933" s="82">
        <v>0.95522249960000005</v>
      </c>
      <c r="F1933" s="154">
        <v>4776112.5</v>
      </c>
      <c r="G1933" s="14">
        <v>0.01</v>
      </c>
      <c r="H1933" s="10"/>
      <c r="I1933" s="10"/>
    </row>
    <row r="1934" spans="1:9">
      <c r="A1934" s="10" t="s">
        <v>2827</v>
      </c>
      <c r="B1934" s="124" t="s">
        <v>754</v>
      </c>
      <c r="C1934" s="124" t="s">
        <v>486</v>
      </c>
      <c r="D1934" s="12">
        <v>160000000</v>
      </c>
      <c r="E1934" s="82">
        <v>0.94217864230000004</v>
      </c>
      <c r="F1934" s="14">
        <v>150748582.77000001</v>
      </c>
      <c r="G1934" s="154">
        <v>0.2</v>
      </c>
      <c r="H1934" s="10"/>
      <c r="I1934" s="10"/>
    </row>
    <row r="1935" spans="1:9">
      <c r="A1935" s="10" t="s">
        <v>2828</v>
      </c>
      <c r="B1935" s="124" t="s">
        <v>793</v>
      </c>
      <c r="C1935" s="124" t="s">
        <v>486</v>
      </c>
      <c r="D1935" s="12">
        <v>13500000</v>
      </c>
      <c r="E1935" s="82">
        <v>0.95320181189999997</v>
      </c>
      <c r="F1935" s="14">
        <v>12868224.460000001</v>
      </c>
      <c r="G1935" s="14">
        <v>0.02</v>
      </c>
      <c r="H1935" s="10"/>
      <c r="I1935" s="10"/>
    </row>
    <row r="1936" spans="1:9">
      <c r="A1936" s="10" t="s">
        <v>2829</v>
      </c>
      <c r="B1936" s="124" t="s">
        <v>819</v>
      </c>
      <c r="C1936" s="124" t="s">
        <v>486</v>
      </c>
      <c r="D1936" s="12">
        <v>13500000</v>
      </c>
      <c r="E1936" s="82">
        <v>0.94286017010000001</v>
      </c>
      <c r="F1936" s="154">
        <v>12728612.300000001</v>
      </c>
      <c r="G1936" s="14">
        <v>0.02</v>
      </c>
      <c r="H1936" s="10"/>
      <c r="I1936" s="10"/>
    </row>
    <row r="1937" spans="1:9">
      <c r="A1937" s="10" t="s">
        <v>2830</v>
      </c>
      <c r="B1937" s="124" t="s">
        <v>1519</v>
      </c>
      <c r="C1937" s="124" t="s">
        <v>486</v>
      </c>
      <c r="D1937" s="12">
        <v>13500000</v>
      </c>
      <c r="E1937" s="82">
        <v>0.90548255330000005</v>
      </c>
      <c r="F1937" s="14">
        <v>12224014.470000001</v>
      </c>
      <c r="G1937" s="14">
        <v>0.02</v>
      </c>
      <c r="H1937" s="10"/>
      <c r="I1937" s="10"/>
    </row>
    <row r="1938" spans="1:9">
      <c r="A1938" s="10" t="s">
        <v>2831</v>
      </c>
      <c r="B1938" s="124" t="s">
        <v>1699</v>
      </c>
      <c r="C1938" s="124" t="s">
        <v>486</v>
      </c>
      <c r="D1938" s="12">
        <v>13500000</v>
      </c>
      <c r="E1938" s="82">
        <v>0.89614542809999997</v>
      </c>
      <c r="F1938" s="14">
        <v>12097963.279999999</v>
      </c>
      <c r="G1938" s="14">
        <v>0.02</v>
      </c>
      <c r="H1938" s="10"/>
      <c r="I1938" s="10"/>
    </row>
    <row r="1939" spans="1:9">
      <c r="A1939" s="10" t="s">
        <v>2832</v>
      </c>
      <c r="B1939" s="124" t="s">
        <v>806</v>
      </c>
      <c r="C1939" s="124" t="s">
        <v>486</v>
      </c>
      <c r="D1939" s="12">
        <v>50000000</v>
      </c>
      <c r="E1939" s="82">
        <v>0.91570503690000005</v>
      </c>
      <c r="F1939" s="14">
        <v>45785251.850000001</v>
      </c>
      <c r="G1939" s="14">
        <v>0.06</v>
      </c>
      <c r="H1939" s="10"/>
      <c r="I1939" s="10"/>
    </row>
    <row r="1940" spans="1:9">
      <c r="A1940" s="10" t="s">
        <v>2833</v>
      </c>
      <c r="B1940" s="124" t="s">
        <v>793</v>
      </c>
      <c r="C1940" s="124" t="s">
        <v>486</v>
      </c>
      <c r="D1940" s="12">
        <v>50000000</v>
      </c>
      <c r="E1940" s="82">
        <v>0.95002613260000002</v>
      </c>
      <c r="F1940" s="14">
        <v>47501306.630000003</v>
      </c>
      <c r="G1940" s="14">
        <v>0.06</v>
      </c>
      <c r="H1940" s="10"/>
      <c r="I1940" s="10"/>
    </row>
    <row r="1941" spans="1:9">
      <c r="A1941" s="10" t="s">
        <v>2834</v>
      </c>
      <c r="B1941" s="124" t="s">
        <v>450</v>
      </c>
      <c r="C1941" s="124" t="s">
        <v>486</v>
      </c>
      <c r="D1941" s="12">
        <v>50000000</v>
      </c>
      <c r="E1941" s="82">
        <v>0.93975297560000004</v>
      </c>
      <c r="F1941" s="14">
        <v>46987648.780000001</v>
      </c>
      <c r="G1941" s="14">
        <v>0.06</v>
      </c>
      <c r="H1941" s="10"/>
      <c r="I1941" s="10"/>
    </row>
    <row r="1942" spans="1:9">
      <c r="A1942" s="10" t="s">
        <v>2835</v>
      </c>
      <c r="B1942" s="124" t="s">
        <v>583</v>
      </c>
      <c r="C1942" s="124" t="s">
        <v>486</v>
      </c>
      <c r="D1942" s="12">
        <v>2500000</v>
      </c>
      <c r="E1942" s="82">
        <v>0.96364548409999995</v>
      </c>
      <c r="F1942" s="14">
        <v>2409113.71</v>
      </c>
      <c r="G1942" s="12">
        <v>0</v>
      </c>
      <c r="H1942" s="10"/>
      <c r="I1942" s="10"/>
    </row>
    <row r="1943" spans="1:9">
      <c r="A1943" s="10" t="s">
        <v>2836</v>
      </c>
      <c r="B1943" s="124" t="s">
        <v>574</v>
      </c>
      <c r="C1943" s="124" t="s">
        <v>486</v>
      </c>
      <c r="D1943" s="12">
        <v>2500000</v>
      </c>
      <c r="E1943" s="82">
        <v>0.97335945960000003</v>
      </c>
      <c r="F1943" s="14">
        <v>2433398.65</v>
      </c>
      <c r="G1943" s="12">
        <v>0</v>
      </c>
      <c r="H1943" s="10"/>
      <c r="I1943" s="10"/>
    </row>
    <row r="1944" spans="1:9">
      <c r="A1944" s="10" t="s">
        <v>2837</v>
      </c>
      <c r="B1944" s="124" t="s">
        <v>504</v>
      </c>
      <c r="C1944" s="124" t="s">
        <v>486</v>
      </c>
      <c r="D1944" s="12">
        <v>5000000</v>
      </c>
      <c r="E1944" s="82">
        <v>0.9658640302</v>
      </c>
      <c r="F1944" s="14">
        <v>4829320.1500000004</v>
      </c>
      <c r="G1944" s="14">
        <v>0.01</v>
      </c>
      <c r="H1944" s="10"/>
      <c r="I1944" s="10"/>
    </row>
    <row r="1945" spans="1:9">
      <c r="A1945" s="10" t="s">
        <v>2838</v>
      </c>
      <c r="B1945" s="124" t="s">
        <v>527</v>
      </c>
      <c r="C1945" s="124" t="s">
        <v>486</v>
      </c>
      <c r="D1945" s="12">
        <v>5000000</v>
      </c>
      <c r="E1945" s="82">
        <v>0.97750408379999998</v>
      </c>
      <c r="F1945" s="14">
        <v>4887520.42</v>
      </c>
      <c r="G1945" s="14">
        <v>0.01</v>
      </c>
      <c r="H1945" s="10"/>
      <c r="I1945" s="10"/>
    </row>
    <row r="1946" spans="1:9">
      <c r="A1946" s="10" t="s">
        <v>2839</v>
      </c>
      <c r="B1946" s="124" t="s">
        <v>593</v>
      </c>
      <c r="C1946" s="124" t="s">
        <v>486</v>
      </c>
      <c r="D1946" s="12">
        <v>5000000</v>
      </c>
      <c r="E1946" s="82">
        <v>0.96663145809999995</v>
      </c>
      <c r="F1946" s="14">
        <v>4833157.29</v>
      </c>
      <c r="G1946" s="14">
        <v>0.01</v>
      </c>
      <c r="H1946" s="10"/>
      <c r="I1946" s="10"/>
    </row>
    <row r="1947" spans="1:9">
      <c r="A1947" s="10" t="s">
        <v>2840</v>
      </c>
      <c r="B1947" s="124" t="s">
        <v>490</v>
      </c>
      <c r="C1947" s="124" t="s">
        <v>486</v>
      </c>
      <c r="D1947" s="12">
        <v>5000000</v>
      </c>
      <c r="E1947" s="82">
        <v>0.98223915210000001</v>
      </c>
      <c r="F1947" s="14">
        <v>4911195.76</v>
      </c>
      <c r="G1947" s="14">
        <v>0.01</v>
      </c>
      <c r="H1947" s="10"/>
      <c r="I1947" s="10"/>
    </row>
    <row r="1948" spans="1:9">
      <c r="A1948" s="10" t="s">
        <v>2841</v>
      </c>
      <c r="B1948" s="124" t="s">
        <v>655</v>
      </c>
      <c r="C1948" s="124" t="s">
        <v>486</v>
      </c>
      <c r="D1948" s="14">
        <v>3102456.89</v>
      </c>
      <c r="E1948" s="82">
        <v>0.94731380430000001</v>
      </c>
      <c r="F1948" s="14">
        <v>2939000.24</v>
      </c>
      <c r="G1948" s="12">
        <v>0</v>
      </c>
      <c r="H1948" s="10"/>
      <c r="I1948" s="10"/>
    </row>
    <row r="1949" spans="1:9">
      <c r="A1949" s="10" t="s">
        <v>2842</v>
      </c>
      <c r="B1949" s="124" t="s">
        <v>655</v>
      </c>
      <c r="C1949" s="124" t="s">
        <v>486</v>
      </c>
      <c r="D1949" s="14">
        <v>4150625.28</v>
      </c>
      <c r="E1949" s="82">
        <v>0.94731380860000003</v>
      </c>
      <c r="F1949" s="14">
        <v>3931944.64</v>
      </c>
      <c r="G1949" s="14">
        <v>0.01</v>
      </c>
      <c r="H1949" s="10"/>
      <c r="I1949" s="10"/>
    </row>
    <row r="1950" spans="1:9">
      <c r="A1950" s="10" t="s">
        <v>2843</v>
      </c>
      <c r="B1950" s="124" t="s">
        <v>567</v>
      </c>
      <c r="C1950" s="124" t="s">
        <v>486</v>
      </c>
      <c r="D1950" s="14">
        <v>1250300.6499999999</v>
      </c>
      <c r="E1950" s="82">
        <v>0.94388413729999998</v>
      </c>
      <c r="F1950" s="14">
        <v>1180138.95</v>
      </c>
      <c r="G1950" s="12">
        <v>0</v>
      </c>
      <c r="H1950" s="10"/>
      <c r="I1950" s="10"/>
    </row>
    <row r="1951" spans="1:9">
      <c r="A1951" s="10" t="s">
        <v>2844</v>
      </c>
      <c r="B1951" s="124" t="s">
        <v>655</v>
      </c>
      <c r="C1951" s="124" t="s">
        <v>486</v>
      </c>
      <c r="D1951" s="154">
        <v>1555000.5</v>
      </c>
      <c r="E1951" s="82">
        <v>0.94731380430000001</v>
      </c>
      <c r="F1951" s="14">
        <v>1473073.44</v>
      </c>
      <c r="G1951" s="12">
        <v>0</v>
      </c>
      <c r="H1951" s="10"/>
      <c r="I1951" s="10"/>
    </row>
    <row r="1952" spans="1:9">
      <c r="A1952" s="10" t="s">
        <v>2845</v>
      </c>
      <c r="B1952" s="124" t="s">
        <v>655</v>
      </c>
      <c r="C1952" s="124" t="s">
        <v>486</v>
      </c>
      <c r="D1952" s="14">
        <v>1250300.6499999999</v>
      </c>
      <c r="E1952" s="82">
        <v>0.94731380860000003</v>
      </c>
      <c r="F1952" s="14">
        <v>1184427.07</v>
      </c>
      <c r="G1952" s="12">
        <v>0</v>
      </c>
      <c r="H1952" s="10"/>
      <c r="I1952" s="10"/>
    </row>
    <row r="1953" spans="1:9">
      <c r="A1953" s="10" t="s">
        <v>2846</v>
      </c>
      <c r="B1953" s="124" t="s">
        <v>750</v>
      </c>
      <c r="C1953" s="124" t="s">
        <v>486</v>
      </c>
      <c r="D1953" s="14">
        <v>4150625.28</v>
      </c>
      <c r="E1953" s="82">
        <v>0.94645425149999995</v>
      </c>
      <c r="F1953" s="14">
        <v>3928376.94</v>
      </c>
      <c r="G1953" s="14">
        <v>0.01</v>
      </c>
      <c r="H1953" s="10"/>
      <c r="I1953" s="10"/>
    </row>
    <row r="1954" spans="1:9">
      <c r="A1954" s="10" t="s">
        <v>2847</v>
      </c>
      <c r="B1954" s="124" t="s">
        <v>750</v>
      </c>
      <c r="C1954" s="124" t="s">
        <v>486</v>
      </c>
      <c r="D1954" s="154">
        <v>3256800.5</v>
      </c>
      <c r="E1954" s="82">
        <v>0.94645425439999997</v>
      </c>
      <c r="F1954" s="14">
        <v>3082412.69</v>
      </c>
      <c r="G1954" s="12">
        <v>0</v>
      </c>
      <c r="H1954" s="10"/>
      <c r="I1954" s="10"/>
    </row>
    <row r="1955" spans="1:9">
      <c r="A1955" s="10" t="s">
        <v>2848</v>
      </c>
      <c r="B1955" s="124" t="s">
        <v>567</v>
      </c>
      <c r="C1955" s="124" t="s">
        <v>486</v>
      </c>
      <c r="D1955" s="14">
        <v>3102456.89</v>
      </c>
      <c r="E1955" s="82">
        <v>0.94388414490000005</v>
      </c>
      <c r="F1955" s="14">
        <v>2928359.87</v>
      </c>
      <c r="G1955" s="12">
        <v>0</v>
      </c>
      <c r="H1955" s="10"/>
      <c r="I1955" s="10"/>
    </row>
    <row r="1956" spans="1:9">
      <c r="A1956" s="10" t="s">
        <v>2849</v>
      </c>
      <c r="B1956" s="124" t="s">
        <v>567</v>
      </c>
      <c r="C1956" s="124" t="s">
        <v>486</v>
      </c>
      <c r="D1956" s="154">
        <v>1555000.5</v>
      </c>
      <c r="E1956" s="82">
        <v>0.94388415250000002</v>
      </c>
      <c r="F1956" s="14">
        <v>1467740.33</v>
      </c>
      <c r="G1956" s="12">
        <v>0</v>
      </c>
      <c r="H1956" s="10"/>
      <c r="I1956" s="10"/>
    </row>
    <row r="1957" spans="1:9">
      <c r="A1957" s="10" t="s">
        <v>2850</v>
      </c>
      <c r="B1957" s="124" t="s">
        <v>567</v>
      </c>
      <c r="C1957" s="124" t="s">
        <v>486</v>
      </c>
      <c r="D1957" s="14">
        <v>4150625.28</v>
      </c>
      <c r="E1957" s="82">
        <v>0.94388414939999998</v>
      </c>
      <c r="F1957" s="14">
        <v>3917709.41</v>
      </c>
      <c r="G1957" s="14">
        <v>0.01</v>
      </c>
      <c r="H1957" s="10"/>
      <c r="I1957" s="10"/>
    </row>
    <row r="1958" spans="1:9">
      <c r="A1958" s="10" t="s">
        <v>2851</v>
      </c>
      <c r="B1958" s="124" t="s">
        <v>750</v>
      </c>
      <c r="C1958" s="124" t="s">
        <v>486</v>
      </c>
      <c r="D1958" s="14">
        <v>3102456.89</v>
      </c>
      <c r="E1958" s="82">
        <v>0.94645425289999996</v>
      </c>
      <c r="F1958" s="14">
        <v>2936333.52</v>
      </c>
      <c r="G1958" s="12">
        <v>0</v>
      </c>
      <c r="H1958" s="10"/>
      <c r="I1958" s="10"/>
    </row>
    <row r="1959" spans="1:9">
      <c r="A1959" s="10" t="s">
        <v>2852</v>
      </c>
      <c r="B1959" s="124" t="s">
        <v>474</v>
      </c>
      <c r="C1959" s="124" t="s">
        <v>486</v>
      </c>
      <c r="D1959" s="154">
        <v>1852832.7</v>
      </c>
      <c r="E1959" s="82">
        <v>0.99737677339999997</v>
      </c>
      <c r="F1959" s="154">
        <v>1847972.3</v>
      </c>
      <c r="G1959" s="12">
        <v>0</v>
      </c>
      <c r="H1959" s="10"/>
      <c r="I1959" s="10"/>
    </row>
    <row r="1960" spans="1:9">
      <c r="A1960" s="10" t="s">
        <v>2853</v>
      </c>
      <c r="B1960" s="124" t="s">
        <v>506</v>
      </c>
      <c r="C1960" s="124" t="s">
        <v>486</v>
      </c>
      <c r="D1960" s="14">
        <v>73770.070000000007</v>
      </c>
      <c r="E1960" s="158">
        <v>0.99912403500000002</v>
      </c>
      <c r="F1960" s="14">
        <v>73705.45</v>
      </c>
      <c r="G1960" s="12">
        <v>0</v>
      </c>
      <c r="H1960" s="10"/>
      <c r="I1960" s="10"/>
    </row>
    <row r="1961" spans="1:9">
      <c r="A1961" s="10" t="s">
        <v>2854</v>
      </c>
      <c r="B1961" s="124" t="s">
        <v>506</v>
      </c>
      <c r="C1961" s="124" t="s">
        <v>486</v>
      </c>
      <c r="D1961" s="12">
        <v>200000</v>
      </c>
      <c r="E1961" s="157">
        <v>0.99912409999999996</v>
      </c>
      <c r="F1961" s="14">
        <v>199824.82</v>
      </c>
      <c r="G1961" s="12">
        <v>0</v>
      </c>
      <c r="H1961" s="10"/>
      <c r="I1961" s="10"/>
    </row>
    <row r="1962" spans="1:9">
      <c r="A1962" s="10" t="s">
        <v>2855</v>
      </c>
      <c r="B1962" s="124" t="s">
        <v>506</v>
      </c>
      <c r="C1962" s="124" t="s">
        <v>486</v>
      </c>
      <c r="D1962" s="14">
        <v>808920.03</v>
      </c>
      <c r="E1962" s="82">
        <v>0.99912406669999998</v>
      </c>
      <c r="F1962" s="14">
        <v>808211.47</v>
      </c>
      <c r="G1962" s="12">
        <v>0</v>
      </c>
      <c r="H1962" s="10"/>
      <c r="I1962" s="10"/>
    </row>
    <row r="1963" spans="1:9">
      <c r="A1963" s="10" t="s">
        <v>2856</v>
      </c>
      <c r="B1963" s="124" t="s">
        <v>567</v>
      </c>
      <c r="C1963" s="124" t="s">
        <v>486</v>
      </c>
      <c r="D1963" s="12">
        <v>8000000</v>
      </c>
      <c r="E1963" s="82">
        <v>0.9561481637</v>
      </c>
      <c r="F1963" s="14">
        <v>7649185.3099999996</v>
      </c>
      <c r="G1963" s="14">
        <v>0.01</v>
      </c>
      <c r="H1963" s="10"/>
      <c r="I1963" s="10"/>
    </row>
    <row r="1964" spans="1:9">
      <c r="A1964" s="10" t="s">
        <v>2857</v>
      </c>
      <c r="B1964" s="124" t="s">
        <v>950</v>
      </c>
      <c r="C1964" s="124" t="s">
        <v>486</v>
      </c>
      <c r="D1964" s="12">
        <v>8000000</v>
      </c>
      <c r="E1964" s="82">
        <v>0.96022322179999997</v>
      </c>
      <c r="F1964" s="14">
        <v>7681785.7699999996</v>
      </c>
      <c r="G1964" s="14">
        <v>0.01</v>
      </c>
      <c r="H1964" s="10"/>
      <c r="I1964" s="10"/>
    </row>
    <row r="1965" spans="1:9">
      <c r="A1965" s="10" t="s">
        <v>2858</v>
      </c>
      <c r="B1965" s="124" t="s">
        <v>2452</v>
      </c>
      <c r="C1965" s="124" t="s">
        <v>486</v>
      </c>
      <c r="D1965" s="12">
        <v>25000000</v>
      </c>
      <c r="E1965" s="82">
        <v>0.90615700619999995</v>
      </c>
      <c r="F1965" s="14">
        <v>22653925.16</v>
      </c>
      <c r="G1965" s="14">
        <v>0.03</v>
      </c>
      <c r="H1965" s="10"/>
      <c r="I1965" s="10"/>
    </row>
    <row r="1966" spans="1:9">
      <c r="A1966" s="10" t="s">
        <v>2859</v>
      </c>
      <c r="B1966" s="124" t="s">
        <v>1486</v>
      </c>
      <c r="C1966" s="124" t="s">
        <v>486</v>
      </c>
      <c r="D1966" s="12">
        <v>25000000</v>
      </c>
      <c r="E1966" s="82">
        <v>0.89757786939999995</v>
      </c>
      <c r="F1966" s="14">
        <v>22439446.739999998</v>
      </c>
      <c r="G1966" s="14">
        <v>0.03</v>
      </c>
      <c r="H1966" s="10"/>
      <c r="I1966" s="10"/>
    </row>
    <row r="1967" spans="1:9">
      <c r="A1967" s="10" t="s">
        <v>2860</v>
      </c>
      <c r="B1967" s="124" t="s">
        <v>806</v>
      </c>
      <c r="C1967" s="124" t="s">
        <v>486</v>
      </c>
      <c r="D1967" s="12">
        <v>25000000</v>
      </c>
      <c r="E1967" s="82">
        <v>0.9030183853</v>
      </c>
      <c r="F1967" s="14">
        <v>22575459.629999999</v>
      </c>
      <c r="G1967" s="14">
        <v>0.03</v>
      </c>
      <c r="H1967" s="10"/>
      <c r="I1967" s="10"/>
    </row>
    <row r="1968" spans="1:9">
      <c r="A1968" s="10" t="s">
        <v>2861</v>
      </c>
      <c r="B1968" s="124" t="s">
        <v>758</v>
      </c>
      <c r="C1968" s="124" t="s">
        <v>486</v>
      </c>
      <c r="D1968" s="12">
        <v>25000000</v>
      </c>
      <c r="E1968" s="82">
        <v>0.90852525920000005</v>
      </c>
      <c r="F1968" s="14">
        <v>22713131.48</v>
      </c>
      <c r="G1968" s="14">
        <v>0.03</v>
      </c>
      <c r="H1968" s="10"/>
      <c r="I1968" s="10"/>
    </row>
    <row r="1969" spans="1:9">
      <c r="A1969" s="10" t="s">
        <v>2862</v>
      </c>
      <c r="B1969" s="124" t="s">
        <v>1378</v>
      </c>
      <c r="C1969" s="124" t="s">
        <v>486</v>
      </c>
      <c r="D1969" s="12">
        <v>25000000</v>
      </c>
      <c r="E1969" s="82">
        <v>0.90067871870000005</v>
      </c>
      <c r="F1969" s="14">
        <v>22516967.969999999</v>
      </c>
      <c r="G1969" s="14">
        <v>0.03</v>
      </c>
      <c r="H1969" s="10"/>
      <c r="I1969" s="10"/>
    </row>
    <row r="1970" spans="1:9">
      <c r="A1970" s="10" t="s">
        <v>2863</v>
      </c>
      <c r="B1970" s="124" t="s">
        <v>756</v>
      </c>
      <c r="C1970" s="124" t="s">
        <v>486</v>
      </c>
      <c r="D1970" s="12">
        <v>25000000</v>
      </c>
      <c r="E1970" s="82">
        <v>0.88538508189999998</v>
      </c>
      <c r="F1970" s="14">
        <v>22134627.050000001</v>
      </c>
      <c r="G1970" s="14">
        <v>0.03</v>
      </c>
      <c r="H1970" s="10"/>
      <c r="I1970" s="10"/>
    </row>
    <row r="1971" spans="1:9">
      <c r="A1971" s="10" t="s">
        <v>2864</v>
      </c>
      <c r="B1971" s="124" t="s">
        <v>772</v>
      </c>
      <c r="C1971" s="124" t="s">
        <v>486</v>
      </c>
      <c r="D1971" s="12">
        <v>25000000</v>
      </c>
      <c r="E1971" s="82">
        <v>0.88613748120000002</v>
      </c>
      <c r="F1971" s="14">
        <v>22153437.030000001</v>
      </c>
      <c r="G1971" s="14">
        <v>0.03</v>
      </c>
      <c r="H1971" s="10"/>
      <c r="I1971" s="10"/>
    </row>
    <row r="1972" spans="1:9">
      <c r="A1972" s="10" t="s">
        <v>2865</v>
      </c>
      <c r="B1972" s="124" t="s">
        <v>2304</v>
      </c>
      <c r="C1972" s="124" t="s">
        <v>486</v>
      </c>
      <c r="D1972" s="12">
        <v>25000000</v>
      </c>
      <c r="E1972" s="82">
        <v>0.88991848770000004</v>
      </c>
      <c r="F1972" s="14">
        <v>22247962.190000001</v>
      </c>
      <c r="G1972" s="14">
        <v>0.03</v>
      </c>
      <c r="H1972" s="10"/>
      <c r="I1972" s="10"/>
    </row>
    <row r="1973" spans="1:9">
      <c r="A1973" s="10" t="s">
        <v>2866</v>
      </c>
      <c r="B1973" s="124" t="s">
        <v>756</v>
      </c>
      <c r="C1973" s="124" t="s">
        <v>486</v>
      </c>
      <c r="D1973" s="12">
        <v>25000000</v>
      </c>
      <c r="E1973" s="82">
        <v>0.88538508189999998</v>
      </c>
      <c r="F1973" s="14">
        <v>22134627.050000001</v>
      </c>
      <c r="G1973" s="14">
        <v>0.03</v>
      </c>
      <c r="H1973" s="10"/>
      <c r="I1973" s="10"/>
    </row>
    <row r="1974" spans="1:9">
      <c r="A1974" s="10" t="s">
        <v>2867</v>
      </c>
      <c r="B1974" s="124" t="s">
        <v>651</v>
      </c>
      <c r="C1974" s="124" t="s">
        <v>486</v>
      </c>
      <c r="D1974" s="12">
        <v>5000000</v>
      </c>
      <c r="E1974" s="82">
        <v>0.93457970130000001</v>
      </c>
      <c r="F1974" s="14">
        <v>4672898.51</v>
      </c>
      <c r="G1974" s="14">
        <v>0.01</v>
      </c>
      <c r="H1974" s="10"/>
      <c r="I1974" s="10"/>
    </row>
    <row r="1975" spans="1:9">
      <c r="A1975" s="10" t="s">
        <v>2868</v>
      </c>
      <c r="B1975" s="124" t="s">
        <v>1360</v>
      </c>
      <c r="C1975" s="124" t="s">
        <v>486</v>
      </c>
      <c r="D1975" s="12">
        <v>5000000</v>
      </c>
      <c r="E1975" s="82">
        <v>0.93207358780000005</v>
      </c>
      <c r="F1975" s="14">
        <v>4660367.9400000004</v>
      </c>
      <c r="G1975" s="14">
        <v>0.01</v>
      </c>
      <c r="H1975" s="10"/>
      <c r="I1975" s="10"/>
    </row>
    <row r="1976" spans="1:9">
      <c r="A1976" s="10" t="s">
        <v>2869</v>
      </c>
      <c r="B1976" s="124" t="s">
        <v>450</v>
      </c>
      <c r="C1976" s="124" t="s">
        <v>486</v>
      </c>
      <c r="D1976" s="12">
        <v>5000000</v>
      </c>
      <c r="E1976" s="82">
        <v>0.93041056479999995</v>
      </c>
      <c r="F1976" s="14">
        <v>4652052.82</v>
      </c>
      <c r="G1976" s="14">
        <v>0.01</v>
      </c>
      <c r="H1976" s="10"/>
      <c r="I1976" s="10"/>
    </row>
    <row r="1977" spans="1:9">
      <c r="A1977" s="10" t="s">
        <v>2870</v>
      </c>
      <c r="B1977" s="124" t="s">
        <v>697</v>
      </c>
      <c r="C1977" s="124" t="s">
        <v>486</v>
      </c>
      <c r="D1977" s="12">
        <v>5000000</v>
      </c>
      <c r="E1977" s="82">
        <v>0.92463603059999999</v>
      </c>
      <c r="F1977" s="14">
        <v>4623180.1500000004</v>
      </c>
      <c r="G1977" s="14">
        <v>0.01</v>
      </c>
      <c r="H1977" s="10"/>
      <c r="I1977" s="10"/>
    </row>
    <row r="1978" spans="1:9">
      <c r="A1978" s="10" t="s">
        <v>2871</v>
      </c>
      <c r="B1978" s="124" t="s">
        <v>812</v>
      </c>
      <c r="C1978" s="124" t="s">
        <v>486</v>
      </c>
      <c r="D1978" s="12">
        <v>5000000</v>
      </c>
      <c r="E1978" s="82">
        <v>0.92627845740000003</v>
      </c>
      <c r="F1978" s="14">
        <v>4631392.29</v>
      </c>
      <c r="G1978" s="14">
        <v>0.01</v>
      </c>
      <c r="H1978" s="10"/>
      <c r="I1978" s="10"/>
    </row>
    <row r="1979" spans="1:9">
      <c r="A1979" s="10" t="s">
        <v>2872</v>
      </c>
      <c r="B1979" s="124" t="s">
        <v>674</v>
      </c>
      <c r="C1979" s="124" t="s">
        <v>486</v>
      </c>
      <c r="D1979" s="12">
        <v>25000000</v>
      </c>
      <c r="E1979" s="82">
        <v>0.92545664770000002</v>
      </c>
      <c r="F1979" s="14">
        <v>23136416.190000001</v>
      </c>
      <c r="G1979" s="14">
        <v>0.03</v>
      </c>
      <c r="H1979" s="10"/>
      <c r="I1979" s="10"/>
    </row>
    <row r="1980" spans="1:9">
      <c r="A1980" s="10" t="s">
        <v>2873</v>
      </c>
      <c r="B1980" s="124" t="s">
        <v>647</v>
      </c>
      <c r="C1980" s="124" t="s">
        <v>486</v>
      </c>
      <c r="D1980" s="12">
        <v>25000000</v>
      </c>
      <c r="E1980" s="82">
        <v>0.93625767650000002</v>
      </c>
      <c r="F1980" s="14">
        <v>23406441.91</v>
      </c>
      <c r="G1980" s="14">
        <v>0.03</v>
      </c>
      <c r="H1980" s="10"/>
      <c r="I1980" s="10"/>
    </row>
    <row r="1981" spans="1:9">
      <c r="A1981" s="10" t="s">
        <v>2874</v>
      </c>
      <c r="B1981" s="124" t="s">
        <v>806</v>
      </c>
      <c r="C1981" s="124" t="s">
        <v>486</v>
      </c>
      <c r="D1981" s="12">
        <v>25000000</v>
      </c>
      <c r="E1981" s="82">
        <v>0.9030183853</v>
      </c>
      <c r="F1981" s="14">
        <v>22575459.629999999</v>
      </c>
      <c r="G1981" s="14">
        <v>0.03</v>
      </c>
      <c r="H1981" s="10"/>
      <c r="I1981" s="10"/>
    </row>
    <row r="1982" spans="1:9">
      <c r="A1982" s="10" t="s">
        <v>2875</v>
      </c>
      <c r="B1982" s="124" t="s">
        <v>778</v>
      </c>
      <c r="C1982" s="124" t="s">
        <v>486</v>
      </c>
      <c r="D1982" s="12">
        <v>25000000</v>
      </c>
      <c r="E1982" s="158">
        <v>0.91329936300000003</v>
      </c>
      <c r="F1982" s="14">
        <v>22832484.079999998</v>
      </c>
      <c r="G1982" s="14">
        <v>0.03</v>
      </c>
      <c r="H1982" s="10"/>
      <c r="I1982" s="10"/>
    </row>
    <row r="1983" spans="1:9">
      <c r="A1983" s="10" t="s">
        <v>2876</v>
      </c>
      <c r="B1983" s="124" t="s">
        <v>257</v>
      </c>
      <c r="C1983" s="124" t="s">
        <v>486</v>
      </c>
      <c r="D1983" s="14">
        <v>710169.09</v>
      </c>
      <c r="E1983" s="82">
        <v>0.9323118239</v>
      </c>
      <c r="F1983" s="14">
        <v>662099.04</v>
      </c>
      <c r="G1983" s="12">
        <v>0</v>
      </c>
      <c r="H1983" s="10"/>
      <c r="I1983" s="10"/>
    </row>
    <row r="1984" spans="1:9">
      <c r="A1984" s="10" t="s">
        <v>2877</v>
      </c>
      <c r="B1984" s="124" t="s">
        <v>257</v>
      </c>
      <c r="C1984" s="124" t="s">
        <v>486</v>
      </c>
      <c r="D1984" s="14">
        <v>994204.24</v>
      </c>
      <c r="E1984" s="82">
        <v>0.93231181630000004</v>
      </c>
      <c r="F1984" s="14">
        <v>926908.36</v>
      </c>
      <c r="G1984" s="12">
        <v>0</v>
      </c>
      <c r="H1984" s="10"/>
      <c r="I1984" s="10"/>
    </row>
    <row r="1985" spans="1:9">
      <c r="A1985" s="10" t="s">
        <v>2878</v>
      </c>
      <c r="B1985" s="124" t="s">
        <v>587</v>
      </c>
      <c r="C1985" s="124" t="s">
        <v>486</v>
      </c>
      <c r="D1985" s="14">
        <v>3915102.27</v>
      </c>
      <c r="E1985" s="82">
        <v>0.96816992280000003</v>
      </c>
      <c r="F1985" s="14">
        <v>3790484.26</v>
      </c>
      <c r="G1985" s="14">
        <v>0.01</v>
      </c>
      <c r="H1985" s="10"/>
      <c r="I1985" s="10"/>
    </row>
    <row r="1986" spans="1:9">
      <c r="A1986" s="10" t="s">
        <v>2879</v>
      </c>
      <c r="B1986" s="124" t="s">
        <v>587</v>
      </c>
      <c r="C1986" s="124" t="s">
        <v>486</v>
      </c>
      <c r="D1986" s="14">
        <v>973870.43</v>
      </c>
      <c r="E1986" s="158">
        <v>0.96816992400000002</v>
      </c>
      <c r="F1986" s="14">
        <v>942872.06</v>
      </c>
      <c r="G1986" s="12">
        <v>0</v>
      </c>
      <c r="H1986" s="10"/>
      <c r="I1986" s="10"/>
    </row>
    <row r="1987" spans="1:9">
      <c r="A1987" s="10" t="s">
        <v>2880</v>
      </c>
      <c r="B1987" s="124" t="s">
        <v>450</v>
      </c>
      <c r="C1987" s="124" t="s">
        <v>486</v>
      </c>
      <c r="D1987" s="14">
        <v>584965.91</v>
      </c>
      <c r="E1987" s="82">
        <v>0.94928490870000004</v>
      </c>
      <c r="F1987" s="14">
        <v>555299.31000000006</v>
      </c>
      <c r="G1987" s="12">
        <v>0</v>
      </c>
      <c r="H1987" s="10"/>
      <c r="I1987" s="10"/>
    </row>
    <row r="1988" spans="1:9">
      <c r="A1988" s="10" t="s">
        <v>2881</v>
      </c>
      <c r="B1988" s="124" t="s">
        <v>450</v>
      </c>
      <c r="C1988" s="124" t="s">
        <v>486</v>
      </c>
      <c r="D1988" s="14">
        <v>839215.58</v>
      </c>
      <c r="E1988" s="82">
        <v>0.9492849029</v>
      </c>
      <c r="F1988" s="14">
        <v>796654.68</v>
      </c>
      <c r="G1988" s="12">
        <v>0</v>
      </c>
      <c r="H1988" s="10"/>
      <c r="I1988" s="10"/>
    </row>
    <row r="1989" spans="1:9">
      <c r="A1989" s="10" t="s">
        <v>2882</v>
      </c>
      <c r="B1989" s="124" t="s">
        <v>450</v>
      </c>
      <c r="C1989" s="124" t="s">
        <v>486</v>
      </c>
      <c r="D1989" s="14">
        <v>1676589.68</v>
      </c>
      <c r="E1989" s="82">
        <v>0.94928489520000003</v>
      </c>
      <c r="F1989" s="14">
        <v>1591561.26</v>
      </c>
      <c r="G1989" s="12">
        <v>0</v>
      </c>
      <c r="H1989" s="10"/>
      <c r="I1989" s="10"/>
    </row>
    <row r="1990" spans="1:9">
      <c r="A1990" s="10" t="s">
        <v>2883</v>
      </c>
      <c r="B1990" s="124" t="s">
        <v>587</v>
      </c>
      <c r="C1990" s="124" t="s">
        <v>486</v>
      </c>
      <c r="D1990" s="14">
        <v>1029426.04</v>
      </c>
      <c r="E1990" s="82">
        <v>0.96816992280000003</v>
      </c>
      <c r="F1990" s="14">
        <v>996659.33</v>
      </c>
      <c r="G1990" s="12">
        <v>0</v>
      </c>
      <c r="H1990" s="10"/>
      <c r="I1990" s="10"/>
    </row>
    <row r="1991" spans="1:9">
      <c r="A1991" s="10" t="s">
        <v>2884</v>
      </c>
      <c r="B1991" s="124" t="s">
        <v>587</v>
      </c>
      <c r="C1991" s="124" t="s">
        <v>486</v>
      </c>
      <c r="D1991" s="14">
        <v>1351574.42</v>
      </c>
      <c r="E1991" s="82">
        <v>0.96816991409999997</v>
      </c>
      <c r="F1991" s="14">
        <v>1308553.69</v>
      </c>
      <c r="G1991" s="12">
        <v>0</v>
      </c>
      <c r="H1991" s="10"/>
      <c r="I1991" s="10"/>
    </row>
    <row r="1992" spans="1:9">
      <c r="A1992" s="10" t="s">
        <v>2885</v>
      </c>
      <c r="B1992" s="124" t="s">
        <v>587</v>
      </c>
      <c r="C1992" s="124" t="s">
        <v>486</v>
      </c>
      <c r="D1992" s="14">
        <v>188938.02</v>
      </c>
      <c r="E1992" s="82">
        <v>0.96816982659999995</v>
      </c>
      <c r="F1992" s="14">
        <v>182924.09</v>
      </c>
      <c r="G1992" s="12">
        <v>0</v>
      </c>
      <c r="H1992" s="10"/>
      <c r="I1992" s="10"/>
    </row>
    <row r="1993" spans="1:9">
      <c r="A1993" s="10" t="s">
        <v>2886</v>
      </c>
      <c r="B1993" s="124" t="s">
        <v>587</v>
      </c>
      <c r="C1993" s="124" t="s">
        <v>486</v>
      </c>
      <c r="D1993" s="14">
        <v>1351574.42</v>
      </c>
      <c r="E1993" s="82">
        <v>0.96816991409999997</v>
      </c>
      <c r="F1993" s="14">
        <v>1308553.69</v>
      </c>
      <c r="G1993" s="12">
        <v>0</v>
      </c>
      <c r="H1993" s="10"/>
      <c r="I1993" s="10"/>
    </row>
    <row r="1994" spans="1:9">
      <c r="A1994" s="10" t="s">
        <v>2887</v>
      </c>
      <c r="B1994" s="124" t="s">
        <v>450</v>
      </c>
      <c r="C1994" s="124" t="s">
        <v>486</v>
      </c>
      <c r="D1994" s="154">
        <v>2681816.6</v>
      </c>
      <c r="E1994" s="82">
        <v>0.94928490679999999</v>
      </c>
      <c r="F1994" s="14">
        <v>2545808.02</v>
      </c>
      <c r="G1994" s="12">
        <v>0</v>
      </c>
      <c r="H1994" s="10"/>
      <c r="I1994" s="10"/>
    </row>
    <row r="1995" spans="1:9">
      <c r="A1995" s="10" t="s">
        <v>2888</v>
      </c>
      <c r="B1995" s="124" t="s">
        <v>450</v>
      </c>
      <c r="C1995" s="124" t="s">
        <v>486</v>
      </c>
      <c r="D1995" s="14">
        <v>669474.55000000005</v>
      </c>
      <c r="E1995" s="82">
        <v>0.94928488359999996</v>
      </c>
      <c r="F1995" s="14">
        <v>635522.06999999995</v>
      </c>
      <c r="G1995" s="12">
        <v>0</v>
      </c>
      <c r="H1995" s="10"/>
      <c r="I1995" s="10"/>
    </row>
    <row r="1996" spans="1:9">
      <c r="A1996" s="10" t="s">
        <v>2889</v>
      </c>
      <c r="B1996" s="124" t="s">
        <v>480</v>
      </c>
      <c r="C1996" s="124" t="s">
        <v>486</v>
      </c>
      <c r="D1996" s="14">
        <v>14395515.539999999</v>
      </c>
      <c r="E1996" s="158">
        <v>0.99390045400000004</v>
      </c>
      <c r="F1996" s="14">
        <v>14307709.43</v>
      </c>
      <c r="G1996" s="14">
        <v>0.02</v>
      </c>
      <c r="H1996" s="10"/>
      <c r="I1996" s="10"/>
    </row>
    <row r="1997" spans="1:9">
      <c r="A1997" s="10" t="s">
        <v>2890</v>
      </c>
      <c r="B1997" s="124" t="s">
        <v>480</v>
      </c>
      <c r="C1997" s="124" t="s">
        <v>486</v>
      </c>
      <c r="D1997" s="14">
        <v>15898472.42</v>
      </c>
      <c r="E1997" s="82">
        <v>0.99390045490000001</v>
      </c>
      <c r="F1997" s="14">
        <v>15801498.970000001</v>
      </c>
      <c r="G1997" s="14">
        <v>0.02</v>
      </c>
      <c r="H1997" s="10"/>
      <c r="I1997" s="10"/>
    </row>
    <row r="1998" spans="1:9">
      <c r="A1998" s="10" t="s">
        <v>2891</v>
      </c>
      <c r="B1998" s="124" t="s">
        <v>480</v>
      </c>
      <c r="C1998" s="124" t="s">
        <v>486</v>
      </c>
      <c r="D1998" s="14">
        <v>15898472.42</v>
      </c>
      <c r="E1998" s="82">
        <v>0.99390045490000001</v>
      </c>
      <c r="F1998" s="14">
        <v>15801498.970000001</v>
      </c>
      <c r="G1998" s="14">
        <v>0.02</v>
      </c>
      <c r="H1998" s="10"/>
      <c r="I1998" s="10"/>
    </row>
    <row r="1999" spans="1:9">
      <c r="A1999" s="10" t="s">
        <v>2892</v>
      </c>
      <c r="B1999" s="124" t="s">
        <v>480</v>
      </c>
      <c r="C1999" s="124" t="s">
        <v>486</v>
      </c>
      <c r="D1999" s="14">
        <v>15898472.42</v>
      </c>
      <c r="E1999" s="82">
        <v>0.99390045490000001</v>
      </c>
      <c r="F1999" s="14">
        <v>15801498.970000001</v>
      </c>
      <c r="G1999" s="14">
        <v>0.02</v>
      </c>
      <c r="H1999" s="10"/>
      <c r="I1999" s="10"/>
    </row>
    <row r="2000" spans="1:9">
      <c r="A2000" s="10" t="s">
        <v>2893</v>
      </c>
      <c r="B2000" s="124" t="s">
        <v>480</v>
      </c>
      <c r="C2000" s="124" t="s">
        <v>486</v>
      </c>
      <c r="D2000" s="14">
        <v>15898472.42</v>
      </c>
      <c r="E2000" s="82">
        <v>0.99390045490000001</v>
      </c>
      <c r="F2000" s="14">
        <v>15801498.970000001</v>
      </c>
      <c r="G2000" s="14">
        <v>0.02</v>
      </c>
      <c r="H2000" s="10"/>
      <c r="I2000" s="10"/>
    </row>
    <row r="2001" spans="1:9">
      <c r="A2001" s="10" t="s">
        <v>2894</v>
      </c>
      <c r="B2001" s="124" t="s">
        <v>480</v>
      </c>
      <c r="C2001" s="124" t="s">
        <v>486</v>
      </c>
      <c r="D2001" s="14">
        <v>15898472.42</v>
      </c>
      <c r="E2001" s="82">
        <v>0.99390045490000001</v>
      </c>
      <c r="F2001" s="14">
        <v>15801498.970000001</v>
      </c>
      <c r="G2001" s="14">
        <v>0.02</v>
      </c>
      <c r="H2001" s="10"/>
      <c r="I2001" s="10"/>
    </row>
    <row r="2002" spans="1:9">
      <c r="A2002" s="10" t="s">
        <v>2895</v>
      </c>
      <c r="B2002" s="124" t="s">
        <v>480</v>
      </c>
      <c r="C2002" s="124" t="s">
        <v>486</v>
      </c>
      <c r="D2002" s="14">
        <v>11589977.25</v>
      </c>
      <c r="E2002" s="82">
        <v>0.99390045469999999</v>
      </c>
      <c r="F2002" s="14">
        <v>11519283.66</v>
      </c>
      <c r="G2002" s="14">
        <v>0.02</v>
      </c>
      <c r="H2002" s="10"/>
      <c r="I2002" s="10"/>
    </row>
    <row r="2003" spans="1:9">
      <c r="A2003" s="10" t="s">
        <v>2896</v>
      </c>
      <c r="B2003" s="124" t="s">
        <v>854</v>
      </c>
      <c r="C2003" s="124" t="s">
        <v>486</v>
      </c>
      <c r="D2003" s="12">
        <v>10000000</v>
      </c>
      <c r="E2003" s="82">
        <v>0.95412368130000003</v>
      </c>
      <c r="F2003" s="14">
        <v>9541236.8100000005</v>
      </c>
      <c r="G2003" s="14">
        <v>0.01</v>
      </c>
      <c r="H2003" s="10"/>
      <c r="I2003" s="10"/>
    </row>
    <row r="2004" spans="1:9">
      <c r="A2004" s="10" t="s">
        <v>2897</v>
      </c>
      <c r="B2004" s="124" t="s">
        <v>776</v>
      </c>
      <c r="C2004" s="124" t="s">
        <v>486</v>
      </c>
      <c r="D2004" s="12">
        <v>10000000</v>
      </c>
      <c r="E2004" s="82">
        <v>0.95345089859999999</v>
      </c>
      <c r="F2004" s="14">
        <v>9534508.9900000002</v>
      </c>
      <c r="G2004" s="14">
        <v>0.01</v>
      </c>
      <c r="H2004" s="10"/>
      <c r="I2004" s="10"/>
    </row>
    <row r="2005" spans="1:9">
      <c r="A2005" s="10" t="s">
        <v>2898</v>
      </c>
      <c r="B2005" s="124" t="s">
        <v>647</v>
      </c>
      <c r="C2005" s="124" t="s">
        <v>486</v>
      </c>
      <c r="D2005" s="12">
        <v>10000000</v>
      </c>
      <c r="E2005" s="82">
        <v>0.95010032840000003</v>
      </c>
      <c r="F2005" s="14">
        <v>9501003.2799999993</v>
      </c>
      <c r="G2005" s="14">
        <v>0.01</v>
      </c>
      <c r="H2005" s="10"/>
      <c r="I2005" s="10"/>
    </row>
    <row r="2006" spans="1:9">
      <c r="A2006" s="10" t="s">
        <v>2899</v>
      </c>
      <c r="B2006" s="124" t="s">
        <v>1161</v>
      </c>
      <c r="C2006" s="124" t="s">
        <v>486</v>
      </c>
      <c r="D2006" s="12">
        <v>5000000</v>
      </c>
      <c r="E2006" s="82">
        <v>0.95547252429999996</v>
      </c>
      <c r="F2006" s="14">
        <v>4777362.62</v>
      </c>
      <c r="G2006" s="14">
        <v>0.01</v>
      </c>
      <c r="H2006" s="10"/>
      <c r="I2006" s="10"/>
    </row>
    <row r="2007" spans="1:9">
      <c r="A2007" s="10" t="s">
        <v>2900</v>
      </c>
      <c r="B2007" s="124" t="s">
        <v>854</v>
      </c>
      <c r="C2007" s="124" t="s">
        <v>486</v>
      </c>
      <c r="D2007" s="12">
        <v>10000000</v>
      </c>
      <c r="E2007" s="82">
        <v>0.95412368130000003</v>
      </c>
      <c r="F2007" s="14">
        <v>9541236.8100000005</v>
      </c>
      <c r="G2007" s="14">
        <v>0.01</v>
      </c>
      <c r="H2007" s="10"/>
      <c r="I2007" s="10"/>
    </row>
    <row r="2008" spans="1:9">
      <c r="A2008" s="10" t="s">
        <v>2901</v>
      </c>
      <c r="B2008" s="124" t="s">
        <v>776</v>
      </c>
      <c r="C2008" s="124" t="s">
        <v>486</v>
      </c>
      <c r="D2008" s="12">
        <v>10000000</v>
      </c>
      <c r="E2008" s="82">
        <v>0.95345089859999999</v>
      </c>
      <c r="F2008" s="14">
        <v>9534508.9900000002</v>
      </c>
      <c r="G2008" s="14">
        <v>0.01</v>
      </c>
      <c r="H2008" s="10"/>
      <c r="I2008" s="10"/>
    </row>
    <row r="2009" spans="1:9">
      <c r="A2009" s="10" t="s">
        <v>2902</v>
      </c>
      <c r="B2009" s="124" t="s">
        <v>750</v>
      </c>
      <c r="C2009" s="124" t="s">
        <v>486</v>
      </c>
      <c r="D2009" s="12">
        <v>5000000</v>
      </c>
      <c r="E2009" s="82">
        <v>0.95818146530000003</v>
      </c>
      <c r="F2009" s="14">
        <v>4790907.33</v>
      </c>
      <c r="G2009" s="14">
        <v>0.01</v>
      </c>
      <c r="H2009" s="10"/>
      <c r="I2009" s="10"/>
    </row>
    <row r="2010" spans="1:9">
      <c r="A2010" s="10" t="s">
        <v>2903</v>
      </c>
      <c r="B2010" s="124" t="s">
        <v>750</v>
      </c>
      <c r="C2010" s="124" t="s">
        <v>486</v>
      </c>
      <c r="D2010" s="12">
        <v>5000000</v>
      </c>
      <c r="E2010" s="82">
        <v>0.95818146530000003</v>
      </c>
      <c r="F2010" s="14">
        <v>4790907.33</v>
      </c>
      <c r="G2010" s="14">
        <v>0.01</v>
      </c>
      <c r="H2010" s="10"/>
      <c r="I2010" s="10"/>
    </row>
    <row r="2011" spans="1:9">
      <c r="A2011" s="10" t="s">
        <v>2904</v>
      </c>
      <c r="B2011" s="124" t="s">
        <v>567</v>
      </c>
      <c r="C2011" s="124" t="s">
        <v>486</v>
      </c>
      <c r="D2011" s="12">
        <v>5000000</v>
      </c>
      <c r="E2011" s="82">
        <v>0.95614816520000001</v>
      </c>
      <c r="F2011" s="14">
        <v>4780740.83</v>
      </c>
      <c r="G2011" s="14">
        <v>0.01</v>
      </c>
      <c r="H2011" s="10"/>
      <c r="I2011" s="10"/>
    </row>
    <row r="2012" spans="1:9">
      <c r="A2012" s="10" t="s">
        <v>2905</v>
      </c>
      <c r="B2012" s="124" t="s">
        <v>567</v>
      </c>
      <c r="C2012" s="124" t="s">
        <v>486</v>
      </c>
      <c r="D2012" s="12">
        <v>5000000</v>
      </c>
      <c r="E2012" s="82">
        <v>0.95614816520000001</v>
      </c>
      <c r="F2012" s="14">
        <v>4780740.83</v>
      </c>
      <c r="G2012" s="14">
        <v>0.01</v>
      </c>
      <c r="H2012" s="10"/>
      <c r="I2012" s="10"/>
    </row>
    <row r="2013" spans="1:9">
      <c r="A2013" s="10" t="s">
        <v>2906</v>
      </c>
      <c r="B2013" s="124" t="s">
        <v>1161</v>
      </c>
      <c r="C2013" s="124" t="s">
        <v>486</v>
      </c>
      <c r="D2013" s="12">
        <v>5000000</v>
      </c>
      <c r="E2013" s="82">
        <v>0.95547252429999996</v>
      </c>
      <c r="F2013" s="14">
        <v>4777362.62</v>
      </c>
      <c r="G2013" s="14">
        <v>0.01</v>
      </c>
      <c r="H2013" s="10"/>
      <c r="I2013" s="10"/>
    </row>
    <row r="2014" spans="1:9">
      <c r="A2014" s="10" t="s">
        <v>2907</v>
      </c>
      <c r="B2014" s="124" t="s">
        <v>793</v>
      </c>
      <c r="C2014" s="124" t="s">
        <v>486</v>
      </c>
      <c r="D2014" s="12">
        <v>5000000</v>
      </c>
      <c r="E2014" s="82">
        <v>0.95479762329999995</v>
      </c>
      <c r="F2014" s="14">
        <v>4773988.12</v>
      </c>
      <c r="G2014" s="14">
        <v>0.01</v>
      </c>
      <c r="H2014" s="10"/>
      <c r="I2014" s="10"/>
    </row>
    <row r="2015" spans="1:9">
      <c r="A2015" s="10" t="s">
        <v>2908</v>
      </c>
      <c r="B2015" s="124" t="s">
        <v>793</v>
      </c>
      <c r="C2015" s="124" t="s">
        <v>486</v>
      </c>
      <c r="D2015" s="12">
        <v>5000000</v>
      </c>
      <c r="E2015" s="82">
        <v>0.95479762329999995</v>
      </c>
      <c r="F2015" s="14">
        <v>4773988.12</v>
      </c>
      <c r="G2015" s="14">
        <v>0.01</v>
      </c>
      <c r="H2015" s="10"/>
      <c r="I2015" s="10"/>
    </row>
    <row r="2016" spans="1:9">
      <c r="A2016" s="10" t="s">
        <v>2909</v>
      </c>
      <c r="B2016" s="124" t="s">
        <v>655</v>
      </c>
      <c r="C2016" s="124" t="s">
        <v>486</v>
      </c>
      <c r="D2016" s="12">
        <v>5000000</v>
      </c>
      <c r="E2016" s="82">
        <v>0.95886094769999997</v>
      </c>
      <c r="F2016" s="14">
        <v>4794304.74</v>
      </c>
      <c r="G2016" s="14">
        <v>0.01</v>
      </c>
      <c r="H2016" s="10"/>
      <c r="I2016" s="10"/>
    </row>
    <row r="2017" spans="1:9">
      <c r="A2017" s="10" t="s">
        <v>2910</v>
      </c>
      <c r="B2017" s="124" t="s">
        <v>655</v>
      </c>
      <c r="C2017" s="124" t="s">
        <v>486</v>
      </c>
      <c r="D2017" s="12">
        <v>5000000</v>
      </c>
      <c r="E2017" s="82">
        <v>0.95886094769999997</v>
      </c>
      <c r="F2017" s="14">
        <v>4794304.74</v>
      </c>
      <c r="G2017" s="14">
        <v>0.01</v>
      </c>
      <c r="H2017" s="10"/>
      <c r="I2017" s="10"/>
    </row>
    <row r="2018" spans="1:9">
      <c r="A2018" s="10" t="s">
        <v>2911</v>
      </c>
      <c r="B2018" s="124" t="s">
        <v>2680</v>
      </c>
      <c r="C2018" s="124" t="s">
        <v>486</v>
      </c>
      <c r="D2018" s="12">
        <v>5000000</v>
      </c>
      <c r="E2018" s="158">
        <v>0.90337603700000002</v>
      </c>
      <c r="F2018" s="14">
        <v>4516880.1900000004</v>
      </c>
      <c r="G2018" s="14">
        <v>0.01</v>
      </c>
      <c r="H2018" s="10"/>
      <c r="I2018" s="10"/>
    </row>
    <row r="2019" spans="1:9">
      <c r="A2019" s="10" t="s">
        <v>2912</v>
      </c>
      <c r="B2019" s="124" t="s">
        <v>1547</v>
      </c>
      <c r="C2019" s="124" t="s">
        <v>486</v>
      </c>
      <c r="D2019" s="12">
        <v>5000000</v>
      </c>
      <c r="E2019" s="82">
        <v>0.90123474309999996</v>
      </c>
      <c r="F2019" s="14">
        <v>4506173.72</v>
      </c>
      <c r="G2019" s="14">
        <v>0.01</v>
      </c>
      <c r="H2019" s="10"/>
      <c r="I2019" s="10"/>
    </row>
    <row r="2020" spans="1:9">
      <c r="A2020" s="10" t="s">
        <v>2913</v>
      </c>
      <c r="B2020" s="124" t="s">
        <v>812</v>
      </c>
      <c r="C2020" s="124" t="s">
        <v>486</v>
      </c>
      <c r="D2020" s="12">
        <v>200000000</v>
      </c>
      <c r="E2020" s="82">
        <v>0.94014017380000003</v>
      </c>
      <c r="F2020" s="14">
        <v>188028034.75999999</v>
      </c>
      <c r="G2020" s="14">
        <v>0.25</v>
      </c>
      <c r="H2020" s="10"/>
      <c r="I2020" s="10"/>
    </row>
    <row r="2021" spans="1:9">
      <c r="A2021" s="10" t="s">
        <v>2924</v>
      </c>
      <c r="B2021" s="124" t="s">
        <v>793</v>
      </c>
      <c r="C2021" s="124" t="s">
        <v>434</v>
      </c>
      <c r="D2021" s="12">
        <v>1500000</v>
      </c>
      <c r="E2021" s="158">
        <v>0.94530204600000001</v>
      </c>
      <c r="F2021" s="14">
        <v>1417953.07</v>
      </c>
      <c r="G2021" s="12">
        <v>0</v>
      </c>
      <c r="H2021" s="10"/>
      <c r="I2021" s="10"/>
    </row>
    <row r="2022" spans="1:9">
      <c r="A2022" s="10" t="s">
        <v>2925</v>
      </c>
      <c r="B2022" s="124" t="s">
        <v>1161</v>
      </c>
      <c r="C2022" s="124" t="s">
        <v>434</v>
      </c>
      <c r="D2022" s="12">
        <v>1500000</v>
      </c>
      <c r="E2022" s="82">
        <v>0.94611072659999995</v>
      </c>
      <c r="F2022" s="14">
        <v>1419166.09</v>
      </c>
      <c r="G2022" s="12">
        <v>0</v>
      </c>
      <c r="H2022" s="10"/>
      <c r="I2022" s="10"/>
    </row>
    <row r="2023" spans="1:9">
      <c r="A2023" s="10" t="s">
        <v>2926</v>
      </c>
      <c r="B2023" s="124" t="s">
        <v>567</v>
      </c>
      <c r="C2023" s="124" t="s">
        <v>434</v>
      </c>
      <c r="D2023" s="12">
        <v>1500000</v>
      </c>
      <c r="E2023" s="82">
        <v>0.94692078629999998</v>
      </c>
      <c r="F2023" s="14">
        <v>1420381.18</v>
      </c>
      <c r="G2023" s="12">
        <v>0</v>
      </c>
      <c r="H2023" s="10"/>
      <c r="I2023" s="10"/>
    </row>
    <row r="2024" spans="1:9">
      <c r="A2024" s="10" t="s">
        <v>2927</v>
      </c>
      <c r="B2024" s="124" t="s">
        <v>750</v>
      </c>
      <c r="C2024" s="124" t="s">
        <v>434</v>
      </c>
      <c r="D2024" s="12">
        <v>1500000</v>
      </c>
      <c r="E2024" s="82">
        <v>0.94935903980000003</v>
      </c>
      <c r="F2024" s="14">
        <v>1424038.56</v>
      </c>
      <c r="G2024" s="12">
        <v>0</v>
      </c>
      <c r="H2024" s="10"/>
      <c r="I2024" s="10"/>
    </row>
    <row r="2025" spans="1:9">
      <c r="A2025" s="10" t="s">
        <v>2928</v>
      </c>
      <c r="B2025" s="124" t="s">
        <v>655</v>
      </c>
      <c r="C2025" s="124" t="s">
        <v>434</v>
      </c>
      <c r="D2025" s="12">
        <v>1500000</v>
      </c>
      <c r="E2025" s="82">
        <v>0.95017465369999998</v>
      </c>
      <c r="F2025" s="14">
        <v>1425261.98</v>
      </c>
      <c r="G2025" s="12">
        <v>0</v>
      </c>
      <c r="H2025" s="10"/>
      <c r="I2025" s="10"/>
    </row>
    <row r="2026" spans="1:9">
      <c r="A2026" s="10" t="s">
        <v>2929</v>
      </c>
      <c r="B2026" s="124" t="s">
        <v>793</v>
      </c>
      <c r="C2026" s="124" t="s">
        <v>434</v>
      </c>
      <c r="D2026" s="12">
        <v>1500000</v>
      </c>
      <c r="E2026" s="158">
        <v>0.94530204600000001</v>
      </c>
      <c r="F2026" s="14">
        <v>1417953.07</v>
      </c>
      <c r="G2026" s="12">
        <v>0</v>
      </c>
      <c r="H2026" s="10"/>
      <c r="I2026" s="10"/>
    </row>
    <row r="2027" spans="1:9">
      <c r="A2027" s="10" t="s">
        <v>2930</v>
      </c>
      <c r="B2027" s="124" t="s">
        <v>793</v>
      </c>
      <c r="C2027" s="124" t="s">
        <v>434</v>
      </c>
      <c r="D2027" s="12">
        <v>1500000</v>
      </c>
      <c r="E2027" s="158">
        <v>0.94530204600000001</v>
      </c>
      <c r="F2027" s="14">
        <v>1417953.07</v>
      </c>
      <c r="G2027" s="12">
        <v>0</v>
      </c>
      <c r="H2027" s="10"/>
      <c r="I2027" s="10"/>
    </row>
    <row r="2028" spans="1:9">
      <c r="A2028" s="10" t="s">
        <v>2931</v>
      </c>
      <c r="B2028" s="124" t="s">
        <v>655</v>
      </c>
      <c r="C2028" s="124" t="s">
        <v>434</v>
      </c>
      <c r="D2028" s="12">
        <v>1500000</v>
      </c>
      <c r="E2028" s="82">
        <v>0.95017465369999998</v>
      </c>
      <c r="F2028" s="14">
        <v>1425261.98</v>
      </c>
      <c r="G2028" s="12">
        <v>0</v>
      </c>
      <c r="H2028" s="10"/>
      <c r="I2028" s="10"/>
    </row>
    <row r="2029" spans="1:9">
      <c r="A2029" s="10" t="s">
        <v>2932</v>
      </c>
      <c r="B2029" s="124" t="s">
        <v>999</v>
      </c>
      <c r="C2029" s="124" t="s">
        <v>434</v>
      </c>
      <c r="D2029" s="12">
        <v>15000000</v>
      </c>
      <c r="E2029" s="82">
        <v>0.92616092760000002</v>
      </c>
      <c r="F2029" s="14">
        <v>13892413.91</v>
      </c>
      <c r="G2029" s="14">
        <v>0.02</v>
      </c>
      <c r="H2029" s="10"/>
      <c r="I2029" s="10"/>
    </row>
    <row r="2030" spans="1:9">
      <c r="A2030" s="10" t="s">
        <v>2933</v>
      </c>
      <c r="B2030" s="124" t="s">
        <v>758</v>
      </c>
      <c r="C2030" s="124" t="s">
        <v>434</v>
      </c>
      <c r="D2030" s="12">
        <v>15000000</v>
      </c>
      <c r="E2030" s="82">
        <v>0.92055486470000003</v>
      </c>
      <c r="F2030" s="14">
        <v>13808322.970000001</v>
      </c>
      <c r="G2030" s="14">
        <v>0.02</v>
      </c>
      <c r="H2030" s="10"/>
      <c r="I2030" s="10"/>
    </row>
    <row r="2031" spans="1:9">
      <c r="A2031" s="10" t="s">
        <v>2934</v>
      </c>
      <c r="B2031" s="124" t="s">
        <v>769</v>
      </c>
      <c r="C2031" s="124" t="s">
        <v>434</v>
      </c>
      <c r="D2031" s="12">
        <v>15000000</v>
      </c>
      <c r="E2031" s="82">
        <v>0.93112248529999997</v>
      </c>
      <c r="F2031" s="14">
        <v>13966837.279999999</v>
      </c>
      <c r="G2031" s="14">
        <v>0.02</v>
      </c>
      <c r="H2031" s="10"/>
      <c r="I2031" s="10"/>
    </row>
    <row r="2032" spans="1:9">
      <c r="A2032" s="10" t="s">
        <v>2935</v>
      </c>
      <c r="B2032" s="124" t="s">
        <v>778</v>
      </c>
      <c r="C2032" s="124" t="s">
        <v>434</v>
      </c>
      <c r="D2032" s="12">
        <v>15000000</v>
      </c>
      <c r="E2032" s="82">
        <v>0.92475313930000003</v>
      </c>
      <c r="F2032" s="14">
        <v>13871297.09</v>
      </c>
      <c r="G2032" s="14">
        <v>0.02</v>
      </c>
      <c r="H2032" s="10"/>
      <c r="I2032" s="10"/>
    </row>
    <row r="2033" spans="1:9">
      <c r="A2033" s="10" t="s">
        <v>2936</v>
      </c>
      <c r="B2033" s="124" t="s">
        <v>808</v>
      </c>
      <c r="C2033" s="124" t="s">
        <v>434</v>
      </c>
      <c r="D2033" s="12">
        <v>15000000</v>
      </c>
      <c r="E2033" s="82">
        <v>0.92969958340000003</v>
      </c>
      <c r="F2033" s="14">
        <v>13945493.75</v>
      </c>
      <c r="G2033" s="14">
        <v>0.02</v>
      </c>
      <c r="H2033" s="10"/>
      <c r="I2033" s="10"/>
    </row>
    <row r="2034" spans="1:9">
      <c r="A2034" s="10" t="s">
        <v>2937</v>
      </c>
      <c r="B2034" s="124" t="s">
        <v>680</v>
      </c>
      <c r="C2034" s="124" t="s">
        <v>434</v>
      </c>
      <c r="D2034" s="12">
        <v>20000000</v>
      </c>
      <c r="E2034" s="82">
        <v>0.96940424839999995</v>
      </c>
      <c r="F2034" s="14">
        <v>19388084.969999999</v>
      </c>
      <c r="G2034" s="14">
        <v>0.03</v>
      </c>
      <c r="H2034" s="10"/>
      <c r="I2034" s="10"/>
    </row>
    <row r="2035" spans="1:9">
      <c r="A2035" s="10" t="s">
        <v>2938</v>
      </c>
      <c r="B2035" s="124" t="s">
        <v>574</v>
      </c>
      <c r="C2035" s="124" t="s">
        <v>434</v>
      </c>
      <c r="D2035" s="12">
        <v>20000000</v>
      </c>
      <c r="E2035" s="82">
        <v>0.96858099549999999</v>
      </c>
      <c r="F2035" s="14">
        <v>19371619.91</v>
      </c>
      <c r="G2035" s="14">
        <v>0.03</v>
      </c>
      <c r="H2035" s="10"/>
      <c r="I2035" s="10"/>
    </row>
    <row r="2036" spans="1:9">
      <c r="A2036" s="10" t="s">
        <v>2939</v>
      </c>
      <c r="B2036" s="124" t="s">
        <v>520</v>
      </c>
      <c r="C2036" s="124" t="s">
        <v>434</v>
      </c>
      <c r="D2036" s="12">
        <v>20000000</v>
      </c>
      <c r="E2036" s="82">
        <v>0.97520593389999999</v>
      </c>
      <c r="F2036" s="14">
        <v>19504118.68</v>
      </c>
      <c r="G2036" s="14">
        <v>0.03</v>
      </c>
      <c r="H2036" s="10"/>
      <c r="I2036" s="10"/>
    </row>
    <row r="2037" spans="1:9">
      <c r="A2037" s="10" t="s">
        <v>2940</v>
      </c>
      <c r="B2037" s="124" t="s">
        <v>504</v>
      </c>
      <c r="C2037" s="124" t="s">
        <v>434</v>
      </c>
      <c r="D2037" s="12">
        <v>20000000</v>
      </c>
      <c r="E2037" s="82">
        <v>0.96367093270000004</v>
      </c>
      <c r="F2037" s="14">
        <v>19273418.649999999</v>
      </c>
      <c r="G2037" s="14">
        <v>0.03</v>
      </c>
      <c r="H2037" s="10"/>
      <c r="I2037" s="10"/>
    </row>
    <row r="2038" spans="1:9">
      <c r="A2038" s="10" t="s">
        <v>2941</v>
      </c>
      <c r="B2038" s="124" t="s">
        <v>504</v>
      </c>
      <c r="C2038" s="124" t="s">
        <v>434</v>
      </c>
      <c r="D2038" s="12">
        <v>20000000</v>
      </c>
      <c r="E2038" s="82">
        <v>0.96367093270000004</v>
      </c>
      <c r="F2038" s="14">
        <v>19273418.649999999</v>
      </c>
      <c r="G2038" s="14">
        <v>0.03</v>
      </c>
      <c r="H2038" s="10"/>
      <c r="I2038" s="10"/>
    </row>
    <row r="2039" spans="1:9">
      <c r="A2039" s="10" t="s">
        <v>2942</v>
      </c>
      <c r="B2039" s="124" t="s">
        <v>497</v>
      </c>
      <c r="C2039" s="124" t="s">
        <v>434</v>
      </c>
      <c r="D2039" s="12">
        <v>20000000</v>
      </c>
      <c r="E2039" s="82">
        <v>0.96285763319999995</v>
      </c>
      <c r="F2039" s="14">
        <v>19257152.66</v>
      </c>
      <c r="G2039" s="14">
        <v>0.03</v>
      </c>
      <c r="H2039" s="10"/>
      <c r="I2039" s="10"/>
    </row>
    <row r="2040" spans="1:9">
      <c r="A2040" s="10" t="s">
        <v>2943</v>
      </c>
      <c r="B2040" s="124" t="s">
        <v>1007</v>
      </c>
      <c r="C2040" s="124" t="s">
        <v>434</v>
      </c>
      <c r="D2040" s="12">
        <v>30000000</v>
      </c>
      <c r="E2040" s="82">
        <v>0.9620454557</v>
      </c>
      <c r="F2040" s="14">
        <v>28861363.670000002</v>
      </c>
      <c r="G2040" s="14">
        <v>0.04</v>
      </c>
      <c r="H2040" s="10"/>
      <c r="I2040" s="10"/>
    </row>
    <row r="2041" spans="1:9">
      <c r="A2041" s="10" t="s">
        <v>2944</v>
      </c>
      <c r="B2041" s="124" t="s">
        <v>593</v>
      </c>
      <c r="C2041" s="124" t="s">
        <v>434</v>
      </c>
      <c r="D2041" s="12">
        <v>20000000</v>
      </c>
      <c r="E2041" s="82">
        <v>0.9644858597</v>
      </c>
      <c r="F2041" s="14">
        <v>19289717.190000001</v>
      </c>
      <c r="G2041" s="14">
        <v>0.03</v>
      </c>
      <c r="H2041" s="10"/>
      <c r="I2041" s="10"/>
    </row>
    <row r="2042" spans="1:9">
      <c r="A2042" s="10" t="s">
        <v>2945</v>
      </c>
      <c r="B2042" s="124" t="s">
        <v>1007</v>
      </c>
      <c r="C2042" s="124" t="s">
        <v>434</v>
      </c>
      <c r="D2042" s="12">
        <v>30000000</v>
      </c>
      <c r="E2042" s="82">
        <v>0.9620454557</v>
      </c>
      <c r="F2042" s="14">
        <v>28861363.670000002</v>
      </c>
      <c r="G2042" s="14">
        <v>0.04</v>
      </c>
      <c r="H2042" s="10"/>
      <c r="I2042" s="10"/>
    </row>
    <row r="2043" spans="1:9">
      <c r="A2043" s="10" t="s">
        <v>2946</v>
      </c>
      <c r="B2043" s="124" t="s">
        <v>520</v>
      </c>
      <c r="C2043" s="124" t="s">
        <v>434</v>
      </c>
      <c r="D2043" s="12">
        <v>10000000</v>
      </c>
      <c r="E2043" s="82">
        <v>0.97520593389999999</v>
      </c>
      <c r="F2043" s="14">
        <v>9752059.3399999999</v>
      </c>
      <c r="G2043" s="14">
        <v>0.01</v>
      </c>
      <c r="H2043" s="10"/>
      <c r="I2043" s="10"/>
    </row>
    <row r="2044" spans="1:9">
      <c r="A2044" s="10" t="s">
        <v>2947</v>
      </c>
      <c r="B2044" s="124" t="s">
        <v>587</v>
      </c>
      <c r="C2044" s="124" t="s">
        <v>434</v>
      </c>
      <c r="D2044" s="12">
        <v>20000000</v>
      </c>
      <c r="E2044" s="82">
        <v>0.95961737069999997</v>
      </c>
      <c r="F2044" s="14">
        <v>19192347.41</v>
      </c>
      <c r="G2044" s="14">
        <v>0.03</v>
      </c>
      <c r="H2044" s="10"/>
      <c r="I2044" s="10"/>
    </row>
    <row r="2045" spans="1:9">
      <c r="A2045" s="10" t="s">
        <v>2948</v>
      </c>
      <c r="B2045" s="124" t="s">
        <v>520</v>
      </c>
      <c r="C2045" s="124" t="s">
        <v>434</v>
      </c>
      <c r="D2045" s="12">
        <v>40000000</v>
      </c>
      <c r="E2045" s="82">
        <v>0.97520593460000005</v>
      </c>
      <c r="F2045" s="14">
        <v>39008237.380000003</v>
      </c>
      <c r="G2045" s="14">
        <v>0.05</v>
      </c>
      <c r="H2045" s="10"/>
      <c r="I2045" s="10"/>
    </row>
    <row r="2046" spans="1:9">
      <c r="A2046" s="10" t="s">
        <v>2949</v>
      </c>
      <c r="B2046" s="124" t="s">
        <v>520</v>
      </c>
      <c r="C2046" s="124" t="s">
        <v>434</v>
      </c>
      <c r="D2046" s="12">
        <v>10000000</v>
      </c>
      <c r="E2046" s="82">
        <v>0.97520593389999999</v>
      </c>
      <c r="F2046" s="14">
        <v>9752059.3399999999</v>
      </c>
      <c r="G2046" s="14">
        <v>0.01</v>
      </c>
      <c r="H2046" s="10"/>
      <c r="I2046" s="10"/>
    </row>
    <row r="2047" spans="1:9">
      <c r="A2047" s="10" t="s">
        <v>2950</v>
      </c>
      <c r="B2047" s="124" t="s">
        <v>660</v>
      </c>
      <c r="C2047" s="124" t="s">
        <v>434</v>
      </c>
      <c r="D2047" s="12">
        <v>20000000</v>
      </c>
      <c r="E2047" s="158">
        <v>0.97022865599999997</v>
      </c>
      <c r="F2047" s="14">
        <v>19404573.120000001</v>
      </c>
      <c r="G2047" s="14">
        <v>0.03</v>
      </c>
      <c r="H2047" s="10"/>
      <c r="I2047" s="10"/>
    </row>
    <row r="2048" spans="1:9">
      <c r="A2048" s="10" t="s">
        <v>2951</v>
      </c>
      <c r="B2048" s="124" t="s">
        <v>587</v>
      </c>
      <c r="C2048" s="124" t="s">
        <v>434</v>
      </c>
      <c r="D2048" s="12">
        <v>3600000</v>
      </c>
      <c r="E2048" s="82">
        <v>0.95840790060000003</v>
      </c>
      <c r="F2048" s="14">
        <v>3450268.44</v>
      </c>
      <c r="G2048" s="12">
        <v>0</v>
      </c>
      <c r="H2048" s="10"/>
      <c r="I2048" s="10"/>
    </row>
    <row r="2049" spans="1:9">
      <c r="A2049" s="10" t="s">
        <v>2952</v>
      </c>
      <c r="B2049" s="124" t="s">
        <v>446</v>
      </c>
      <c r="C2049" s="124" t="s">
        <v>434</v>
      </c>
      <c r="D2049" s="12">
        <v>3600000</v>
      </c>
      <c r="E2049" s="82">
        <v>0.95757808570000003</v>
      </c>
      <c r="F2049" s="14">
        <v>3447281.11</v>
      </c>
      <c r="G2049" s="12">
        <v>0</v>
      </c>
      <c r="H2049" s="10"/>
      <c r="I2049" s="10"/>
    </row>
    <row r="2050" spans="1:9">
      <c r="A2050" s="10" t="s">
        <v>2953</v>
      </c>
      <c r="B2050" s="124" t="s">
        <v>504</v>
      </c>
      <c r="C2050" s="124" t="s">
        <v>434</v>
      </c>
      <c r="D2050" s="12">
        <v>3600000</v>
      </c>
      <c r="E2050" s="82">
        <v>0.96257813579999996</v>
      </c>
      <c r="F2050" s="14">
        <v>3465281.29</v>
      </c>
      <c r="G2050" s="12">
        <v>0</v>
      </c>
      <c r="H2050" s="10"/>
      <c r="I2050" s="10"/>
    </row>
    <row r="2051" spans="1:9">
      <c r="A2051" s="10" t="s">
        <v>2954</v>
      </c>
      <c r="B2051" s="124" t="s">
        <v>1007</v>
      </c>
      <c r="C2051" s="124" t="s">
        <v>434</v>
      </c>
      <c r="D2051" s="12">
        <v>3600000</v>
      </c>
      <c r="E2051" s="82">
        <v>0.96090574470000001</v>
      </c>
      <c r="F2051" s="14">
        <v>3459260.68</v>
      </c>
      <c r="G2051" s="12">
        <v>0</v>
      </c>
      <c r="H2051" s="10"/>
      <c r="I2051" s="10"/>
    </row>
    <row r="2052" spans="1:9">
      <c r="A2052" s="10" t="s">
        <v>2955</v>
      </c>
      <c r="B2052" s="124" t="s">
        <v>497</v>
      </c>
      <c r="C2052" s="124" t="s">
        <v>434</v>
      </c>
      <c r="D2052" s="12">
        <v>3600000</v>
      </c>
      <c r="E2052" s="82">
        <v>0.96174134180000004</v>
      </c>
      <c r="F2052" s="14">
        <v>3462268.83</v>
      </c>
      <c r="G2052" s="12">
        <v>0</v>
      </c>
      <c r="H2052" s="10"/>
      <c r="I2052" s="10"/>
    </row>
    <row r="2053" spans="1:9">
      <c r="A2053" s="10" t="s">
        <v>2956</v>
      </c>
      <c r="B2053" s="124" t="s">
        <v>500</v>
      </c>
      <c r="C2053" s="124" t="s">
        <v>434</v>
      </c>
      <c r="D2053" s="14">
        <v>12839.68</v>
      </c>
      <c r="E2053" s="82">
        <v>0.95675047989999995</v>
      </c>
      <c r="F2053" s="14">
        <v>12284.37</v>
      </c>
      <c r="G2053" s="12">
        <v>0</v>
      </c>
      <c r="H2053" s="10"/>
      <c r="I2053" s="10"/>
    </row>
    <row r="2054" spans="1:9">
      <c r="A2054" s="10" t="s">
        <v>2957</v>
      </c>
      <c r="B2054" s="124" t="s">
        <v>754</v>
      </c>
      <c r="C2054" s="124" t="s">
        <v>434</v>
      </c>
      <c r="D2054" s="14">
        <v>12839.68</v>
      </c>
      <c r="E2054" s="82">
        <v>0.93255049970000004</v>
      </c>
      <c r="F2054" s="14">
        <v>11973.65</v>
      </c>
      <c r="G2054" s="12">
        <v>0</v>
      </c>
      <c r="H2054" s="10"/>
      <c r="I2054" s="10"/>
    </row>
    <row r="2055" spans="1:9">
      <c r="A2055" s="10" t="s">
        <v>2958</v>
      </c>
      <c r="B2055" s="124" t="s">
        <v>583</v>
      </c>
      <c r="C2055" s="124" t="s">
        <v>434</v>
      </c>
      <c r="D2055" s="154">
        <v>204051.5</v>
      </c>
      <c r="E2055" s="82">
        <v>0.9559230393</v>
      </c>
      <c r="F2055" s="14">
        <v>195057.53</v>
      </c>
      <c r="G2055" s="12">
        <v>0</v>
      </c>
      <c r="H2055" s="10"/>
      <c r="I2055" s="10"/>
    </row>
    <row r="2056" spans="1:9">
      <c r="A2056" s="10" t="s">
        <v>2959</v>
      </c>
      <c r="B2056" s="124" t="s">
        <v>812</v>
      </c>
      <c r="C2056" s="124" t="s">
        <v>434</v>
      </c>
      <c r="D2056" s="154">
        <v>204051.5</v>
      </c>
      <c r="E2056" s="82">
        <v>0.93019698409999996</v>
      </c>
      <c r="F2056" s="14">
        <v>189808.09</v>
      </c>
      <c r="G2056" s="12">
        <v>0</v>
      </c>
      <c r="H2056" s="10"/>
      <c r="I2056" s="10"/>
    </row>
    <row r="2057" spans="1:9">
      <c r="A2057" s="10" t="s">
        <v>2960</v>
      </c>
      <c r="B2057" s="124" t="s">
        <v>443</v>
      </c>
      <c r="C2057" s="124" t="s">
        <v>434</v>
      </c>
      <c r="D2057" s="12">
        <v>970000</v>
      </c>
      <c r="E2057" s="158">
        <v>0.992819165</v>
      </c>
      <c r="F2057" s="14">
        <v>963034.59</v>
      </c>
      <c r="G2057" s="12">
        <v>0</v>
      </c>
      <c r="H2057" s="10"/>
      <c r="I2057" s="10"/>
    </row>
    <row r="2058" spans="1:9">
      <c r="A2058" s="10" t="s">
        <v>2961</v>
      </c>
      <c r="B2058" s="124" t="s">
        <v>1486</v>
      </c>
      <c r="C2058" s="124" t="s">
        <v>434</v>
      </c>
      <c r="D2058" s="12">
        <v>45000000</v>
      </c>
      <c r="E2058" s="82">
        <v>0.90552748949999995</v>
      </c>
      <c r="F2058" s="14">
        <v>40748737.030000001</v>
      </c>
      <c r="G2058" s="14">
        <v>0.05</v>
      </c>
      <c r="H2058" s="10"/>
      <c r="I2058" s="10"/>
    </row>
    <row r="2059" spans="1:9">
      <c r="A2059" s="10" t="s">
        <v>2962</v>
      </c>
      <c r="B2059" s="124" t="s">
        <v>814</v>
      </c>
      <c r="C2059" s="124" t="s">
        <v>434</v>
      </c>
      <c r="D2059" s="12">
        <v>45000000</v>
      </c>
      <c r="E2059" s="82">
        <v>0.90986161210000005</v>
      </c>
      <c r="F2059" s="14">
        <v>40943772.539999999</v>
      </c>
      <c r="G2059" s="14">
        <v>0.05</v>
      </c>
      <c r="H2059" s="10"/>
      <c r="I2059" s="10"/>
    </row>
    <row r="2060" spans="1:9">
      <c r="A2060" s="10" t="s">
        <v>2963</v>
      </c>
      <c r="B2060" s="124" t="s">
        <v>520</v>
      </c>
      <c r="C2060" s="124" t="s">
        <v>434</v>
      </c>
      <c r="D2060" s="12">
        <v>25000000</v>
      </c>
      <c r="E2060" s="82">
        <v>0.97520593460000005</v>
      </c>
      <c r="F2060" s="14">
        <v>24380148.370000001</v>
      </c>
      <c r="G2060" s="14">
        <v>0.03</v>
      </c>
      <c r="H2060" s="10"/>
      <c r="I2060" s="10"/>
    </row>
    <row r="2061" spans="1:9">
      <c r="A2061" s="10" t="s">
        <v>2964</v>
      </c>
      <c r="B2061" s="124" t="s">
        <v>287</v>
      </c>
      <c r="C2061" s="124" t="s">
        <v>434</v>
      </c>
      <c r="D2061" s="12">
        <v>45000000</v>
      </c>
      <c r="E2061" s="82">
        <v>0.90480935119999994</v>
      </c>
      <c r="F2061" s="154">
        <v>40716420.799999997</v>
      </c>
      <c r="G2061" s="14">
        <v>0.05</v>
      </c>
      <c r="H2061" s="10"/>
      <c r="I2061" s="10"/>
    </row>
    <row r="2062" spans="1:9">
      <c r="A2062" s="10" t="s">
        <v>2965</v>
      </c>
      <c r="B2062" s="124" t="s">
        <v>1704</v>
      </c>
      <c r="C2062" s="124" t="s">
        <v>434</v>
      </c>
      <c r="D2062" s="12">
        <v>40000000</v>
      </c>
      <c r="E2062" s="82">
        <v>0.90052311350000003</v>
      </c>
      <c r="F2062" s="14">
        <v>36020924.539999999</v>
      </c>
      <c r="G2062" s="14">
        <v>0.05</v>
      </c>
      <c r="H2062" s="10"/>
      <c r="I2062" s="10"/>
    </row>
    <row r="2063" spans="1:9">
      <c r="A2063" s="10" t="s">
        <v>2966</v>
      </c>
      <c r="B2063" s="124" t="s">
        <v>520</v>
      </c>
      <c r="C2063" s="124" t="s">
        <v>434</v>
      </c>
      <c r="D2063" s="12">
        <v>300000000</v>
      </c>
      <c r="E2063" s="82">
        <v>0.9706932908</v>
      </c>
      <c r="F2063" s="14">
        <v>291207987.24000001</v>
      </c>
      <c r="G2063" s="14">
        <v>0.39</v>
      </c>
      <c r="H2063" s="10"/>
      <c r="I2063" s="10"/>
    </row>
    <row r="2064" spans="1:9">
      <c r="A2064" s="10" t="s">
        <v>2967</v>
      </c>
      <c r="B2064" s="124" t="s">
        <v>269</v>
      </c>
      <c r="C2064" s="124" t="s">
        <v>434</v>
      </c>
      <c r="D2064" s="12">
        <v>8400000</v>
      </c>
      <c r="E2064" s="82">
        <v>0.94765813560000001</v>
      </c>
      <c r="F2064" s="14">
        <v>7960328.3399999999</v>
      </c>
      <c r="G2064" s="14">
        <v>0.01</v>
      </c>
      <c r="H2064" s="10"/>
      <c r="I2064" s="10"/>
    </row>
    <row r="2065" spans="1:9">
      <c r="A2065" s="10" t="s">
        <v>2968</v>
      </c>
      <c r="B2065" s="124" t="s">
        <v>651</v>
      </c>
      <c r="C2065" s="124" t="s">
        <v>434</v>
      </c>
      <c r="D2065" s="12">
        <v>8400000</v>
      </c>
      <c r="E2065" s="82">
        <v>0.94696987990000003</v>
      </c>
      <c r="F2065" s="14">
        <v>7954546.9900000002</v>
      </c>
      <c r="G2065" s="14">
        <v>0.01</v>
      </c>
      <c r="H2065" s="10"/>
      <c r="I2065" s="10"/>
    </row>
    <row r="2066" spans="1:9">
      <c r="A2066" s="10" t="s">
        <v>2969</v>
      </c>
      <c r="B2066" s="124" t="s">
        <v>1019</v>
      </c>
      <c r="C2066" s="124" t="s">
        <v>434</v>
      </c>
      <c r="D2066" s="12">
        <v>8400000</v>
      </c>
      <c r="E2066" s="82">
        <v>0.94422615509999996</v>
      </c>
      <c r="F2066" s="154">
        <v>7931499.7000000002</v>
      </c>
      <c r="G2066" s="14">
        <v>0.01</v>
      </c>
      <c r="H2066" s="10"/>
      <c r="I2066" s="10"/>
    </row>
    <row r="2067" spans="1:9">
      <c r="A2067" s="10" t="s">
        <v>2970</v>
      </c>
      <c r="B2067" s="124" t="s">
        <v>450</v>
      </c>
      <c r="C2067" s="124" t="s">
        <v>434</v>
      </c>
      <c r="D2067" s="12">
        <v>8400000</v>
      </c>
      <c r="E2067" s="82">
        <v>0.94354264880000005</v>
      </c>
      <c r="F2067" s="14">
        <v>7925758.25</v>
      </c>
      <c r="G2067" s="14">
        <v>0.01</v>
      </c>
      <c r="H2067" s="10"/>
      <c r="I2067" s="10"/>
    </row>
    <row r="2068" spans="1:9">
      <c r="A2068" s="10" t="s">
        <v>2971</v>
      </c>
      <c r="B2068" s="124" t="s">
        <v>819</v>
      </c>
      <c r="C2068" s="124" t="s">
        <v>434</v>
      </c>
      <c r="D2068" s="12">
        <v>8400000</v>
      </c>
      <c r="E2068" s="82">
        <v>0.94286013160000004</v>
      </c>
      <c r="F2068" s="14">
        <v>7920025.1100000003</v>
      </c>
      <c r="G2068" s="14">
        <v>0.01</v>
      </c>
      <c r="H2068" s="10"/>
      <c r="I2068" s="10"/>
    </row>
    <row r="2069" spans="1:9">
      <c r="A2069" s="10" t="s">
        <v>2972</v>
      </c>
      <c r="B2069" s="124" t="s">
        <v>754</v>
      </c>
      <c r="C2069" s="124" t="s">
        <v>434</v>
      </c>
      <c r="D2069" s="12">
        <v>8400000</v>
      </c>
      <c r="E2069" s="82">
        <v>0.9421788271</v>
      </c>
      <c r="F2069" s="14">
        <v>7914302.1500000004</v>
      </c>
      <c r="G2069" s="14">
        <v>0.01</v>
      </c>
      <c r="H2069" s="10"/>
      <c r="I2069" s="10"/>
    </row>
    <row r="2070" spans="1:9">
      <c r="A2070" s="10" t="s">
        <v>2973</v>
      </c>
      <c r="B2070" s="124" t="s">
        <v>812</v>
      </c>
      <c r="C2070" s="124" t="s">
        <v>434</v>
      </c>
      <c r="D2070" s="12">
        <v>8400000</v>
      </c>
      <c r="E2070" s="82">
        <v>0.94014013559999998</v>
      </c>
      <c r="F2070" s="14">
        <v>7897177.1399999997</v>
      </c>
      <c r="G2070" s="14">
        <v>0.01</v>
      </c>
      <c r="H2070" s="10"/>
      <c r="I2070" s="10"/>
    </row>
    <row r="2071" spans="1:9">
      <c r="A2071" s="10" t="s">
        <v>2974</v>
      </c>
      <c r="B2071" s="124" t="s">
        <v>674</v>
      </c>
      <c r="C2071" s="124" t="s">
        <v>434</v>
      </c>
      <c r="D2071" s="12">
        <v>8400000</v>
      </c>
      <c r="E2071" s="82">
        <v>0.93946275469999996</v>
      </c>
      <c r="F2071" s="14">
        <v>7891487.1399999997</v>
      </c>
      <c r="G2071" s="14">
        <v>0.01</v>
      </c>
      <c r="H2071" s="10"/>
      <c r="I2071" s="10"/>
    </row>
    <row r="2072" spans="1:9">
      <c r="A2072" s="10" t="s">
        <v>2975</v>
      </c>
      <c r="B2072" s="124" t="s">
        <v>1360</v>
      </c>
      <c r="C2072" s="124" t="s">
        <v>434</v>
      </c>
      <c r="D2072" s="12">
        <v>8400000</v>
      </c>
      <c r="E2072" s="82">
        <v>0.94491065080000003</v>
      </c>
      <c r="F2072" s="14">
        <v>7937249.4699999997</v>
      </c>
      <c r="G2072" s="14">
        <v>0.01</v>
      </c>
      <c r="H2072" s="10"/>
      <c r="I2072" s="10"/>
    </row>
    <row r="2073" spans="1:9">
      <c r="A2073" s="10" t="s">
        <v>2976</v>
      </c>
      <c r="B2073" s="124" t="s">
        <v>651</v>
      </c>
      <c r="C2073" s="124" t="s">
        <v>434</v>
      </c>
      <c r="D2073" s="12">
        <v>8400000</v>
      </c>
      <c r="E2073" s="82">
        <v>0.94696987990000003</v>
      </c>
      <c r="F2073" s="14">
        <v>7954546.9900000002</v>
      </c>
      <c r="G2073" s="14">
        <v>0.01</v>
      </c>
      <c r="H2073" s="10"/>
      <c r="I2073" s="10"/>
    </row>
    <row r="2074" spans="1:9">
      <c r="A2074" s="10" t="s">
        <v>2977</v>
      </c>
      <c r="B2074" s="124" t="s">
        <v>529</v>
      </c>
      <c r="C2074" s="124" t="s">
        <v>434</v>
      </c>
      <c r="D2074" s="14">
        <v>4980525.82</v>
      </c>
      <c r="E2074" s="82">
        <v>0.98223904169999998</v>
      </c>
      <c r="F2074" s="14">
        <v>4892066.91</v>
      </c>
      <c r="G2074" s="14">
        <v>0.01</v>
      </c>
      <c r="H2074" s="10"/>
      <c r="I2074" s="10"/>
    </row>
    <row r="2075" spans="1:9">
      <c r="A2075" s="10" t="s">
        <v>2978</v>
      </c>
      <c r="B2075" s="124" t="s">
        <v>806</v>
      </c>
      <c r="C2075" s="124" t="s">
        <v>434</v>
      </c>
      <c r="D2075" s="12">
        <v>20000000</v>
      </c>
      <c r="E2075" s="82">
        <v>0.91570499569999997</v>
      </c>
      <c r="F2075" s="14">
        <v>18314099.91</v>
      </c>
      <c r="G2075" s="14">
        <v>0.02</v>
      </c>
      <c r="H2075" s="10"/>
      <c r="I2075" s="10"/>
    </row>
    <row r="2076" spans="1:9">
      <c r="A2076" s="10" t="s">
        <v>2979</v>
      </c>
      <c r="B2076" s="124" t="s">
        <v>1699</v>
      </c>
      <c r="C2076" s="124" t="s">
        <v>434</v>
      </c>
      <c r="D2076" s="12">
        <v>20000000</v>
      </c>
      <c r="E2076" s="82">
        <v>0.89614538769999996</v>
      </c>
      <c r="F2076" s="14">
        <v>17922907.75</v>
      </c>
      <c r="G2076" s="14">
        <v>0.02</v>
      </c>
      <c r="H2076" s="10"/>
      <c r="I2076" s="10"/>
    </row>
    <row r="2077" spans="1:9">
      <c r="A2077" s="10" t="s">
        <v>2980</v>
      </c>
      <c r="B2077" s="124" t="s">
        <v>454</v>
      </c>
      <c r="C2077" s="124" t="s">
        <v>434</v>
      </c>
      <c r="D2077" s="12">
        <v>20000000</v>
      </c>
      <c r="E2077" s="82">
        <v>0.87803715660000003</v>
      </c>
      <c r="F2077" s="14">
        <v>17560743.129999999</v>
      </c>
      <c r="G2077" s="14">
        <v>0.02</v>
      </c>
      <c r="H2077" s="10"/>
      <c r="I2077" s="10"/>
    </row>
    <row r="2078" spans="1:9">
      <c r="A2078" s="10" t="s">
        <v>2981</v>
      </c>
      <c r="B2078" s="124" t="s">
        <v>697</v>
      </c>
      <c r="C2078" s="124" t="s">
        <v>434</v>
      </c>
      <c r="D2078" s="12">
        <v>5000000</v>
      </c>
      <c r="E2078" s="82">
        <v>0.93878612520000004</v>
      </c>
      <c r="F2078" s="14">
        <v>4693930.63</v>
      </c>
      <c r="G2078" s="14">
        <v>0.01</v>
      </c>
      <c r="H2078" s="10"/>
      <c r="I2078" s="10"/>
    </row>
    <row r="2079" spans="1:9">
      <c r="A2079" s="10" t="s">
        <v>2982</v>
      </c>
      <c r="B2079" s="124" t="s">
        <v>793</v>
      </c>
      <c r="C2079" s="124" t="s">
        <v>434</v>
      </c>
      <c r="D2079" s="12">
        <v>5000000</v>
      </c>
      <c r="E2079" s="82">
        <v>0.95320177530000005</v>
      </c>
      <c r="F2079" s="14">
        <v>4766008.88</v>
      </c>
      <c r="G2079" s="14">
        <v>0.01</v>
      </c>
      <c r="H2079" s="10"/>
      <c r="I2079" s="10"/>
    </row>
    <row r="2080" spans="1:9">
      <c r="A2080" s="10" t="s">
        <v>2983</v>
      </c>
      <c r="B2080" s="124" t="s">
        <v>808</v>
      </c>
      <c r="C2080" s="124" t="s">
        <v>434</v>
      </c>
      <c r="D2080" s="12">
        <v>5000000</v>
      </c>
      <c r="E2080" s="82">
        <v>0.93407731709999997</v>
      </c>
      <c r="F2080" s="14">
        <v>4670386.59</v>
      </c>
      <c r="G2080" s="14">
        <v>0.01</v>
      </c>
      <c r="H2080" s="10"/>
      <c r="I2080" s="10"/>
    </row>
    <row r="2081" spans="1:9">
      <c r="A2081" s="10" t="s">
        <v>2984</v>
      </c>
      <c r="B2081" s="124" t="s">
        <v>567</v>
      </c>
      <c r="C2081" s="124" t="s">
        <v>434</v>
      </c>
      <c r="D2081" s="12">
        <v>10000000</v>
      </c>
      <c r="E2081" s="82">
        <v>0.95614834380000002</v>
      </c>
      <c r="F2081" s="14">
        <v>9561483.4399999995</v>
      </c>
      <c r="G2081" s="14">
        <v>0.01</v>
      </c>
      <c r="H2081" s="10"/>
      <c r="I2081" s="10"/>
    </row>
    <row r="2082" spans="1:9">
      <c r="A2082" s="10" t="s">
        <v>2985</v>
      </c>
      <c r="B2082" s="124" t="s">
        <v>500</v>
      </c>
      <c r="C2082" s="124" t="s">
        <v>434</v>
      </c>
      <c r="D2082" s="14">
        <v>12983989.119999999</v>
      </c>
      <c r="E2082" s="82">
        <v>0.96306071019999995</v>
      </c>
      <c r="F2082" s="14">
        <v>12504369.779999999</v>
      </c>
      <c r="G2082" s="14">
        <v>0.02</v>
      </c>
      <c r="H2082" s="10"/>
      <c r="I2082" s="10"/>
    </row>
    <row r="2083" spans="1:9">
      <c r="A2083" s="10" t="s">
        <v>2986</v>
      </c>
      <c r="B2083" s="124" t="s">
        <v>754</v>
      </c>
      <c r="C2083" s="124" t="s">
        <v>434</v>
      </c>
      <c r="D2083" s="12">
        <v>34000000</v>
      </c>
      <c r="E2083" s="82">
        <v>0.9421788271</v>
      </c>
      <c r="F2083" s="14">
        <v>32034080.120000001</v>
      </c>
      <c r="G2083" s="14">
        <v>0.04</v>
      </c>
      <c r="H2083" s="10"/>
      <c r="I2083" s="10"/>
    </row>
    <row r="2084" spans="1:9">
      <c r="A2084" s="10" t="s">
        <v>2987</v>
      </c>
      <c r="B2084" s="124" t="s">
        <v>808</v>
      </c>
      <c r="C2084" s="124" t="s">
        <v>434</v>
      </c>
      <c r="D2084" s="12">
        <v>21138534</v>
      </c>
      <c r="E2084" s="82">
        <v>0.93407731930000004</v>
      </c>
      <c r="F2084" s="14">
        <v>19745025.170000002</v>
      </c>
      <c r="G2084" s="14">
        <v>0.03</v>
      </c>
      <c r="H2084" s="10"/>
      <c r="I2084" s="10"/>
    </row>
    <row r="2085" spans="1:9">
      <c r="A2085" s="10" t="s">
        <v>2988</v>
      </c>
      <c r="B2085" s="124" t="s">
        <v>651</v>
      </c>
      <c r="C2085" s="124" t="s">
        <v>434</v>
      </c>
      <c r="D2085" s="14">
        <v>20519816.280000001</v>
      </c>
      <c r="E2085" s="82">
        <v>0.94696987990000003</v>
      </c>
      <c r="F2085" s="14">
        <v>19431647.960000001</v>
      </c>
      <c r="G2085" s="14">
        <v>0.03</v>
      </c>
      <c r="H2085" s="10"/>
      <c r="I2085" s="10"/>
    </row>
    <row r="2086" spans="1:9">
      <c r="A2086" s="10" t="s">
        <v>2989</v>
      </c>
      <c r="B2086" s="124" t="s">
        <v>269</v>
      </c>
      <c r="C2086" s="124" t="s">
        <v>434</v>
      </c>
      <c r="D2086" s="12">
        <v>25000000</v>
      </c>
      <c r="E2086" s="82">
        <v>0.94943295920000004</v>
      </c>
      <c r="F2086" s="14">
        <v>23735823.98</v>
      </c>
      <c r="G2086" s="14">
        <v>0.03</v>
      </c>
      <c r="H2086" s="10"/>
      <c r="I2086" s="10"/>
    </row>
    <row r="2087" spans="1:9">
      <c r="A2087" s="10" t="s">
        <v>3002</v>
      </c>
      <c r="B2087" s="124" t="s">
        <v>674</v>
      </c>
      <c r="C2087" s="124" t="s">
        <v>532</v>
      </c>
      <c r="D2087" s="12">
        <v>10000000</v>
      </c>
      <c r="E2087" s="82">
        <v>0.93946259219999995</v>
      </c>
      <c r="F2087" s="14">
        <v>9394625.9199999999</v>
      </c>
      <c r="G2087" s="14">
        <v>0.01</v>
      </c>
      <c r="H2087" s="10"/>
      <c r="I2087" s="10"/>
    </row>
    <row r="2088" spans="1:9">
      <c r="A2088" s="10" t="s">
        <v>3003</v>
      </c>
      <c r="B2088" s="124" t="s">
        <v>819</v>
      </c>
      <c r="C2088" s="124" t="s">
        <v>532</v>
      </c>
      <c r="D2088" s="12">
        <v>5000000</v>
      </c>
      <c r="E2088" s="82">
        <v>0.94286019509999996</v>
      </c>
      <c r="F2088" s="14">
        <v>4714300.9800000004</v>
      </c>
      <c r="G2088" s="14">
        <v>0.01</v>
      </c>
      <c r="H2088" s="10"/>
      <c r="I2088" s="10"/>
    </row>
    <row r="2089" spans="1:9">
      <c r="A2089" s="10" t="s">
        <v>3004</v>
      </c>
      <c r="B2089" s="124" t="s">
        <v>674</v>
      </c>
      <c r="C2089" s="124" t="s">
        <v>532</v>
      </c>
      <c r="D2089" s="12">
        <v>5000000</v>
      </c>
      <c r="E2089" s="82">
        <v>0.93946259009999999</v>
      </c>
      <c r="F2089" s="14">
        <v>4697312.95</v>
      </c>
      <c r="G2089" s="14">
        <v>0.01</v>
      </c>
      <c r="H2089" s="10"/>
      <c r="I2089" s="10"/>
    </row>
    <row r="2090" spans="1:9">
      <c r="A2090" s="10" t="s">
        <v>3005</v>
      </c>
      <c r="B2090" s="124" t="s">
        <v>1019</v>
      </c>
      <c r="C2090" s="124" t="s">
        <v>532</v>
      </c>
      <c r="D2090" s="12">
        <v>5000000</v>
      </c>
      <c r="E2090" s="82">
        <v>0.94422621910000004</v>
      </c>
      <c r="F2090" s="154">
        <v>4721131.0999999996</v>
      </c>
      <c r="G2090" s="14">
        <v>0.01</v>
      </c>
      <c r="H2090" s="10"/>
      <c r="I2090" s="10"/>
    </row>
    <row r="2091" spans="1:9">
      <c r="A2091" s="10" t="s">
        <v>3006</v>
      </c>
      <c r="B2091" s="124" t="s">
        <v>1360</v>
      </c>
      <c r="C2091" s="124" t="s">
        <v>532</v>
      </c>
      <c r="D2091" s="14">
        <v>3729055.13</v>
      </c>
      <c r="E2091" s="82">
        <v>0.94864336260000004</v>
      </c>
      <c r="F2091" s="154">
        <v>3537543.4</v>
      </c>
      <c r="G2091" s="12">
        <v>0</v>
      </c>
      <c r="H2091" s="10"/>
      <c r="I2091" s="10"/>
    </row>
    <row r="2092" spans="1:9">
      <c r="A2092" s="10" t="s">
        <v>3007</v>
      </c>
      <c r="B2092" s="124" t="s">
        <v>766</v>
      </c>
      <c r="C2092" s="124" t="s">
        <v>532</v>
      </c>
      <c r="D2092" s="12">
        <v>25000000</v>
      </c>
      <c r="E2092" s="82">
        <v>0.97839501579999999</v>
      </c>
      <c r="F2092" s="154">
        <v>24459875.399999999</v>
      </c>
      <c r="G2092" s="14">
        <v>0.03</v>
      </c>
      <c r="H2092" s="10"/>
      <c r="I2092" s="10"/>
    </row>
    <row r="2093" spans="1:9">
      <c r="A2093" s="10" t="s">
        <v>3008</v>
      </c>
      <c r="B2093" s="124" t="s">
        <v>766</v>
      </c>
      <c r="C2093" s="124" t="s">
        <v>532</v>
      </c>
      <c r="D2093" s="12">
        <v>25000000</v>
      </c>
      <c r="E2093" s="82">
        <v>0.97839501579999999</v>
      </c>
      <c r="F2093" s="154">
        <v>24459875.399999999</v>
      </c>
      <c r="G2093" s="14">
        <v>0.03</v>
      </c>
      <c r="H2093" s="10"/>
      <c r="I2093" s="10"/>
    </row>
    <row r="2094" spans="1:9">
      <c r="A2094" s="10" t="s">
        <v>3009</v>
      </c>
      <c r="B2094" s="124" t="s">
        <v>257</v>
      </c>
      <c r="C2094" s="124" t="s">
        <v>532</v>
      </c>
      <c r="D2094" s="14">
        <v>3729055.13</v>
      </c>
      <c r="E2094" s="82">
        <v>0.92979418160000005</v>
      </c>
      <c r="F2094" s="14">
        <v>3467253.7599999998</v>
      </c>
      <c r="G2094" s="12">
        <v>0</v>
      </c>
      <c r="H2094" s="10"/>
      <c r="I2094" s="10"/>
    </row>
    <row r="2095" spans="1:9">
      <c r="A2095" s="10" t="s">
        <v>3010</v>
      </c>
      <c r="B2095" s="124" t="s">
        <v>2343</v>
      </c>
      <c r="C2095" s="124" t="s">
        <v>532</v>
      </c>
      <c r="D2095" s="12">
        <v>6000000</v>
      </c>
      <c r="E2095" s="158">
        <v>0.86925478899999997</v>
      </c>
      <c r="F2095" s="14">
        <v>5215528.7300000004</v>
      </c>
      <c r="G2095" s="14">
        <v>0.01</v>
      </c>
      <c r="H2095" s="10"/>
      <c r="I2095" s="10"/>
    </row>
    <row r="2096" spans="1:9">
      <c r="A2096" s="10" t="s">
        <v>3011</v>
      </c>
      <c r="B2096" s="124" t="s">
        <v>2186</v>
      </c>
      <c r="C2096" s="124" t="s">
        <v>532</v>
      </c>
      <c r="D2096" s="12">
        <v>5000000</v>
      </c>
      <c r="E2096" s="82">
        <v>0.89024412720000001</v>
      </c>
      <c r="F2096" s="14">
        <v>4451220.6399999997</v>
      </c>
      <c r="G2096" s="14">
        <v>0.01</v>
      </c>
      <c r="H2096" s="10"/>
      <c r="I2096" s="10"/>
    </row>
    <row r="2097" spans="1:9">
      <c r="A2097" s="10" t="s">
        <v>3012</v>
      </c>
      <c r="B2097" s="124" t="s">
        <v>2762</v>
      </c>
      <c r="C2097" s="124" t="s">
        <v>532</v>
      </c>
      <c r="D2097" s="12">
        <v>5000000</v>
      </c>
      <c r="E2097" s="82">
        <v>0.87677160939999998</v>
      </c>
      <c r="F2097" s="14">
        <v>4383858.05</v>
      </c>
      <c r="G2097" s="14">
        <v>0.01</v>
      </c>
      <c r="H2097" s="10"/>
      <c r="I2097" s="10"/>
    </row>
    <row r="2098" spans="1:9">
      <c r="A2098" s="10" t="s">
        <v>3013</v>
      </c>
      <c r="B2098" s="124" t="s">
        <v>3014</v>
      </c>
      <c r="C2098" s="124" t="s">
        <v>532</v>
      </c>
      <c r="D2098" s="12">
        <v>5000000</v>
      </c>
      <c r="E2098" s="82">
        <v>0.89482737059999995</v>
      </c>
      <c r="F2098" s="14">
        <v>4474136.8499999996</v>
      </c>
      <c r="G2098" s="14">
        <v>0.01</v>
      </c>
      <c r="H2098" s="10"/>
      <c r="I2098" s="10"/>
    </row>
    <row r="2099" spans="1:9">
      <c r="A2099" s="10" t="s">
        <v>3015</v>
      </c>
      <c r="B2099" s="124" t="s">
        <v>1525</v>
      </c>
      <c r="C2099" s="124" t="s">
        <v>532</v>
      </c>
      <c r="D2099" s="12">
        <v>3000000</v>
      </c>
      <c r="E2099" s="82">
        <v>0.8994580539</v>
      </c>
      <c r="F2099" s="14">
        <v>2698374.16</v>
      </c>
      <c r="G2099" s="12">
        <v>0</v>
      </c>
      <c r="H2099" s="10"/>
      <c r="I2099" s="10"/>
    </row>
    <row r="2100" spans="1:9">
      <c r="A2100" s="10" t="s">
        <v>3016</v>
      </c>
      <c r="B2100" s="124" t="s">
        <v>2304</v>
      </c>
      <c r="C2100" s="124" t="s">
        <v>532</v>
      </c>
      <c r="D2100" s="12">
        <v>5000000</v>
      </c>
      <c r="E2100" s="82">
        <v>0.90413690570000005</v>
      </c>
      <c r="F2100" s="14">
        <v>4520684.53</v>
      </c>
      <c r="G2100" s="14">
        <v>0.01</v>
      </c>
      <c r="H2100" s="10"/>
      <c r="I2100" s="10"/>
    </row>
    <row r="2101" spans="1:9">
      <c r="A2101" s="10" t="s">
        <v>3017</v>
      </c>
      <c r="B2101" s="124" t="s">
        <v>3018</v>
      </c>
      <c r="C2101" s="124" t="s">
        <v>532</v>
      </c>
      <c r="D2101" s="12">
        <v>6000000</v>
      </c>
      <c r="E2101" s="82">
        <v>0.88635267559999997</v>
      </c>
      <c r="F2101" s="14">
        <v>5318116.05</v>
      </c>
      <c r="G2101" s="14">
        <v>0.01</v>
      </c>
      <c r="H2101" s="10"/>
      <c r="I2101" s="10"/>
    </row>
    <row r="2102" spans="1:9">
      <c r="A2102" s="10" t="s">
        <v>3019</v>
      </c>
      <c r="B2102" s="124" t="s">
        <v>2805</v>
      </c>
      <c r="C2102" s="124" t="s">
        <v>532</v>
      </c>
      <c r="D2102" s="12">
        <v>4000000</v>
      </c>
      <c r="E2102" s="82">
        <v>0.86616054129999998</v>
      </c>
      <c r="F2102" s="14">
        <v>3464642.17</v>
      </c>
      <c r="G2102" s="12">
        <v>0</v>
      </c>
      <c r="H2102" s="10"/>
      <c r="I2102" s="10"/>
    </row>
    <row r="2103" spans="1:9">
      <c r="A2103" s="10" t="s">
        <v>3020</v>
      </c>
      <c r="B2103" s="124" t="s">
        <v>2552</v>
      </c>
      <c r="C2103" s="124" t="s">
        <v>532</v>
      </c>
      <c r="D2103" s="12">
        <v>5000000</v>
      </c>
      <c r="E2103" s="82">
        <v>0.88121683839999998</v>
      </c>
      <c r="F2103" s="14">
        <v>4406084.1900000004</v>
      </c>
      <c r="G2103" s="14">
        <v>0.01</v>
      </c>
      <c r="H2103" s="10"/>
      <c r="I2103" s="10"/>
    </row>
    <row r="2104" spans="1:9">
      <c r="A2104" s="10" t="s">
        <v>3021</v>
      </c>
      <c r="B2104" s="124" t="s">
        <v>446</v>
      </c>
      <c r="C2104" s="124" t="s">
        <v>532</v>
      </c>
      <c r="D2104" s="14">
        <v>7869664.6799999997</v>
      </c>
      <c r="E2104" s="82">
        <v>0.96502142710000005</v>
      </c>
      <c r="F2104" s="14">
        <v>7594395.04</v>
      </c>
      <c r="G2104" s="14">
        <v>0.01</v>
      </c>
      <c r="H2104" s="10"/>
      <c r="I2104" s="10"/>
    </row>
    <row r="2105" spans="1:9">
      <c r="A2105" s="10" t="s">
        <v>3022</v>
      </c>
      <c r="B2105" s="124" t="s">
        <v>497</v>
      </c>
      <c r="C2105" s="124" t="s">
        <v>532</v>
      </c>
      <c r="D2105" s="14">
        <v>17861208.649999999</v>
      </c>
      <c r="E2105" s="82">
        <v>0.96847803580000003</v>
      </c>
      <c r="F2105" s="14">
        <v>17298188.27</v>
      </c>
      <c r="G2105" s="14">
        <v>0.02</v>
      </c>
      <c r="H2105" s="10"/>
      <c r="I2105" s="10"/>
    </row>
    <row r="2106" spans="1:9">
      <c r="A2106" s="10" t="s">
        <v>3023</v>
      </c>
      <c r="B2106" s="124" t="s">
        <v>522</v>
      </c>
      <c r="C2106" s="124" t="s">
        <v>532</v>
      </c>
      <c r="D2106" s="12">
        <v>24000000</v>
      </c>
      <c r="E2106" s="82">
        <v>0.97986593990000004</v>
      </c>
      <c r="F2106" s="14">
        <v>23516782.559999999</v>
      </c>
      <c r="G2106" s="14">
        <v>0.03</v>
      </c>
      <c r="H2106" s="10"/>
      <c r="I2106" s="10"/>
    </row>
    <row r="2107" spans="1:9">
      <c r="A2107" s="10" t="s">
        <v>3024</v>
      </c>
      <c r="B2107" s="124" t="s">
        <v>446</v>
      </c>
      <c r="C2107" s="124" t="s">
        <v>532</v>
      </c>
      <c r="D2107" s="14">
        <v>7411283.71</v>
      </c>
      <c r="E2107" s="82">
        <v>0.96502142840000005</v>
      </c>
      <c r="F2107" s="14">
        <v>7152047.5899999999</v>
      </c>
      <c r="G2107" s="14">
        <v>0.01</v>
      </c>
      <c r="H2107" s="10"/>
      <c r="I2107" s="10"/>
    </row>
    <row r="2108" spans="1:9">
      <c r="A2108" s="10" t="s">
        <v>3025</v>
      </c>
      <c r="B2108" s="124" t="s">
        <v>2255</v>
      </c>
      <c r="C2108" s="124" t="s">
        <v>532</v>
      </c>
      <c r="D2108" s="12">
        <v>4000000</v>
      </c>
      <c r="E2108" s="82">
        <v>0.92125203320000004</v>
      </c>
      <c r="F2108" s="14">
        <v>3685008.13</v>
      </c>
      <c r="G2108" s="12">
        <v>0</v>
      </c>
      <c r="H2108" s="10"/>
      <c r="I2108" s="10"/>
    </row>
    <row r="2109" spans="1:9">
      <c r="A2109" s="10" t="s">
        <v>3026</v>
      </c>
      <c r="B2109" s="124" t="s">
        <v>514</v>
      </c>
      <c r="C2109" s="124" t="s">
        <v>532</v>
      </c>
      <c r="D2109" s="12">
        <v>4000000</v>
      </c>
      <c r="E2109" s="82">
        <v>0.98388068029999998</v>
      </c>
      <c r="F2109" s="14">
        <v>3935522.72</v>
      </c>
      <c r="G2109" s="14">
        <v>0.01</v>
      </c>
      <c r="H2109" s="10"/>
      <c r="I2109" s="10"/>
    </row>
    <row r="2110" spans="1:9">
      <c r="A2110" s="10" t="s">
        <v>3027</v>
      </c>
      <c r="B2110" s="124" t="s">
        <v>502</v>
      </c>
      <c r="C2110" s="124" t="s">
        <v>532</v>
      </c>
      <c r="D2110" s="12">
        <v>4000000</v>
      </c>
      <c r="E2110" s="82">
        <v>0.96098161559999995</v>
      </c>
      <c r="F2110" s="14">
        <v>3843926.46</v>
      </c>
      <c r="G2110" s="14">
        <v>0.01</v>
      </c>
      <c r="H2110" s="10"/>
      <c r="I2110" s="10"/>
    </row>
    <row r="2111" spans="1:9">
      <c r="A2111" s="10" t="s">
        <v>3028</v>
      </c>
      <c r="B2111" s="124" t="s">
        <v>516</v>
      </c>
      <c r="C2111" s="124" t="s">
        <v>532</v>
      </c>
      <c r="D2111" s="12">
        <v>4000000</v>
      </c>
      <c r="E2111" s="158">
        <v>0.98319156500000005</v>
      </c>
      <c r="F2111" s="14">
        <v>3932766.26</v>
      </c>
      <c r="G2111" s="14">
        <v>0.01</v>
      </c>
      <c r="H2111" s="10"/>
      <c r="I2111" s="10"/>
    </row>
    <row r="2112" spans="1:9">
      <c r="A2112" s="10" t="s">
        <v>3029</v>
      </c>
      <c r="B2112" s="124" t="s">
        <v>527</v>
      </c>
      <c r="C2112" s="124" t="s">
        <v>532</v>
      </c>
      <c r="D2112" s="12">
        <v>4000000</v>
      </c>
      <c r="E2112" s="82">
        <v>0.98044490760000003</v>
      </c>
      <c r="F2112" s="14">
        <v>3921779.63</v>
      </c>
      <c r="G2112" s="14">
        <v>0.01</v>
      </c>
      <c r="H2112" s="10"/>
      <c r="I2112" s="10"/>
    </row>
    <row r="2113" spans="1:9">
      <c r="A2113" s="10" t="s">
        <v>3030</v>
      </c>
      <c r="B2113" s="124" t="s">
        <v>655</v>
      </c>
      <c r="C2113" s="124" t="s">
        <v>532</v>
      </c>
      <c r="D2113" s="12">
        <v>4000000</v>
      </c>
      <c r="E2113" s="82">
        <v>0.9603241804</v>
      </c>
      <c r="F2113" s="14">
        <v>3841296.72</v>
      </c>
      <c r="G2113" s="14">
        <v>0.01</v>
      </c>
      <c r="H2113" s="10"/>
      <c r="I2113" s="10"/>
    </row>
    <row r="2114" spans="1:9">
      <c r="A2114" s="10" t="s">
        <v>3031</v>
      </c>
      <c r="B2114" s="124" t="s">
        <v>522</v>
      </c>
      <c r="C2114" s="124" t="s">
        <v>532</v>
      </c>
      <c r="D2114" s="12">
        <v>4000000</v>
      </c>
      <c r="E2114" s="82">
        <v>0.9790774297</v>
      </c>
      <c r="F2114" s="14">
        <v>3916309.72</v>
      </c>
      <c r="G2114" s="14">
        <v>0.01</v>
      </c>
      <c r="H2114" s="10"/>
      <c r="I2114" s="10"/>
    </row>
    <row r="2115" spans="1:9">
      <c r="A2115" s="10" t="s">
        <v>3032</v>
      </c>
      <c r="B2115" s="124" t="s">
        <v>1161</v>
      </c>
      <c r="C2115" s="124" t="s">
        <v>532</v>
      </c>
      <c r="D2115" s="12">
        <v>4000000</v>
      </c>
      <c r="E2115" s="82">
        <v>0.95705088449999998</v>
      </c>
      <c r="F2115" s="14">
        <v>3828203.54</v>
      </c>
      <c r="G2115" s="14">
        <v>0.01</v>
      </c>
      <c r="H2115" s="10"/>
      <c r="I2115" s="10"/>
    </row>
    <row r="2116" spans="1:9">
      <c r="A2116" s="10" t="s">
        <v>3033</v>
      </c>
      <c r="B2116" s="124" t="s">
        <v>766</v>
      </c>
      <c r="C2116" s="124" t="s">
        <v>532</v>
      </c>
      <c r="D2116" s="12">
        <v>4000000</v>
      </c>
      <c r="E2116" s="158">
        <v>0.97839501500000003</v>
      </c>
      <c r="F2116" s="14">
        <v>3913580.06</v>
      </c>
      <c r="G2116" s="14">
        <v>0.01</v>
      </c>
      <c r="H2116" s="10"/>
      <c r="I2116" s="10"/>
    </row>
    <row r="2117" spans="1:9">
      <c r="A2117" s="10" t="s">
        <v>3034</v>
      </c>
      <c r="B2117" s="124" t="s">
        <v>660</v>
      </c>
      <c r="C2117" s="124" t="s">
        <v>532</v>
      </c>
      <c r="D2117" s="12">
        <v>4000000</v>
      </c>
      <c r="E2117" s="82">
        <v>0.9756750555</v>
      </c>
      <c r="F2117" s="14">
        <v>3902700.22</v>
      </c>
      <c r="G2117" s="14">
        <v>0.01</v>
      </c>
      <c r="H2117" s="10"/>
      <c r="I2117" s="10"/>
    </row>
    <row r="2118" spans="1:9">
      <c r="A2118" s="10" t="s">
        <v>3035</v>
      </c>
      <c r="B2118" s="124" t="s">
        <v>587</v>
      </c>
      <c r="C2118" s="124" t="s">
        <v>532</v>
      </c>
      <c r="D2118" s="12">
        <v>4000000</v>
      </c>
      <c r="E2118" s="82">
        <v>0.96693884249999995</v>
      </c>
      <c r="F2118" s="14">
        <v>3867755.37</v>
      </c>
      <c r="G2118" s="14">
        <v>0.01</v>
      </c>
      <c r="H2118" s="10"/>
      <c r="I2118" s="10"/>
    </row>
    <row r="2119" spans="1:9">
      <c r="A2119" s="10" t="s">
        <v>3036</v>
      </c>
      <c r="B2119" s="124" t="s">
        <v>485</v>
      </c>
      <c r="C2119" s="124" t="s">
        <v>532</v>
      </c>
      <c r="D2119" s="12">
        <v>4000000</v>
      </c>
      <c r="E2119" s="82">
        <v>0.98873129729999998</v>
      </c>
      <c r="F2119" s="14">
        <v>3954925.19</v>
      </c>
      <c r="G2119" s="14">
        <v>0.01</v>
      </c>
      <c r="H2119" s="10"/>
      <c r="I2119" s="10"/>
    </row>
    <row r="2120" spans="1:9">
      <c r="A2120" s="10" t="s">
        <v>3037</v>
      </c>
      <c r="B2120" s="124" t="s">
        <v>446</v>
      </c>
      <c r="C2120" s="124" t="s">
        <v>532</v>
      </c>
      <c r="D2120" s="12">
        <v>4000000</v>
      </c>
      <c r="E2120" s="158">
        <v>0.96627323700000001</v>
      </c>
      <c r="F2120" s="14">
        <v>3865092.95</v>
      </c>
      <c r="G2120" s="14">
        <v>0.01</v>
      </c>
      <c r="H2120" s="10"/>
      <c r="I2120" s="10"/>
    </row>
    <row r="2121" spans="1:9">
      <c r="A2121" s="10" t="s">
        <v>3038</v>
      </c>
      <c r="B2121" s="124" t="s">
        <v>448</v>
      </c>
      <c r="C2121" s="124" t="s">
        <v>532</v>
      </c>
      <c r="D2121" s="12">
        <v>4000000</v>
      </c>
      <c r="E2121" s="158">
        <v>0.98803537500000005</v>
      </c>
      <c r="F2121" s="154">
        <v>3952141.5</v>
      </c>
      <c r="G2121" s="14">
        <v>0.01</v>
      </c>
      <c r="H2121" s="10"/>
      <c r="I2121" s="10"/>
    </row>
    <row r="2122" spans="1:9">
      <c r="A2122" s="10" t="s">
        <v>3039</v>
      </c>
      <c r="B2122" s="124" t="s">
        <v>488</v>
      </c>
      <c r="C2122" s="124" t="s">
        <v>532</v>
      </c>
      <c r="D2122" s="12">
        <v>4000000</v>
      </c>
      <c r="E2122" s="82">
        <v>0.98526162480000001</v>
      </c>
      <c r="F2122" s="154">
        <v>3941046.5</v>
      </c>
      <c r="G2122" s="14">
        <v>0.01</v>
      </c>
      <c r="H2122" s="10"/>
      <c r="I2122" s="10"/>
    </row>
    <row r="2123" spans="1:9">
      <c r="A2123" s="10" t="s">
        <v>3040</v>
      </c>
      <c r="B2123" s="124" t="s">
        <v>583</v>
      </c>
      <c r="C2123" s="124" t="s">
        <v>532</v>
      </c>
      <c r="D2123" s="12">
        <v>4000000</v>
      </c>
      <c r="E2123" s="82">
        <v>0.96494477040000004</v>
      </c>
      <c r="F2123" s="14">
        <v>3859779.08</v>
      </c>
      <c r="G2123" s="14">
        <v>0.01</v>
      </c>
      <c r="H2123" s="10"/>
      <c r="I2123" s="10"/>
    </row>
    <row r="2124" spans="1:9">
      <c r="A2124" s="10" t="s">
        <v>3041</v>
      </c>
      <c r="B2124" s="124" t="s">
        <v>812</v>
      </c>
      <c r="C2124" s="124" t="s">
        <v>532</v>
      </c>
      <c r="D2124" s="12">
        <v>50000000</v>
      </c>
      <c r="E2124" s="82">
        <v>0.94215438149999997</v>
      </c>
      <c r="F2124" s="14">
        <v>47107719.079999998</v>
      </c>
      <c r="G2124" s="14">
        <v>0.06</v>
      </c>
      <c r="H2124" s="10"/>
      <c r="I2124" s="10"/>
    </row>
    <row r="2125" spans="1:9">
      <c r="A2125" s="10" t="s">
        <v>3042</v>
      </c>
      <c r="B2125" s="124" t="s">
        <v>997</v>
      </c>
      <c r="C2125" s="124" t="s">
        <v>532</v>
      </c>
      <c r="D2125" s="12">
        <v>20000000</v>
      </c>
      <c r="E2125" s="82">
        <v>0.90954420150000004</v>
      </c>
      <c r="F2125" s="14">
        <v>18190884.030000001</v>
      </c>
      <c r="G2125" s="14">
        <v>0.02</v>
      </c>
      <c r="H2125" s="10"/>
      <c r="I2125" s="10"/>
    </row>
    <row r="2126" spans="1:9">
      <c r="A2126" s="10" t="s">
        <v>3043</v>
      </c>
      <c r="B2126" s="124" t="s">
        <v>287</v>
      </c>
      <c r="C2126" s="124" t="s">
        <v>532</v>
      </c>
      <c r="D2126" s="12">
        <v>20000000</v>
      </c>
      <c r="E2126" s="82">
        <v>0.91022448789999999</v>
      </c>
      <c r="F2126" s="14">
        <v>18204489.760000002</v>
      </c>
      <c r="G2126" s="14">
        <v>0.02</v>
      </c>
      <c r="H2126" s="10"/>
      <c r="I2126" s="10"/>
    </row>
    <row r="2127" spans="1:9">
      <c r="A2127" s="10" t="s">
        <v>3044</v>
      </c>
      <c r="B2127" s="124" t="s">
        <v>450</v>
      </c>
      <c r="C2127" s="124" t="s">
        <v>532</v>
      </c>
      <c r="D2127" s="12">
        <v>8000000</v>
      </c>
      <c r="E2127" s="82">
        <v>0.94354271349999996</v>
      </c>
      <c r="F2127" s="14">
        <v>7548341.71</v>
      </c>
      <c r="G2127" s="14">
        <v>0.01</v>
      </c>
      <c r="H2127" s="10"/>
      <c r="I2127" s="10"/>
    </row>
    <row r="2128" spans="1:9">
      <c r="A2128" s="10" t="s">
        <v>3045</v>
      </c>
      <c r="B2128" s="124" t="s">
        <v>812</v>
      </c>
      <c r="C2128" s="124" t="s">
        <v>532</v>
      </c>
      <c r="D2128" s="12">
        <v>11000000</v>
      </c>
      <c r="E2128" s="158">
        <v>0.93813460599999998</v>
      </c>
      <c r="F2128" s="14">
        <v>10319480.67</v>
      </c>
      <c r="G2128" s="14">
        <v>0.01</v>
      </c>
      <c r="H2128" s="10"/>
      <c r="I2128" s="10"/>
    </row>
    <row r="2129" spans="1:9">
      <c r="A2129" s="10" t="s">
        <v>3046</v>
      </c>
      <c r="B2129" s="124" t="s">
        <v>450</v>
      </c>
      <c r="C2129" s="124" t="s">
        <v>532</v>
      </c>
      <c r="D2129" s="12">
        <v>14700000</v>
      </c>
      <c r="E2129" s="82">
        <v>0.94354271160000003</v>
      </c>
      <c r="F2129" s="14">
        <v>13870077.859999999</v>
      </c>
      <c r="G2129" s="14">
        <v>0.02</v>
      </c>
      <c r="H2129" s="10"/>
      <c r="I2129" s="10"/>
    </row>
    <row r="2130" spans="1:9">
      <c r="A2130" s="10" t="s">
        <v>3047</v>
      </c>
      <c r="B2130" s="124" t="s">
        <v>450</v>
      </c>
      <c r="C2130" s="124" t="s">
        <v>532</v>
      </c>
      <c r="D2130" s="12">
        <v>14200000</v>
      </c>
      <c r="E2130" s="82">
        <v>0.94354271349999996</v>
      </c>
      <c r="F2130" s="14">
        <v>13398306.529999999</v>
      </c>
      <c r="G2130" s="14">
        <v>0.02</v>
      </c>
      <c r="H2130" s="10"/>
      <c r="I2130" s="10"/>
    </row>
    <row r="2131" spans="1:9">
      <c r="A2131" s="10" t="s">
        <v>3048</v>
      </c>
      <c r="B2131" s="124" t="s">
        <v>450</v>
      </c>
      <c r="C2131" s="124" t="s">
        <v>532</v>
      </c>
      <c r="D2131" s="12">
        <v>6500000</v>
      </c>
      <c r="E2131" s="82">
        <v>0.94354271349999996</v>
      </c>
      <c r="F2131" s="14">
        <v>6133027.6399999997</v>
      </c>
      <c r="G2131" s="14">
        <v>0.01</v>
      </c>
      <c r="H2131" s="10"/>
      <c r="I2131" s="10"/>
    </row>
    <row r="2132" spans="1:9">
      <c r="A2132" s="10" t="s">
        <v>3049</v>
      </c>
      <c r="B2132" s="124" t="s">
        <v>450</v>
      </c>
      <c r="C2132" s="124" t="s">
        <v>532</v>
      </c>
      <c r="D2132" s="12">
        <v>16500000</v>
      </c>
      <c r="E2132" s="82">
        <v>0.94354271349999996</v>
      </c>
      <c r="F2132" s="14">
        <v>15568454.77</v>
      </c>
      <c r="G2132" s="14">
        <v>0.02</v>
      </c>
      <c r="H2132" s="10"/>
      <c r="I2132" s="10"/>
    </row>
    <row r="2133" spans="1:9">
      <c r="A2133" s="10" t="s">
        <v>3050</v>
      </c>
      <c r="B2133" s="124" t="s">
        <v>450</v>
      </c>
      <c r="C2133" s="124" t="s">
        <v>532</v>
      </c>
      <c r="D2133" s="12">
        <v>16500000</v>
      </c>
      <c r="E2133" s="82">
        <v>0.94354271349999996</v>
      </c>
      <c r="F2133" s="14">
        <v>15568454.77</v>
      </c>
      <c r="G2133" s="14">
        <v>0.02</v>
      </c>
      <c r="H2133" s="10"/>
      <c r="I2133" s="10"/>
    </row>
    <row r="2134" spans="1:9">
      <c r="A2134" s="10" t="s">
        <v>3051</v>
      </c>
      <c r="B2134" s="124" t="s">
        <v>450</v>
      </c>
      <c r="C2134" s="124" t="s">
        <v>532</v>
      </c>
      <c r="D2134" s="12">
        <v>13000000</v>
      </c>
      <c r="E2134" s="82">
        <v>0.94354271349999996</v>
      </c>
      <c r="F2134" s="14">
        <v>12266055.279999999</v>
      </c>
      <c r="G2134" s="14">
        <v>0.02</v>
      </c>
      <c r="H2134" s="10"/>
      <c r="I2134" s="10"/>
    </row>
    <row r="2135" spans="1:9">
      <c r="A2135" s="10" t="s">
        <v>3052</v>
      </c>
      <c r="B2135" s="124" t="s">
        <v>450</v>
      </c>
      <c r="C2135" s="124" t="s">
        <v>532</v>
      </c>
      <c r="D2135" s="12">
        <v>13200000</v>
      </c>
      <c r="E2135" s="82">
        <v>0.94354271349999996</v>
      </c>
      <c r="F2135" s="14">
        <v>12454763.82</v>
      </c>
      <c r="G2135" s="14">
        <v>0.02</v>
      </c>
      <c r="H2135" s="10"/>
      <c r="I2135" s="10"/>
    </row>
    <row r="2136" spans="1:9">
      <c r="A2136" s="10" t="s">
        <v>3053</v>
      </c>
      <c r="B2136" s="124" t="s">
        <v>450</v>
      </c>
      <c r="C2136" s="124" t="s">
        <v>532</v>
      </c>
      <c r="D2136" s="12">
        <v>9300000</v>
      </c>
      <c r="E2136" s="82">
        <v>0.94354271349999996</v>
      </c>
      <c r="F2136" s="14">
        <v>8774947.2400000002</v>
      </c>
      <c r="G2136" s="14">
        <v>0.01</v>
      </c>
      <c r="H2136" s="10"/>
      <c r="I2136" s="10"/>
    </row>
    <row r="2137" spans="1:9">
      <c r="A2137" s="10" t="s">
        <v>3054</v>
      </c>
      <c r="B2137" s="124" t="s">
        <v>450</v>
      </c>
      <c r="C2137" s="124" t="s">
        <v>532</v>
      </c>
      <c r="D2137" s="12">
        <v>14600000</v>
      </c>
      <c r="E2137" s="82">
        <v>0.94354271349999996</v>
      </c>
      <c r="F2137" s="14">
        <v>13775723.619999999</v>
      </c>
      <c r="G2137" s="14">
        <v>0.02</v>
      </c>
      <c r="H2137" s="10"/>
      <c r="I2137" s="10"/>
    </row>
    <row r="2138" spans="1:9">
      <c r="A2138" s="10" t="s">
        <v>3055</v>
      </c>
      <c r="B2138" s="124" t="s">
        <v>450</v>
      </c>
      <c r="C2138" s="124" t="s">
        <v>532</v>
      </c>
      <c r="D2138" s="12">
        <v>15300000</v>
      </c>
      <c r="E2138" s="82">
        <v>0.94354271349999996</v>
      </c>
      <c r="F2138" s="14">
        <v>14436203.52</v>
      </c>
      <c r="G2138" s="14">
        <v>0.02</v>
      </c>
      <c r="H2138" s="10"/>
      <c r="I2138" s="10"/>
    </row>
    <row r="2139" spans="1:9">
      <c r="A2139" s="10" t="s">
        <v>3056</v>
      </c>
      <c r="B2139" s="124" t="s">
        <v>450</v>
      </c>
      <c r="C2139" s="124" t="s">
        <v>532</v>
      </c>
      <c r="D2139" s="12">
        <v>16500000</v>
      </c>
      <c r="E2139" s="82">
        <v>0.94354271349999996</v>
      </c>
      <c r="F2139" s="14">
        <v>15568454.77</v>
      </c>
      <c r="G2139" s="14">
        <v>0.02</v>
      </c>
      <c r="H2139" s="10"/>
      <c r="I2139" s="10"/>
    </row>
    <row r="2140" spans="1:9">
      <c r="A2140" s="10" t="s">
        <v>3057</v>
      </c>
      <c r="B2140" s="124" t="s">
        <v>450</v>
      </c>
      <c r="C2140" s="124" t="s">
        <v>532</v>
      </c>
      <c r="D2140" s="12">
        <v>13100000</v>
      </c>
      <c r="E2140" s="82">
        <v>0.94354271349999996</v>
      </c>
      <c r="F2140" s="14">
        <v>12360409.550000001</v>
      </c>
      <c r="G2140" s="14">
        <v>0.02</v>
      </c>
      <c r="H2140" s="10"/>
      <c r="I2140" s="10"/>
    </row>
    <row r="2141" spans="1:9">
      <c r="A2141" s="10" t="s">
        <v>3058</v>
      </c>
      <c r="B2141" s="124" t="s">
        <v>450</v>
      </c>
      <c r="C2141" s="124" t="s">
        <v>532</v>
      </c>
      <c r="D2141" s="12">
        <v>11000000</v>
      </c>
      <c r="E2141" s="82">
        <v>0.94354271160000003</v>
      </c>
      <c r="F2141" s="14">
        <v>10378969.83</v>
      </c>
      <c r="G2141" s="14">
        <v>0.01</v>
      </c>
      <c r="H2141" s="10"/>
      <c r="I2141" s="10"/>
    </row>
    <row r="2142" spans="1:9">
      <c r="A2142" s="10" t="s">
        <v>3059</v>
      </c>
      <c r="B2142" s="124" t="s">
        <v>450</v>
      </c>
      <c r="C2142" s="124" t="s">
        <v>532</v>
      </c>
      <c r="D2142" s="12">
        <v>16500000</v>
      </c>
      <c r="E2142" s="82">
        <v>0.94354271349999996</v>
      </c>
      <c r="F2142" s="14">
        <v>15568454.77</v>
      </c>
      <c r="G2142" s="14">
        <v>0.02</v>
      </c>
      <c r="H2142" s="10"/>
      <c r="I2142" s="10"/>
    </row>
    <row r="2143" spans="1:9">
      <c r="A2143" s="10" t="s">
        <v>3060</v>
      </c>
      <c r="B2143" s="124" t="s">
        <v>450</v>
      </c>
      <c r="C2143" s="124" t="s">
        <v>532</v>
      </c>
      <c r="D2143" s="12">
        <v>13200000</v>
      </c>
      <c r="E2143" s="82">
        <v>0.94354271349999996</v>
      </c>
      <c r="F2143" s="14">
        <v>12454763.82</v>
      </c>
      <c r="G2143" s="14">
        <v>0.02</v>
      </c>
      <c r="H2143" s="10"/>
      <c r="I2143" s="10"/>
    </row>
    <row r="2144" spans="1:9">
      <c r="A2144" s="10" t="s">
        <v>3061</v>
      </c>
      <c r="B2144" s="124" t="s">
        <v>450</v>
      </c>
      <c r="C2144" s="124" t="s">
        <v>532</v>
      </c>
      <c r="D2144" s="12">
        <v>16500000</v>
      </c>
      <c r="E2144" s="82">
        <v>0.94354271349999996</v>
      </c>
      <c r="F2144" s="14">
        <v>15568454.77</v>
      </c>
      <c r="G2144" s="14">
        <v>0.02</v>
      </c>
      <c r="H2144" s="10"/>
      <c r="I2144" s="10"/>
    </row>
    <row r="2145" spans="1:9">
      <c r="A2145" s="10" t="s">
        <v>3062</v>
      </c>
      <c r="B2145" s="124" t="s">
        <v>529</v>
      </c>
      <c r="C2145" s="124" t="s">
        <v>532</v>
      </c>
      <c r="D2145" s="12">
        <v>40000000</v>
      </c>
      <c r="E2145" s="82">
        <v>0.98595365160000004</v>
      </c>
      <c r="F2145" s="14">
        <v>39438146.060000002</v>
      </c>
      <c r="G2145" s="14">
        <v>0.05</v>
      </c>
      <c r="H2145" s="10"/>
      <c r="I2145" s="10"/>
    </row>
    <row r="2146" spans="1:9">
      <c r="A2146" s="10" t="s">
        <v>3063</v>
      </c>
      <c r="B2146" s="124" t="s">
        <v>593</v>
      </c>
      <c r="C2146" s="124" t="s">
        <v>532</v>
      </c>
      <c r="D2146" s="12">
        <v>40000000</v>
      </c>
      <c r="E2146" s="82">
        <v>0.96986779840000004</v>
      </c>
      <c r="F2146" s="14">
        <v>38794711.939999998</v>
      </c>
      <c r="G2146" s="14">
        <v>0.05</v>
      </c>
      <c r="H2146" s="10"/>
      <c r="I2146" s="10"/>
    </row>
    <row r="2147" spans="1:9">
      <c r="A2147" s="10" t="s">
        <v>3064</v>
      </c>
      <c r="B2147" s="124" t="s">
        <v>500</v>
      </c>
      <c r="C2147" s="124" t="s">
        <v>532</v>
      </c>
      <c r="D2147" s="12">
        <v>40000000</v>
      </c>
      <c r="E2147" s="82">
        <v>0.96433297709999999</v>
      </c>
      <c r="F2147" s="14">
        <v>38573319.079999998</v>
      </c>
      <c r="G2147" s="14">
        <v>0.05</v>
      </c>
      <c r="H2147" s="10"/>
      <c r="I2147" s="10"/>
    </row>
    <row r="2148" spans="1:9">
      <c r="A2148" s="10" t="s">
        <v>3065</v>
      </c>
      <c r="B2148" s="124" t="s">
        <v>520</v>
      </c>
      <c r="C2148" s="124" t="s">
        <v>532</v>
      </c>
      <c r="D2148" s="12">
        <v>40000000</v>
      </c>
      <c r="E2148" s="82">
        <v>0.97899849930000005</v>
      </c>
      <c r="F2148" s="14">
        <v>39159939.969999999</v>
      </c>
      <c r="G2148" s="14">
        <v>0.05</v>
      </c>
      <c r="H2148" s="10"/>
      <c r="I2148" s="10"/>
    </row>
    <row r="2149" spans="1:9">
      <c r="A2149" s="10" t="s">
        <v>3066</v>
      </c>
      <c r="B2149" s="124" t="s">
        <v>750</v>
      </c>
      <c r="C2149" s="124" t="s">
        <v>532</v>
      </c>
      <c r="D2149" s="12">
        <v>40000000</v>
      </c>
      <c r="E2149" s="82">
        <v>0.95669972780000001</v>
      </c>
      <c r="F2149" s="14">
        <v>38267989.109999999</v>
      </c>
      <c r="G2149" s="14">
        <v>0.05</v>
      </c>
      <c r="H2149" s="10"/>
      <c r="I2149" s="10"/>
    </row>
    <row r="2150" spans="1:9">
      <c r="A2150" s="10" t="s">
        <v>3067</v>
      </c>
      <c r="B2150" s="124" t="s">
        <v>450</v>
      </c>
      <c r="C2150" s="124" t="s">
        <v>532</v>
      </c>
      <c r="D2150" s="12">
        <v>10000000</v>
      </c>
      <c r="E2150" s="158">
        <v>0.94356173700000001</v>
      </c>
      <c r="F2150" s="14">
        <v>9435617.3699999992</v>
      </c>
      <c r="G2150" s="14">
        <v>0.01</v>
      </c>
      <c r="H2150" s="10"/>
      <c r="I2150" s="10"/>
    </row>
    <row r="2151" spans="1:9">
      <c r="A2151" s="10" t="s">
        <v>3068</v>
      </c>
      <c r="B2151" s="124" t="s">
        <v>1360</v>
      </c>
      <c r="C2151" s="124" t="s">
        <v>532</v>
      </c>
      <c r="D2151" s="12">
        <v>40400000</v>
      </c>
      <c r="E2151" s="82">
        <v>0.94491048720000004</v>
      </c>
      <c r="F2151" s="14">
        <v>38174383.68</v>
      </c>
      <c r="G2151" s="14">
        <v>0.05</v>
      </c>
      <c r="H2151" s="10"/>
      <c r="I2151" s="10"/>
    </row>
    <row r="2152" spans="1:9">
      <c r="A2152" s="10" t="s">
        <v>3069</v>
      </c>
      <c r="B2152" s="124" t="s">
        <v>3070</v>
      </c>
      <c r="C2152" s="124" t="s">
        <v>532</v>
      </c>
      <c r="D2152" s="12">
        <v>40000000</v>
      </c>
      <c r="E2152" s="82">
        <v>0.88967973430000002</v>
      </c>
      <c r="F2152" s="14">
        <v>35587189.369999997</v>
      </c>
      <c r="G2152" s="14">
        <v>0.05</v>
      </c>
      <c r="H2152" s="10"/>
      <c r="I2152" s="10"/>
    </row>
    <row r="2153" spans="1:9">
      <c r="A2153" s="10" t="s">
        <v>3071</v>
      </c>
      <c r="B2153" s="124" t="s">
        <v>3070</v>
      </c>
      <c r="C2153" s="124" t="s">
        <v>532</v>
      </c>
      <c r="D2153" s="14">
        <v>21076489.489999998</v>
      </c>
      <c r="E2153" s="82">
        <v>0.88967973430000002</v>
      </c>
      <c r="F2153" s="14">
        <v>18751325.57</v>
      </c>
      <c r="G2153" s="14">
        <v>0.02</v>
      </c>
      <c r="H2153" s="10"/>
      <c r="I2153" s="10"/>
    </row>
    <row r="2154" spans="1:9">
      <c r="A2154" s="10" t="s">
        <v>3072</v>
      </c>
      <c r="B2154" s="124" t="s">
        <v>3070</v>
      </c>
      <c r="C2154" s="124" t="s">
        <v>532</v>
      </c>
      <c r="D2154" s="14">
        <v>3640499.43</v>
      </c>
      <c r="E2154" s="82">
        <v>0.88967973430000002</v>
      </c>
      <c r="F2154" s="14">
        <v>3238878.57</v>
      </c>
      <c r="G2154" s="12">
        <v>0</v>
      </c>
      <c r="H2154" s="10"/>
      <c r="I2154" s="10"/>
    </row>
    <row r="2155" spans="1:9">
      <c r="A2155" s="10" t="s">
        <v>3073</v>
      </c>
      <c r="B2155" s="124" t="s">
        <v>3070</v>
      </c>
      <c r="C2155" s="124" t="s">
        <v>532</v>
      </c>
      <c r="D2155" s="14">
        <v>26701225.219999999</v>
      </c>
      <c r="E2155" s="82">
        <v>0.88967973430000002</v>
      </c>
      <c r="F2155" s="14">
        <v>23755538.960000001</v>
      </c>
      <c r="G2155" s="14">
        <v>0.03</v>
      </c>
      <c r="H2155" s="10"/>
      <c r="I2155" s="10"/>
    </row>
    <row r="2156" spans="1:9">
      <c r="A2156" s="10" t="s">
        <v>3074</v>
      </c>
      <c r="B2156" s="124" t="s">
        <v>3075</v>
      </c>
      <c r="C2156" s="124" t="s">
        <v>532</v>
      </c>
      <c r="D2156" s="12">
        <v>25000000</v>
      </c>
      <c r="E2156" s="158">
        <v>0.90114574400000003</v>
      </c>
      <c r="F2156" s="154">
        <v>22528643.600000001</v>
      </c>
      <c r="G2156" s="14">
        <v>0.03</v>
      </c>
      <c r="H2156" s="10"/>
      <c r="I2156" s="10"/>
    </row>
    <row r="2157" spans="1:9">
      <c r="A2157" s="10" t="s">
        <v>3076</v>
      </c>
      <c r="B2157" s="124" t="s">
        <v>778</v>
      </c>
      <c r="C2157" s="124" t="s">
        <v>532</v>
      </c>
      <c r="D2157" s="14">
        <v>14617599.810000001</v>
      </c>
      <c r="E2157" s="82">
        <v>0.92707853019999997</v>
      </c>
      <c r="F2157" s="14">
        <v>13551662.949999999</v>
      </c>
      <c r="G2157" s="14">
        <v>0.02</v>
      </c>
      <c r="H2157" s="10"/>
      <c r="I2157" s="10"/>
    </row>
    <row r="2158" spans="1:9">
      <c r="A2158" s="10" t="s">
        <v>3077</v>
      </c>
      <c r="B2158" s="124" t="s">
        <v>778</v>
      </c>
      <c r="C2158" s="124" t="s">
        <v>532</v>
      </c>
      <c r="D2158" s="154">
        <v>41084332.299999997</v>
      </c>
      <c r="E2158" s="82">
        <v>0.92707853019999997</v>
      </c>
      <c r="F2158" s="154">
        <v>38088402.399999999</v>
      </c>
      <c r="G2158" s="14">
        <v>0.05</v>
      </c>
      <c r="H2158" s="10"/>
      <c r="I2158" s="10"/>
    </row>
    <row r="2159" spans="1:9">
      <c r="A2159" s="10" t="s">
        <v>3078</v>
      </c>
      <c r="B2159" s="124" t="s">
        <v>778</v>
      </c>
      <c r="C2159" s="124" t="s">
        <v>532</v>
      </c>
      <c r="D2159" s="154">
        <v>41084332.299999997</v>
      </c>
      <c r="E2159" s="82">
        <v>0.92707853019999997</v>
      </c>
      <c r="F2159" s="154">
        <v>38088402.399999999</v>
      </c>
      <c r="G2159" s="14">
        <v>0.05</v>
      </c>
      <c r="H2159" s="10"/>
      <c r="I2159" s="10"/>
    </row>
    <row r="2160" spans="1:9">
      <c r="A2160" s="10" t="s">
        <v>3079</v>
      </c>
      <c r="B2160" s="124" t="s">
        <v>778</v>
      </c>
      <c r="C2160" s="124" t="s">
        <v>532</v>
      </c>
      <c r="D2160" s="154">
        <v>41084332.299999997</v>
      </c>
      <c r="E2160" s="82">
        <v>0.92707853019999997</v>
      </c>
      <c r="F2160" s="154">
        <v>38088402.399999999</v>
      </c>
      <c r="G2160" s="14">
        <v>0.05</v>
      </c>
      <c r="H2160" s="10"/>
      <c r="I2160" s="10"/>
    </row>
    <row r="2161" spans="1:9">
      <c r="A2161" s="10" t="s">
        <v>3080</v>
      </c>
      <c r="B2161" s="124" t="s">
        <v>518</v>
      </c>
      <c r="C2161" s="124" t="s">
        <v>532</v>
      </c>
      <c r="D2161" s="12">
        <v>30000000</v>
      </c>
      <c r="E2161" s="82">
        <v>0.98113018279999997</v>
      </c>
      <c r="F2161" s="14">
        <v>29433905.48</v>
      </c>
      <c r="G2161" s="14">
        <v>0.04</v>
      </c>
      <c r="H2161" s="10"/>
      <c r="I2161" s="10"/>
    </row>
    <row r="2162" spans="1:9">
      <c r="A2162" s="10" t="s">
        <v>3081</v>
      </c>
      <c r="B2162" s="124" t="s">
        <v>518</v>
      </c>
      <c r="C2162" s="124" t="s">
        <v>532</v>
      </c>
      <c r="D2162" s="12">
        <v>43000000</v>
      </c>
      <c r="E2162" s="82">
        <v>0.98113018279999997</v>
      </c>
      <c r="F2162" s="14">
        <v>42188597.859999999</v>
      </c>
      <c r="G2162" s="14">
        <v>0.06</v>
      </c>
      <c r="H2162" s="10"/>
      <c r="I2162" s="10"/>
    </row>
    <row r="2163" spans="1:9">
      <c r="A2163" s="10" t="s">
        <v>3082</v>
      </c>
      <c r="B2163" s="124" t="s">
        <v>518</v>
      </c>
      <c r="C2163" s="124" t="s">
        <v>532</v>
      </c>
      <c r="D2163" s="12">
        <v>30000000</v>
      </c>
      <c r="E2163" s="82">
        <v>0.98113018279999997</v>
      </c>
      <c r="F2163" s="14">
        <v>29433905.48</v>
      </c>
      <c r="G2163" s="14">
        <v>0.04</v>
      </c>
      <c r="H2163" s="10"/>
      <c r="I2163" s="10"/>
    </row>
    <row r="2164" spans="1:9">
      <c r="A2164" s="10" t="s">
        <v>3083</v>
      </c>
      <c r="B2164" s="124" t="s">
        <v>518</v>
      </c>
      <c r="C2164" s="124" t="s">
        <v>532</v>
      </c>
      <c r="D2164" s="12">
        <v>564000000</v>
      </c>
      <c r="E2164" s="82">
        <v>0.97546652909999998</v>
      </c>
      <c r="F2164" s="14">
        <v>550163122.40999997</v>
      </c>
      <c r="G2164" s="14">
        <v>0.73</v>
      </c>
      <c r="H2164" s="10"/>
      <c r="I2164" s="10"/>
    </row>
    <row r="2165" spans="1:9">
      <c r="A2165" s="10" t="s">
        <v>3084</v>
      </c>
      <c r="B2165" s="124" t="s">
        <v>574</v>
      </c>
      <c r="C2165" s="124" t="s">
        <v>532</v>
      </c>
      <c r="D2165" s="12">
        <v>4500000</v>
      </c>
      <c r="E2165" s="82">
        <v>0.97048679520000003</v>
      </c>
      <c r="F2165" s="14">
        <v>4367190.58</v>
      </c>
      <c r="G2165" s="14">
        <v>0.01</v>
      </c>
      <c r="H2165" s="10"/>
      <c r="I2165" s="10"/>
    </row>
    <row r="2166" spans="1:9">
      <c r="A2166" s="10" t="s">
        <v>3085</v>
      </c>
      <c r="B2166" s="124" t="s">
        <v>883</v>
      </c>
      <c r="C2166" s="124" t="s">
        <v>532</v>
      </c>
      <c r="D2166" s="12">
        <v>4500000</v>
      </c>
      <c r="E2166" s="82">
        <v>0.96740015089999998</v>
      </c>
      <c r="F2166" s="14">
        <v>4353300.68</v>
      </c>
      <c r="G2166" s="14">
        <v>0.01</v>
      </c>
      <c r="H2166" s="10"/>
      <c r="I2166" s="10"/>
    </row>
    <row r="2167" spans="1:9">
      <c r="A2167" s="10" t="s">
        <v>3086</v>
      </c>
      <c r="B2167" s="124" t="s">
        <v>490</v>
      </c>
      <c r="C2167" s="124" t="s">
        <v>532</v>
      </c>
      <c r="D2167" s="12">
        <v>4500000</v>
      </c>
      <c r="E2167" s="82">
        <v>0.98223897540000005</v>
      </c>
      <c r="F2167" s="14">
        <v>4420075.3899999997</v>
      </c>
      <c r="G2167" s="14">
        <v>0.01</v>
      </c>
      <c r="H2167" s="10"/>
      <c r="I2167" s="10"/>
    </row>
    <row r="2168" spans="1:9">
      <c r="A2168" s="10" t="s">
        <v>3087</v>
      </c>
      <c r="B2168" s="124" t="s">
        <v>518</v>
      </c>
      <c r="C2168" s="124" t="s">
        <v>532</v>
      </c>
      <c r="D2168" s="12">
        <v>4500000</v>
      </c>
      <c r="E2168" s="82">
        <v>0.97829015770000005</v>
      </c>
      <c r="F2168" s="14">
        <v>4402305.71</v>
      </c>
      <c r="G2168" s="14">
        <v>0.01</v>
      </c>
      <c r="H2168" s="10"/>
      <c r="I2168" s="10"/>
    </row>
    <row r="2169" spans="1:9">
      <c r="A2169" s="10" t="s">
        <v>3088</v>
      </c>
      <c r="B2169" s="124" t="s">
        <v>504</v>
      </c>
      <c r="C2169" s="124" t="s">
        <v>532</v>
      </c>
      <c r="D2169" s="14">
        <v>13638775.050000001</v>
      </c>
      <c r="E2169" s="82">
        <v>0.97028024820000003</v>
      </c>
      <c r="F2169" s="14">
        <v>13233434.039999999</v>
      </c>
      <c r="G2169" s="14">
        <v>0.02</v>
      </c>
      <c r="H2169" s="10"/>
      <c r="I2169" s="10"/>
    </row>
    <row r="2170" spans="1:9">
      <c r="A2170" s="10" t="s">
        <v>3089</v>
      </c>
      <c r="B2170" s="124" t="s">
        <v>697</v>
      </c>
      <c r="C2170" s="124" t="s">
        <v>532</v>
      </c>
      <c r="D2170" s="14">
        <v>11666666.66</v>
      </c>
      <c r="E2170" s="82">
        <v>0.92863524259999997</v>
      </c>
      <c r="F2170" s="14">
        <v>10834077.82</v>
      </c>
      <c r="G2170" s="14">
        <v>0.01</v>
      </c>
      <c r="H2170" s="10"/>
      <c r="I2170" s="10"/>
    </row>
    <row r="2171" spans="1:9">
      <c r="A2171" s="10" t="s">
        <v>3090</v>
      </c>
      <c r="B2171" s="124" t="s">
        <v>814</v>
      </c>
      <c r="C2171" s="124" t="s">
        <v>532</v>
      </c>
      <c r="D2171" s="12">
        <v>20858250</v>
      </c>
      <c r="E2171" s="82">
        <v>0.90730570560000001</v>
      </c>
      <c r="F2171" s="14">
        <v>18924809.23</v>
      </c>
      <c r="G2171" s="14">
        <v>0.03</v>
      </c>
      <c r="H2171" s="10"/>
      <c r="I2171" s="10"/>
    </row>
    <row r="2172" spans="1:9">
      <c r="A2172" s="10" t="s">
        <v>3091</v>
      </c>
      <c r="B2172" s="124" t="s">
        <v>808</v>
      </c>
      <c r="C2172" s="124" t="s">
        <v>532</v>
      </c>
      <c r="D2172" s="14">
        <v>11666666.67</v>
      </c>
      <c r="E2172" s="82">
        <v>0.9232094569</v>
      </c>
      <c r="F2172" s="12">
        <v>10770777</v>
      </c>
      <c r="G2172" s="14">
        <v>0.01</v>
      </c>
      <c r="H2172" s="10"/>
      <c r="I2172" s="10"/>
    </row>
    <row r="2173" spans="1:9">
      <c r="A2173" s="10" t="s">
        <v>3092</v>
      </c>
      <c r="B2173" s="124" t="s">
        <v>750</v>
      </c>
      <c r="C2173" s="124" t="s">
        <v>532</v>
      </c>
      <c r="D2173" s="14">
        <v>393484.48</v>
      </c>
      <c r="E2173" s="82">
        <v>0.94790450159999995</v>
      </c>
      <c r="F2173" s="14">
        <v>372985.71</v>
      </c>
      <c r="G2173" s="12">
        <v>0</v>
      </c>
      <c r="H2173" s="10"/>
      <c r="I2173" s="10"/>
    </row>
    <row r="2174" spans="1:9">
      <c r="A2174" s="10" t="s">
        <v>3093</v>
      </c>
      <c r="B2174" s="124" t="s">
        <v>883</v>
      </c>
      <c r="C2174" s="124" t="s">
        <v>532</v>
      </c>
      <c r="D2174" s="154">
        <v>1555000.5</v>
      </c>
      <c r="E2174" s="82">
        <v>0.9611335943</v>
      </c>
      <c r="F2174" s="14">
        <v>1494563.22</v>
      </c>
      <c r="G2174" s="12">
        <v>0</v>
      </c>
      <c r="H2174" s="10"/>
      <c r="I2174" s="10"/>
    </row>
    <row r="2175" spans="1:9">
      <c r="A2175" s="10" t="s">
        <v>3094</v>
      </c>
      <c r="B2175" s="124" t="s">
        <v>574</v>
      </c>
      <c r="C2175" s="124" t="s">
        <v>532</v>
      </c>
      <c r="D2175" s="154">
        <v>3256800.5</v>
      </c>
      <c r="E2175" s="158">
        <v>0.96479197299999997</v>
      </c>
      <c r="F2175" s="14">
        <v>3142134.98</v>
      </c>
      <c r="G2175" s="12">
        <v>0</v>
      </c>
      <c r="H2175" s="10"/>
      <c r="I2175" s="10"/>
    </row>
    <row r="2176" spans="1:9">
      <c r="A2176" s="10" t="s">
        <v>3095</v>
      </c>
      <c r="B2176" s="124" t="s">
        <v>593</v>
      </c>
      <c r="C2176" s="124" t="s">
        <v>532</v>
      </c>
      <c r="D2176" s="154">
        <v>1555000.5</v>
      </c>
      <c r="E2176" s="158">
        <v>0.96022325399999997</v>
      </c>
      <c r="F2176" s="14">
        <v>1493147.64</v>
      </c>
      <c r="G2176" s="12">
        <v>0</v>
      </c>
      <c r="H2176" s="10"/>
      <c r="I2176" s="10"/>
    </row>
    <row r="2177" spans="1:9">
      <c r="A2177" s="10" t="s">
        <v>3096</v>
      </c>
      <c r="B2177" s="124" t="s">
        <v>504</v>
      </c>
      <c r="C2177" s="124" t="s">
        <v>532</v>
      </c>
      <c r="D2177" s="154">
        <v>3256800.5</v>
      </c>
      <c r="E2177" s="82">
        <v>0.95931463679999995</v>
      </c>
      <c r="F2177" s="14">
        <v>3124296.39</v>
      </c>
      <c r="G2177" s="12">
        <v>0</v>
      </c>
      <c r="H2177" s="10"/>
      <c r="I2177" s="10"/>
    </row>
    <row r="2178" spans="1:9">
      <c r="A2178" s="10" t="s">
        <v>3097</v>
      </c>
      <c r="B2178" s="124" t="s">
        <v>883</v>
      </c>
      <c r="C2178" s="124" t="s">
        <v>532</v>
      </c>
      <c r="D2178" s="14">
        <v>1250300.6499999999</v>
      </c>
      <c r="E2178" s="82">
        <v>0.96113357980000003</v>
      </c>
      <c r="F2178" s="14">
        <v>1201705.94</v>
      </c>
      <c r="G2178" s="12">
        <v>0</v>
      </c>
      <c r="H2178" s="10"/>
      <c r="I2178" s="10"/>
    </row>
    <row r="2179" spans="1:9">
      <c r="A2179" s="10" t="s">
        <v>3098</v>
      </c>
      <c r="B2179" s="124" t="s">
        <v>504</v>
      </c>
      <c r="C2179" s="124" t="s">
        <v>532</v>
      </c>
      <c r="D2179" s="154">
        <v>3256800.5</v>
      </c>
      <c r="E2179" s="82">
        <v>0.95931463679999995</v>
      </c>
      <c r="F2179" s="14">
        <v>3124296.39</v>
      </c>
      <c r="G2179" s="12">
        <v>0</v>
      </c>
      <c r="H2179" s="10"/>
      <c r="I2179" s="10"/>
    </row>
    <row r="2180" spans="1:9">
      <c r="A2180" s="10" t="s">
        <v>3099</v>
      </c>
      <c r="B2180" s="124" t="s">
        <v>680</v>
      </c>
      <c r="C2180" s="124" t="s">
        <v>532</v>
      </c>
      <c r="D2180" s="154">
        <v>3256800.5</v>
      </c>
      <c r="E2180" s="82">
        <v>0.96571071789999996</v>
      </c>
      <c r="F2180" s="14">
        <v>3145127.15</v>
      </c>
      <c r="G2180" s="12">
        <v>0</v>
      </c>
      <c r="H2180" s="10"/>
      <c r="I2180" s="10"/>
    </row>
    <row r="2181" spans="1:9">
      <c r="A2181" s="10" t="s">
        <v>3100</v>
      </c>
      <c r="B2181" s="124" t="s">
        <v>655</v>
      </c>
      <c r="C2181" s="124" t="s">
        <v>532</v>
      </c>
      <c r="D2181" s="154">
        <v>3256800.5</v>
      </c>
      <c r="E2181" s="158">
        <v>0.94588996800000003</v>
      </c>
      <c r="F2181" s="14">
        <v>3080574.92</v>
      </c>
      <c r="G2181" s="12">
        <v>0</v>
      </c>
      <c r="H2181" s="10"/>
      <c r="I2181" s="10"/>
    </row>
    <row r="2182" spans="1:9">
      <c r="A2182" s="10" t="s">
        <v>3101</v>
      </c>
      <c r="B2182" s="124" t="s">
        <v>1161</v>
      </c>
      <c r="C2182" s="124" t="s">
        <v>532</v>
      </c>
      <c r="D2182" s="12">
        <v>2500000</v>
      </c>
      <c r="E2182" s="82">
        <v>0.94611079610000004</v>
      </c>
      <c r="F2182" s="14">
        <v>2365276.9900000002</v>
      </c>
      <c r="G2182" s="12">
        <v>0</v>
      </c>
      <c r="H2182" s="10"/>
      <c r="I2182" s="10"/>
    </row>
    <row r="2183" spans="1:9">
      <c r="A2183" s="10" t="s">
        <v>3102</v>
      </c>
      <c r="B2183" s="124" t="s">
        <v>651</v>
      </c>
      <c r="C2183" s="124" t="s">
        <v>532</v>
      </c>
      <c r="D2183" s="12">
        <v>2500000</v>
      </c>
      <c r="E2183" s="82">
        <v>0.93808632329999997</v>
      </c>
      <c r="F2183" s="14">
        <v>2345215.81</v>
      </c>
      <c r="G2183" s="12">
        <v>0</v>
      </c>
      <c r="H2183" s="10"/>
      <c r="I2183" s="10"/>
    </row>
    <row r="2184" spans="1:9">
      <c r="A2184" s="10" t="s">
        <v>3103</v>
      </c>
      <c r="B2184" s="124" t="s">
        <v>647</v>
      </c>
      <c r="C2184" s="124" t="s">
        <v>532</v>
      </c>
      <c r="D2184" s="12">
        <v>2500000</v>
      </c>
      <c r="E2184" s="82">
        <v>0.93968041619999998</v>
      </c>
      <c r="F2184" s="14">
        <v>2349201.04</v>
      </c>
      <c r="G2184" s="12">
        <v>0</v>
      </c>
      <c r="H2184" s="10"/>
      <c r="I2184" s="10"/>
    </row>
    <row r="2185" spans="1:9">
      <c r="A2185" s="10" t="s">
        <v>3104</v>
      </c>
      <c r="B2185" s="124" t="s">
        <v>854</v>
      </c>
      <c r="C2185" s="124" t="s">
        <v>532</v>
      </c>
      <c r="D2185" s="12">
        <v>2500000</v>
      </c>
      <c r="E2185" s="82">
        <v>0.94449483150000002</v>
      </c>
      <c r="F2185" s="14">
        <v>2361237.08</v>
      </c>
      <c r="G2185" s="12">
        <v>0</v>
      </c>
      <c r="H2185" s="10"/>
      <c r="I2185" s="10"/>
    </row>
    <row r="2186" spans="1:9">
      <c r="A2186" s="10" t="s">
        <v>3105</v>
      </c>
      <c r="B2186" s="124" t="s">
        <v>750</v>
      </c>
      <c r="C2186" s="124" t="s">
        <v>532</v>
      </c>
      <c r="D2186" s="12">
        <v>2500000</v>
      </c>
      <c r="E2186" s="82">
        <v>0.94935909949999997</v>
      </c>
      <c r="F2186" s="14">
        <v>2373397.75</v>
      </c>
      <c r="G2186" s="12">
        <v>0</v>
      </c>
      <c r="H2186" s="10"/>
      <c r="I2186" s="10"/>
    </row>
    <row r="2187" spans="1:9">
      <c r="A2187" s="10" t="s">
        <v>3106</v>
      </c>
      <c r="B2187" s="124" t="s">
        <v>776</v>
      </c>
      <c r="C2187" s="124" t="s">
        <v>532</v>
      </c>
      <c r="D2187" s="12">
        <v>2500000</v>
      </c>
      <c r="E2187" s="82">
        <v>0.9436889155</v>
      </c>
      <c r="F2187" s="14">
        <v>2359222.29</v>
      </c>
      <c r="G2187" s="12">
        <v>0</v>
      </c>
      <c r="H2187" s="10"/>
      <c r="I2187" s="10"/>
    </row>
    <row r="2188" spans="1:9">
      <c r="A2188" s="10" t="s">
        <v>3107</v>
      </c>
      <c r="B2188" s="124" t="s">
        <v>1007</v>
      </c>
      <c r="C2188" s="124" t="s">
        <v>532</v>
      </c>
      <c r="D2188" s="12">
        <v>2500000</v>
      </c>
      <c r="E2188" s="82">
        <v>0.96090581990000001</v>
      </c>
      <c r="F2188" s="14">
        <v>2402264.5499999998</v>
      </c>
      <c r="G2188" s="12">
        <v>0</v>
      </c>
      <c r="H2188" s="10"/>
      <c r="I2188" s="10"/>
    </row>
    <row r="2189" spans="1:9">
      <c r="A2189" s="10" t="s">
        <v>3108</v>
      </c>
      <c r="B2189" s="124" t="s">
        <v>446</v>
      </c>
      <c r="C2189" s="124" t="s">
        <v>532</v>
      </c>
      <c r="D2189" s="12">
        <v>2500000</v>
      </c>
      <c r="E2189" s="82">
        <v>0.95757815960000003</v>
      </c>
      <c r="F2189" s="154">
        <v>2393945.4</v>
      </c>
      <c r="G2189" s="12">
        <v>0</v>
      </c>
      <c r="H2189" s="10"/>
      <c r="I2189" s="10"/>
    </row>
    <row r="2190" spans="1:9">
      <c r="A2190" s="10" t="s">
        <v>3109</v>
      </c>
      <c r="B2190" s="124" t="s">
        <v>793</v>
      </c>
      <c r="C2190" s="124" t="s">
        <v>532</v>
      </c>
      <c r="D2190" s="12">
        <v>2500000</v>
      </c>
      <c r="E2190" s="82">
        <v>0.94530212440000005</v>
      </c>
      <c r="F2190" s="14">
        <v>2363255.31</v>
      </c>
      <c r="G2190" s="12">
        <v>0</v>
      </c>
      <c r="H2190" s="10"/>
      <c r="I2190" s="10"/>
    </row>
    <row r="2191" spans="1:9">
      <c r="A2191" s="10" t="s">
        <v>3110</v>
      </c>
      <c r="B2191" s="124" t="s">
        <v>567</v>
      </c>
      <c r="C2191" s="124" t="s">
        <v>532</v>
      </c>
      <c r="D2191" s="12">
        <v>2500000</v>
      </c>
      <c r="E2191" s="82">
        <v>0.94692058830000003</v>
      </c>
      <c r="F2191" s="14">
        <v>2367301.4700000002</v>
      </c>
      <c r="G2191" s="12">
        <v>0</v>
      </c>
      <c r="H2191" s="10"/>
      <c r="I2191" s="10"/>
    </row>
    <row r="2192" spans="1:9">
      <c r="A2192" s="10" t="s">
        <v>3111</v>
      </c>
      <c r="B2192" s="124" t="s">
        <v>583</v>
      </c>
      <c r="C2192" s="124" t="s">
        <v>532</v>
      </c>
      <c r="D2192" s="12">
        <v>2500000</v>
      </c>
      <c r="E2192" s="82">
        <v>0.95592282350000002</v>
      </c>
      <c r="F2192" s="14">
        <v>2389807.06</v>
      </c>
      <c r="G2192" s="12">
        <v>0</v>
      </c>
      <c r="H2192" s="10"/>
      <c r="I2192" s="10"/>
    </row>
    <row r="2193" spans="1:9">
      <c r="A2193" s="10" t="s">
        <v>3112</v>
      </c>
      <c r="B2193" s="124" t="s">
        <v>655</v>
      </c>
      <c r="C2193" s="124" t="s">
        <v>532</v>
      </c>
      <c r="D2193" s="12">
        <v>2500000</v>
      </c>
      <c r="E2193" s="82">
        <v>0.95017446439999997</v>
      </c>
      <c r="F2193" s="14">
        <v>2375436.16</v>
      </c>
      <c r="G2193" s="12">
        <v>0</v>
      </c>
      <c r="H2193" s="10"/>
      <c r="I2193" s="10"/>
    </row>
    <row r="2194" spans="1:9">
      <c r="A2194" s="10" t="s">
        <v>3113</v>
      </c>
      <c r="B2194" s="124" t="s">
        <v>950</v>
      </c>
      <c r="C2194" s="124" t="s">
        <v>532</v>
      </c>
      <c r="D2194" s="12">
        <v>2500000</v>
      </c>
      <c r="E2194" s="82">
        <v>0.95180993560000005</v>
      </c>
      <c r="F2194" s="14">
        <v>2379524.84</v>
      </c>
      <c r="G2194" s="12">
        <v>0</v>
      </c>
      <c r="H2194" s="10"/>
      <c r="I2194" s="10"/>
    </row>
    <row r="2195" spans="1:9">
      <c r="A2195" s="10" t="s">
        <v>3114</v>
      </c>
      <c r="B2195" s="124" t="s">
        <v>999</v>
      </c>
      <c r="C2195" s="124" t="s">
        <v>532</v>
      </c>
      <c r="D2195" s="12">
        <v>7500000</v>
      </c>
      <c r="E2195" s="82">
        <v>0.9193724405</v>
      </c>
      <c r="F2195" s="154">
        <v>6895293.2999999998</v>
      </c>
      <c r="G2195" s="14">
        <v>0.01</v>
      </c>
      <c r="H2195" s="10"/>
      <c r="I2195" s="10"/>
    </row>
    <row r="2196" spans="1:9">
      <c r="A2196" s="10" t="s">
        <v>3115</v>
      </c>
      <c r="B2196" s="124" t="s">
        <v>822</v>
      </c>
      <c r="C2196" s="124" t="s">
        <v>532</v>
      </c>
      <c r="D2196" s="12">
        <v>7500000</v>
      </c>
      <c r="E2196" s="82">
        <v>0.9186088093</v>
      </c>
      <c r="F2196" s="14">
        <v>6889566.0700000003</v>
      </c>
      <c r="G2196" s="14">
        <v>0.01</v>
      </c>
      <c r="H2196" s="10"/>
      <c r="I2196" s="10"/>
    </row>
    <row r="2197" spans="1:9">
      <c r="A2197" s="10" t="s">
        <v>3116</v>
      </c>
      <c r="B2197" s="124" t="s">
        <v>808</v>
      </c>
      <c r="C2197" s="124" t="s">
        <v>532</v>
      </c>
      <c r="D2197" s="12">
        <v>5000000</v>
      </c>
      <c r="E2197" s="82">
        <v>0.9232094569</v>
      </c>
      <c r="F2197" s="14">
        <v>4616047.28</v>
      </c>
      <c r="G2197" s="14">
        <v>0.01</v>
      </c>
      <c r="H2197" s="10"/>
      <c r="I2197" s="10"/>
    </row>
    <row r="2198" spans="1:9">
      <c r="A2198" s="10" t="s">
        <v>3117</v>
      </c>
      <c r="B2198" s="124" t="s">
        <v>793</v>
      </c>
      <c r="C2198" s="124" t="s">
        <v>532</v>
      </c>
      <c r="D2198" s="14">
        <v>16643128.32</v>
      </c>
      <c r="E2198" s="82">
        <v>0.94530212440000005</v>
      </c>
      <c r="F2198" s="14">
        <v>15732784.560000001</v>
      </c>
      <c r="G2198" s="14">
        <v>0.02</v>
      </c>
      <c r="H2198" s="10"/>
      <c r="I2198" s="10"/>
    </row>
    <row r="2199" spans="1:9">
      <c r="A2199" s="10" t="s">
        <v>3118</v>
      </c>
      <c r="B2199" s="124" t="s">
        <v>504</v>
      </c>
      <c r="C2199" s="124" t="s">
        <v>532</v>
      </c>
      <c r="D2199" s="14">
        <v>130311.45</v>
      </c>
      <c r="E2199" s="158">
        <v>0.96257826899999999</v>
      </c>
      <c r="F2199" s="14">
        <v>125434.97</v>
      </c>
      <c r="G2199" s="12">
        <v>0</v>
      </c>
      <c r="H2199" s="10"/>
      <c r="I2199" s="10"/>
    </row>
    <row r="2200" spans="1:9">
      <c r="A2200" s="10" t="s">
        <v>3119</v>
      </c>
      <c r="B2200" s="124" t="s">
        <v>504</v>
      </c>
      <c r="C2200" s="124" t="s">
        <v>532</v>
      </c>
      <c r="D2200" s="14">
        <v>8574172.7400000002</v>
      </c>
      <c r="E2200" s="82">
        <v>0.96257820670000005</v>
      </c>
      <c r="F2200" s="14">
        <v>8253311.8200000003</v>
      </c>
      <c r="G2200" s="14">
        <v>0.01</v>
      </c>
      <c r="H2200" s="10"/>
      <c r="I2200" s="10"/>
    </row>
    <row r="2201" spans="1:9">
      <c r="A2201" s="10" t="s">
        <v>3120</v>
      </c>
      <c r="B2201" s="124" t="s">
        <v>500</v>
      </c>
      <c r="C2201" s="124" t="s">
        <v>532</v>
      </c>
      <c r="D2201" s="14">
        <v>8574172.7400000002</v>
      </c>
      <c r="E2201" s="82">
        <v>0.95674977390000004</v>
      </c>
      <c r="F2201" s="14">
        <v>8203337.8300000001</v>
      </c>
      <c r="G2201" s="14">
        <v>0.01</v>
      </c>
      <c r="H2201" s="10"/>
      <c r="I2201" s="10"/>
    </row>
    <row r="2202" spans="1:9">
      <c r="A2202" s="10" t="s">
        <v>3121</v>
      </c>
      <c r="B2202" s="124" t="s">
        <v>793</v>
      </c>
      <c r="C2202" s="124" t="s">
        <v>532</v>
      </c>
      <c r="D2202" s="12">
        <v>27362969</v>
      </c>
      <c r="E2202" s="82">
        <v>0.94530212440000005</v>
      </c>
      <c r="F2202" s="14">
        <v>25866272.73</v>
      </c>
      <c r="G2202" s="14">
        <v>0.03</v>
      </c>
      <c r="H2202" s="10"/>
      <c r="I2202" s="10"/>
    </row>
    <row r="2203" spans="1:9">
      <c r="A2203" s="10" t="s">
        <v>3122</v>
      </c>
      <c r="B2203" s="124" t="s">
        <v>3123</v>
      </c>
      <c r="C2203" s="124" t="s">
        <v>532</v>
      </c>
      <c r="D2203" s="12">
        <v>27362969</v>
      </c>
      <c r="E2203" s="82">
        <v>0.85340192479999999</v>
      </c>
      <c r="F2203" s="14">
        <v>23351610.41</v>
      </c>
      <c r="G2203" s="14">
        <v>0.03</v>
      </c>
      <c r="H2203" s="10"/>
      <c r="I2203" s="10"/>
    </row>
    <row r="2204" spans="1:9">
      <c r="A2204" s="10" t="s">
        <v>3124</v>
      </c>
      <c r="B2204" s="124" t="s">
        <v>793</v>
      </c>
      <c r="C2204" s="124" t="s">
        <v>532</v>
      </c>
      <c r="D2204" s="14">
        <v>526947.42000000004</v>
      </c>
      <c r="E2204" s="82">
        <v>0.94530211340000003</v>
      </c>
      <c r="F2204" s="14">
        <v>498124.51</v>
      </c>
      <c r="G2204" s="12">
        <v>0</v>
      </c>
      <c r="H2204" s="10"/>
      <c r="I2204" s="10"/>
    </row>
    <row r="2205" spans="1:9">
      <c r="A2205" s="10" t="s">
        <v>3125</v>
      </c>
      <c r="B2205" s="124" t="s">
        <v>500</v>
      </c>
      <c r="C2205" s="124" t="s">
        <v>532</v>
      </c>
      <c r="D2205" s="154">
        <v>1885862.4</v>
      </c>
      <c r="E2205" s="82">
        <v>0.95674977139999995</v>
      </c>
      <c r="F2205" s="14">
        <v>1804298.42</v>
      </c>
      <c r="G2205" s="12">
        <v>0</v>
      </c>
      <c r="H2205" s="10"/>
      <c r="I2205" s="10"/>
    </row>
    <row r="2206" spans="1:9">
      <c r="A2206" s="10" t="s">
        <v>3126</v>
      </c>
      <c r="B2206" s="124" t="s">
        <v>655</v>
      </c>
      <c r="C2206" s="124" t="s">
        <v>532</v>
      </c>
      <c r="D2206" s="12">
        <v>182156</v>
      </c>
      <c r="E2206" s="82">
        <v>0.95017446579999998</v>
      </c>
      <c r="F2206" s="14">
        <v>173079.98</v>
      </c>
      <c r="G2206" s="12">
        <v>0</v>
      </c>
      <c r="H2206" s="10"/>
      <c r="I2206" s="10"/>
    </row>
    <row r="2207" spans="1:9">
      <c r="A2207" s="10" t="s">
        <v>3127</v>
      </c>
      <c r="B2207" s="124" t="s">
        <v>3128</v>
      </c>
      <c r="C2207" s="124" t="s">
        <v>532</v>
      </c>
      <c r="D2207" s="12">
        <v>182156</v>
      </c>
      <c r="E2207" s="82">
        <v>0.85936960630000003</v>
      </c>
      <c r="F2207" s="14">
        <v>156539.32999999999</v>
      </c>
      <c r="G2207" s="12">
        <v>0</v>
      </c>
      <c r="H2207" s="10"/>
      <c r="I2207" s="10"/>
    </row>
    <row r="2208" spans="1:9">
      <c r="A2208" s="10" t="s">
        <v>3129</v>
      </c>
      <c r="B2208" s="124" t="s">
        <v>583</v>
      </c>
      <c r="C2208" s="124" t="s">
        <v>532</v>
      </c>
      <c r="D2208" s="14">
        <v>574285.71</v>
      </c>
      <c r="E2208" s="82">
        <v>0.9559228273</v>
      </c>
      <c r="F2208" s="14">
        <v>548972.81999999995</v>
      </c>
      <c r="G2208" s="12">
        <v>0</v>
      </c>
      <c r="H2208" s="10"/>
      <c r="I2208" s="10"/>
    </row>
    <row r="2209" spans="1:9">
      <c r="A2209" s="10" t="s">
        <v>3130</v>
      </c>
      <c r="B2209" s="124" t="s">
        <v>776</v>
      </c>
      <c r="C2209" s="124" t="s">
        <v>532</v>
      </c>
      <c r="D2209" s="12">
        <v>436692</v>
      </c>
      <c r="E2209" s="82">
        <v>0.9436889155</v>
      </c>
      <c r="F2209" s="154">
        <v>412101.4</v>
      </c>
      <c r="G2209" s="12">
        <v>0</v>
      </c>
      <c r="H2209" s="10"/>
      <c r="I2209" s="10"/>
    </row>
    <row r="2210" spans="1:9">
      <c r="A2210" s="10" t="s">
        <v>3131</v>
      </c>
      <c r="B2210" s="124" t="s">
        <v>446</v>
      </c>
      <c r="C2210" s="124" t="s">
        <v>532</v>
      </c>
      <c r="D2210" s="14">
        <v>2169517.4900000002</v>
      </c>
      <c r="E2210" s="82">
        <v>0.95757815710000005</v>
      </c>
      <c r="F2210" s="14">
        <v>2077482.56</v>
      </c>
      <c r="G2210" s="12">
        <v>0</v>
      </c>
      <c r="H2210" s="10"/>
      <c r="I2210" s="10"/>
    </row>
    <row r="2211" spans="1:9">
      <c r="A2211" s="10" t="s">
        <v>3132</v>
      </c>
      <c r="B2211" s="124" t="s">
        <v>655</v>
      </c>
      <c r="C2211" s="124" t="s">
        <v>532</v>
      </c>
      <c r="D2211" s="14">
        <v>6135324.1399999997</v>
      </c>
      <c r="E2211" s="82">
        <v>0.95017446719999998</v>
      </c>
      <c r="F2211" s="14">
        <v>5829628.3499999996</v>
      </c>
      <c r="G2211" s="14">
        <v>0.01</v>
      </c>
      <c r="H2211" s="10"/>
      <c r="I2211" s="10"/>
    </row>
    <row r="2212" spans="1:9">
      <c r="A2212" s="10" t="s">
        <v>3133</v>
      </c>
      <c r="B2212" s="124" t="s">
        <v>502</v>
      </c>
      <c r="C2212" s="124" t="s">
        <v>532</v>
      </c>
      <c r="D2212" s="154">
        <v>827834.5</v>
      </c>
      <c r="E2212" s="158">
        <v>0.95099149599999999</v>
      </c>
      <c r="F2212" s="14">
        <v>787263.57</v>
      </c>
      <c r="G2212" s="12">
        <v>0</v>
      </c>
      <c r="H2212" s="10"/>
      <c r="I2212" s="10"/>
    </row>
    <row r="2213" spans="1:9">
      <c r="A2213" s="10" t="s">
        <v>3134</v>
      </c>
      <c r="B2213" s="124" t="s">
        <v>502</v>
      </c>
      <c r="C2213" s="124" t="s">
        <v>532</v>
      </c>
      <c r="D2213" s="12">
        <v>25000000</v>
      </c>
      <c r="E2213" s="158">
        <v>0.95810594400000004</v>
      </c>
      <c r="F2213" s="154">
        <v>23952648.600000001</v>
      </c>
      <c r="G2213" s="14">
        <v>0.03</v>
      </c>
      <c r="H2213" s="10"/>
      <c r="I2213" s="10"/>
    </row>
    <row r="2214" spans="1:9">
      <c r="A2214" s="10" t="s">
        <v>3135</v>
      </c>
      <c r="B2214" s="124" t="s">
        <v>1019</v>
      </c>
      <c r="C2214" s="124" t="s">
        <v>532</v>
      </c>
      <c r="D2214" s="12">
        <v>35000000</v>
      </c>
      <c r="E2214" s="82">
        <v>0.94422621910000004</v>
      </c>
      <c r="F2214" s="14">
        <v>33047917.670000002</v>
      </c>
      <c r="G2214" s="14">
        <v>0.04</v>
      </c>
      <c r="H2214" s="10"/>
      <c r="I2214" s="10"/>
    </row>
    <row r="2215" spans="1:9">
      <c r="A2215" s="10" t="s">
        <v>3136</v>
      </c>
      <c r="B2215" s="124" t="s">
        <v>1161</v>
      </c>
      <c r="C2215" s="124" t="s">
        <v>532</v>
      </c>
      <c r="D2215" s="12">
        <v>25000000</v>
      </c>
      <c r="E2215" s="82">
        <v>0.95389941489999996</v>
      </c>
      <c r="F2215" s="14">
        <v>23847485.370000001</v>
      </c>
      <c r="G2215" s="14">
        <v>0.03</v>
      </c>
      <c r="H2215" s="10"/>
      <c r="I2215" s="10"/>
    </row>
    <row r="2216" spans="1:9">
      <c r="A2216" s="10" t="s">
        <v>3137</v>
      </c>
      <c r="B2216" s="124" t="s">
        <v>490</v>
      </c>
      <c r="C2216" s="124" t="s">
        <v>532</v>
      </c>
      <c r="D2216" s="12">
        <v>6250000</v>
      </c>
      <c r="E2216" s="82">
        <v>0.98457057420000005</v>
      </c>
      <c r="F2216" s="14">
        <v>6153566.0899999999</v>
      </c>
      <c r="G2216" s="14">
        <v>0.01</v>
      </c>
      <c r="H2216" s="10"/>
      <c r="I2216" s="10"/>
    </row>
    <row r="2217" spans="1:9">
      <c r="A2217" s="10" t="s">
        <v>3138</v>
      </c>
      <c r="B2217" s="124" t="s">
        <v>490</v>
      </c>
      <c r="C2217" s="124" t="s">
        <v>532</v>
      </c>
      <c r="D2217" s="12">
        <v>6250000</v>
      </c>
      <c r="E2217" s="82">
        <v>0.98457057420000005</v>
      </c>
      <c r="F2217" s="14">
        <v>6153566.0899999999</v>
      </c>
      <c r="G2217" s="14">
        <v>0.01</v>
      </c>
      <c r="H2217" s="10"/>
      <c r="I2217" s="10"/>
    </row>
    <row r="2218" spans="1:9">
      <c r="A2218" s="10" t="s">
        <v>3139</v>
      </c>
      <c r="B2218" s="124" t="s">
        <v>490</v>
      </c>
      <c r="C2218" s="124" t="s">
        <v>532</v>
      </c>
      <c r="D2218" s="12">
        <v>6250000</v>
      </c>
      <c r="E2218" s="82">
        <v>0.98457057420000005</v>
      </c>
      <c r="F2218" s="14">
        <v>6153566.0899999999</v>
      </c>
      <c r="G2218" s="14">
        <v>0.01</v>
      </c>
      <c r="H2218" s="10"/>
      <c r="I2218" s="10"/>
    </row>
    <row r="2219" spans="1:9">
      <c r="A2219" s="10" t="s">
        <v>3140</v>
      </c>
      <c r="B2219" s="124" t="s">
        <v>490</v>
      </c>
      <c r="C2219" s="124" t="s">
        <v>532</v>
      </c>
      <c r="D2219" s="12">
        <v>6250000</v>
      </c>
      <c r="E2219" s="82">
        <v>0.98457057420000005</v>
      </c>
      <c r="F2219" s="14">
        <v>6153566.0899999999</v>
      </c>
      <c r="G2219" s="14">
        <v>0.01</v>
      </c>
      <c r="H2219" s="10"/>
      <c r="I2219" s="10"/>
    </row>
    <row r="2220" spans="1:9">
      <c r="A2220" s="10" t="s">
        <v>3141</v>
      </c>
      <c r="B2220" s="124" t="s">
        <v>655</v>
      </c>
      <c r="C2220" s="124" t="s">
        <v>532</v>
      </c>
      <c r="D2220" s="14">
        <v>97351912.840000004</v>
      </c>
      <c r="E2220" s="82">
        <v>0.95740220509999996</v>
      </c>
      <c r="F2220" s="14">
        <v>93204936.019999996</v>
      </c>
      <c r="G2220" s="14">
        <v>0.12</v>
      </c>
      <c r="H2220" s="10"/>
      <c r="I2220" s="10"/>
    </row>
    <row r="2221" spans="1:9">
      <c r="A2221" s="10" t="s">
        <v>3142</v>
      </c>
      <c r="B2221" s="124" t="s">
        <v>655</v>
      </c>
      <c r="C2221" s="124" t="s">
        <v>532</v>
      </c>
      <c r="D2221" s="154">
        <v>38458308.5</v>
      </c>
      <c r="E2221" s="82">
        <v>0.95740220509999996</v>
      </c>
      <c r="F2221" s="14">
        <v>36820069.359999999</v>
      </c>
      <c r="G2221" s="14">
        <v>0.05</v>
      </c>
      <c r="H2221" s="10"/>
      <c r="I2221" s="10"/>
    </row>
    <row r="2222" spans="1:9">
      <c r="A2222" s="10" t="s">
        <v>3143</v>
      </c>
      <c r="B2222" s="124" t="s">
        <v>655</v>
      </c>
      <c r="C2222" s="124" t="s">
        <v>532</v>
      </c>
      <c r="D2222" s="14">
        <v>75590913.420000002</v>
      </c>
      <c r="E2222" s="82">
        <v>0.95740220509999996</v>
      </c>
      <c r="F2222" s="14">
        <v>72370907.189999998</v>
      </c>
      <c r="G2222" s="154">
        <v>0.1</v>
      </c>
      <c r="H2222" s="10"/>
      <c r="I2222" s="10"/>
    </row>
    <row r="2223" spans="1:9">
      <c r="A2223" s="10" t="s">
        <v>3158</v>
      </c>
      <c r="B2223" s="124" t="s">
        <v>490</v>
      </c>
      <c r="C2223" s="124" t="s">
        <v>472</v>
      </c>
      <c r="D2223" s="12">
        <v>30000000</v>
      </c>
      <c r="E2223" s="82">
        <v>0.98457063020000002</v>
      </c>
      <c r="F2223" s="14">
        <v>29537118.91</v>
      </c>
      <c r="G2223" s="14">
        <v>0.04</v>
      </c>
      <c r="H2223" s="10"/>
      <c r="I2223" s="10"/>
    </row>
    <row r="2224" spans="1:9">
      <c r="A2224" s="10" t="s">
        <v>3159</v>
      </c>
      <c r="B2224" s="124" t="s">
        <v>697</v>
      </c>
      <c r="C2224" s="124" t="s">
        <v>472</v>
      </c>
      <c r="D2224" s="12">
        <v>5633315</v>
      </c>
      <c r="E2224" s="82">
        <v>0.93571750649999996</v>
      </c>
      <c r="F2224" s="14">
        <v>5271191.47</v>
      </c>
      <c r="G2224" s="14">
        <v>0.01</v>
      </c>
      <c r="H2224" s="10"/>
      <c r="I2224" s="10"/>
    </row>
    <row r="2225" spans="1:9">
      <c r="A2225" s="10" t="s">
        <v>3160</v>
      </c>
      <c r="B2225" s="124" t="s">
        <v>655</v>
      </c>
      <c r="C2225" s="124" t="s">
        <v>472</v>
      </c>
      <c r="D2225" s="12">
        <v>5633315</v>
      </c>
      <c r="E2225" s="82">
        <v>0.95522242980000005</v>
      </c>
      <c r="F2225" s="14">
        <v>5381068.8399999999</v>
      </c>
      <c r="G2225" s="14">
        <v>0.01</v>
      </c>
      <c r="H2225" s="10"/>
      <c r="I2225" s="10"/>
    </row>
    <row r="2226" spans="1:9">
      <c r="A2226" s="10" t="s">
        <v>3161</v>
      </c>
      <c r="B2226" s="124" t="s">
        <v>3128</v>
      </c>
      <c r="C2226" s="124" t="s">
        <v>472</v>
      </c>
      <c r="D2226" s="12">
        <v>5633315</v>
      </c>
      <c r="E2226" s="82">
        <v>0.87238152820000003</v>
      </c>
      <c r="F2226" s="14">
        <v>4914399.95</v>
      </c>
      <c r="G2226" s="14">
        <v>0.01</v>
      </c>
      <c r="H2226" s="10"/>
      <c r="I2226" s="10"/>
    </row>
    <row r="2227" spans="1:9">
      <c r="A2227" s="10" t="s">
        <v>3162</v>
      </c>
      <c r="B2227" s="124" t="s">
        <v>518</v>
      </c>
      <c r="C2227" s="124" t="s">
        <v>472</v>
      </c>
      <c r="D2227" s="12">
        <v>5633315</v>
      </c>
      <c r="E2227" s="82">
        <v>0.97864433120000005</v>
      </c>
      <c r="F2227" s="14">
        <v>5513011.79</v>
      </c>
      <c r="G2227" s="14">
        <v>0.01</v>
      </c>
      <c r="H2227" s="10"/>
      <c r="I2227" s="10"/>
    </row>
    <row r="2228" spans="1:9">
      <c r="A2228" s="10" t="s">
        <v>3163</v>
      </c>
      <c r="B2228" s="124" t="s">
        <v>1378</v>
      </c>
      <c r="C2228" s="124" t="s">
        <v>472</v>
      </c>
      <c r="D2228" s="12">
        <v>5633315</v>
      </c>
      <c r="E2228" s="82">
        <v>0.91495915260000005</v>
      </c>
      <c r="F2228" s="14">
        <v>5154253.12</v>
      </c>
      <c r="G2228" s="14">
        <v>0.01</v>
      </c>
      <c r="H2228" s="10"/>
      <c r="I2228" s="10"/>
    </row>
    <row r="2229" spans="1:9">
      <c r="A2229" s="10" t="s">
        <v>3164</v>
      </c>
      <c r="B2229" s="124" t="s">
        <v>3165</v>
      </c>
      <c r="C2229" s="124" t="s">
        <v>472</v>
      </c>
      <c r="D2229" s="12">
        <v>5633315</v>
      </c>
      <c r="E2229" s="82">
        <v>0.89380825460000002</v>
      </c>
      <c r="F2229" s="14">
        <v>5035103.45</v>
      </c>
      <c r="G2229" s="14">
        <v>0.01</v>
      </c>
      <c r="H2229" s="10"/>
      <c r="I2229" s="10"/>
    </row>
    <row r="2230" spans="1:9">
      <c r="A2230" s="10" t="s">
        <v>3166</v>
      </c>
      <c r="B2230" s="124" t="s">
        <v>574</v>
      </c>
      <c r="C2230" s="124" t="s">
        <v>472</v>
      </c>
      <c r="D2230" s="12">
        <v>1000000</v>
      </c>
      <c r="E2230" s="82">
        <v>0.97335933949999998</v>
      </c>
      <c r="F2230" s="14">
        <v>973359.34</v>
      </c>
      <c r="G2230" s="12">
        <v>0</v>
      </c>
      <c r="H2230" s="10"/>
      <c r="I2230" s="10"/>
    </row>
    <row r="2231" spans="1:9">
      <c r="A2231" s="10" t="s">
        <v>3167</v>
      </c>
      <c r="B2231" s="124" t="s">
        <v>593</v>
      </c>
      <c r="C2231" s="124" t="s">
        <v>472</v>
      </c>
      <c r="D2231" s="12">
        <v>1000000</v>
      </c>
      <c r="E2231" s="82">
        <v>0.96986786979999995</v>
      </c>
      <c r="F2231" s="14">
        <v>969867.87</v>
      </c>
      <c r="G2231" s="12">
        <v>0</v>
      </c>
      <c r="H2231" s="10"/>
      <c r="I2231" s="10"/>
    </row>
    <row r="2232" spans="1:9">
      <c r="A2232" s="10" t="s">
        <v>3168</v>
      </c>
      <c r="B2232" s="124" t="s">
        <v>883</v>
      </c>
      <c r="C2232" s="124" t="s">
        <v>472</v>
      </c>
      <c r="D2232" s="12">
        <v>1000000</v>
      </c>
      <c r="E2232" s="82">
        <v>0.97056402990000001</v>
      </c>
      <c r="F2232" s="14">
        <v>970564.03</v>
      </c>
      <c r="G2232" s="12">
        <v>0</v>
      </c>
      <c r="H2232" s="10"/>
      <c r="I2232" s="10"/>
    </row>
    <row r="2233" spans="1:9">
      <c r="A2233" s="10" t="s">
        <v>3169</v>
      </c>
      <c r="B2233" s="124" t="s">
        <v>680</v>
      </c>
      <c r="C2233" s="124" t="s">
        <v>472</v>
      </c>
      <c r="D2233" s="12">
        <v>1000000</v>
      </c>
      <c r="E2233" s="82">
        <v>0.97406073959999995</v>
      </c>
      <c r="F2233" s="14">
        <v>974060.74</v>
      </c>
      <c r="G2233" s="12">
        <v>0</v>
      </c>
      <c r="H2233" s="10"/>
      <c r="I2233" s="10"/>
    </row>
    <row r="2234" spans="1:9">
      <c r="A2234" s="10" t="s">
        <v>3170</v>
      </c>
      <c r="B2234" s="124" t="s">
        <v>819</v>
      </c>
      <c r="C2234" s="124" t="s">
        <v>472</v>
      </c>
      <c r="D2234" s="12">
        <v>32500000</v>
      </c>
      <c r="E2234" s="82">
        <v>0.94286026050000005</v>
      </c>
      <c r="F2234" s="14">
        <v>30642958.469999999</v>
      </c>
      <c r="G2234" s="14">
        <v>0.04</v>
      </c>
      <c r="H2234" s="10"/>
      <c r="I2234" s="10"/>
    </row>
    <row r="2235" spans="1:9">
      <c r="A2235" s="10" t="s">
        <v>3171</v>
      </c>
      <c r="B2235" s="124" t="s">
        <v>793</v>
      </c>
      <c r="C2235" s="124" t="s">
        <v>472</v>
      </c>
      <c r="D2235" s="12">
        <v>32500000</v>
      </c>
      <c r="E2235" s="82">
        <v>0.95320190429999996</v>
      </c>
      <c r="F2235" s="14">
        <v>30979061.890000001</v>
      </c>
      <c r="G2235" s="14">
        <v>0.04</v>
      </c>
      <c r="H2235" s="10"/>
      <c r="I2235" s="10"/>
    </row>
    <row r="2236" spans="1:9">
      <c r="A2236" s="10" t="s">
        <v>3172</v>
      </c>
      <c r="B2236" s="124" t="s">
        <v>655</v>
      </c>
      <c r="C2236" s="124" t="s">
        <v>472</v>
      </c>
      <c r="D2236" s="12">
        <v>32500000</v>
      </c>
      <c r="E2236" s="82">
        <v>0.95740226920000004</v>
      </c>
      <c r="F2236" s="14">
        <v>31115573.75</v>
      </c>
      <c r="G2236" s="14">
        <v>0.04</v>
      </c>
      <c r="H2236" s="10"/>
      <c r="I2236" s="10"/>
    </row>
    <row r="2237" spans="1:9">
      <c r="A2237" s="10" t="s">
        <v>3173</v>
      </c>
      <c r="B2237" s="124" t="s">
        <v>651</v>
      </c>
      <c r="C2237" s="124" t="s">
        <v>472</v>
      </c>
      <c r="D2237" s="12">
        <v>32500000</v>
      </c>
      <c r="E2237" s="82">
        <v>0.94696977950000005</v>
      </c>
      <c r="F2237" s="14">
        <v>30776517.829999998</v>
      </c>
      <c r="G2237" s="14">
        <v>0.04</v>
      </c>
      <c r="H2237" s="10"/>
      <c r="I2237" s="10"/>
    </row>
    <row r="2238" spans="1:9">
      <c r="A2238" s="10" t="s">
        <v>3174</v>
      </c>
      <c r="B2238" s="124" t="s">
        <v>514</v>
      </c>
      <c r="C2238" s="124" t="s">
        <v>472</v>
      </c>
      <c r="D2238" s="12">
        <v>40000000</v>
      </c>
      <c r="E2238" s="82">
        <v>0.98449090719999999</v>
      </c>
      <c r="F2238" s="14">
        <v>39379636.289999999</v>
      </c>
      <c r="G2238" s="14">
        <v>0.05</v>
      </c>
      <c r="H2238" s="10"/>
      <c r="I2238" s="10"/>
    </row>
    <row r="2239" spans="1:9">
      <c r="A2239" s="10" t="s">
        <v>3175</v>
      </c>
      <c r="B2239" s="124" t="s">
        <v>504</v>
      </c>
      <c r="C2239" s="124" t="s">
        <v>472</v>
      </c>
      <c r="D2239" s="12">
        <v>18000000</v>
      </c>
      <c r="E2239" s="82">
        <v>0.9713906712</v>
      </c>
      <c r="F2239" s="14">
        <v>17485032.079999998</v>
      </c>
      <c r="G2239" s="14">
        <v>0.02</v>
      </c>
      <c r="H2239" s="10"/>
      <c r="I2239" s="10"/>
    </row>
    <row r="2240" spans="1:9">
      <c r="A2240" s="10" t="s">
        <v>3176</v>
      </c>
      <c r="B2240" s="124" t="s">
        <v>520</v>
      </c>
      <c r="C2240" s="124" t="s">
        <v>472</v>
      </c>
      <c r="D2240" s="12">
        <v>18000000</v>
      </c>
      <c r="E2240" s="82">
        <v>0.98052392320000004</v>
      </c>
      <c r="F2240" s="14">
        <v>17649430.620000001</v>
      </c>
      <c r="G2240" s="14">
        <v>0.02</v>
      </c>
      <c r="H2240" s="10"/>
      <c r="I2240" s="10"/>
    </row>
    <row r="2241" spans="1:9">
      <c r="A2241" s="10" t="s">
        <v>3177</v>
      </c>
      <c r="B2241" s="124" t="s">
        <v>680</v>
      </c>
      <c r="C2241" s="124" t="s">
        <v>472</v>
      </c>
      <c r="D2241" s="12">
        <v>18000000</v>
      </c>
      <c r="E2241" s="82">
        <v>0.97593592939999996</v>
      </c>
      <c r="F2241" s="14">
        <v>17566846.73</v>
      </c>
      <c r="G2241" s="14">
        <v>0.02</v>
      </c>
      <c r="H2241" s="10"/>
      <c r="I2241" s="10"/>
    </row>
    <row r="2242" spans="1:9">
      <c r="A2242" s="10" t="s">
        <v>3178</v>
      </c>
      <c r="B2242" s="124" t="s">
        <v>502</v>
      </c>
      <c r="C2242" s="124" t="s">
        <v>472</v>
      </c>
      <c r="D2242" s="12">
        <v>150000000</v>
      </c>
      <c r="E2242" s="82">
        <v>0.96098167759999997</v>
      </c>
      <c r="F2242" s="14">
        <v>144147251.63999999</v>
      </c>
      <c r="G2242" s="14">
        <v>0.19</v>
      </c>
      <c r="H2242" s="10"/>
      <c r="I2242" s="10"/>
    </row>
    <row r="2243" spans="1:9">
      <c r="A2243" s="10" t="s">
        <v>3179</v>
      </c>
      <c r="B2243" s="124" t="s">
        <v>500</v>
      </c>
      <c r="C2243" s="124" t="s">
        <v>472</v>
      </c>
      <c r="D2243" s="12">
        <v>150000000</v>
      </c>
      <c r="E2243" s="82">
        <v>0.96560860739999999</v>
      </c>
      <c r="F2243" s="14">
        <v>144841291.11000001</v>
      </c>
      <c r="G2243" s="14">
        <v>0.19</v>
      </c>
      <c r="H2243" s="10"/>
      <c r="I2243" s="10"/>
    </row>
    <row r="2244" spans="1:9">
      <c r="A2244" s="10" t="s">
        <v>3180</v>
      </c>
      <c r="B2244" s="124" t="s">
        <v>485</v>
      </c>
      <c r="C2244" s="124" t="s">
        <v>472</v>
      </c>
      <c r="D2244" s="12">
        <v>15000000</v>
      </c>
      <c r="E2244" s="82">
        <v>0.98916006489999997</v>
      </c>
      <c r="F2244" s="14">
        <v>14837400.970000001</v>
      </c>
      <c r="G2244" s="14">
        <v>0.02</v>
      </c>
      <c r="H2244" s="10"/>
      <c r="I2244" s="10"/>
    </row>
    <row r="2245" spans="1:9">
      <c r="A2245" s="10" t="s">
        <v>3181</v>
      </c>
      <c r="B2245" s="124" t="s">
        <v>522</v>
      </c>
      <c r="C2245" s="124" t="s">
        <v>472</v>
      </c>
      <c r="D2245" s="12">
        <v>15000000</v>
      </c>
      <c r="E2245" s="82">
        <v>0.9798657986</v>
      </c>
      <c r="F2245" s="14">
        <v>14697986.98</v>
      </c>
      <c r="G2245" s="14">
        <v>0.02</v>
      </c>
      <c r="H2245" s="10"/>
      <c r="I2245" s="10"/>
    </row>
    <row r="2246" spans="1:9">
      <c r="A2246" s="10" t="s">
        <v>3182</v>
      </c>
      <c r="B2246" s="124" t="s">
        <v>514</v>
      </c>
      <c r="C2246" s="124" t="s">
        <v>472</v>
      </c>
      <c r="D2246" s="12">
        <v>15000000</v>
      </c>
      <c r="E2246" s="82">
        <v>0.98449090719999999</v>
      </c>
      <c r="F2246" s="14">
        <v>14767363.609999999</v>
      </c>
      <c r="G2246" s="14">
        <v>0.02</v>
      </c>
      <c r="H2246" s="10"/>
      <c r="I2246" s="10"/>
    </row>
    <row r="2247" spans="1:9">
      <c r="A2247" s="10" t="s">
        <v>3183</v>
      </c>
      <c r="B2247" s="124" t="s">
        <v>574</v>
      </c>
      <c r="C2247" s="124" t="s">
        <v>472</v>
      </c>
      <c r="D2247" s="12">
        <v>15000000</v>
      </c>
      <c r="E2247" s="82">
        <v>0.97528394650000005</v>
      </c>
      <c r="F2247" s="154">
        <v>14629259.199999999</v>
      </c>
      <c r="G2247" s="14">
        <v>0.02</v>
      </c>
      <c r="H2247" s="10"/>
      <c r="I2247" s="10"/>
    </row>
    <row r="2248" spans="1:9">
      <c r="A2248" s="10" t="s">
        <v>3184</v>
      </c>
      <c r="B2248" s="124" t="s">
        <v>497</v>
      </c>
      <c r="C2248" s="124" t="s">
        <v>472</v>
      </c>
      <c r="D2248" s="12">
        <v>15000000</v>
      </c>
      <c r="E2248" s="82">
        <v>0.97074474330000005</v>
      </c>
      <c r="F2248" s="14">
        <v>14561171.15</v>
      </c>
      <c r="G2248" s="14">
        <v>0.02</v>
      </c>
      <c r="H2248" s="10"/>
      <c r="I2248" s="10"/>
    </row>
    <row r="2249" spans="1:9">
      <c r="A2249" s="10" t="s">
        <v>3185</v>
      </c>
      <c r="B2249" s="124" t="s">
        <v>697</v>
      </c>
      <c r="C2249" s="124" t="s">
        <v>472</v>
      </c>
      <c r="D2249" s="12">
        <v>70000000</v>
      </c>
      <c r="E2249" s="82">
        <v>0.93878602460000005</v>
      </c>
      <c r="F2249" s="14">
        <v>65715021.719999999</v>
      </c>
      <c r="G2249" s="14">
        <v>0.09</v>
      </c>
      <c r="H2249" s="10"/>
      <c r="I2249" s="10"/>
    </row>
    <row r="2250" spans="1:9">
      <c r="A2250" s="10" t="s">
        <v>3186</v>
      </c>
      <c r="B2250" s="124" t="s">
        <v>1161</v>
      </c>
      <c r="C2250" s="124" t="s">
        <v>472</v>
      </c>
      <c r="D2250" s="12">
        <v>70000000</v>
      </c>
      <c r="E2250" s="82">
        <v>0.95389924839999995</v>
      </c>
      <c r="F2250" s="14">
        <v>66772947.390000001</v>
      </c>
      <c r="G2250" s="14">
        <v>0.09</v>
      </c>
      <c r="H2250" s="10"/>
      <c r="I2250" s="10"/>
    </row>
    <row r="2251" spans="1:9">
      <c r="A2251" s="10" t="s">
        <v>3187</v>
      </c>
      <c r="B2251" s="124" t="s">
        <v>758</v>
      </c>
      <c r="C2251" s="124" t="s">
        <v>472</v>
      </c>
      <c r="D2251" s="14">
        <v>23167422.219999999</v>
      </c>
      <c r="E2251" s="82">
        <v>0.92055499640000005</v>
      </c>
      <c r="F2251" s="14">
        <v>21326886.280000001</v>
      </c>
      <c r="G2251" s="14">
        <v>0.03</v>
      </c>
      <c r="H2251" s="10"/>
      <c r="I2251" s="10"/>
    </row>
    <row r="2252" spans="1:9">
      <c r="A2252" s="10" t="s">
        <v>3188</v>
      </c>
      <c r="B2252" s="124" t="s">
        <v>674</v>
      </c>
      <c r="C2252" s="124" t="s">
        <v>472</v>
      </c>
      <c r="D2252" s="14">
        <v>23167422.219999999</v>
      </c>
      <c r="E2252" s="82">
        <v>0.93541781909999999</v>
      </c>
      <c r="F2252" s="14">
        <v>21671219.57</v>
      </c>
      <c r="G2252" s="14">
        <v>0.03</v>
      </c>
      <c r="H2252" s="10"/>
      <c r="I2252" s="10"/>
    </row>
    <row r="2253" spans="1:9">
      <c r="A2253" s="10" t="s">
        <v>3189</v>
      </c>
      <c r="B2253" s="124" t="s">
        <v>1019</v>
      </c>
      <c r="C2253" s="124" t="s">
        <v>472</v>
      </c>
      <c r="D2253" s="14">
        <v>23167422.219999999</v>
      </c>
      <c r="E2253" s="82">
        <v>0.94047932140000001</v>
      </c>
      <c r="F2253" s="14">
        <v>21788481.530000001</v>
      </c>
      <c r="G2253" s="14">
        <v>0.03</v>
      </c>
      <c r="H2253" s="10"/>
      <c r="I2253" s="10"/>
    </row>
    <row r="2254" spans="1:9">
      <c r="A2254" s="10" t="s">
        <v>3190</v>
      </c>
      <c r="B2254" s="124" t="s">
        <v>1019</v>
      </c>
      <c r="C2254" s="124" t="s">
        <v>472</v>
      </c>
      <c r="D2254" s="12">
        <v>22500000</v>
      </c>
      <c r="E2254" s="82">
        <v>0.93491464710000005</v>
      </c>
      <c r="F2254" s="14">
        <v>21035579.559999999</v>
      </c>
      <c r="G2254" s="14">
        <v>0.03</v>
      </c>
      <c r="H2254" s="10"/>
      <c r="I2254" s="10"/>
    </row>
    <row r="2255" spans="1:9">
      <c r="A2255" s="10" t="s">
        <v>3191</v>
      </c>
      <c r="B2255" s="124" t="s">
        <v>769</v>
      </c>
      <c r="C2255" s="124" t="s">
        <v>472</v>
      </c>
      <c r="D2255" s="12">
        <v>33500000</v>
      </c>
      <c r="E2255" s="82">
        <v>0.92475316249999995</v>
      </c>
      <c r="F2255" s="14">
        <v>30979230.940000001</v>
      </c>
      <c r="G2255" s="14">
        <v>0.04</v>
      </c>
      <c r="H2255" s="10"/>
      <c r="I2255" s="10"/>
    </row>
    <row r="2256" spans="1:9">
      <c r="A2256" s="10" t="s">
        <v>3192</v>
      </c>
      <c r="B2256" s="124" t="s">
        <v>793</v>
      </c>
      <c r="C2256" s="124" t="s">
        <v>472</v>
      </c>
      <c r="D2256" s="12">
        <v>50000000</v>
      </c>
      <c r="E2256" s="82">
        <v>0.94687164840000004</v>
      </c>
      <c r="F2256" s="14">
        <v>47343582.420000002</v>
      </c>
      <c r="G2256" s="14">
        <v>0.06</v>
      </c>
      <c r="H2256" s="10"/>
      <c r="I2256" s="10"/>
    </row>
    <row r="2257" spans="1:9">
      <c r="A2257" s="10" t="s">
        <v>3193</v>
      </c>
      <c r="B2257" s="124" t="s">
        <v>510</v>
      </c>
      <c r="C2257" s="124" t="s">
        <v>472</v>
      </c>
      <c r="D2257" s="12">
        <v>598500</v>
      </c>
      <c r="E2257" s="82">
        <v>0.99157849610000004</v>
      </c>
      <c r="F2257" s="14">
        <v>593459.73</v>
      </c>
      <c r="G2257" s="12">
        <v>0</v>
      </c>
      <c r="H2257" s="10"/>
      <c r="I2257" s="10"/>
    </row>
    <row r="2258" spans="1:9">
      <c r="A2258" s="10" t="s">
        <v>3194</v>
      </c>
      <c r="B2258" s="124" t="s">
        <v>1360</v>
      </c>
      <c r="C2258" s="124" t="s">
        <v>472</v>
      </c>
      <c r="D2258" s="14">
        <v>694088.77</v>
      </c>
      <c r="E2258" s="82">
        <v>0.93936598309999997</v>
      </c>
      <c r="F2258" s="14">
        <v>652003.38</v>
      </c>
      <c r="G2258" s="12">
        <v>0</v>
      </c>
      <c r="H2258" s="10"/>
      <c r="I2258" s="10"/>
    </row>
    <row r="2259" spans="1:9">
      <c r="A2259" s="10" t="s">
        <v>3195</v>
      </c>
      <c r="B2259" s="124" t="s">
        <v>497</v>
      </c>
      <c r="C2259" s="124" t="s">
        <v>472</v>
      </c>
      <c r="D2259" s="14">
        <v>694088.77</v>
      </c>
      <c r="E2259" s="82">
        <v>0.96397640920000005</v>
      </c>
      <c r="F2259" s="154">
        <v>669085.19999999995</v>
      </c>
      <c r="G2259" s="12">
        <v>0</v>
      </c>
      <c r="H2259" s="10"/>
      <c r="I2259" s="10"/>
    </row>
    <row r="2260" spans="1:9">
      <c r="A2260" s="10" t="s">
        <v>3196</v>
      </c>
      <c r="B2260" s="124" t="s">
        <v>655</v>
      </c>
      <c r="C2260" s="124" t="s">
        <v>472</v>
      </c>
      <c r="D2260" s="12">
        <v>1520907</v>
      </c>
      <c r="E2260" s="82">
        <v>0.95305250139999997</v>
      </c>
      <c r="F2260" s="14">
        <v>1449504.22</v>
      </c>
      <c r="G2260" s="12">
        <v>0</v>
      </c>
      <c r="H2260" s="10"/>
      <c r="I2260" s="10"/>
    </row>
    <row r="2261" spans="1:9">
      <c r="A2261" s="10" t="s">
        <v>3197</v>
      </c>
      <c r="B2261" s="124" t="s">
        <v>808</v>
      </c>
      <c r="C2261" s="124" t="s">
        <v>472</v>
      </c>
      <c r="D2261" s="14">
        <v>1112906.07</v>
      </c>
      <c r="E2261" s="82">
        <v>0.92752595029999996</v>
      </c>
      <c r="F2261" s="14">
        <v>1032249.26</v>
      </c>
      <c r="G2261" s="12">
        <v>0</v>
      </c>
      <c r="H2261" s="10"/>
      <c r="I2261" s="10"/>
    </row>
    <row r="2262" spans="1:9">
      <c r="A2262" s="10" t="s">
        <v>3198</v>
      </c>
      <c r="B2262" s="124" t="s">
        <v>793</v>
      </c>
      <c r="C2262" s="124" t="s">
        <v>472</v>
      </c>
      <c r="D2262" s="14">
        <v>1112906.01</v>
      </c>
      <c r="E2262" s="82">
        <v>0.94844631089999998</v>
      </c>
      <c r="F2262" s="154">
        <v>1055531.6000000001</v>
      </c>
      <c r="G2262" s="12">
        <v>0</v>
      </c>
      <c r="H2262" s="10"/>
      <c r="I2262" s="10"/>
    </row>
    <row r="2263" spans="1:9">
      <c r="A2263" s="10" t="s">
        <v>3199</v>
      </c>
      <c r="B2263" s="124" t="s">
        <v>490</v>
      </c>
      <c r="C2263" s="124" t="s">
        <v>472</v>
      </c>
      <c r="D2263" s="14">
        <v>43800553.829999998</v>
      </c>
      <c r="E2263" s="82">
        <v>0.98165786870000005</v>
      </c>
      <c r="F2263" s="14">
        <v>42997158.32</v>
      </c>
      <c r="G2263" s="14">
        <v>0.06</v>
      </c>
      <c r="H2263" s="10"/>
      <c r="I2263" s="10"/>
    </row>
    <row r="2264" spans="1:9">
      <c r="A2264" s="10" t="s">
        <v>3200</v>
      </c>
      <c r="B2264" s="124" t="s">
        <v>697</v>
      </c>
      <c r="C2264" s="124" t="s">
        <v>472</v>
      </c>
      <c r="D2264" s="12">
        <v>619400</v>
      </c>
      <c r="E2264" s="82">
        <v>0.93266898669999998</v>
      </c>
      <c r="F2264" s="14">
        <v>577695.17000000004</v>
      </c>
      <c r="G2264" s="12">
        <v>0</v>
      </c>
      <c r="H2264" s="10"/>
      <c r="I2264" s="10"/>
    </row>
    <row r="2265" spans="1:9">
      <c r="A2265" s="10" t="s">
        <v>3201</v>
      </c>
      <c r="B2265" s="124" t="s">
        <v>502</v>
      </c>
      <c r="C2265" s="124" t="s">
        <v>472</v>
      </c>
      <c r="D2265" s="12">
        <v>619400</v>
      </c>
      <c r="E2265" s="82">
        <v>0.9538246373</v>
      </c>
      <c r="F2265" s="14">
        <v>590798.98</v>
      </c>
      <c r="G2265" s="12">
        <v>0</v>
      </c>
      <c r="H2265" s="10"/>
      <c r="I2265" s="10"/>
    </row>
    <row r="2266" spans="1:9">
      <c r="A2266" s="10" t="s">
        <v>3202</v>
      </c>
      <c r="B2266" s="124" t="s">
        <v>3203</v>
      </c>
      <c r="C2266" s="124" t="s">
        <v>472</v>
      </c>
      <c r="D2266" s="14">
        <v>1954301.77</v>
      </c>
      <c r="E2266" s="82">
        <v>0.77289577050000002</v>
      </c>
      <c r="F2266" s="14">
        <v>1510471.57</v>
      </c>
      <c r="G2266" s="12">
        <v>0</v>
      </c>
      <c r="H2266" s="10"/>
      <c r="I2266" s="10"/>
    </row>
    <row r="2267" spans="1:9">
      <c r="A2267" s="10" t="s">
        <v>3204</v>
      </c>
      <c r="B2267" s="124" t="s">
        <v>3205</v>
      </c>
      <c r="C2267" s="124" t="s">
        <v>472</v>
      </c>
      <c r="D2267" s="14">
        <v>5017285.6500000004</v>
      </c>
      <c r="E2267" s="82">
        <v>0.76593794289999995</v>
      </c>
      <c r="F2267" s="14">
        <v>3842929.45</v>
      </c>
      <c r="G2267" s="14">
        <v>0.01</v>
      </c>
      <c r="H2267" s="10"/>
      <c r="I2267" s="10"/>
    </row>
    <row r="2268" spans="1:9">
      <c r="A2268" s="10" t="s">
        <v>3206</v>
      </c>
      <c r="B2268" s="124" t="s">
        <v>3207</v>
      </c>
      <c r="C2268" s="124" t="s">
        <v>472</v>
      </c>
      <c r="D2268" s="14">
        <v>5504622.8200000003</v>
      </c>
      <c r="E2268" s="82">
        <v>0.79741339570000003</v>
      </c>
      <c r="F2268" s="14">
        <v>4389459.97</v>
      </c>
      <c r="G2268" s="14">
        <v>0.01</v>
      </c>
      <c r="H2268" s="10"/>
      <c r="I2268" s="10"/>
    </row>
    <row r="2269" spans="1:9">
      <c r="A2269" s="10" t="s">
        <v>3208</v>
      </c>
      <c r="B2269" s="124" t="s">
        <v>1467</v>
      </c>
      <c r="C2269" s="124" t="s">
        <v>472</v>
      </c>
      <c r="D2269" s="14">
        <v>16097126.970000001</v>
      </c>
      <c r="E2269" s="82">
        <v>0.7734362924</v>
      </c>
      <c r="F2269" s="154">
        <v>12450102.199999999</v>
      </c>
      <c r="G2269" s="14">
        <v>0.02</v>
      </c>
      <c r="H2269" s="10"/>
      <c r="I2269" s="10"/>
    </row>
    <row r="2270" spans="1:9">
      <c r="A2270" s="10" t="s">
        <v>3209</v>
      </c>
      <c r="B2270" s="124" t="s">
        <v>3210</v>
      </c>
      <c r="C2270" s="124" t="s">
        <v>472</v>
      </c>
      <c r="D2270" s="14">
        <v>15885271.07</v>
      </c>
      <c r="E2270" s="82">
        <v>0.79057377669999995</v>
      </c>
      <c r="F2270" s="14">
        <v>12558478.74</v>
      </c>
      <c r="G2270" s="14">
        <v>0.02</v>
      </c>
      <c r="H2270" s="10"/>
      <c r="I2270" s="10"/>
    </row>
    <row r="2271" spans="1:9">
      <c r="A2271" s="10" t="s">
        <v>3211</v>
      </c>
      <c r="B2271" s="124" t="s">
        <v>1467</v>
      </c>
      <c r="C2271" s="124" t="s">
        <v>472</v>
      </c>
      <c r="D2271" s="14">
        <v>13593316.07</v>
      </c>
      <c r="E2271" s="82">
        <v>0.77343628710000001</v>
      </c>
      <c r="F2271" s="14">
        <v>10513563.91</v>
      </c>
      <c r="G2271" s="14">
        <v>0.01</v>
      </c>
      <c r="H2271" s="10"/>
      <c r="I2271" s="10"/>
    </row>
    <row r="2272" spans="1:9">
      <c r="A2272" s="10" t="s">
        <v>3212</v>
      </c>
      <c r="B2272" s="124" t="s">
        <v>1467</v>
      </c>
      <c r="C2272" s="124" t="s">
        <v>472</v>
      </c>
      <c r="D2272" s="14">
        <v>13295806.970000001</v>
      </c>
      <c r="E2272" s="82">
        <v>0.7734362924</v>
      </c>
      <c r="F2272" s="14">
        <v>10283459.65</v>
      </c>
      <c r="G2272" s="14">
        <v>0.01</v>
      </c>
      <c r="H2272" s="10"/>
      <c r="I2272" s="10"/>
    </row>
    <row r="2273" spans="1:9">
      <c r="A2273" s="10" t="s">
        <v>3213</v>
      </c>
      <c r="B2273" s="124" t="s">
        <v>3214</v>
      </c>
      <c r="C2273" s="124" t="s">
        <v>472</v>
      </c>
      <c r="D2273" s="14">
        <v>5504622.8200000003</v>
      </c>
      <c r="E2273" s="82">
        <v>0.78108289909999995</v>
      </c>
      <c r="F2273" s="14">
        <v>4299566.75</v>
      </c>
      <c r="G2273" s="14">
        <v>0.01</v>
      </c>
      <c r="H2273" s="10"/>
      <c r="I2273" s="10"/>
    </row>
    <row r="2274" spans="1:9">
      <c r="A2274" s="10" t="s">
        <v>3215</v>
      </c>
      <c r="B2274" s="124" t="s">
        <v>3216</v>
      </c>
      <c r="C2274" s="124" t="s">
        <v>472</v>
      </c>
      <c r="D2274" s="14">
        <v>13120819.52</v>
      </c>
      <c r="E2274" s="82">
        <v>0.78944533130000005</v>
      </c>
      <c r="F2274" s="14">
        <v>10358169.710000001</v>
      </c>
      <c r="G2274" s="14">
        <v>0.01</v>
      </c>
      <c r="H2274" s="10"/>
      <c r="I2274" s="10"/>
    </row>
    <row r="2275" spans="1:9">
      <c r="A2275" s="10" t="s">
        <v>3217</v>
      </c>
      <c r="B2275" s="124" t="s">
        <v>769</v>
      </c>
      <c r="C2275" s="124" t="s">
        <v>472</v>
      </c>
      <c r="D2275" s="12">
        <v>25000000</v>
      </c>
      <c r="E2275" s="82">
        <v>0.92475316249999995</v>
      </c>
      <c r="F2275" s="14">
        <v>23118829.059999999</v>
      </c>
      <c r="G2275" s="14">
        <v>0.03</v>
      </c>
      <c r="H2275" s="10"/>
      <c r="I2275" s="10"/>
    </row>
    <row r="2276" spans="1:9">
      <c r="A2276" s="10" t="s">
        <v>3218</v>
      </c>
      <c r="B2276" s="124" t="s">
        <v>812</v>
      </c>
      <c r="C2276" s="124" t="s">
        <v>472</v>
      </c>
      <c r="D2276" s="12">
        <v>25000000</v>
      </c>
      <c r="E2276" s="82">
        <v>0.93019716320000001</v>
      </c>
      <c r="F2276" s="14">
        <v>23254929.079999998</v>
      </c>
      <c r="G2276" s="14">
        <v>0.03</v>
      </c>
      <c r="H2276" s="10"/>
      <c r="I2276" s="10"/>
    </row>
    <row r="2277" spans="1:9">
      <c r="A2277" s="10" t="s">
        <v>3219</v>
      </c>
      <c r="B2277" s="124" t="s">
        <v>819</v>
      </c>
      <c r="C2277" s="124" t="s">
        <v>472</v>
      </c>
      <c r="D2277" s="12">
        <v>25000000</v>
      </c>
      <c r="E2277" s="82">
        <v>0.9333369332</v>
      </c>
      <c r="F2277" s="14">
        <v>23333423.329999998</v>
      </c>
      <c r="G2277" s="14">
        <v>0.03</v>
      </c>
      <c r="H2277" s="10"/>
      <c r="I2277" s="10"/>
    </row>
    <row r="2278" spans="1:9">
      <c r="A2278" s="10" t="s">
        <v>3220</v>
      </c>
      <c r="B2278" s="124" t="s">
        <v>1360</v>
      </c>
      <c r="C2278" s="124" t="s">
        <v>472</v>
      </c>
      <c r="D2278" s="12">
        <v>25000000</v>
      </c>
      <c r="E2278" s="82">
        <v>0.93570563849999999</v>
      </c>
      <c r="F2278" s="14">
        <v>23392640.960000001</v>
      </c>
      <c r="G2278" s="14">
        <v>0.03</v>
      </c>
      <c r="H2278" s="10"/>
      <c r="I2278" s="10"/>
    </row>
    <row r="2279" spans="1:9">
      <c r="A2279" s="10" t="s">
        <v>3221</v>
      </c>
      <c r="B2279" s="124" t="s">
        <v>651</v>
      </c>
      <c r="C2279" s="124" t="s">
        <v>472</v>
      </c>
      <c r="D2279" s="12">
        <v>25000000</v>
      </c>
      <c r="E2279" s="158">
        <v>0.93808639900000002</v>
      </c>
      <c r="F2279" s="14">
        <v>23452159.98</v>
      </c>
      <c r="G2279" s="14">
        <v>0.03</v>
      </c>
      <c r="H2279" s="10"/>
      <c r="I2279" s="10"/>
    </row>
    <row r="2280" spans="1:9">
      <c r="A2280" s="10" t="s">
        <v>3222</v>
      </c>
      <c r="B2280" s="124" t="s">
        <v>647</v>
      </c>
      <c r="C2280" s="124" t="s">
        <v>472</v>
      </c>
      <c r="D2280" s="12">
        <v>25000000</v>
      </c>
      <c r="E2280" s="82">
        <v>0.93968049350000005</v>
      </c>
      <c r="F2280" s="14">
        <v>23492012.34</v>
      </c>
      <c r="G2280" s="14">
        <v>0.03</v>
      </c>
      <c r="H2280" s="10"/>
      <c r="I2280" s="10"/>
    </row>
    <row r="2281" spans="1:9">
      <c r="A2281" s="10" t="s">
        <v>3223</v>
      </c>
      <c r="B2281" s="124" t="s">
        <v>854</v>
      </c>
      <c r="C2281" s="124" t="s">
        <v>472</v>
      </c>
      <c r="D2281" s="12">
        <v>25000000</v>
      </c>
      <c r="E2281" s="82">
        <v>0.9444949077</v>
      </c>
      <c r="F2281" s="14">
        <v>23612372.690000001</v>
      </c>
      <c r="G2281" s="14">
        <v>0.03</v>
      </c>
      <c r="H2281" s="10"/>
      <c r="I2281" s="10"/>
    </row>
    <row r="2282" spans="1:9">
      <c r="A2282" s="10" t="s">
        <v>3224</v>
      </c>
      <c r="B2282" s="124" t="s">
        <v>808</v>
      </c>
      <c r="C2282" s="124" t="s">
        <v>472</v>
      </c>
      <c r="D2282" s="12">
        <v>25000000</v>
      </c>
      <c r="E2282" s="82">
        <v>0.92320926569999995</v>
      </c>
      <c r="F2282" s="14">
        <v>23080231.640000001</v>
      </c>
      <c r="G2282" s="14">
        <v>0.03</v>
      </c>
      <c r="H2282" s="10"/>
      <c r="I2282" s="10"/>
    </row>
    <row r="2283" spans="1:9">
      <c r="A2283" s="10" t="s">
        <v>3225</v>
      </c>
      <c r="B2283" s="124" t="s">
        <v>504</v>
      </c>
      <c r="C2283" s="124" t="s">
        <v>472</v>
      </c>
      <c r="D2283" s="12">
        <v>70000000</v>
      </c>
      <c r="E2283" s="158">
        <v>0.96257828099999998</v>
      </c>
      <c r="F2283" s="14">
        <v>67380479.670000002</v>
      </c>
      <c r="G2283" s="14">
        <v>0.09</v>
      </c>
      <c r="H2283" s="10"/>
      <c r="I2283" s="10"/>
    </row>
    <row r="2284" spans="1:9">
      <c r="A2284" s="10" t="s">
        <v>3226</v>
      </c>
      <c r="B2284" s="124" t="s">
        <v>769</v>
      </c>
      <c r="C2284" s="124" t="s">
        <v>472</v>
      </c>
      <c r="D2284" s="12">
        <v>115000000</v>
      </c>
      <c r="E2284" s="82">
        <v>0.92055504929999998</v>
      </c>
      <c r="F2284" s="14">
        <v>105863830.67</v>
      </c>
      <c r="G2284" s="14">
        <v>0.14000000000000001</v>
      </c>
      <c r="H2284" s="10"/>
      <c r="I2284" s="10"/>
    </row>
    <row r="2285" spans="1:9">
      <c r="A2285" s="10" t="s">
        <v>3227</v>
      </c>
      <c r="B2285" s="124" t="s">
        <v>778</v>
      </c>
      <c r="C2285" s="124" t="s">
        <v>472</v>
      </c>
      <c r="D2285" s="12">
        <v>25000000</v>
      </c>
      <c r="E2285" s="82">
        <v>0.9178465173</v>
      </c>
      <c r="F2285" s="14">
        <v>22946162.93</v>
      </c>
      <c r="G2285" s="14">
        <v>0.03</v>
      </c>
      <c r="H2285" s="10"/>
      <c r="I2285" s="10"/>
    </row>
    <row r="2286" spans="1:9">
      <c r="A2286" s="10" t="s">
        <v>3228</v>
      </c>
      <c r="B2286" s="124" t="s">
        <v>574</v>
      </c>
      <c r="C2286" s="124" t="s">
        <v>472</v>
      </c>
      <c r="D2286" s="12">
        <v>5000000</v>
      </c>
      <c r="E2286" s="82">
        <v>0.97048662620000004</v>
      </c>
      <c r="F2286" s="14">
        <v>4852433.13</v>
      </c>
      <c r="G2286" s="14">
        <v>0.01</v>
      </c>
      <c r="H2286" s="10"/>
      <c r="I2286" s="10"/>
    </row>
    <row r="2287" spans="1:9">
      <c r="A2287" s="10" t="s">
        <v>3229</v>
      </c>
      <c r="B2287" s="124" t="s">
        <v>580</v>
      </c>
      <c r="C2287" s="124" t="s">
        <v>472</v>
      </c>
      <c r="D2287" s="12">
        <v>4000000</v>
      </c>
      <c r="E2287" s="21">
        <v>0.98862415999999997</v>
      </c>
      <c r="F2287" s="14">
        <v>3954496.64</v>
      </c>
      <c r="G2287" s="14">
        <v>0.01</v>
      </c>
      <c r="H2287" s="10"/>
      <c r="I2287" s="10"/>
    </row>
    <row r="2288" spans="1:9">
      <c r="A2288" s="10" t="s">
        <v>3230</v>
      </c>
      <c r="B2288" s="124" t="s">
        <v>660</v>
      </c>
      <c r="C2288" s="124" t="s">
        <v>472</v>
      </c>
      <c r="D2288" s="12">
        <v>4000000</v>
      </c>
      <c r="E2288" s="82">
        <v>0.97203747029999998</v>
      </c>
      <c r="F2288" s="14">
        <v>3888149.88</v>
      </c>
      <c r="G2288" s="14">
        <v>0.01</v>
      </c>
      <c r="H2288" s="10"/>
      <c r="I2288" s="10"/>
    </row>
    <row r="2289" spans="1:9">
      <c r="A2289" s="10" t="s">
        <v>3231</v>
      </c>
      <c r="B2289" s="124" t="s">
        <v>527</v>
      </c>
      <c r="C2289" s="124" t="s">
        <v>472</v>
      </c>
      <c r="D2289" s="12">
        <v>4000000</v>
      </c>
      <c r="E2289" s="82">
        <v>0.97750417769999998</v>
      </c>
      <c r="F2289" s="14">
        <v>3910016.71</v>
      </c>
      <c r="G2289" s="14">
        <v>0.01</v>
      </c>
      <c r="H2289" s="10"/>
      <c r="I2289" s="10"/>
    </row>
    <row r="2290" spans="1:9">
      <c r="A2290" s="10" t="s">
        <v>3232</v>
      </c>
      <c r="B2290" s="124" t="s">
        <v>680</v>
      </c>
      <c r="C2290" s="124" t="s">
        <v>472</v>
      </c>
      <c r="D2290" s="12">
        <v>4000000</v>
      </c>
      <c r="E2290" s="82">
        <v>0.9712614302</v>
      </c>
      <c r="F2290" s="14">
        <v>3885045.72</v>
      </c>
      <c r="G2290" s="14">
        <v>0.01</v>
      </c>
      <c r="H2290" s="10"/>
      <c r="I2290" s="10"/>
    </row>
    <row r="2291" spans="1:9">
      <c r="A2291" s="10" t="s">
        <v>3233</v>
      </c>
      <c r="B2291" s="124" t="s">
        <v>593</v>
      </c>
      <c r="C2291" s="124" t="s">
        <v>472</v>
      </c>
      <c r="D2291" s="12">
        <v>5000000</v>
      </c>
      <c r="E2291" s="82">
        <v>0.9666315634</v>
      </c>
      <c r="F2291" s="14">
        <v>4833157.82</v>
      </c>
      <c r="G2291" s="14">
        <v>0.01</v>
      </c>
      <c r="H2291" s="10"/>
      <c r="I2291" s="10"/>
    </row>
    <row r="2292" spans="1:9">
      <c r="A2292" s="10" t="s">
        <v>3234</v>
      </c>
      <c r="B2292" s="124" t="s">
        <v>3128</v>
      </c>
      <c r="C2292" s="124" t="s">
        <v>472</v>
      </c>
      <c r="D2292" s="14">
        <v>22918216.550000001</v>
      </c>
      <c r="E2292" s="82">
        <v>0.85936966120000002</v>
      </c>
      <c r="F2292" s="14">
        <v>19695219.989999998</v>
      </c>
      <c r="G2292" s="14">
        <v>0.03</v>
      </c>
      <c r="H2292" s="10"/>
      <c r="I2292" s="10"/>
    </row>
    <row r="2293" spans="1:9">
      <c r="A2293" s="10" t="s">
        <v>3235</v>
      </c>
      <c r="B2293" s="124" t="s">
        <v>3128</v>
      </c>
      <c r="C2293" s="124" t="s">
        <v>472</v>
      </c>
      <c r="D2293" s="12">
        <v>24000000</v>
      </c>
      <c r="E2293" s="82">
        <v>0.85936966120000002</v>
      </c>
      <c r="F2293" s="14">
        <v>20624871.870000001</v>
      </c>
      <c r="G2293" s="14">
        <v>0.03</v>
      </c>
      <c r="H2293" s="10"/>
      <c r="I2293" s="10"/>
    </row>
    <row r="2294" spans="1:9">
      <c r="A2294" s="10" t="s">
        <v>3236</v>
      </c>
      <c r="B2294" s="124" t="s">
        <v>3128</v>
      </c>
      <c r="C2294" s="124" t="s">
        <v>472</v>
      </c>
      <c r="D2294" s="12">
        <v>24000000</v>
      </c>
      <c r="E2294" s="82">
        <v>0.85936966120000002</v>
      </c>
      <c r="F2294" s="14">
        <v>20624871.870000001</v>
      </c>
      <c r="G2294" s="14">
        <v>0.03</v>
      </c>
      <c r="H2294" s="10"/>
      <c r="I2294" s="10"/>
    </row>
    <row r="2295" spans="1:9">
      <c r="A2295" s="10" t="s">
        <v>3237</v>
      </c>
      <c r="B2295" s="124" t="s">
        <v>356</v>
      </c>
      <c r="C2295" s="124" t="s">
        <v>472</v>
      </c>
      <c r="D2295" s="12">
        <v>6006148</v>
      </c>
      <c r="E2295" s="158">
        <v>0.86882021600000003</v>
      </c>
      <c r="F2295" s="154">
        <v>5218262.8</v>
      </c>
      <c r="G2295" s="14">
        <v>0.01</v>
      </c>
      <c r="H2295" s="10"/>
      <c r="I2295" s="10"/>
    </row>
    <row r="2296" spans="1:9">
      <c r="A2296" s="10" t="s">
        <v>3238</v>
      </c>
      <c r="B2296" s="124" t="s">
        <v>3239</v>
      </c>
      <c r="C2296" s="124" t="s">
        <v>472</v>
      </c>
      <c r="D2296" s="12">
        <v>6006148</v>
      </c>
      <c r="E2296" s="82">
        <v>0.86406909990000003</v>
      </c>
      <c r="F2296" s="154">
        <v>5189726.9000000004</v>
      </c>
      <c r="G2296" s="14">
        <v>0.01</v>
      </c>
      <c r="H2296" s="10"/>
      <c r="I2296" s="10"/>
    </row>
    <row r="2297" spans="1:9">
      <c r="A2297" s="10" t="s">
        <v>3240</v>
      </c>
      <c r="B2297" s="124" t="s">
        <v>2343</v>
      </c>
      <c r="C2297" s="124" t="s">
        <v>472</v>
      </c>
      <c r="D2297" s="12">
        <v>6006148</v>
      </c>
      <c r="E2297" s="82">
        <v>0.85803620670000003</v>
      </c>
      <c r="F2297" s="14">
        <v>5153492.45</v>
      </c>
      <c r="G2297" s="14">
        <v>0.01</v>
      </c>
      <c r="H2297" s="10"/>
      <c r="I2297" s="10"/>
    </row>
    <row r="2298" spans="1:9">
      <c r="A2298" s="10" t="s">
        <v>3241</v>
      </c>
      <c r="B2298" s="124" t="s">
        <v>2805</v>
      </c>
      <c r="C2298" s="124" t="s">
        <v>472</v>
      </c>
      <c r="D2298" s="12">
        <v>6006148</v>
      </c>
      <c r="E2298" s="82">
        <v>0.85472106869999998</v>
      </c>
      <c r="F2298" s="14">
        <v>5133581.24</v>
      </c>
      <c r="G2298" s="14">
        <v>0.01</v>
      </c>
      <c r="H2298" s="10"/>
      <c r="I2298" s="10"/>
    </row>
    <row r="2299" spans="1:9">
      <c r="A2299" s="10" t="s">
        <v>3242</v>
      </c>
      <c r="B2299" s="124" t="s">
        <v>2304</v>
      </c>
      <c r="C2299" s="124" t="s">
        <v>472</v>
      </c>
      <c r="D2299" s="12">
        <v>6006148</v>
      </c>
      <c r="E2299" s="82">
        <v>0.8955516872</v>
      </c>
      <c r="F2299" s="14">
        <v>5378815.9699999997</v>
      </c>
      <c r="G2299" s="14">
        <v>0.01</v>
      </c>
      <c r="H2299" s="10"/>
      <c r="I2299" s="10"/>
    </row>
    <row r="2300" spans="1:9">
      <c r="A2300" s="10" t="s">
        <v>3243</v>
      </c>
      <c r="B2300" s="124" t="s">
        <v>3244</v>
      </c>
      <c r="C2300" s="124" t="s">
        <v>472</v>
      </c>
      <c r="D2300" s="12">
        <v>6006148</v>
      </c>
      <c r="E2300" s="82">
        <v>0.87362387060000002</v>
      </c>
      <c r="F2300" s="14">
        <v>5247114.26</v>
      </c>
      <c r="G2300" s="14">
        <v>0.01</v>
      </c>
      <c r="H2300" s="10"/>
      <c r="I2300" s="10"/>
    </row>
    <row r="2301" spans="1:9">
      <c r="A2301" s="10" t="s">
        <v>3245</v>
      </c>
      <c r="B2301" s="124" t="s">
        <v>1525</v>
      </c>
      <c r="C2301" s="124" t="s">
        <v>472</v>
      </c>
      <c r="D2301" s="12">
        <v>6006148</v>
      </c>
      <c r="E2301" s="82">
        <v>0.89050456160000002</v>
      </c>
      <c r="F2301" s="14">
        <v>5348502.1900000004</v>
      </c>
      <c r="G2301" s="14">
        <v>0.01</v>
      </c>
      <c r="H2301" s="10"/>
      <c r="I2301" s="10"/>
    </row>
    <row r="2302" spans="1:9">
      <c r="A2302" s="10" t="s">
        <v>3246</v>
      </c>
      <c r="B2302" s="124" t="s">
        <v>2210</v>
      </c>
      <c r="C2302" s="124" t="s">
        <v>472</v>
      </c>
      <c r="D2302" s="12">
        <v>6006148</v>
      </c>
      <c r="E2302" s="82">
        <v>0.90879689730000002</v>
      </c>
      <c r="F2302" s="14">
        <v>5458368.6699999999</v>
      </c>
      <c r="G2302" s="14">
        <v>0.01</v>
      </c>
      <c r="H2302" s="10"/>
      <c r="I2302" s="10"/>
    </row>
    <row r="2303" spans="1:9">
      <c r="A2303" s="10" t="s">
        <v>3247</v>
      </c>
      <c r="B2303" s="124" t="s">
        <v>3014</v>
      </c>
      <c r="C2303" s="124" t="s">
        <v>472</v>
      </c>
      <c r="D2303" s="12">
        <v>6006148</v>
      </c>
      <c r="E2303" s="158">
        <v>0.88551400499999999</v>
      </c>
      <c r="F2303" s="14">
        <v>5318528.17</v>
      </c>
      <c r="G2303" s="14">
        <v>0.01</v>
      </c>
      <c r="H2303" s="10"/>
      <c r="I2303" s="10"/>
    </row>
    <row r="2304" spans="1:9">
      <c r="A2304" s="10" t="s">
        <v>3248</v>
      </c>
      <c r="B2304" s="124" t="s">
        <v>2572</v>
      </c>
      <c r="C2304" s="124" t="s">
        <v>472</v>
      </c>
      <c r="D2304" s="12">
        <v>6006148</v>
      </c>
      <c r="E2304" s="82">
        <v>0.90359955240000001</v>
      </c>
      <c r="F2304" s="14">
        <v>5427152.6399999997</v>
      </c>
      <c r="G2304" s="14">
        <v>0.01</v>
      </c>
      <c r="H2304" s="10"/>
      <c r="I2304" s="10"/>
    </row>
    <row r="2305" spans="1:9">
      <c r="A2305" s="10" t="s">
        <v>3249</v>
      </c>
      <c r="B2305" s="124" t="s">
        <v>2186</v>
      </c>
      <c r="C2305" s="124" t="s">
        <v>472</v>
      </c>
      <c r="D2305" s="12">
        <v>6006148</v>
      </c>
      <c r="E2305" s="82">
        <v>0.88057907459999996</v>
      </c>
      <c r="F2305" s="14">
        <v>5288888.25</v>
      </c>
      <c r="G2305" s="14">
        <v>0.01</v>
      </c>
      <c r="H2305" s="10"/>
      <c r="I2305" s="10"/>
    </row>
    <row r="2306" spans="1:9">
      <c r="A2306" s="10" t="s">
        <v>3250</v>
      </c>
      <c r="B2306" s="124" t="s">
        <v>1547</v>
      </c>
      <c r="C2306" s="124" t="s">
        <v>472</v>
      </c>
      <c r="D2306" s="12">
        <v>6006148</v>
      </c>
      <c r="E2306" s="82">
        <v>0.89846156610000005</v>
      </c>
      <c r="F2306" s="14">
        <v>5396293.1399999997</v>
      </c>
      <c r="G2306" s="14">
        <v>0.01</v>
      </c>
      <c r="H2306" s="10"/>
      <c r="I2306" s="10"/>
    </row>
    <row r="2307" spans="1:9">
      <c r="A2307" s="10" t="s">
        <v>3251</v>
      </c>
      <c r="B2307" s="124" t="s">
        <v>1550</v>
      </c>
      <c r="C2307" s="124" t="s">
        <v>472</v>
      </c>
      <c r="D2307" s="12">
        <v>6006148</v>
      </c>
      <c r="E2307" s="82">
        <v>0.87708780419999999</v>
      </c>
      <c r="F2307" s="14">
        <v>5267919.16</v>
      </c>
      <c r="G2307" s="14">
        <v>0.01</v>
      </c>
      <c r="H2307" s="10"/>
      <c r="I2307" s="10"/>
    </row>
    <row r="2308" spans="1:9">
      <c r="A2308" s="10" t="s">
        <v>3252</v>
      </c>
      <c r="B2308" s="124" t="s">
        <v>1519</v>
      </c>
      <c r="C2308" s="124" t="s">
        <v>472</v>
      </c>
      <c r="D2308" s="12">
        <v>6006148</v>
      </c>
      <c r="E2308" s="82">
        <v>0.89700439430000001</v>
      </c>
      <c r="F2308" s="14">
        <v>5387541.1500000004</v>
      </c>
      <c r="G2308" s="14">
        <v>0.01</v>
      </c>
      <c r="H2308" s="10"/>
      <c r="I2308" s="10"/>
    </row>
    <row r="2309" spans="1:9">
      <c r="A2309" s="10" t="s">
        <v>3253</v>
      </c>
      <c r="B2309" s="124" t="s">
        <v>680</v>
      </c>
      <c r="C2309" s="124" t="s">
        <v>472</v>
      </c>
      <c r="D2309" s="14">
        <v>3882407.02</v>
      </c>
      <c r="E2309" s="82">
        <v>0.96847815780000002</v>
      </c>
      <c r="F2309" s="154">
        <v>3760026.4</v>
      </c>
      <c r="G2309" s="12">
        <v>0</v>
      </c>
      <c r="H2309" s="10"/>
      <c r="I2309" s="10"/>
    </row>
    <row r="2310" spans="1:9">
      <c r="A2310" s="10" t="s">
        <v>3254</v>
      </c>
      <c r="B2310" s="124" t="s">
        <v>529</v>
      </c>
      <c r="C2310" s="124" t="s">
        <v>472</v>
      </c>
      <c r="D2310" s="12">
        <v>250000</v>
      </c>
      <c r="E2310" s="82">
        <v>0.98223916010000001</v>
      </c>
      <c r="F2310" s="14">
        <v>245559.79</v>
      </c>
      <c r="G2310" s="12">
        <v>0</v>
      </c>
      <c r="H2310" s="10"/>
      <c r="I2310" s="10"/>
    </row>
    <row r="2311" spans="1:9">
      <c r="A2311" s="10" t="s">
        <v>3255</v>
      </c>
      <c r="B2311" s="124" t="s">
        <v>488</v>
      </c>
      <c r="C2311" s="124" t="s">
        <v>472</v>
      </c>
      <c r="D2311" s="12">
        <v>430202</v>
      </c>
      <c r="E2311" s="82">
        <v>0.98136761340000001</v>
      </c>
      <c r="F2311" s="14">
        <v>422186.31</v>
      </c>
      <c r="G2311" s="12">
        <v>0</v>
      </c>
      <c r="H2311" s="10"/>
      <c r="I2311" s="10"/>
    </row>
    <row r="2312" spans="1:9">
      <c r="A2312" s="10" t="s">
        <v>3256</v>
      </c>
      <c r="B2312" s="124" t="s">
        <v>497</v>
      </c>
      <c r="C2312" s="124" t="s">
        <v>472</v>
      </c>
      <c r="D2312" s="14">
        <v>4753002.9800000004</v>
      </c>
      <c r="E2312" s="82">
        <v>0.96397641249999999</v>
      </c>
      <c r="F2312" s="14">
        <v>4581782.76</v>
      </c>
      <c r="G2312" s="14">
        <v>0.01</v>
      </c>
      <c r="H2312" s="10"/>
      <c r="I2312" s="10"/>
    </row>
    <row r="2313" spans="1:9">
      <c r="A2313" s="10" t="s">
        <v>3257</v>
      </c>
      <c r="B2313" s="124" t="s">
        <v>441</v>
      </c>
      <c r="C2313" s="124" t="s">
        <v>472</v>
      </c>
      <c r="D2313" s="154">
        <v>1123403.5</v>
      </c>
      <c r="E2313" s="82">
        <v>0.99460472570000003</v>
      </c>
      <c r="F2313" s="14">
        <v>1117342.43</v>
      </c>
      <c r="G2313" s="12">
        <v>0</v>
      </c>
      <c r="H2313" s="10"/>
      <c r="I2313" s="10"/>
    </row>
    <row r="2314" spans="1:9">
      <c r="A2314" s="10" t="s">
        <v>3258</v>
      </c>
      <c r="B2314" s="124" t="s">
        <v>520</v>
      </c>
      <c r="C2314" s="124" t="s">
        <v>472</v>
      </c>
      <c r="D2314" s="12">
        <v>6596077</v>
      </c>
      <c r="E2314" s="82">
        <v>0.97671939060000001</v>
      </c>
      <c r="F2314" s="14">
        <v>6442516.3099999996</v>
      </c>
      <c r="G2314" s="14">
        <v>0.01</v>
      </c>
      <c r="H2314" s="10"/>
      <c r="I2314" s="10"/>
    </row>
    <row r="2315" spans="1:9">
      <c r="A2315" s="10" t="s">
        <v>3272</v>
      </c>
      <c r="B2315" s="124" t="s">
        <v>1550</v>
      </c>
      <c r="C2315" s="124" t="s">
        <v>677</v>
      </c>
      <c r="D2315" s="12">
        <v>1667000</v>
      </c>
      <c r="E2315" s="82">
        <v>0.88367030089999998</v>
      </c>
      <c r="F2315" s="14">
        <v>1473078.39</v>
      </c>
      <c r="G2315" s="12">
        <v>0</v>
      </c>
      <c r="H2315" s="10"/>
      <c r="I2315" s="10"/>
    </row>
    <row r="2316" spans="1:9">
      <c r="A2316" s="10" t="s">
        <v>3273</v>
      </c>
      <c r="B2316" s="124" t="s">
        <v>3075</v>
      </c>
      <c r="C2316" s="124" t="s">
        <v>677</v>
      </c>
      <c r="D2316" s="12">
        <v>2000000</v>
      </c>
      <c r="E2316" s="82">
        <v>0.88433406560000005</v>
      </c>
      <c r="F2316" s="14">
        <v>1768668.13</v>
      </c>
      <c r="G2316" s="12">
        <v>0</v>
      </c>
      <c r="H2316" s="10"/>
      <c r="I2316" s="10"/>
    </row>
    <row r="2317" spans="1:9">
      <c r="A2317" s="10" t="s">
        <v>3274</v>
      </c>
      <c r="B2317" s="124" t="s">
        <v>516</v>
      </c>
      <c r="C2317" s="124" t="s">
        <v>677</v>
      </c>
      <c r="D2317" s="14">
        <v>6987220.3399999999</v>
      </c>
      <c r="E2317" s="82">
        <v>0.9831914772</v>
      </c>
      <c r="F2317" s="14">
        <v>6869775.4900000002</v>
      </c>
      <c r="G2317" s="14">
        <v>0.01</v>
      </c>
      <c r="H2317" s="10"/>
      <c r="I2317" s="10"/>
    </row>
    <row r="2318" spans="1:9">
      <c r="A2318" s="10" t="s">
        <v>3275</v>
      </c>
      <c r="B2318" s="124" t="s">
        <v>488</v>
      </c>
      <c r="C2318" s="124" t="s">
        <v>677</v>
      </c>
      <c r="D2318" s="12">
        <v>5000000</v>
      </c>
      <c r="E2318" s="82">
        <v>0.98526174820000001</v>
      </c>
      <c r="F2318" s="14">
        <v>4926308.74</v>
      </c>
      <c r="G2318" s="14">
        <v>0.01</v>
      </c>
      <c r="H2318" s="10"/>
      <c r="I2318" s="10"/>
    </row>
    <row r="2319" spans="1:9">
      <c r="A2319" s="10" t="s">
        <v>3276</v>
      </c>
      <c r="B2319" s="124" t="s">
        <v>448</v>
      </c>
      <c r="C2319" s="124" t="s">
        <v>677</v>
      </c>
      <c r="D2319" s="12">
        <v>5000000</v>
      </c>
      <c r="E2319" s="21">
        <v>0.98803549000000002</v>
      </c>
      <c r="F2319" s="14">
        <v>4940177.45</v>
      </c>
      <c r="G2319" s="14">
        <v>0.01</v>
      </c>
      <c r="H2319" s="10"/>
      <c r="I2319" s="10"/>
    </row>
    <row r="2320" spans="1:9">
      <c r="A2320" s="10" t="s">
        <v>3277</v>
      </c>
      <c r="B2320" s="124" t="s">
        <v>2762</v>
      </c>
      <c r="C2320" s="124" t="s">
        <v>677</v>
      </c>
      <c r="D2320" s="12">
        <v>20000000</v>
      </c>
      <c r="E2320" s="82">
        <v>0.87318503059999997</v>
      </c>
      <c r="F2320" s="14">
        <v>17463700.609999999</v>
      </c>
      <c r="G2320" s="14">
        <v>0.02</v>
      </c>
      <c r="H2320" s="10"/>
      <c r="I2320" s="10"/>
    </row>
    <row r="2321" spans="1:9">
      <c r="A2321" s="10" t="s">
        <v>3278</v>
      </c>
      <c r="B2321" s="124" t="s">
        <v>490</v>
      </c>
      <c r="C2321" s="124" t="s">
        <v>677</v>
      </c>
      <c r="D2321" s="14">
        <v>17995040.260000002</v>
      </c>
      <c r="E2321" s="82">
        <v>0.98457068930000002</v>
      </c>
      <c r="F2321" s="14">
        <v>17717389.190000001</v>
      </c>
      <c r="G2321" s="14">
        <v>0.02</v>
      </c>
      <c r="H2321" s="10"/>
      <c r="I2321" s="10"/>
    </row>
    <row r="2322" spans="1:9">
      <c r="A2322" s="10" t="s">
        <v>3279</v>
      </c>
      <c r="B2322" s="124" t="s">
        <v>490</v>
      </c>
      <c r="C2322" s="124" t="s">
        <v>677</v>
      </c>
      <c r="D2322" s="14">
        <v>17995040.260000002</v>
      </c>
      <c r="E2322" s="82">
        <v>0.98457068930000002</v>
      </c>
      <c r="F2322" s="14">
        <v>17717389.190000001</v>
      </c>
      <c r="G2322" s="14">
        <v>0.02</v>
      </c>
      <c r="H2322" s="10"/>
      <c r="I2322" s="10"/>
    </row>
    <row r="2323" spans="1:9">
      <c r="A2323" s="10" t="s">
        <v>3280</v>
      </c>
      <c r="B2323" s="124" t="s">
        <v>587</v>
      </c>
      <c r="C2323" s="124" t="s">
        <v>677</v>
      </c>
      <c r="D2323" s="12">
        <v>3000000</v>
      </c>
      <c r="E2323" s="21">
        <v>0.96571077000000005</v>
      </c>
      <c r="F2323" s="14">
        <v>2897132.31</v>
      </c>
      <c r="G2323" s="12">
        <v>0</v>
      </c>
      <c r="H2323" s="10"/>
      <c r="I2323" s="10"/>
    </row>
    <row r="2324" spans="1:9">
      <c r="A2324" s="10" t="s">
        <v>3281</v>
      </c>
      <c r="B2324" s="124" t="s">
        <v>485</v>
      </c>
      <c r="C2324" s="124" t="s">
        <v>677</v>
      </c>
      <c r="D2324" s="12">
        <v>3000000</v>
      </c>
      <c r="E2324" s="82">
        <v>0.98830287650000004</v>
      </c>
      <c r="F2324" s="14">
        <v>2964908.63</v>
      </c>
      <c r="G2324" s="12">
        <v>0</v>
      </c>
      <c r="H2324" s="10"/>
      <c r="I2324" s="10"/>
    </row>
    <row r="2325" spans="1:9">
      <c r="A2325" s="10" t="s">
        <v>3282</v>
      </c>
      <c r="B2325" s="124" t="s">
        <v>514</v>
      </c>
      <c r="C2325" s="124" t="s">
        <v>677</v>
      </c>
      <c r="D2325" s="12">
        <v>3000000</v>
      </c>
      <c r="E2325" s="82">
        <v>0.98327099669999996</v>
      </c>
      <c r="F2325" s="14">
        <v>2949812.99</v>
      </c>
      <c r="G2325" s="12">
        <v>0</v>
      </c>
      <c r="H2325" s="10"/>
      <c r="I2325" s="10"/>
    </row>
    <row r="2326" spans="1:9">
      <c r="A2326" s="10" t="s">
        <v>3283</v>
      </c>
      <c r="B2326" s="124" t="s">
        <v>522</v>
      </c>
      <c r="C2326" s="124" t="s">
        <v>677</v>
      </c>
      <c r="D2326" s="12">
        <v>3000000</v>
      </c>
      <c r="E2326" s="21">
        <v>0.97829009</v>
      </c>
      <c r="F2326" s="14">
        <v>2934870.27</v>
      </c>
      <c r="G2326" s="12">
        <v>0</v>
      </c>
      <c r="H2326" s="10"/>
      <c r="I2326" s="10"/>
    </row>
    <row r="2327" spans="1:9">
      <c r="A2327" s="10" t="s">
        <v>3284</v>
      </c>
      <c r="B2327" s="124" t="s">
        <v>520</v>
      </c>
      <c r="C2327" s="124" t="s">
        <v>677</v>
      </c>
      <c r="D2327" s="12">
        <v>5000000</v>
      </c>
      <c r="E2327" s="82">
        <v>0.97671946180000002</v>
      </c>
      <c r="F2327" s="14">
        <v>4883597.3099999996</v>
      </c>
      <c r="G2327" s="14">
        <v>0.01</v>
      </c>
      <c r="H2327" s="10"/>
      <c r="I2327" s="10"/>
    </row>
    <row r="2328" spans="1:9">
      <c r="A2328" s="10" t="s">
        <v>3285</v>
      </c>
      <c r="B2328" s="124" t="s">
        <v>750</v>
      </c>
      <c r="C2328" s="124" t="s">
        <v>677</v>
      </c>
      <c r="D2328" s="12">
        <v>5000000</v>
      </c>
      <c r="E2328" s="82">
        <v>0.95374979250000003</v>
      </c>
      <c r="F2328" s="14">
        <v>4768748.96</v>
      </c>
      <c r="G2328" s="14">
        <v>0.01</v>
      </c>
      <c r="H2328" s="10"/>
      <c r="I2328" s="10"/>
    </row>
    <row r="2329" spans="1:9">
      <c r="A2329" s="10" t="s">
        <v>3286</v>
      </c>
      <c r="B2329" s="124" t="s">
        <v>756</v>
      </c>
      <c r="C2329" s="124" t="s">
        <v>677</v>
      </c>
      <c r="D2329" s="12">
        <v>5000000</v>
      </c>
      <c r="E2329" s="82">
        <v>0.90012345439999997</v>
      </c>
      <c r="F2329" s="14">
        <v>4500617.2699999996</v>
      </c>
      <c r="G2329" s="14">
        <v>0.01</v>
      </c>
      <c r="H2329" s="10"/>
      <c r="I2329" s="10"/>
    </row>
    <row r="2330" spans="1:9">
      <c r="A2330" s="10" t="s">
        <v>3287</v>
      </c>
      <c r="B2330" s="124" t="s">
        <v>287</v>
      </c>
      <c r="C2330" s="124" t="s">
        <v>677</v>
      </c>
      <c r="D2330" s="12">
        <v>5000000</v>
      </c>
      <c r="E2330" s="82">
        <v>0.91022461870000004</v>
      </c>
      <c r="F2330" s="14">
        <v>4551123.09</v>
      </c>
      <c r="G2330" s="14">
        <v>0.01</v>
      </c>
      <c r="H2330" s="10"/>
      <c r="I2330" s="10"/>
    </row>
    <row r="2331" spans="1:9">
      <c r="A2331" s="10" t="s">
        <v>3288</v>
      </c>
      <c r="B2331" s="124" t="s">
        <v>2641</v>
      </c>
      <c r="C2331" s="124" t="s">
        <v>677</v>
      </c>
      <c r="D2331" s="12">
        <v>5000000</v>
      </c>
      <c r="E2331" s="82">
        <v>0.92405068909999999</v>
      </c>
      <c r="F2331" s="14">
        <v>4620253.45</v>
      </c>
      <c r="G2331" s="14">
        <v>0.01</v>
      </c>
      <c r="H2331" s="10"/>
      <c r="I2331" s="10"/>
    </row>
    <row r="2332" spans="1:9">
      <c r="A2332" s="10" t="s">
        <v>3289</v>
      </c>
      <c r="B2332" s="124" t="s">
        <v>3075</v>
      </c>
      <c r="C2332" s="124" t="s">
        <v>677</v>
      </c>
      <c r="D2332" s="12">
        <v>5000000</v>
      </c>
      <c r="E2332" s="82">
        <v>0.88764601409999999</v>
      </c>
      <c r="F2332" s="14">
        <v>4438230.07</v>
      </c>
      <c r="G2332" s="14">
        <v>0.01</v>
      </c>
      <c r="H2332" s="10"/>
      <c r="I2332" s="10"/>
    </row>
    <row r="2333" spans="1:9">
      <c r="A2333" s="10" t="s">
        <v>3290</v>
      </c>
      <c r="B2333" s="124" t="s">
        <v>3291</v>
      </c>
      <c r="C2333" s="124" t="s">
        <v>677</v>
      </c>
      <c r="D2333" s="12">
        <v>5000000</v>
      </c>
      <c r="E2333" s="82">
        <v>0.88313585370000003</v>
      </c>
      <c r="F2333" s="14">
        <v>4415679.2699999996</v>
      </c>
      <c r="G2333" s="14">
        <v>0.01</v>
      </c>
      <c r="H2333" s="10"/>
      <c r="I2333" s="10"/>
    </row>
    <row r="2334" spans="1:9">
      <c r="A2334" s="10" t="s">
        <v>3292</v>
      </c>
      <c r="B2334" s="124" t="s">
        <v>504</v>
      </c>
      <c r="C2334" s="124" t="s">
        <v>677</v>
      </c>
      <c r="D2334" s="12">
        <v>5000000</v>
      </c>
      <c r="E2334" s="82">
        <v>0.96586419840000004</v>
      </c>
      <c r="F2334" s="14">
        <v>4829320.99</v>
      </c>
      <c r="G2334" s="14">
        <v>0.01</v>
      </c>
      <c r="H2334" s="10"/>
      <c r="I2334" s="10"/>
    </row>
    <row r="2335" spans="1:9">
      <c r="A2335" s="10" t="s">
        <v>3293</v>
      </c>
      <c r="B2335" s="124" t="s">
        <v>2567</v>
      </c>
      <c r="C2335" s="124" t="s">
        <v>677</v>
      </c>
      <c r="D2335" s="12">
        <v>9000000</v>
      </c>
      <c r="E2335" s="82">
        <v>0.88234597520000002</v>
      </c>
      <c r="F2335" s="14">
        <v>7941113.7800000003</v>
      </c>
      <c r="G2335" s="14">
        <v>0.01</v>
      </c>
      <c r="H2335" s="10"/>
      <c r="I2335" s="10"/>
    </row>
    <row r="2336" spans="1:9">
      <c r="A2336" s="10" t="s">
        <v>3294</v>
      </c>
      <c r="B2336" s="124" t="s">
        <v>2567</v>
      </c>
      <c r="C2336" s="124" t="s">
        <v>677</v>
      </c>
      <c r="D2336" s="12">
        <v>9000000</v>
      </c>
      <c r="E2336" s="82">
        <v>0.88234597520000002</v>
      </c>
      <c r="F2336" s="14">
        <v>7941113.7800000003</v>
      </c>
      <c r="G2336" s="14">
        <v>0.01</v>
      </c>
      <c r="H2336" s="10"/>
      <c r="I2336" s="10"/>
    </row>
    <row r="2337" spans="1:9">
      <c r="A2337" s="10" t="s">
        <v>3295</v>
      </c>
      <c r="B2337" s="124" t="s">
        <v>660</v>
      </c>
      <c r="C2337" s="124" t="s">
        <v>677</v>
      </c>
      <c r="D2337" s="12">
        <v>12500000</v>
      </c>
      <c r="E2337" s="82">
        <v>0.97385273149999996</v>
      </c>
      <c r="F2337" s="14">
        <v>12173159.140000001</v>
      </c>
      <c r="G2337" s="14">
        <v>0.02</v>
      </c>
      <c r="H2337" s="10"/>
      <c r="I2337" s="10"/>
    </row>
    <row r="2338" spans="1:9">
      <c r="A2338" s="10" t="s">
        <v>3296</v>
      </c>
      <c r="B2338" s="124" t="s">
        <v>651</v>
      </c>
      <c r="C2338" s="124" t="s">
        <v>677</v>
      </c>
      <c r="D2338" s="12">
        <v>3000000</v>
      </c>
      <c r="E2338" s="82">
        <v>0.93984979369999999</v>
      </c>
      <c r="F2338" s="14">
        <v>2819549.38</v>
      </c>
      <c r="G2338" s="12">
        <v>0</v>
      </c>
      <c r="H2338" s="10"/>
      <c r="I2338" s="10"/>
    </row>
    <row r="2339" spans="1:9">
      <c r="A2339" s="10" t="s">
        <v>3297</v>
      </c>
      <c r="B2339" s="124" t="s">
        <v>651</v>
      </c>
      <c r="C2339" s="124" t="s">
        <v>677</v>
      </c>
      <c r="D2339" s="12">
        <v>3000000</v>
      </c>
      <c r="E2339" s="82">
        <v>0.93984979369999999</v>
      </c>
      <c r="F2339" s="14">
        <v>2819549.38</v>
      </c>
      <c r="G2339" s="12">
        <v>0</v>
      </c>
      <c r="H2339" s="10"/>
      <c r="I2339" s="10"/>
    </row>
    <row r="2340" spans="1:9">
      <c r="A2340" s="10" t="s">
        <v>3298</v>
      </c>
      <c r="B2340" s="124" t="s">
        <v>502</v>
      </c>
      <c r="C2340" s="124" t="s">
        <v>677</v>
      </c>
      <c r="D2340" s="14">
        <v>6744589.1799999997</v>
      </c>
      <c r="E2340" s="82">
        <v>0.95099138019999996</v>
      </c>
      <c r="F2340" s="14">
        <v>6414046.1699999999</v>
      </c>
      <c r="G2340" s="14">
        <v>0.01</v>
      </c>
      <c r="H2340" s="10"/>
      <c r="I2340" s="10"/>
    </row>
    <row r="2341" spans="1:9">
      <c r="A2341" s="10" t="s">
        <v>3299</v>
      </c>
      <c r="B2341" s="124" t="s">
        <v>660</v>
      </c>
      <c r="C2341" s="124" t="s">
        <v>677</v>
      </c>
      <c r="D2341" s="12">
        <v>4500000</v>
      </c>
      <c r="E2341" s="82">
        <v>0.97203729539999995</v>
      </c>
      <c r="F2341" s="14">
        <v>4374167.83</v>
      </c>
      <c r="G2341" s="14">
        <v>0.01</v>
      </c>
      <c r="H2341" s="10"/>
      <c r="I2341" s="10"/>
    </row>
    <row r="2342" spans="1:9">
      <c r="A2342" s="10" t="s">
        <v>3300</v>
      </c>
      <c r="B2342" s="124" t="s">
        <v>504</v>
      </c>
      <c r="C2342" s="124" t="s">
        <v>677</v>
      </c>
      <c r="D2342" s="12">
        <v>4500000</v>
      </c>
      <c r="E2342" s="82">
        <v>0.96586419950000002</v>
      </c>
      <c r="F2342" s="154">
        <v>4346388.9000000004</v>
      </c>
      <c r="G2342" s="14">
        <v>0.01</v>
      </c>
      <c r="H2342" s="10"/>
      <c r="I2342" s="10"/>
    </row>
    <row r="2343" spans="1:9">
      <c r="A2343" s="10" t="s">
        <v>3301</v>
      </c>
      <c r="B2343" s="124" t="s">
        <v>504</v>
      </c>
      <c r="C2343" s="124" t="s">
        <v>677</v>
      </c>
      <c r="D2343" s="12">
        <v>4500000</v>
      </c>
      <c r="E2343" s="82">
        <v>0.96586419950000002</v>
      </c>
      <c r="F2343" s="154">
        <v>4346388.9000000004</v>
      </c>
      <c r="G2343" s="14">
        <v>0.01</v>
      </c>
      <c r="H2343" s="10"/>
      <c r="I2343" s="10"/>
    </row>
    <row r="2344" spans="1:9">
      <c r="A2344" s="10" t="s">
        <v>3302</v>
      </c>
      <c r="B2344" s="124" t="s">
        <v>516</v>
      </c>
      <c r="C2344" s="124" t="s">
        <v>677</v>
      </c>
      <c r="D2344" s="12">
        <v>4500000</v>
      </c>
      <c r="E2344" s="82">
        <v>0.98065557349999999</v>
      </c>
      <c r="F2344" s="14">
        <v>4412950.08</v>
      </c>
      <c r="G2344" s="14">
        <v>0.01</v>
      </c>
      <c r="H2344" s="10"/>
      <c r="I2344" s="10"/>
    </row>
    <row r="2345" spans="1:9">
      <c r="A2345" s="10" t="s">
        <v>3303</v>
      </c>
      <c r="B2345" s="124" t="s">
        <v>485</v>
      </c>
      <c r="C2345" s="124" t="s">
        <v>677</v>
      </c>
      <c r="D2345" s="14">
        <v>20865247.91</v>
      </c>
      <c r="E2345" s="82">
        <v>0.98702006590000002</v>
      </c>
      <c r="F2345" s="14">
        <v>20594418.370000001</v>
      </c>
      <c r="G2345" s="14">
        <v>0.03</v>
      </c>
      <c r="H2345" s="10"/>
      <c r="I2345" s="10"/>
    </row>
    <row r="2346" spans="1:9">
      <c r="A2346" s="10" t="s">
        <v>3304</v>
      </c>
      <c r="B2346" s="124" t="s">
        <v>516</v>
      </c>
      <c r="C2346" s="124" t="s">
        <v>677</v>
      </c>
      <c r="D2346" s="12">
        <v>10000000</v>
      </c>
      <c r="E2346" s="82">
        <v>0.98065557420000005</v>
      </c>
      <c r="F2346" s="14">
        <v>9806555.7400000002</v>
      </c>
      <c r="G2346" s="14">
        <v>0.01</v>
      </c>
      <c r="H2346" s="10"/>
      <c r="I2346" s="10"/>
    </row>
    <row r="2347" spans="1:9">
      <c r="A2347" s="10" t="s">
        <v>3305</v>
      </c>
      <c r="B2347" s="124" t="s">
        <v>443</v>
      </c>
      <c r="C2347" s="124" t="s">
        <v>677</v>
      </c>
      <c r="D2347" s="12">
        <v>3000000</v>
      </c>
      <c r="E2347" s="82">
        <v>0.99346769010000002</v>
      </c>
      <c r="F2347" s="14">
        <v>2980403.07</v>
      </c>
      <c r="G2347" s="12">
        <v>0</v>
      </c>
      <c r="H2347" s="10"/>
      <c r="I2347" s="10"/>
    </row>
    <row r="2348" spans="1:9">
      <c r="A2348" s="10" t="s">
        <v>3306</v>
      </c>
      <c r="B2348" s="124" t="s">
        <v>490</v>
      </c>
      <c r="C2348" s="124" t="s">
        <v>677</v>
      </c>
      <c r="D2348" s="14">
        <v>11523612.33</v>
      </c>
      <c r="E2348" s="82">
        <v>0.98223910849999996</v>
      </c>
      <c r="F2348" s="154">
        <v>11318942.699999999</v>
      </c>
      <c r="G2348" s="14">
        <v>0.02</v>
      </c>
      <c r="H2348" s="10"/>
      <c r="I2348" s="10"/>
    </row>
    <row r="2349" spans="1:9">
      <c r="A2349" s="10" t="s">
        <v>3307</v>
      </c>
      <c r="B2349" s="124" t="s">
        <v>655</v>
      </c>
      <c r="C2349" s="124" t="s">
        <v>677</v>
      </c>
      <c r="D2349" s="154">
        <v>706225.7</v>
      </c>
      <c r="E2349" s="158">
        <v>0.95017462500000005</v>
      </c>
      <c r="F2349" s="14">
        <v>671037.74</v>
      </c>
      <c r="G2349" s="12">
        <v>0</v>
      </c>
      <c r="H2349" s="10"/>
      <c r="I2349" s="10"/>
    </row>
    <row r="2350" spans="1:9">
      <c r="A2350" s="10" t="s">
        <v>3308</v>
      </c>
      <c r="B2350" s="124" t="s">
        <v>769</v>
      </c>
      <c r="C2350" s="124" t="s">
        <v>677</v>
      </c>
      <c r="D2350" s="154">
        <v>706225.7</v>
      </c>
      <c r="E2350" s="82">
        <v>0.9247532342</v>
      </c>
      <c r="F2350" s="154">
        <v>653084.5</v>
      </c>
      <c r="G2350" s="12">
        <v>0</v>
      </c>
      <c r="H2350" s="10"/>
      <c r="I2350" s="10"/>
    </row>
    <row r="2351" spans="1:9">
      <c r="A2351" s="10" t="s">
        <v>3309</v>
      </c>
      <c r="B2351" s="124" t="s">
        <v>287</v>
      </c>
      <c r="C2351" s="124" t="s">
        <v>677</v>
      </c>
      <c r="D2351" s="12">
        <v>20858250</v>
      </c>
      <c r="E2351" s="82">
        <v>0.89680610039999997</v>
      </c>
      <c r="F2351" s="14">
        <v>18705805.84</v>
      </c>
      <c r="G2351" s="14">
        <v>0.02</v>
      </c>
      <c r="H2351" s="10"/>
      <c r="I2351" s="10"/>
    </row>
    <row r="2352" spans="1:9">
      <c r="A2352" s="10" t="s">
        <v>3310</v>
      </c>
      <c r="B2352" s="124" t="s">
        <v>497</v>
      </c>
      <c r="C2352" s="124" t="s">
        <v>677</v>
      </c>
      <c r="D2352" s="12">
        <v>155000000</v>
      </c>
      <c r="E2352" s="82">
        <v>0.9561984402</v>
      </c>
      <c r="F2352" s="14">
        <v>148210758.22999999</v>
      </c>
      <c r="G2352" s="154">
        <v>0.2</v>
      </c>
      <c r="H2352" s="10"/>
      <c r="I2352" s="10"/>
    </row>
    <row r="2353" spans="1:9">
      <c r="A2353" s="10" t="s">
        <v>3311</v>
      </c>
      <c r="B2353" s="124" t="s">
        <v>480</v>
      </c>
      <c r="C2353" s="124" t="s">
        <v>677</v>
      </c>
      <c r="D2353" s="14">
        <v>34382424.25</v>
      </c>
      <c r="E2353" s="82">
        <v>0.99371116969999995</v>
      </c>
      <c r="F2353" s="14">
        <v>34166199.020000003</v>
      </c>
      <c r="G2353" s="14">
        <v>0.05</v>
      </c>
      <c r="H2353" s="10"/>
      <c r="I2353" s="10"/>
    </row>
    <row r="2354" spans="1:9">
      <c r="A2354" s="10" t="s">
        <v>3312</v>
      </c>
      <c r="B2354" s="124" t="s">
        <v>438</v>
      </c>
      <c r="C2354" s="124" t="s">
        <v>677</v>
      </c>
      <c r="D2354" s="12">
        <v>13604342</v>
      </c>
      <c r="E2354" s="82">
        <v>0.99192872480000005</v>
      </c>
      <c r="F2354" s="14">
        <v>13494537.609999999</v>
      </c>
      <c r="G2354" s="14">
        <v>0.02</v>
      </c>
      <c r="H2354" s="10"/>
      <c r="I2354" s="10"/>
    </row>
    <row r="2355" spans="1:9">
      <c r="A2355" s="10" t="s">
        <v>3313</v>
      </c>
      <c r="B2355" s="124" t="s">
        <v>510</v>
      </c>
      <c r="C2355" s="124" t="s">
        <v>677</v>
      </c>
      <c r="D2355" s="12">
        <v>13604342</v>
      </c>
      <c r="E2355" s="82">
        <v>0.99104010549999999</v>
      </c>
      <c r="F2355" s="14">
        <v>13482448.529999999</v>
      </c>
      <c r="G2355" s="14">
        <v>0.02</v>
      </c>
      <c r="H2355" s="10"/>
      <c r="I2355" s="10"/>
    </row>
    <row r="2356" spans="1:9">
      <c r="A2356" s="10" t="s">
        <v>3314</v>
      </c>
      <c r="B2356" s="124" t="s">
        <v>2805</v>
      </c>
      <c r="C2356" s="124" t="s">
        <v>677</v>
      </c>
      <c r="D2356" s="12">
        <v>25000000</v>
      </c>
      <c r="E2356" s="82">
        <v>0.85472089929999995</v>
      </c>
      <c r="F2356" s="14">
        <v>21368022.48</v>
      </c>
      <c r="G2356" s="14">
        <v>0.03</v>
      </c>
      <c r="H2356" s="10"/>
      <c r="I2356" s="10"/>
    </row>
    <row r="2357" spans="1:9">
      <c r="A2357" s="10" t="s">
        <v>3315</v>
      </c>
      <c r="B2357" s="124" t="s">
        <v>3075</v>
      </c>
      <c r="C2357" s="124" t="s">
        <v>677</v>
      </c>
      <c r="D2357" s="12">
        <v>26750000</v>
      </c>
      <c r="E2357" s="82">
        <v>0.8777837637</v>
      </c>
      <c r="F2357" s="14">
        <v>23480715.68</v>
      </c>
      <c r="G2357" s="14">
        <v>0.03</v>
      </c>
      <c r="H2357" s="10"/>
      <c r="I2357" s="10"/>
    </row>
    <row r="2358" spans="1:9">
      <c r="A2358" s="10" t="s">
        <v>3316</v>
      </c>
      <c r="B2358" s="124" t="s">
        <v>3128</v>
      </c>
      <c r="C2358" s="124" t="s">
        <v>677</v>
      </c>
      <c r="D2358" s="12">
        <v>25000000</v>
      </c>
      <c r="E2358" s="82">
        <v>0.85936949279999997</v>
      </c>
      <c r="F2358" s="14">
        <v>21484237.32</v>
      </c>
      <c r="G2358" s="14">
        <v>0.03</v>
      </c>
      <c r="H2358" s="10"/>
      <c r="I2358" s="10"/>
    </row>
    <row r="2359" spans="1:9">
      <c r="A2359" s="10" t="s">
        <v>3317</v>
      </c>
      <c r="B2359" s="124" t="s">
        <v>812</v>
      </c>
      <c r="C2359" s="124" t="s">
        <v>677</v>
      </c>
      <c r="D2359" s="12">
        <v>10000000</v>
      </c>
      <c r="E2359" s="82">
        <v>0.93813474009999998</v>
      </c>
      <c r="F2359" s="154">
        <v>9381347.4000000004</v>
      </c>
      <c r="G2359" s="14">
        <v>0.01</v>
      </c>
      <c r="H2359" s="10"/>
      <c r="I2359" s="10"/>
    </row>
    <row r="2360" spans="1:9">
      <c r="A2360" s="10" t="s">
        <v>3318</v>
      </c>
      <c r="B2360" s="124" t="s">
        <v>697</v>
      </c>
      <c r="C2360" s="124" t="s">
        <v>677</v>
      </c>
      <c r="D2360" s="12">
        <v>10000000</v>
      </c>
      <c r="E2360" s="21">
        <v>0.93673817999999998</v>
      </c>
      <c r="F2360" s="154">
        <v>9367381.8000000007</v>
      </c>
      <c r="G2360" s="14">
        <v>0.01</v>
      </c>
      <c r="H2360" s="10"/>
      <c r="I2360" s="10"/>
    </row>
    <row r="2361" spans="1:9">
      <c r="A2361" s="10" t="s">
        <v>3319</v>
      </c>
      <c r="B2361" s="124" t="s">
        <v>3320</v>
      </c>
      <c r="C2361" s="124" t="s">
        <v>677</v>
      </c>
      <c r="D2361" s="12">
        <v>25000000</v>
      </c>
      <c r="E2361" s="82">
        <v>0.91432875390000001</v>
      </c>
      <c r="F2361" s="14">
        <v>22858218.850000001</v>
      </c>
      <c r="G2361" s="14">
        <v>0.03</v>
      </c>
      <c r="H2361" s="10"/>
      <c r="I2361" s="10"/>
    </row>
    <row r="2362" spans="1:9">
      <c r="A2362" s="10" t="s">
        <v>3321</v>
      </c>
      <c r="B2362" s="124" t="s">
        <v>997</v>
      </c>
      <c r="C2362" s="124" t="s">
        <v>677</v>
      </c>
      <c r="D2362" s="12">
        <v>25000000</v>
      </c>
      <c r="E2362" s="82">
        <v>0.90954409719999996</v>
      </c>
      <c r="F2362" s="14">
        <v>22738602.43</v>
      </c>
      <c r="G2362" s="14">
        <v>0.03</v>
      </c>
      <c r="H2362" s="10"/>
      <c r="I2362" s="10"/>
    </row>
    <row r="2363" spans="1:9">
      <c r="A2363" s="10" t="s">
        <v>3322</v>
      </c>
      <c r="B2363" s="124" t="s">
        <v>460</v>
      </c>
      <c r="C2363" s="124" t="s">
        <v>677</v>
      </c>
      <c r="D2363" s="12">
        <v>25000000</v>
      </c>
      <c r="E2363" s="82">
        <v>0.91916401530000003</v>
      </c>
      <c r="F2363" s="14">
        <v>22979100.379999999</v>
      </c>
      <c r="G2363" s="14">
        <v>0.03</v>
      </c>
      <c r="H2363" s="10"/>
      <c r="I2363" s="10"/>
    </row>
    <row r="2364" spans="1:9">
      <c r="A2364" s="10" t="s">
        <v>3323</v>
      </c>
      <c r="B2364" s="124" t="s">
        <v>2641</v>
      </c>
      <c r="C2364" s="124" t="s">
        <v>677</v>
      </c>
      <c r="D2364" s="12">
        <v>25000000</v>
      </c>
      <c r="E2364" s="82">
        <v>0.92405068909999999</v>
      </c>
      <c r="F2364" s="14">
        <v>23101267.23</v>
      </c>
      <c r="G2364" s="14">
        <v>0.03</v>
      </c>
      <c r="H2364" s="10"/>
      <c r="I2364" s="10"/>
    </row>
    <row r="2365" spans="1:9">
      <c r="A2365" s="10" t="s">
        <v>3324</v>
      </c>
      <c r="B2365" s="124" t="s">
        <v>529</v>
      </c>
      <c r="C2365" s="124" t="s">
        <v>677</v>
      </c>
      <c r="D2365" s="14">
        <v>882614.45</v>
      </c>
      <c r="E2365" s="82">
        <v>0.9864865115</v>
      </c>
      <c r="F2365" s="14">
        <v>870687.25</v>
      </c>
      <c r="G2365" s="12">
        <v>0</v>
      </c>
      <c r="H2365" s="10"/>
      <c r="I2365" s="10"/>
    </row>
    <row r="2366" spans="1:9">
      <c r="A2366" s="10" t="s">
        <v>3325</v>
      </c>
      <c r="B2366" s="124" t="s">
        <v>529</v>
      </c>
      <c r="C2366" s="124" t="s">
        <v>677</v>
      </c>
      <c r="D2366" s="12">
        <v>5000000</v>
      </c>
      <c r="E2366" s="82">
        <v>0.98648651580000002</v>
      </c>
      <c r="F2366" s="14">
        <v>4932432.58</v>
      </c>
      <c r="G2366" s="14">
        <v>0.01</v>
      </c>
      <c r="H2366" s="10"/>
      <c r="I2366" s="10"/>
    </row>
    <row r="2367" spans="1:9">
      <c r="A2367" s="10" t="s">
        <v>3326</v>
      </c>
      <c r="B2367" s="124" t="s">
        <v>529</v>
      </c>
      <c r="C2367" s="124" t="s">
        <v>677</v>
      </c>
      <c r="D2367" s="14">
        <v>1546940.82</v>
      </c>
      <c r="E2367" s="82">
        <v>0.98648651580000002</v>
      </c>
      <c r="F2367" s="14">
        <v>1526036.26</v>
      </c>
      <c r="G2367" s="12">
        <v>0</v>
      </c>
      <c r="H2367" s="10"/>
      <c r="I2367" s="10"/>
    </row>
    <row r="2368" spans="1:9">
      <c r="A2368" s="10" t="s">
        <v>3327</v>
      </c>
      <c r="B2368" s="124" t="s">
        <v>488</v>
      </c>
      <c r="C2368" s="124" t="s">
        <v>677</v>
      </c>
      <c r="D2368" s="12">
        <v>600000</v>
      </c>
      <c r="E2368" s="82">
        <v>0.98582056659999995</v>
      </c>
      <c r="F2368" s="14">
        <v>591492.34</v>
      </c>
      <c r="G2368" s="12">
        <v>0</v>
      </c>
      <c r="H2368" s="10"/>
      <c r="I2368" s="10"/>
    </row>
    <row r="2369" spans="1:9">
      <c r="A2369" s="10" t="s">
        <v>3328</v>
      </c>
      <c r="B2369" s="124" t="s">
        <v>490</v>
      </c>
      <c r="C2369" s="124" t="s">
        <v>677</v>
      </c>
      <c r="D2369" s="14">
        <v>599708.56000000006</v>
      </c>
      <c r="E2369" s="82">
        <v>0.98515530620000002</v>
      </c>
      <c r="F2369" s="14">
        <v>590806.06999999995</v>
      </c>
      <c r="G2369" s="12">
        <v>0</v>
      </c>
      <c r="H2369" s="10"/>
      <c r="I2369" s="10"/>
    </row>
    <row r="2370" spans="1:9">
      <c r="A2370" s="10" t="s">
        <v>3329</v>
      </c>
      <c r="B2370" s="124" t="s">
        <v>490</v>
      </c>
      <c r="C2370" s="124" t="s">
        <v>677</v>
      </c>
      <c r="D2370" s="14">
        <v>899857.14</v>
      </c>
      <c r="E2370" s="82">
        <v>0.98515532149999996</v>
      </c>
      <c r="F2370" s="14">
        <v>886499.05</v>
      </c>
      <c r="G2370" s="12">
        <v>0</v>
      </c>
      <c r="H2370" s="10"/>
      <c r="I2370" s="10"/>
    </row>
    <row r="2371" spans="1:9">
      <c r="A2371" s="10" t="s">
        <v>3330</v>
      </c>
      <c r="B2371" s="124" t="s">
        <v>514</v>
      </c>
      <c r="C2371" s="124" t="s">
        <v>677</v>
      </c>
      <c r="D2371" s="14">
        <v>3056279.77</v>
      </c>
      <c r="E2371" s="82">
        <v>0.98449096160000005</v>
      </c>
      <c r="F2371" s="14">
        <v>3008879.81</v>
      </c>
      <c r="G2371" s="12">
        <v>0</v>
      </c>
      <c r="H2371" s="10"/>
      <c r="I2371" s="10"/>
    </row>
    <row r="2372" spans="1:9">
      <c r="A2372" s="10" t="s">
        <v>3331</v>
      </c>
      <c r="B2372" s="124" t="s">
        <v>514</v>
      </c>
      <c r="C2372" s="124" t="s">
        <v>677</v>
      </c>
      <c r="D2372" s="14">
        <v>180149.61</v>
      </c>
      <c r="E2372" s="82">
        <v>0.9844909463</v>
      </c>
      <c r="F2372" s="14">
        <v>177355.66</v>
      </c>
      <c r="G2372" s="12">
        <v>0</v>
      </c>
      <c r="H2372" s="10"/>
      <c r="I2372" s="10"/>
    </row>
    <row r="2373" spans="1:9">
      <c r="A2373" s="10" t="s">
        <v>3332</v>
      </c>
      <c r="B2373" s="124" t="s">
        <v>485</v>
      </c>
      <c r="C2373" s="124" t="s">
        <v>677</v>
      </c>
      <c r="D2373" s="14">
        <v>624882.48</v>
      </c>
      <c r="E2373" s="82">
        <v>0.98915994559999998</v>
      </c>
      <c r="F2373" s="14">
        <v>618108.72</v>
      </c>
      <c r="G2373" s="12">
        <v>0</v>
      </c>
      <c r="H2373" s="10"/>
      <c r="I2373" s="10"/>
    </row>
    <row r="2374" spans="1:9">
      <c r="A2374" s="10" t="s">
        <v>3333</v>
      </c>
      <c r="B2374" s="124" t="s">
        <v>448</v>
      </c>
      <c r="C2374" s="124" t="s">
        <v>677</v>
      </c>
      <c r="D2374" s="14">
        <v>1123163.29</v>
      </c>
      <c r="E2374" s="82">
        <v>0.98849036440000004</v>
      </c>
      <c r="F2374" s="14">
        <v>1110236.0900000001</v>
      </c>
      <c r="G2374" s="12">
        <v>0</v>
      </c>
      <c r="H2374" s="10"/>
      <c r="I2374" s="10"/>
    </row>
    <row r="2375" spans="1:9">
      <c r="A2375" s="10" t="s">
        <v>3334</v>
      </c>
      <c r="B2375" s="124" t="s">
        <v>529</v>
      </c>
      <c r="C2375" s="124" t="s">
        <v>677</v>
      </c>
      <c r="D2375" s="14">
        <v>366054.15</v>
      </c>
      <c r="E2375" s="158">
        <v>0.98648653500000005</v>
      </c>
      <c r="F2375" s="14">
        <v>361107.49</v>
      </c>
      <c r="G2375" s="12">
        <v>0</v>
      </c>
      <c r="H2375" s="10"/>
      <c r="I2375" s="10"/>
    </row>
    <row r="2376" spans="1:9">
      <c r="A2376" s="10" t="s">
        <v>3335</v>
      </c>
      <c r="B2376" s="124" t="s">
        <v>485</v>
      </c>
      <c r="C2376" s="124" t="s">
        <v>677</v>
      </c>
      <c r="D2376" s="14">
        <v>612376.29</v>
      </c>
      <c r="E2376" s="82">
        <v>0.98915993280000003</v>
      </c>
      <c r="F2376" s="14">
        <v>605738.09</v>
      </c>
      <c r="G2376" s="12">
        <v>0</v>
      </c>
      <c r="H2376" s="10"/>
      <c r="I2376" s="10"/>
    </row>
    <row r="2377" spans="1:9">
      <c r="A2377" s="10" t="s">
        <v>3336</v>
      </c>
      <c r="B2377" s="124" t="s">
        <v>474</v>
      </c>
      <c r="C2377" s="124" t="s">
        <v>677</v>
      </c>
      <c r="D2377" s="14">
        <v>65767192.159999996</v>
      </c>
      <c r="E2377" s="82">
        <v>0.99696823570000004</v>
      </c>
      <c r="F2377" s="14">
        <v>65567801.530000001</v>
      </c>
      <c r="G2377" s="14">
        <v>0.09</v>
      </c>
      <c r="H2377" s="10"/>
      <c r="I2377" s="10"/>
    </row>
    <row r="2378" spans="1:9">
      <c r="A2378" s="10" t="s">
        <v>3337</v>
      </c>
      <c r="B2378" s="124" t="s">
        <v>1486</v>
      </c>
      <c r="C2378" s="124" t="s">
        <v>677</v>
      </c>
      <c r="D2378" s="12">
        <v>55000000</v>
      </c>
      <c r="E2378" s="82">
        <v>0.90552744669999996</v>
      </c>
      <c r="F2378" s="14">
        <v>49804009.57</v>
      </c>
      <c r="G2378" s="14">
        <v>7.0000000000000007E-2</v>
      </c>
      <c r="H2378" s="10"/>
      <c r="I2378" s="10"/>
    </row>
    <row r="2379" spans="1:9">
      <c r="A2379" s="10" t="s">
        <v>3338</v>
      </c>
      <c r="B2379" s="124" t="s">
        <v>655</v>
      </c>
      <c r="C2379" s="124" t="s">
        <v>677</v>
      </c>
      <c r="D2379" s="12">
        <v>25000000</v>
      </c>
      <c r="E2379" s="82">
        <v>0.95161141829999996</v>
      </c>
      <c r="F2379" s="14">
        <v>23790285.460000001</v>
      </c>
      <c r="G2379" s="14">
        <v>0.03</v>
      </c>
      <c r="H2379" s="10"/>
      <c r="I2379" s="10"/>
    </row>
    <row r="2380" spans="1:9">
      <c r="A2380" s="10" t="s">
        <v>3339</v>
      </c>
      <c r="B2380" s="124" t="s">
        <v>3165</v>
      </c>
      <c r="C2380" s="124" t="s">
        <v>677</v>
      </c>
      <c r="D2380" s="12">
        <v>75000000</v>
      </c>
      <c r="E2380" s="82">
        <v>0.88583641189999995</v>
      </c>
      <c r="F2380" s="14">
        <v>66437730.890000001</v>
      </c>
      <c r="G2380" s="14">
        <v>0.09</v>
      </c>
      <c r="H2380" s="10"/>
      <c r="I2380" s="10"/>
    </row>
    <row r="2381" spans="1:9">
      <c r="A2381" s="10" t="s">
        <v>3340</v>
      </c>
      <c r="B2381" s="124" t="s">
        <v>287</v>
      </c>
      <c r="C2381" s="124" t="s">
        <v>677</v>
      </c>
      <c r="D2381" s="12">
        <v>55000000</v>
      </c>
      <c r="E2381" s="82">
        <v>0.90480931090000005</v>
      </c>
      <c r="F2381" s="154">
        <v>49764512.100000001</v>
      </c>
      <c r="G2381" s="14">
        <v>7.0000000000000007E-2</v>
      </c>
      <c r="H2381" s="10"/>
      <c r="I2381" s="10"/>
    </row>
    <row r="2382" spans="1:9">
      <c r="A2382" s="10" t="s">
        <v>3341</v>
      </c>
      <c r="B2382" s="124" t="s">
        <v>3075</v>
      </c>
      <c r="C2382" s="124" t="s">
        <v>677</v>
      </c>
      <c r="D2382" s="12">
        <v>75000000</v>
      </c>
      <c r="E2382" s="82">
        <v>0.88104673990000004</v>
      </c>
      <c r="F2382" s="14">
        <v>66078505.490000002</v>
      </c>
      <c r="G2382" s="14">
        <v>0.09</v>
      </c>
      <c r="H2382" s="10"/>
      <c r="I2382" s="10"/>
    </row>
    <row r="2383" spans="1:9">
      <c r="A2383" s="10" t="s">
        <v>3342</v>
      </c>
      <c r="B2383" s="124" t="s">
        <v>1704</v>
      </c>
      <c r="C2383" s="124" t="s">
        <v>677</v>
      </c>
      <c r="D2383" s="12">
        <v>55000000</v>
      </c>
      <c r="E2383" s="82">
        <v>0.90052307149999999</v>
      </c>
      <c r="F2383" s="14">
        <v>49528768.93</v>
      </c>
      <c r="G2383" s="14">
        <v>7.0000000000000007E-2</v>
      </c>
      <c r="H2383" s="10"/>
      <c r="I2383" s="10"/>
    </row>
    <row r="2384" spans="1:9">
      <c r="A2384" s="10" t="s">
        <v>3343</v>
      </c>
      <c r="B2384" s="124" t="s">
        <v>814</v>
      </c>
      <c r="C2384" s="124" t="s">
        <v>677</v>
      </c>
      <c r="D2384" s="12">
        <v>55000000</v>
      </c>
      <c r="E2384" s="82">
        <v>0.90986157109999999</v>
      </c>
      <c r="F2384" s="14">
        <v>50042386.409999996</v>
      </c>
      <c r="G2384" s="14">
        <v>7.0000000000000007E-2</v>
      </c>
      <c r="H2384" s="10"/>
      <c r="I2384" s="10"/>
    </row>
    <row r="2385" spans="1:9">
      <c r="A2385" s="10" t="s">
        <v>3351</v>
      </c>
      <c r="B2385" s="124" t="s">
        <v>490</v>
      </c>
      <c r="C2385" s="124" t="s">
        <v>531</v>
      </c>
      <c r="D2385" s="12">
        <v>5072274</v>
      </c>
      <c r="E2385" s="82">
        <v>0.98457075240000003</v>
      </c>
      <c r="F2385" s="14">
        <v>4994012.63</v>
      </c>
      <c r="G2385" s="14">
        <v>0.01</v>
      </c>
      <c r="H2385" s="10"/>
      <c r="I2385" s="10"/>
    </row>
    <row r="2386" spans="1:9">
      <c r="A2386" s="10" t="s">
        <v>3352</v>
      </c>
      <c r="B2386" s="124" t="s">
        <v>448</v>
      </c>
      <c r="C2386" s="124" t="s">
        <v>531</v>
      </c>
      <c r="D2386" s="154">
        <v>4636054.5</v>
      </c>
      <c r="E2386" s="21">
        <v>0.98803534999999998</v>
      </c>
      <c r="F2386" s="14">
        <v>4580585.7300000004</v>
      </c>
      <c r="G2386" s="14">
        <v>0.01</v>
      </c>
      <c r="H2386" s="10"/>
      <c r="I2386" s="10"/>
    </row>
    <row r="2387" spans="1:9">
      <c r="A2387" s="10" t="s">
        <v>3353</v>
      </c>
      <c r="B2387" s="124" t="s">
        <v>680</v>
      </c>
      <c r="C2387" s="124" t="s">
        <v>531</v>
      </c>
      <c r="D2387" s="14">
        <v>819152.75</v>
      </c>
      <c r="E2387" s="82">
        <v>0.97499733720000004</v>
      </c>
      <c r="F2387" s="14">
        <v>798671.75</v>
      </c>
      <c r="G2387" s="12">
        <v>0</v>
      </c>
      <c r="H2387" s="10"/>
      <c r="I2387" s="10"/>
    </row>
    <row r="2388" spans="1:9">
      <c r="A2388" s="10" t="s">
        <v>3354</v>
      </c>
      <c r="B2388" s="124" t="s">
        <v>488</v>
      </c>
      <c r="C2388" s="124" t="s">
        <v>531</v>
      </c>
      <c r="D2388" s="154">
        <v>710090.5</v>
      </c>
      <c r="E2388" s="82">
        <v>0.98526159690000004</v>
      </c>
      <c r="F2388" s="154">
        <v>699624.9</v>
      </c>
      <c r="G2388" s="12">
        <v>0</v>
      </c>
      <c r="H2388" s="10"/>
      <c r="I2388" s="10"/>
    </row>
    <row r="2389" spans="1:9">
      <c r="A2389" s="10" t="s">
        <v>3355</v>
      </c>
      <c r="B2389" s="124" t="s">
        <v>490</v>
      </c>
      <c r="C2389" s="124" t="s">
        <v>531</v>
      </c>
      <c r="D2389" s="14">
        <v>891425.08</v>
      </c>
      <c r="E2389" s="82">
        <v>0.98457075059999999</v>
      </c>
      <c r="F2389" s="14">
        <v>877671.06</v>
      </c>
      <c r="G2389" s="12">
        <v>0</v>
      </c>
      <c r="H2389" s="10"/>
      <c r="I2389" s="10"/>
    </row>
    <row r="2390" spans="1:9">
      <c r="A2390" s="10" t="s">
        <v>3356</v>
      </c>
      <c r="B2390" s="124" t="s">
        <v>514</v>
      </c>
      <c r="C2390" s="124" t="s">
        <v>531</v>
      </c>
      <c r="D2390" s="14">
        <v>843353.38</v>
      </c>
      <c r="E2390" s="82">
        <v>0.98388066009999997</v>
      </c>
      <c r="F2390" s="14">
        <v>829759.08</v>
      </c>
      <c r="G2390" s="12">
        <v>0</v>
      </c>
      <c r="H2390" s="10"/>
      <c r="I2390" s="10"/>
    </row>
    <row r="2391" spans="1:9">
      <c r="A2391" s="10" t="s">
        <v>3357</v>
      </c>
      <c r="B2391" s="124" t="s">
        <v>516</v>
      </c>
      <c r="C2391" s="124" t="s">
        <v>531</v>
      </c>
      <c r="D2391" s="12">
        <v>1024932</v>
      </c>
      <c r="E2391" s="82">
        <v>0.98319152870000004</v>
      </c>
      <c r="F2391" s="14">
        <v>1007704.46</v>
      </c>
      <c r="G2391" s="12">
        <v>0</v>
      </c>
      <c r="H2391" s="10"/>
      <c r="I2391" s="10"/>
    </row>
    <row r="2392" spans="1:9">
      <c r="A2392" s="10" t="s">
        <v>3358</v>
      </c>
      <c r="B2392" s="124" t="s">
        <v>680</v>
      </c>
      <c r="C2392" s="124" t="s">
        <v>531</v>
      </c>
      <c r="D2392" s="14">
        <v>819152.75</v>
      </c>
      <c r="E2392" s="82">
        <v>0.97499733720000004</v>
      </c>
      <c r="F2392" s="14">
        <v>798671.75</v>
      </c>
      <c r="G2392" s="12">
        <v>0</v>
      </c>
      <c r="H2392" s="10"/>
      <c r="I2392" s="10"/>
    </row>
    <row r="2393" spans="1:9">
      <c r="A2393" s="10" t="s">
        <v>3359</v>
      </c>
      <c r="B2393" s="124" t="s">
        <v>527</v>
      </c>
      <c r="C2393" s="124" t="s">
        <v>531</v>
      </c>
      <c r="D2393" s="14">
        <v>2054489.25</v>
      </c>
      <c r="E2393" s="82">
        <v>0.98044487739999997</v>
      </c>
      <c r="F2393" s="14">
        <v>2014313.46</v>
      </c>
      <c r="G2393" s="12">
        <v>0</v>
      </c>
      <c r="H2393" s="10"/>
      <c r="I2393" s="10"/>
    </row>
    <row r="2394" spans="1:9">
      <c r="A2394" s="10" t="s">
        <v>3360</v>
      </c>
      <c r="B2394" s="124" t="s">
        <v>527</v>
      </c>
      <c r="C2394" s="124" t="s">
        <v>531</v>
      </c>
      <c r="D2394" s="12">
        <v>760000</v>
      </c>
      <c r="E2394" s="82">
        <v>0.9804448818</v>
      </c>
      <c r="F2394" s="14">
        <v>745138.11</v>
      </c>
      <c r="G2394" s="12">
        <v>0</v>
      </c>
      <c r="H2394" s="10"/>
      <c r="I2394" s="10"/>
    </row>
    <row r="2395" spans="1:9">
      <c r="A2395" s="10" t="s">
        <v>3361</v>
      </c>
      <c r="B2395" s="124" t="s">
        <v>680</v>
      </c>
      <c r="C2395" s="124" t="s">
        <v>531</v>
      </c>
      <c r="D2395" s="14">
        <v>819152.75</v>
      </c>
      <c r="E2395" s="82">
        <v>0.97499733720000004</v>
      </c>
      <c r="F2395" s="14">
        <v>798671.75</v>
      </c>
      <c r="G2395" s="12">
        <v>0</v>
      </c>
      <c r="H2395" s="10"/>
      <c r="I2395" s="10"/>
    </row>
    <row r="2396" spans="1:9">
      <c r="A2396" s="10" t="s">
        <v>3362</v>
      </c>
      <c r="B2396" s="124" t="s">
        <v>488</v>
      </c>
      <c r="C2396" s="124" t="s">
        <v>531</v>
      </c>
      <c r="D2396" s="14">
        <v>3620482.75</v>
      </c>
      <c r="E2396" s="82">
        <v>0.98470340730000006</v>
      </c>
      <c r="F2396" s="154">
        <v>3565101.7</v>
      </c>
      <c r="G2396" s="12">
        <v>0</v>
      </c>
      <c r="H2396" s="10"/>
      <c r="I2396" s="10"/>
    </row>
    <row r="2397" spans="1:9">
      <c r="A2397" s="10" t="s">
        <v>3363</v>
      </c>
      <c r="B2397" s="124" t="s">
        <v>950</v>
      </c>
      <c r="C2397" s="124" t="s">
        <v>531</v>
      </c>
      <c r="D2397" s="12">
        <v>2500000</v>
      </c>
      <c r="E2397" s="82">
        <v>0.96022321619999995</v>
      </c>
      <c r="F2397" s="14">
        <v>2400558.04</v>
      </c>
      <c r="G2397" s="12">
        <v>0</v>
      </c>
      <c r="H2397" s="10"/>
      <c r="I2397" s="10"/>
    </row>
    <row r="2398" spans="1:9">
      <c r="A2398" s="10" t="s">
        <v>3364</v>
      </c>
      <c r="B2398" s="124" t="s">
        <v>655</v>
      </c>
      <c r="C2398" s="124" t="s">
        <v>531</v>
      </c>
      <c r="D2398" s="14">
        <v>2959532.92</v>
      </c>
      <c r="E2398" s="82">
        <v>0.95886092720000005</v>
      </c>
      <c r="F2398" s="14">
        <v>2837780.48</v>
      </c>
      <c r="G2398" s="12">
        <v>0</v>
      </c>
      <c r="H2398" s="10"/>
      <c r="I2398" s="10"/>
    </row>
    <row r="2399" spans="1:9">
      <c r="A2399" s="10" t="s">
        <v>3365</v>
      </c>
      <c r="B2399" s="124" t="s">
        <v>485</v>
      </c>
      <c r="C2399" s="124" t="s">
        <v>531</v>
      </c>
      <c r="D2399" s="14">
        <v>3620482.75</v>
      </c>
      <c r="E2399" s="82">
        <v>0.98830293560000004</v>
      </c>
      <c r="F2399" s="14">
        <v>3578133.73</v>
      </c>
      <c r="G2399" s="12">
        <v>0</v>
      </c>
      <c r="H2399" s="10"/>
      <c r="I2399" s="10"/>
    </row>
    <row r="2400" spans="1:9">
      <c r="A2400" s="10" t="s">
        <v>3366</v>
      </c>
      <c r="B2400" s="124" t="s">
        <v>485</v>
      </c>
      <c r="C2400" s="124" t="s">
        <v>531</v>
      </c>
      <c r="D2400" s="14">
        <v>3620482.75</v>
      </c>
      <c r="E2400" s="82">
        <v>0.98830293560000004</v>
      </c>
      <c r="F2400" s="14">
        <v>3578133.73</v>
      </c>
      <c r="G2400" s="12">
        <v>0</v>
      </c>
      <c r="H2400" s="10"/>
      <c r="I2400" s="10"/>
    </row>
    <row r="2401" spans="1:9">
      <c r="A2401" s="10" t="s">
        <v>3367</v>
      </c>
      <c r="B2401" s="124" t="s">
        <v>1007</v>
      </c>
      <c r="C2401" s="124" t="s">
        <v>531</v>
      </c>
      <c r="D2401" s="12">
        <v>2500000</v>
      </c>
      <c r="E2401" s="82">
        <v>0.96778483150000005</v>
      </c>
      <c r="F2401" s="14">
        <v>2419462.08</v>
      </c>
      <c r="G2401" s="12">
        <v>0</v>
      </c>
      <c r="H2401" s="10"/>
      <c r="I2401" s="10"/>
    </row>
    <row r="2402" spans="1:9">
      <c r="A2402" s="10" t="s">
        <v>3368</v>
      </c>
      <c r="B2402" s="124" t="s">
        <v>448</v>
      </c>
      <c r="C2402" s="124" t="s">
        <v>531</v>
      </c>
      <c r="D2402" s="14">
        <v>3620482.75</v>
      </c>
      <c r="E2402" s="82">
        <v>0.98758088550000001</v>
      </c>
      <c r="F2402" s="14">
        <v>3575519.56</v>
      </c>
      <c r="G2402" s="12">
        <v>0</v>
      </c>
      <c r="H2402" s="10"/>
      <c r="I2402" s="10"/>
    </row>
    <row r="2403" spans="1:9">
      <c r="A2403" s="10" t="s">
        <v>3369</v>
      </c>
      <c r="B2403" s="124" t="s">
        <v>593</v>
      </c>
      <c r="C2403" s="124" t="s">
        <v>531</v>
      </c>
      <c r="D2403" s="12">
        <v>2500000</v>
      </c>
      <c r="E2403" s="82">
        <v>0.96986776379999995</v>
      </c>
      <c r="F2403" s="14">
        <v>2424669.41</v>
      </c>
      <c r="G2403" s="12">
        <v>0</v>
      </c>
      <c r="H2403" s="10"/>
      <c r="I2403" s="10"/>
    </row>
    <row r="2404" spans="1:9">
      <c r="A2404" s="10" t="s">
        <v>3370</v>
      </c>
      <c r="B2404" s="124" t="s">
        <v>750</v>
      </c>
      <c r="C2404" s="124" t="s">
        <v>531</v>
      </c>
      <c r="D2404" s="12">
        <v>70000000</v>
      </c>
      <c r="E2404" s="82">
        <v>0.95522250109999995</v>
      </c>
      <c r="F2404" s="14">
        <v>66865575.079999998</v>
      </c>
      <c r="G2404" s="14">
        <v>0.09</v>
      </c>
      <c r="H2404" s="10"/>
      <c r="I2404" s="10"/>
    </row>
    <row r="2405" spans="1:9">
      <c r="A2405" s="10" t="s">
        <v>3371</v>
      </c>
      <c r="B2405" s="124" t="s">
        <v>651</v>
      </c>
      <c r="C2405" s="124" t="s">
        <v>531</v>
      </c>
      <c r="D2405" s="12">
        <v>70000000</v>
      </c>
      <c r="E2405" s="82">
        <v>0.94517980570000004</v>
      </c>
      <c r="F2405" s="154">
        <v>66162586.399999999</v>
      </c>
      <c r="G2405" s="14">
        <v>0.09</v>
      </c>
      <c r="H2405" s="10"/>
      <c r="I2405" s="10"/>
    </row>
    <row r="2406" spans="1:9">
      <c r="A2406" s="10" t="s">
        <v>3372</v>
      </c>
      <c r="B2406" s="124" t="s">
        <v>450</v>
      </c>
      <c r="C2406" s="124" t="s">
        <v>531</v>
      </c>
      <c r="D2406" s="12">
        <v>70000000</v>
      </c>
      <c r="E2406" s="82">
        <v>0.94164400879999999</v>
      </c>
      <c r="F2406" s="14">
        <v>65915080.619999997</v>
      </c>
      <c r="G2406" s="14">
        <v>0.09</v>
      </c>
      <c r="H2406" s="10"/>
      <c r="I2406" s="10"/>
    </row>
    <row r="2407" spans="1:9">
      <c r="A2407" s="10" t="s">
        <v>3373</v>
      </c>
      <c r="B2407" s="124" t="s">
        <v>948</v>
      </c>
      <c r="C2407" s="124" t="s">
        <v>531</v>
      </c>
      <c r="D2407" s="12">
        <v>70000000</v>
      </c>
      <c r="E2407" s="82">
        <v>0.96163995150000003</v>
      </c>
      <c r="F2407" s="14">
        <v>67314796.609999999</v>
      </c>
      <c r="G2407" s="14">
        <v>0.09</v>
      </c>
      <c r="H2407" s="10"/>
      <c r="I2407" s="10"/>
    </row>
    <row r="2408" spans="1:9">
      <c r="A2408" s="10" t="s">
        <v>3374</v>
      </c>
      <c r="B2408" s="124" t="s">
        <v>522</v>
      </c>
      <c r="C2408" s="124" t="s">
        <v>531</v>
      </c>
      <c r="D2408" s="12">
        <v>580000000</v>
      </c>
      <c r="E2408" s="82">
        <v>0.96971328680000002</v>
      </c>
      <c r="F2408" s="14">
        <v>562433706.34000003</v>
      </c>
      <c r="G2408" s="14">
        <v>0.75</v>
      </c>
      <c r="H2408" s="10"/>
      <c r="I2408" s="10"/>
    </row>
    <row r="2409" spans="1:9">
      <c r="A2409" s="10" t="s">
        <v>3375</v>
      </c>
      <c r="B2409" s="124" t="s">
        <v>655</v>
      </c>
      <c r="C2409" s="124" t="s">
        <v>531</v>
      </c>
      <c r="D2409" s="14">
        <v>8752704.4100000001</v>
      </c>
      <c r="E2409" s="82">
        <v>0.96032414519999998</v>
      </c>
      <c r="F2409" s="14">
        <v>8405433.3800000008</v>
      </c>
      <c r="G2409" s="14">
        <v>0.01</v>
      </c>
      <c r="H2409" s="10"/>
      <c r="I2409" s="10"/>
    </row>
    <row r="2410" spans="1:9">
      <c r="A2410" s="10" t="s">
        <v>3376</v>
      </c>
      <c r="B2410" s="124" t="s">
        <v>769</v>
      </c>
      <c r="C2410" s="124" t="s">
        <v>531</v>
      </c>
      <c r="D2410" s="14">
        <v>8752704.4100000001</v>
      </c>
      <c r="E2410" s="82">
        <v>0.9397528866</v>
      </c>
      <c r="F2410" s="14">
        <v>8225379.2300000004</v>
      </c>
      <c r="G2410" s="14">
        <v>0.01</v>
      </c>
      <c r="H2410" s="10"/>
      <c r="I2410" s="10"/>
    </row>
    <row r="2411" spans="1:9">
      <c r="A2411" s="10" t="s">
        <v>3377</v>
      </c>
      <c r="B2411" s="124" t="s">
        <v>655</v>
      </c>
      <c r="C2411" s="124" t="s">
        <v>531</v>
      </c>
      <c r="D2411" s="14">
        <v>1159427.3899999999</v>
      </c>
      <c r="E2411" s="82">
        <v>0.9603241481</v>
      </c>
      <c r="F2411" s="14">
        <v>1113426.1200000001</v>
      </c>
      <c r="G2411" s="12">
        <v>0</v>
      </c>
      <c r="H2411" s="10"/>
      <c r="I2411" s="10"/>
    </row>
    <row r="2412" spans="1:9">
      <c r="A2412" s="10" t="s">
        <v>3378</v>
      </c>
      <c r="B2412" s="124" t="s">
        <v>522</v>
      </c>
      <c r="C2412" s="124" t="s">
        <v>531</v>
      </c>
      <c r="D2412" s="14">
        <v>1572269.73</v>
      </c>
      <c r="E2412" s="82">
        <v>0.97907740060000004</v>
      </c>
      <c r="F2412" s="14">
        <v>1539373.76</v>
      </c>
      <c r="G2412" s="12">
        <v>0</v>
      </c>
      <c r="H2412" s="10"/>
      <c r="I2412" s="10"/>
    </row>
    <row r="2413" spans="1:9">
      <c r="A2413" s="10" t="s">
        <v>3379</v>
      </c>
      <c r="B2413" s="124" t="s">
        <v>485</v>
      </c>
      <c r="C2413" s="124" t="s">
        <v>531</v>
      </c>
      <c r="D2413" s="154">
        <v>2052150.6</v>
      </c>
      <c r="E2413" s="82">
        <v>0.98873128020000001</v>
      </c>
      <c r="F2413" s="14">
        <v>2029025.49</v>
      </c>
      <c r="G2413" s="12">
        <v>0</v>
      </c>
      <c r="H2413" s="10"/>
      <c r="I2413" s="10"/>
    </row>
    <row r="2414" spans="1:9">
      <c r="A2414" s="10" t="s">
        <v>3380</v>
      </c>
      <c r="B2414" s="124" t="s">
        <v>488</v>
      </c>
      <c r="C2414" s="124" t="s">
        <v>531</v>
      </c>
      <c r="D2414" s="14">
        <v>88697647.719999999</v>
      </c>
      <c r="E2414" s="82">
        <v>0.98526159849999995</v>
      </c>
      <c r="F2414" s="14">
        <v>87390386.180000007</v>
      </c>
      <c r="G2414" s="14">
        <v>0.12</v>
      </c>
      <c r="H2414" s="10"/>
      <c r="I2414" s="10"/>
    </row>
    <row r="2415" spans="1:9">
      <c r="A2415" s="10" t="s">
        <v>3381</v>
      </c>
      <c r="B2415" s="124" t="s">
        <v>527</v>
      </c>
      <c r="C2415" s="124" t="s">
        <v>531</v>
      </c>
      <c r="D2415" s="14">
        <v>4082183.08</v>
      </c>
      <c r="E2415" s="82">
        <v>0.98044487739999997</v>
      </c>
      <c r="F2415" s="14">
        <v>4002355.49</v>
      </c>
      <c r="G2415" s="14">
        <v>0.01</v>
      </c>
      <c r="H2415" s="10"/>
      <c r="I2415" s="10"/>
    </row>
    <row r="2416" spans="1:9">
      <c r="A2416" s="10" t="s">
        <v>3382</v>
      </c>
      <c r="B2416" s="124" t="s">
        <v>518</v>
      </c>
      <c r="C2416" s="124" t="s">
        <v>531</v>
      </c>
      <c r="D2416" s="14">
        <v>8752704.4100000001</v>
      </c>
      <c r="E2416" s="82">
        <v>0.98113015709999996</v>
      </c>
      <c r="F2416" s="14">
        <v>8587542.25</v>
      </c>
      <c r="G2416" s="14">
        <v>0.01</v>
      </c>
      <c r="H2416" s="10"/>
      <c r="I2416" s="10"/>
    </row>
    <row r="2417" spans="1:9">
      <c r="A2417" s="10" t="s">
        <v>3383</v>
      </c>
      <c r="B2417" s="124" t="s">
        <v>655</v>
      </c>
      <c r="C2417" s="124" t="s">
        <v>531</v>
      </c>
      <c r="D2417" s="12">
        <v>20000000</v>
      </c>
      <c r="E2417" s="82">
        <v>0.95886092869999995</v>
      </c>
      <c r="F2417" s="14">
        <v>19177218.57</v>
      </c>
      <c r="G2417" s="14">
        <v>0.03</v>
      </c>
      <c r="H2417" s="10"/>
      <c r="I2417" s="10"/>
    </row>
    <row r="2418" spans="1:9">
      <c r="A2418" s="10" t="s">
        <v>3384</v>
      </c>
      <c r="B2418" s="124" t="s">
        <v>883</v>
      </c>
      <c r="C2418" s="124" t="s">
        <v>531</v>
      </c>
      <c r="D2418" s="12">
        <v>150000000</v>
      </c>
      <c r="E2418" s="82">
        <v>0.97162342690000003</v>
      </c>
      <c r="F2418" s="14">
        <v>145743514.03999999</v>
      </c>
      <c r="G2418" s="14">
        <v>0.19</v>
      </c>
      <c r="H2418" s="10"/>
      <c r="I2418" s="10"/>
    </row>
    <row r="2419" spans="1:9">
      <c r="A2419" s="10" t="s">
        <v>3385</v>
      </c>
      <c r="B2419" s="124" t="s">
        <v>574</v>
      </c>
      <c r="C2419" s="124" t="s">
        <v>531</v>
      </c>
      <c r="D2419" s="12">
        <v>50000000</v>
      </c>
      <c r="E2419" s="82">
        <v>0.97432081520000002</v>
      </c>
      <c r="F2419" s="14">
        <v>48716040.759999998</v>
      </c>
      <c r="G2419" s="14">
        <v>0.06</v>
      </c>
      <c r="H2419" s="10"/>
      <c r="I2419" s="10"/>
    </row>
    <row r="2420" spans="1:9">
      <c r="A2420" s="10" t="s">
        <v>3386</v>
      </c>
      <c r="B2420" s="124" t="s">
        <v>497</v>
      </c>
      <c r="C2420" s="124" t="s">
        <v>531</v>
      </c>
      <c r="D2420" s="12">
        <v>8000000</v>
      </c>
      <c r="E2420" s="158">
        <v>0.96847822800000005</v>
      </c>
      <c r="F2420" s="14">
        <v>7747825.8200000003</v>
      </c>
      <c r="G2420" s="14">
        <v>0.01</v>
      </c>
      <c r="H2420" s="10"/>
      <c r="I2420" s="10"/>
    </row>
    <row r="2421" spans="1:9">
      <c r="A2421" s="10" t="s">
        <v>3387</v>
      </c>
      <c r="B2421" s="124" t="s">
        <v>948</v>
      </c>
      <c r="C2421" s="124" t="s">
        <v>531</v>
      </c>
      <c r="D2421" s="12">
        <v>8000000</v>
      </c>
      <c r="E2421" s="82">
        <v>0.96295920769999999</v>
      </c>
      <c r="F2421" s="14">
        <v>7703673.6600000001</v>
      </c>
      <c r="G2421" s="14">
        <v>0.01</v>
      </c>
      <c r="H2421" s="10"/>
      <c r="I2421" s="10"/>
    </row>
    <row r="2422" spans="1:9">
      <c r="A2422" s="10" t="s">
        <v>3388</v>
      </c>
      <c r="B2422" s="124" t="s">
        <v>583</v>
      </c>
      <c r="C2422" s="124" t="s">
        <v>531</v>
      </c>
      <c r="D2422" s="12">
        <v>8000000</v>
      </c>
      <c r="E2422" s="82">
        <v>0.9636457008</v>
      </c>
      <c r="F2422" s="14">
        <v>7709165.6100000003</v>
      </c>
      <c r="G2422" s="14">
        <v>0.01</v>
      </c>
      <c r="H2422" s="10"/>
      <c r="I2422" s="10"/>
    </row>
    <row r="2423" spans="1:9">
      <c r="A2423" s="10" t="s">
        <v>3389</v>
      </c>
      <c r="B2423" s="124" t="s">
        <v>1007</v>
      </c>
      <c r="C2423" s="124" t="s">
        <v>531</v>
      </c>
      <c r="D2423" s="12">
        <v>8000000</v>
      </c>
      <c r="E2423" s="82">
        <v>0.96778483380000002</v>
      </c>
      <c r="F2423" s="14">
        <v>7742278.6699999999</v>
      </c>
      <c r="G2423" s="14">
        <v>0.01</v>
      </c>
      <c r="H2423" s="10"/>
      <c r="I2423" s="10"/>
    </row>
    <row r="2424" spans="1:9">
      <c r="A2424" s="10" t="s">
        <v>3390</v>
      </c>
      <c r="B2424" s="124" t="s">
        <v>500</v>
      </c>
      <c r="C2424" s="124" t="s">
        <v>531</v>
      </c>
      <c r="D2424" s="14">
        <v>26231345.640000001</v>
      </c>
      <c r="E2424" s="82">
        <v>0.96433294010000004</v>
      </c>
      <c r="F2424" s="14">
        <v>25295750.66</v>
      </c>
      <c r="G2424" s="14">
        <v>0.03</v>
      </c>
      <c r="H2424" s="10"/>
      <c r="I2424" s="10"/>
    </row>
    <row r="2425" spans="1:9">
      <c r="A2425" s="10" t="s">
        <v>3391</v>
      </c>
      <c r="B2425" s="124" t="s">
        <v>819</v>
      </c>
      <c r="C2425" s="124" t="s">
        <v>531</v>
      </c>
      <c r="D2425" s="14">
        <v>26231345.640000001</v>
      </c>
      <c r="E2425" s="82">
        <v>0.94478819439999995</v>
      </c>
      <c r="F2425" s="14">
        <v>24783065.68</v>
      </c>
      <c r="G2425" s="14">
        <v>0.03</v>
      </c>
      <c r="H2425" s="10"/>
      <c r="I2425" s="10"/>
    </row>
    <row r="2426" spans="1:9">
      <c r="A2426" s="10" t="s">
        <v>3392</v>
      </c>
      <c r="B2426" s="124" t="s">
        <v>655</v>
      </c>
      <c r="C2426" s="124" t="s">
        <v>531</v>
      </c>
      <c r="D2426" s="12">
        <v>8268850</v>
      </c>
      <c r="E2426" s="82">
        <v>0.95886092869999995</v>
      </c>
      <c r="F2426" s="14">
        <v>7928677.1900000004</v>
      </c>
      <c r="G2426" s="14">
        <v>0.01</v>
      </c>
      <c r="H2426" s="10"/>
      <c r="I2426" s="10"/>
    </row>
    <row r="2427" spans="1:9">
      <c r="A2427" s="10" t="s">
        <v>3393</v>
      </c>
      <c r="B2427" s="124" t="s">
        <v>655</v>
      </c>
      <c r="C2427" s="124" t="s">
        <v>531</v>
      </c>
      <c r="D2427" s="12">
        <v>46583450</v>
      </c>
      <c r="E2427" s="82">
        <v>0.95886092869999995</v>
      </c>
      <c r="F2427" s="14">
        <v>44667050.130000003</v>
      </c>
      <c r="G2427" s="14">
        <v>0.06</v>
      </c>
      <c r="H2427" s="10"/>
      <c r="I2427" s="10"/>
    </row>
    <row r="2428" spans="1:9">
      <c r="A2428" s="10" t="s">
        <v>3394</v>
      </c>
      <c r="B2428" s="124" t="s">
        <v>3395</v>
      </c>
      <c r="C2428" s="124" t="s">
        <v>531</v>
      </c>
      <c r="D2428" s="12">
        <v>2833000</v>
      </c>
      <c r="E2428" s="82">
        <v>0.81436872719999998</v>
      </c>
      <c r="F2428" s="154">
        <v>2307106.6</v>
      </c>
      <c r="G2428" s="12">
        <v>0</v>
      </c>
      <c r="H2428" s="10"/>
      <c r="I2428" s="10"/>
    </row>
    <row r="2429" spans="1:9">
      <c r="A2429" s="10" t="s">
        <v>3396</v>
      </c>
      <c r="B2429" s="124" t="s">
        <v>1699</v>
      </c>
      <c r="C2429" s="124" t="s">
        <v>531</v>
      </c>
      <c r="D2429" s="12">
        <v>2833000</v>
      </c>
      <c r="E2429" s="82">
        <v>0.88998348679999995</v>
      </c>
      <c r="F2429" s="14">
        <v>2521323.2200000002</v>
      </c>
      <c r="G2429" s="12">
        <v>0</v>
      </c>
      <c r="H2429" s="10"/>
      <c r="I2429" s="10"/>
    </row>
    <row r="2430" spans="1:9">
      <c r="A2430" s="10" t="s">
        <v>3397</v>
      </c>
      <c r="B2430" s="124" t="s">
        <v>454</v>
      </c>
      <c r="C2430" s="124" t="s">
        <v>531</v>
      </c>
      <c r="D2430" s="12">
        <v>2833000</v>
      </c>
      <c r="E2430" s="82">
        <v>0.87095557020000003</v>
      </c>
      <c r="F2430" s="14">
        <v>2467417.13</v>
      </c>
      <c r="G2430" s="12">
        <v>0</v>
      </c>
      <c r="H2430" s="10"/>
      <c r="I2430" s="10"/>
    </row>
    <row r="2431" spans="1:9">
      <c r="A2431" s="10" t="s">
        <v>3398</v>
      </c>
      <c r="B2431" s="124" t="s">
        <v>1182</v>
      </c>
      <c r="C2431" s="124" t="s">
        <v>531</v>
      </c>
      <c r="D2431" s="12">
        <v>2833000</v>
      </c>
      <c r="E2431" s="158">
        <v>0.84954858300000002</v>
      </c>
      <c r="F2431" s="14">
        <v>2406771.14</v>
      </c>
      <c r="G2431" s="12">
        <v>0</v>
      </c>
      <c r="H2431" s="10"/>
      <c r="I2431" s="10"/>
    </row>
    <row r="2432" spans="1:9">
      <c r="A2432" s="10" t="s">
        <v>3399</v>
      </c>
      <c r="B2432" s="124" t="s">
        <v>3400</v>
      </c>
      <c r="C2432" s="124" t="s">
        <v>531</v>
      </c>
      <c r="D2432" s="12">
        <v>2833000</v>
      </c>
      <c r="E2432" s="82">
        <v>0.83098085960000001</v>
      </c>
      <c r="F2432" s="14">
        <v>2354168.7799999998</v>
      </c>
      <c r="G2432" s="12">
        <v>0</v>
      </c>
      <c r="H2432" s="10"/>
      <c r="I2432" s="10"/>
    </row>
    <row r="2433" spans="1:9">
      <c r="A2433" s="10" t="s">
        <v>3401</v>
      </c>
      <c r="B2433" s="124" t="s">
        <v>808</v>
      </c>
      <c r="C2433" s="124" t="s">
        <v>531</v>
      </c>
      <c r="D2433" s="12">
        <v>2833000</v>
      </c>
      <c r="E2433" s="82">
        <v>0.92536272060000002</v>
      </c>
      <c r="F2433" s="14">
        <v>2621552.59</v>
      </c>
      <c r="G2433" s="12">
        <v>0</v>
      </c>
      <c r="H2433" s="10"/>
      <c r="I2433" s="10"/>
    </row>
    <row r="2434" spans="1:9">
      <c r="A2434" s="10" t="s">
        <v>3402</v>
      </c>
      <c r="B2434" s="124" t="s">
        <v>793</v>
      </c>
      <c r="C2434" s="124" t="s">
        <v>531</v>
      </c>
      <c r="D2434" s="12">
        <v>2833000</v>
      </c>
      <c r="E2434" s="82">
        <v>0.9468715352</v>
      </c>
      <c r="F2434" s="14">
        <v>2682487.06</v>
      </c>
      <c r="G2434" s="12">
        <v>0</v>
      </c>
      <c r="H2434" s="10"/>
      <c r="I2434" s="10"/>
    </row>
    <row r="2435" spans="1:9">
      <c r="A2435" s="10" t="s">
        <v>3403</v>
      </c>
      <c r="B2435" s="124" t="s">
        <v>520</v>
      </c>
      <c r="C2435" s="124" t="s">
        <v>531</v>
      </c>
      <c r="D2435" s="12">
        <v>70000000</v>
      </c>
      <c r="E2435" s="82">
        <v>0.97445096750000004</v>
      </c>
      <c r="F2435" s="14">
        <v>68211567.730000004</v>
      </c>
      <c r="G2435" s="14">
        <v>0.09</v>
      </c>
      <c r="H2435" s="10"/>
      <c r="I2435" s="10"/>
    </row>
    <row r="2436" spans="1:9">
      <c r="A2436" s="10" t="s">
        <v>3404</v>
      </c>
      <c r="B2436" s="124" t="s">
        <v>516</v>
      </c>
      <c r="C2436" s="124" t="s">
        <v>531</v>
      </c>
      <c r="D2436" s="14">
        <v>23503916.969999999</v>
      </c>
      <c r="E2436" s="82">
        <v>0.98128838910000005</v>
      </c>
      <c r="F2436" s="14">
        <v>23064120.82</v>
      </c>
      <c r="G2436" s="14">
        <v>0.03</v>
      </c>
      <c r="H2436" s="10"/>
      <c r="I2436" s="10"/>
    </row>
    <row r="2437" spans="1:9">
      <c r="A2437" s="10" t="s">
        <v>3405</v>
      </c>
      <c r="B2437" s="124" t="s">
        <v>516</v>
      </c>
      <c r="C2437" s="124" t="s">
        <v>531</v>
      </c>
      <c r="D2437" s="14">
        <v>1365265160.71</v>
      </c>
      <c r="E2437" s="82">
        <v>0.98128838910000005</v>
      </c>
      <c r="F2437" s="14">
        <v>1339718850.25</v>
      </c>
      <c r="G2437" s="14">
        <v>1.78</v>
      </c>
      <c r="H2437" s="10"/>
      <c r="I2437" s="10"/>
    </row>
    <row r="2438" spans="1:9">
      <c r="A2438" s="10" t="s">
        <v>3406</v>
      </c>
      <c r="B2438" s="124" t="s">
        <v>516</v>
      </c>
      <c r="C2438" s="124" t="s">
        <v>531</v>
      </c>
      <c r="D2438" s="14">
        <v>80351763.060000002</v>
      </c>
      <c r="E2438" s="82">
        <v>0.98128838910000005</v>
      </c>
      <c r="F2438" s="14">
        <v>78848252.129999995</v>
      </c>
      <c r="G2438" s="154">
        <v>0.1</v>
      </c>
      <c r="H2438" s="10"/>
      <c r="I2438" s="10"/>
    </row>
    <row r="2439" spans="1:9">
      <c r="A2439" s="10" t="s">
        <v>3407</v>
      </c>
      <c r="B2439" s="124" t="s">
        <v>522</v>
      </c>
      <c r="C2439" s="124" t="s">
        <v>531</v>
      </c>
      <c r="D2439" s="12">
        <v>5000000</v>
      </c>
      <c r="E2439" s="82">
        <v>0.97593600189999996</v>
      </c>
      <c r="F2439" s="14">
        <v>4879680.01</v>
      </c>
      <c r="G2439" s="14">
        <v>0.01</v>
      </c>
      <c r="H2439" s="10"/>
      <c r="I2439" s="10"/>
    </row>
    <row r="2440" spans="1:9">
      <c r="A2440" s="10" t="s">
        <v>3408</v>
      </c>
      <c r="B2440" s="124" t="s">
        <v>524</v>
      </c>
      <c r="C2440" s="124" t="s">
        <v>531</v>
      </c>
      <c r="D2440" s="12">
        <v>5000000</v>
      </c>
      <c r="E2440" s="82">
        <v>0.97281464790000005</v>
      </c>
      <c r="F2440" s="14">
        <v>4864073.24</v>
      </c>
      <c r="G2440" s="14">
        <v>0.01</v>
      </c>
      <c r="H2440" s="10"/>
      <c r="I2440" s="10"/>
    </row>
    <row r="2441" spans="1:9">
      <c r="A2441" s="10" t="s">
        <v>3409</v>
      </c>
      <c r="B2441" s="124" t="s">
        <v>504</v>
      </c>
      <c r="C2441" s="124" t="s">
        <v>531</v>
      </c>
      <c r="D2441" s="12">
        <v>5000000</v>
      </c>
      <c r="E2441" s="82">
        <v>0.96586401820000001</v>
      </c>
      <c r="F2441" s="14">
        <v>4829320.09</v>
      </c>
      <c r="G2441" s="14">
        <v>0.01</v>
      </c>
      <c r="H2441" s="10"/>
      <c r="I2441" s="10"/>
    </row>
    <row r="2442" spans="1:9">
      <c r="A2442" s="10" t="s">
        <v>3410</v>
      </c>
      <c r="B2442" s="124" t="s">
        <v>504</v>
      </c>
      <c r="C2442" s="124" t="s">
        <v>531</v>
      </c>
      <c r="D2442" s="12">
        <v>5000000</v>
      </c>
      <c r="E2442" s="82">
        <v>0.96586401820000001</v>
      </c>
      <c r="F2442" s="14">
        <v>4829320.09</v>
      </c>
      <c r="G2442" s="14">
        <v>0.01</v>
      </c>
      <c r="H2442" s="10"/>
      <c r="I2442" s="10"/>
    </row>
    <row r="2443" spans="1:9">
      <c r="A2443" s="10" t="s">
        <v>3411</v>
      </c>
      <c r="B2443" s="124" t="s">
        <v>854</v>
      </c>
      <c r="C2443" s="124" t="s">
        <v>531</v>
      </c>
      <c r="D2443" s="154">
        <v>1555000.5</v>
      </c>
      <c r="E2443" s="82">
        <v>0.94132820539999995</v>
      </c>
      <c r="F2443" s="14">
        <v>1463765.83</v>
      </c>
      <c r="G2443" s="12">
        <v>0</v>
      </c>
      <c r="H2443" s="10"/>
      <c r="I2443" s="10"/>
    </row>
    <row r="2444" spans="1:9">
      <c r="A2444" s="10" t="s">
        <v>3412</v>
      </c>
      <c r="B2444" s="124" t="s">
        <v>1161</v>
      </c>
      <c r="C2444" s="124" t="s">
        <v>531</v>
      </c>
      <c r="D2444" s="154">
        <v>3256800.5</v>
      </c>
      <c r="E2444" s="82">
        <v>0.94303080350000001</v>
      </c>
      <c r="F2444" s="14">
        <v>3071263.19</v>
      </c>
      <c r="G2444" s="12">
        <v>0</v>
      </c>
      <c r="H2444" s="10"/>
      <c r="I2444" s="10"/>
    </row>
    <row r="2445" spans="1:9">
      <c r="A2445" s="10" t="s">
        <v>3413</v>
      </c>
      <c r="B2445" s="124" t="s">
        <v>660</v>
      </c>
      <c r="C2445" s="124" t="s">
        <v>531</v>
      </c>
      <c r="D2445" s="14">
        <v>2510000.36</v>
      </c>
      <c r="E2445" s="82">
        <v>0.96752825590000002</v>
      </c>
      <c r="F2445" s="14">
        <v>2428496.27</v>
      </c>
      <c r="G2445" s="12">
        <v>0</v>
      </c>
      <c r="H2445" s="10"/>
      <c r="I2445" s="10"/>
    </row>
    <row r="2446" spans="1:9">
      <c r="A2446" s="10" t="s">
        <v>3414</v>
      </c>
      <c r="B2446" s="124" t="s">
        <v>793</v>
      </c>
      <c r="C2446" s="124" t="s">
        <v>531</v>
      </c>
      <c r="D2446" s="154">
        <v>3256800.5</v>
      </c>
      <c r="E2446" s="82">
        <v>0.94217873569999999</v>
      </c>
      <c r="F2446" s="14">
        <v>3068488.18</v>
      </c>
      <c r="G2446" s="12">
        <v>0</v>
      </c>
      <c r="H2446" s="10"/>
      <c r="I2446" s="10"/>
    </row>
    <row r="2447" spans="1:9">
      <c r="A2447" s="10" t="s">
        <v>3415</v>
      </c>
      <c r="B2447" s="124" t="s">
        <v>680</v>
      </c>
      <c r="C2447" s="124" t="s">
        <v>531</v>
      </c>
      <c r="D2447" s="14">
        <v>3789564.21</v>
      </c>
      <c r="E2447" s="82">
        <v>0.9666313688</v>
      </c>
      <c r="F2447" s="14">
        <v>3663111.64</v>
      </c>
      <c r="G2447" s="12">
        <v>0</v>
      </c>
      <c r="H2447" s="10"/>
      <c r="I2447" s="10"/>
    </row>
    <row r="2448" spans="1:9">
      <c r="A2448" s="10" t="s">
        <v>3416</v>
      </c>
      <c r="B2448" s="124" t="s">
        <v>680</v>
      </c>
      <c r="C2448" s="124" t="s">
        <v>531</v>
      </c>
      <c r="D2448" s="14">
        <v>2510000.36</v>
      </c>
      <c r="E2448" s="158">
        <v>0.96663136699999996</v>
      </c>
      <c r="F2448" s="14">
        <v>2426245.08</v>
      </c>
      <c r="G2448" s="12">
        <v>0</v>
      </c>
      <c r="H2448" s="10"/>
      <c r="I2448" s="10"/>
    </row>
    <row r="2449" spans="1:9">
      <c r="A2449" s="10" t="s">
        <v>3417</v>
      </c>
      <c r="B2449" s="124" t="s">
        <v>522</v>
      </c>
      <c r="C2449" s="124" t="s">
        <v>531</v>
      </c>
      <c r="D2449" s="14">
        <v>2510000.36</v>
      </c>
      <c r="E2449" s="82">
        <v>0.97203748239999999</v>
      </c>
      <c r="F2449" s="14">
        <v>2439814.4300000002</v>
      </c>
      <c r="G2449" s="12">
        <v>0</v>
      </c>
      <c r="H2449" s="10"/>
      <c r="I2449" s="10"/>
    </row>
    <row r="2450" spans="1:9">
      <c r="A2450" s="10" t="s">
        <v>3418</v>
      </c>
      <c r="B2450" s="124" t="s">
        <v>520</v>
      </c>
      <c r="C2450" s="124" t="s">
        <v>531</v>
      </c>
      <c r="D2450" s="12">
        <v>10576000</v>
      </c>
      <c r="E2450" s="82">
        <v>0.97671953460000005</v>
      </c>
      <c r="F2450" s="154">
        <v>10329785.800000001</v>
      </c>
      <c r="G2450" s="14">
        <v>0.01</v>
      </c>
      <c r="H2450" s="10"/>
      <c r="I2450" s="10"/>
    </row>
    <row r="2451" spans="1:9">
      <c r="A2451" s="10" t="s">
        <v>3419</v>
      </c>
      <c r="B2451" s="124" t="s">
        <v>524</v>
      </c>
      <c r="C2451" s="124" t="s">
        <v>531</v>
      </c>
      <c r="D2451" s="12">
        <v>530000</v>
      </c>
      <c r="E2451" s="82">
        <v>0.97281466029999997</v>
      </c>
      <c r="F2451" s="14">
        <v>515591.77</v>
      </c>
      <c r="G2451" s="12">
        <v>0</v>
      </c>
      <c r="H2451" s="10"/>
      <c r="I2451" s="10"/>
    </row>
    <row r="2452" spans="1:9">
      <c r="A2452" s="10" t="s">
        <v>3420</v>
      </c>
      <c r="B2452" s="124" t="s">
        <v>580</v>
      </c>
      <c r="C2452" s="124" t="s">
        <v>531</v>
      </c>
      <c r="D2452" s="14">
        <v>2996311.46</v>
      </c>
      <c r="E2452" s="82">
        <v>0.98862406660000002</v>
      </c>
      <c r="F2452" s="14">
        <v>2962225.62</v>
      </c>
      <c r="G2452" s="12">
        <v>0</v>
      </c>
      <c r="H2452" s="10"/>
      <c r="I2452" s="10"/>
    </row>
    <row r="2453" spans="1:9">
      <c r="A2453" s="10" t="s">
        <v>3421</v>
      </c>
      <c r="B2453" s="124" t="s">
        <v>485</v>
      </c>
      <c r="C2453" s="124" t="s">
        <v>531</v>
      </c>
      <c r="D2453" s="154">
        <v>814027.5</v>
      </c>
      <c r="E2453" s="82">
        <v>0.98702013119999998</v>
      </c>
      <c r="F2453" s="14">
        <v>803461.53</v>
      </c>
      <c r="G2453" s="12">
        <v>0</v>
      </c>
      <c r="H2453" s="10"/>
      <c r="I2453" s="10"/>
    </row>
    <row r="2454" spans="1:9">
      <c r="A2454" s="10" t="s">
        <v>3422</v>
      </c>
      <c r="B2454" s="124" t="s">
        <v>490</v>
      </c>
      <c r="C2454" s="124" t="s">
        <v>531</v>
      </c>
      <c r="D2454" s="12">
        <v>1060000</v>
      </c>
      <c r="E2454" s="82">
        <v>0.98223917949999995</v>
      </c>
      <c r="F2454" s="14">
        <v>1041173.53</v>
      </c>
      <c r="G2454" s="12">
        <v>0</v>
      </c>
      <c r="H2454" s="10"/>
      <c r="I2454" s="10"/>
    </row>
    <row r="2455" spans="1:9">
      <c r="A2455" s="10" t="s">
        <v>3423</v>
      </c>
      <c r="B2455" s="124" t="s">
        <v>948</v>
      </c>
      <c r="C2455" s="124" t="s">
        <v>531</v>
      </c>
      <c r="D2455" s="14">
        <v>1059989.51</v>
      </c>
      <c r="E2455" s="82">
        <v>0.95901224470000002</v>
      </c>
      <c r="F2455" s="14">
        <v>1016542.92</v>
      </c>
      <c r="G2455" s="12">
        <v>0</v>
      </c>
      <c r="H2455" s="10"/>
      <c r="I2455" s="10"/>
    </row>
    <row r="2456" spans="1:9">
      <c r="A2456" s="10" t="s">
        <v>3424</v>
      </c>
      <c r="B2456" s="124" t="s">
        <v>502</v>
      </c>
      <c r="C2456" s="124" t="s">
        <v>531</v>
      </c>
      <c r="D2456" s="12">
        <v>500000</v>
      </c>
      <c r="E2456" s="82">
        <v>0.9552473802</v>
      </c>
      <c r="F2456" s="14">
        <v>477623.69</v>
      </c>
      <c r="G2456" s="12">
        <v>0</v>
      </c>
      <c r="H2456" s="10"/>
      <c r="I2456" s="10"/>
    </row>
    <row r="2457" spans="1:9">
      <c r="A2457" s="10" t="s">
        <v>3425</v>
      </c>
      <c r="B2457" s="124" t="s">
        <v>655</v>
      </c>
      <c r="C2457" s="124" t="s">
        <v>531</v>
      </c>
      <c r="D2457" s="14">
        <v>543369.21</v>
      </c>
      <c r="E2457" s="82">
        <v>0.95449791809999995</v>
      </c>
      <c r="F2457" s="14">
        <v>518644.78</v>
      </c>
      <c r="G2457" s="12">
        <v>0</v>
      </c>
      <c r="H2457" s="10"/>
      <c r="I2457" s="10"/>
    </row>
    <row r="2458" spans="1:9">
      <c r="A2458" s="10" t="s">
        <v>3426</v>
      </c>
      <c r="B2458" s="124" t="s">
        <v>497</v>
      </c>
      <c r="C2458" s="124" t="s">
        <v>531</v>
      </c>
      <c r="D2458" s="12">
        <v>500000</v>
      </c>
      <c r="E2458" s="82">
        <v>0.96509805979999996</v>
      </c>
      <c r="F2458" s="14">
        <v>482549.03</v>
      </c>
      <c r="G2458" s="12">
        <v>0</v>
      </c>
      <c r="H2458" s="10"/>
      <c r="I2458" s="10"/>
    </row>
    <row r="2459" spans="1:9">
      <c r="A2459" s="10" t="s">
        <v>3427</v>
      </c>
      <c r="B2459" s="124" t="s">
        <v>527</v>
      </c>
      <c r="C2459" s="124" t="s">
        <v>531</v>
      </c>
      <c r="D2459" s="14">
        <v>3049306.82</v>
      </c>
      <c r="E2459" s="82">
        <v>0.97750407719999999</v>
      </c>
      <c r="F2459" s="14">
        <v>2980709.85</v>
      </c>
      <c r="G2459" s="12">
        <v>0</v>
      </c>
      <c r="H2459" s="10"/>
      <c r="I2459" s="10"/>
    </row>
    <row r="2460" spans="1:9">
      <c r="A2460" s="10" t="s">
        <v>3428</v>
      </c>
      <c r="B2460" s="124" t="s">
        <v>446</v>
      </c>
      <c r="C2460" s="124" t="s">
        <v>531</v>
      </c>
      <c r="D2460" s="12">
        <v>2500000</v>
      </c>
      <c r="E2460" s="158">
        <v>0.96128534799999998</v>
      </c>
      <c r="F2460" s="14">
        <v>2403213.37</v>
      </c>
      <c r="G2460" s="12">
        <v>0</v>
      </c>
      <c r="H2460" s="10"/>
      <c r="I2460" s="10"/>
    </row>
    <row r="2461" spans="1:9">
      <c r="A2461" s="10" t="s">
        <v>3429</v>
      </c>
      <c r="B2461" s="124" t="s">
        <v>1161</v>
      </c>
      <c r="C2461" s="124" t="s">
        <v>531</v>
      </c>
      <c r="D2461" s="12">
        <v>2500000</v>
      </c>
      <c r="E2461" s="82">
        <v>0.95076859619999998</v>
      </c>
      <c r="F2461" s="14">
        <v>2376921.4900000002</v>
      </c>
      <c r="G2461" s="12">
        <v>0</v>
      </c>
      <c r="H2461" s="10"/>
      <c r="I2461" s="10"/>
    </row>
    <row r="2462" spans="1:9">
      <c r="A2462" s="10" t="s">
        <v>3430</v>
      </c>
      <c r="B2462" s="124" t="s">
        <v>660</v>
      </c>
      <c r="C2462" s="124" t="s">
        <v>531</v>
      </c>
      <c r="D2462" s="12">
        <v>2500000</v>
      </c>
      <c r="E2462" s="82">
        <v>0.97203736429999998</v>
      </c>
      <c r="F2462" s="14">
        <v>2430093.41</v>
      </c>
      <c r="G2462" s="12">
        <v>0</v>
      </c>
      <c r="H2462" s="10"/>
      <c r="I2462" s="10"/>
    </row>
    <row r="2463" spans="1:9">
      <c r="A2463" s="10" t="s">
        <v>3431</v>
      </c>
      <c r="B2463" s="124" t="s">
        <v>497</v>
      </c>
      <c r="C2463" s="124" t="s">
        <v>531</v>
      </c>
      <c r="D2463" s="12">
        <v>2500000</v>
      </c>
      <c r="E2463" s="82">
        <v>0.96509804850000003</v>
      </c>
      <c r="F2463" s="14">
        <v>2412745.12</v>
      </c>
      <c r="G2463" s="12">
        <v>0</v>
      </c>
      <c r="H2463" s="10"/>
      <c r="I2463" s="10"/>
    </row>
    <row r="2464" spans="1:9">
      <c r="A2464" s="10" t="s">
        <v>3432</v>
      </c>
      <c r="B2464" s="124" t="s">
        <v>580</v>
      </c>
      <c r="C2464" s="124" t="s">
        <v>531</v>
      </c>
      <c r="D2464" s="12">
        <v>2270000</v>
      </c>
      <c r="E2464" s="82">
        <v>0.98862406629999999</v>
      </c>
      <c r="F2464" s="14">
        <v>2244176.63</v>
      </c>
      <c r="G2464" s="12">
        <v>0</v>
      </c>
      <c r="H2464" s="10"/>
      <c r="I2464" s="10"/>
    </row>
    <row r="2465" spans="1:9">
      <c r="A2465" s="10" t="s">
        <v>3433</v>
      </c>
      <c r="B2465" s="124" t="s">
        <v>948</v>
      </c>
      <c r="C2465" s="124" t="s">
        <v>531</v>
      </c>
      <c r="D2465" s="14">
        <v>2269565.34</v>
      </c>
      <c r="E2465" s="82">
        <v>0.95901225779999999</v>
      </c>
      <c r="F2465" s="14">
        <v>2176540.98</v>
      </c>
      <c r="G2465" s="12">
        <v>0</v>
      </c>
      <c r="H2465" s="10"/>
      <c r="I2465" s="10"/>
    </row>
    <row r="2466" spans="1:9">
      <c r="A2466" s="10" t="s">
        <v>3434</v>
      </c>
      <c r="B2466" s="124" t="s">
        <v>766</v>
      </c>
      <c r="C2466" s="124" t="s">
        <v>531</v>
      </c>
      <c r="D2466" s="12">
        <v>2270000</v>
      </c>
      <c r="E2466" s="82">
        <v>0.9751537227</v>
      </c>
      <c r="F2466" s="14">
        <v>2213598.9500000002</v>
      </c>
      <c r="G2466" s="12">
        <v>0</v>
      </c>
      <c r="H2466" s="10"/>
      <c r="I2466" s="10"/>
    </row>
    <row r="2467" spans="1:9">
      <c r="A2467" s="10" t="s">
        <v>3435</v>
      </c>
      <c r="B2467" s="124" t="s">
        <v>450</v>
      </c>
      <c r="C2467" s="124" t="s">
        <v>531</v>
      </c>
      <c r="D2467" s="12">
        <v>700000</v>
      </c>
      <c r="E2467" s="82">
        <v>0.93975295670000003</v>
      </c>
      <c r="F2467" s="14">
        <v>657827.06999999995</v>
      </c>
      <c r="G2467" s="12">
        <v>0</v>
      </c>
      <c r="H2467" s="10"/>
      <c r="I2467" s="10"/>
    </row>
    <row r="2468" spans="1:9">
      <c r="A2468" s="10" t="s">
        <v>3436</v>
      </c>
      <c r="B2468" s="124" t="s">
        <v>502</v>
      </c>
      <c r="C2468" s="124" t="s">
        <v>531</v>
      </c>
      <c r="D2468" s="12">
        <v>600000</v>
      </c>
      <c r="E2468" s="158">
        <v>0.95524738300000001</v>
      </c>
      <c r="F2468" s="14">
        <v>573148.43000000005</v>
      </c>
      <c r="G2468" s="12">
        <v>0</v>
      </c>
      <c r="H2468" s="10"/>
      <c r="I2468" s="10"/>
    </row>
    <row r="2469" spans="1:9">
      <c r="A2469" s="10" t="s">
        <v>3437</v>
      </c>
      <c r="B2469" s="124" t="s">
        <v>808</v>
      </c>
      <c r="C2469" s="124" t="s">
        <v>531</v>
      </c>
      <c r="D2469" s="12">
        <v>750000</v>
      </c>
      <c r="E2469" s="158">
        <v>0.92969962699999997</v>
      </c>
      <c r="F2469" s="14">
        <v>697274.72</v>
      </c>
      <c r="G2469" s="12">
        <v>0</v>
      </c>
      <c r="H2469" s="10"/>
      <c r="I2469" s="10"/>
    </row>
    <row r="2470" spans="1:9">
      <c r="A2470" s="10" t="s">
        <v>3438</v>
      </c>
      <c r="B2470" s="124" t="s">
        <v>793</v>
      </c>
      <c r="C2470" s="124" t="s">
        <v>531</v>
      </c>
      <c r="D2470" s="12">
        <v>650000</v>
      </c>
      <c r="E2470" s="82">
        <v>0.95002612310000001</v>
      </c>
      <c r="F2470" s="14">
        <v>617516.98</v>
      </c>
      <c r="G2470" s="12">
        <v>0</v>
      </c>
      <c r="H2470" s="10"/>
      <c r="I2470" s="10"/>
    </row>
    <row r="2471" spans="1:9">
      <c r="A2471" s="10" t="s">
        <v>3439</v>
      </c>
      <c r="B2471" s="124" t="s">
        <v>500</v>
      </c>
      <c r="C2471" s="124" t="s">
        <v>531</v>
      </c>
      <c r="D2471" s="14">
        <v>9087933.1199999992</v>
      </c>
      <c r="E2471" s="82">
        <v>0.96052636889999998</v>
      </c>
      <c r="F2471" s="154">
        <v>8729199.4000000004</v>
      </c>
      <c r="G2471" s="14">
        <v>0.01</v>
      </c>
      <c r="H2471" s="10"/>
      <c r="I2471" s="10"/>
    </row>
    <row r="2472" spans="1:9">
      <c r="A2472" s="10" t="s">
        <v>3440</v>
      </c>
      <c r="B2472" s="124" t="s">
        <v>950</v>
      </c>
      <c r="C2472" s="124" t="s">
        <v>531</v>
      </c>
      <c r="D2472" s="12">
        <v>285000</v>
      </c>
      <c r="E2472" s="82">
        <v>0.95599807010000004</v>
      </c>
      <c r="F2472" s="14">
        <v>272459.45</v>
      </c>
      <c r="G2472" s="12">
        <v>0</v>
      </c>
      <c r="H2472" s="10"/>
      <c r="I2472" s="10"/>
    </row>
    <row r="2473" spans="1:9">
      <c r="A2473" s="10" t="s">
        <v>3441</v>
      </c>
      <c r="B2473" s="124" t="s">
        <v>441</v>
      </c>
      <c r="C2473" s="124" t="s">
        <v>531</v>
      </c>
      <c r="D2473" s="12">
        <v>1000000</v>
      </c>
      <c r="E2473" s="21">
        <v>0.99460466999999997</v>
      </c>
      <c r="F2473" s="14">
        <v>994604.67</v>
      </c>
      <c r="G2473" s="12">
        <v>0</v>
      </c>
      <c r="H2473" s="10"/>
      <c r="I2473" s="10"/>
    </row>
    <row r="2474" spans="1:9">
      <c r="A2474" s="10" t="s">
        <v>3442</v>
      </c>
      <c r="B2474" s="124" t="s">
        <v>482</v>
      </c>
      <c r="C2474" s="124" t="s">
        <v>531</v>
      </c>
      <c r="D2474" s="14">
        <v>1448241.66</v>
      </c>
      <c r="E2474" s="82">
        <v>0.98662001629999996</v>
      </c>
      <c r="F2474" s="14">
        <v>1428864.21</v>
      </c>
      <c r="G2474" s="12">
        <v>0</v>
      </c>
      <c r="H2474" s="10"/>
      <c r="I2474" s="10"/>
    </row>
    <row r="2475" spans="1:9">
      <c r="A2475" s="10" t="s">
        <v>3443</v>
      </c>
      <c r="B2475" s="124" t="s">
        <v>593</v>
      </c>
      <c r="C2475" s="124" t="s">
        <v>531</v>
      </c>
      <c r="D2475" s="12">
        <v>16250000</v>
      </c>
      <c r="E2475" s="82">
        <v>0.96341667659999997</v>
      </c>
      <c r="F2475" s="14">
        <v>15655520.99</v>
      </c>
      <c r="G2475" s="14">
        <v>0.02</v>
      </c>
      <c r="H2475" s="10"/>
      <c r="I2475" s="10"/>
    </row>
    <row r="2476" spans="1:9">
      <c r="A2476" s="10" t="s">
        <v>3444</v>
      </c>
      <c r="B2476" s="124" t="s">
        <v>500</v>
      </c>
      <c r="C2476" s="124" t="s">
        <v>531</v>
      </c>
      <c r="D2476" s="12">
        <v>13250000</v>
      </c>
      <c r="E2476" s="21">
        <v>0.95674972999999996</v>
      </c>
      <c r="F2476" s="14">
        <v>12676933.92</v>
      </c>
      <c r="G2476" s="14">
        <v>0.02</v>
      </c>
      <c r="H2476" s="10"/>
      <c r="I2476" s="10"/>
    </row>
    <row r="2477" spans="1:9">
      <c r="A2477" s="10" t="s">
        <v>3445</v>
      </c>
      <c r="B2477" s="124" t="s">
        <v>655</v>
      </c>
      <c r="C2477" s="124" t="s">
        <v>531</v>
      </c>
      <c r="D2477" s="12">
        <v>16500000</v>
      </c>
      <c r="E2477" s="82">
        <v>0.95017441989999996</v>
      </c>
      <c r="F2477" s="14">
        <v>15677877.93</v>
      </c>
      <c r="G2477" s="14">
        <v>0.02</v>
      </c>
      <c r="H2477" s="10"/>
      <c r="I2477" s="10"/>
    </row>
    <row r="2478" spans="1:9">
      <c r="A2478" s="10" t="s">
        <v>3446</v>
      </c>
      <c r="B2478" s="124" t="s">
        <v>520</v>
      </c>
      <c r="C2478" s="124" t="s">
        <v>531</v>
      </c>
      <c r="D2478" s="12">
        <v>16000000</v>
      </c>
      <c r="E2478" s="82">
        <v>0.97445096750000004</v>
      </c>
      <c r="F2478" s="14">
        <v>15591215.48</v>
      </c>
      <c r="G2478" s="14">
        <v>0.02</v>
      </c>
      <c r="H2478" s="10"/>
      <c r="I2478" s="10"/>
    </row>
    <row r="2479" spans="1:9">
      <c r="A2479" s="10" t="s">
        <v>3447</v>
      </c>
      <c r="B2479" s="124" t="s">
        <v>697</v>
      </c>
      <c r="C2479" s="124" t="s">
        <v>531</v>
      </c>
      <c r="D2479" s="14">
        <v>712621.85</v>
      </c>
      <c r="E2479" s="82">
        <v>0.94290894989999996</v>
      </c>
      <c r="F2479" s="14">
        <v>671937.52</v>
      </c>
      <c r="G2479" s="12">
        <v>0</v>
      </c>
      <c r="H2479" s="10"/>
      <c r="I2479" s="10"/>
    </row>
    <row r="2480" spans="1:9">
      <c r="A2480" s="10" t="s">
        <v>3448</v>
      </c>
      <c r="B2480" s="124" t="s">
        <v>854</v>
      </c>
      <c r="C2480" s="124" t="s">
        <v>531</v>
      </c>
      <c r="D2480" s="14">
        <v>1633163.58</v>
      </c>
      <c r="E2480" s="82">
        <v>0.95574759249999997</v>
      </c>
      <c r="F2480" s="14">
        <v>1560892.16</v>
      </c>
      <c r="G2480" s="12">
        <v>0</v>
      </c>
      <c r="H2480" s="10"/>
      <c r="I2480" s="10"/>
    </row>
    <row r="2481" spans="1:9">
      <c r="A2481" s="10" t="s">
        <v>3465</v>
      </c>
      <c r="B2481" s="124" t="s">
        <v>883</v>
      </c>
      <c r="C2481" s="124" t="s">
        <v>678</v>
      </c>
      <c r="D2481" s="12">
        <v>10000000</v>
      </c>
      <c r="E2481" s="82">
        <v>0.97162339409999998</v>
      </c>
      <c r="F2481" s="14">
        <v>9716233.9399999995</v>
      </c>
      <c r="G2481" s="14">
        <v>0.01</v>
      </c>
      <c r="H2481" s="10"/>
      <c r="I2481" s="10"/>
    </row>
    <row r="2482" spans="1:9">
      <c r="A2482" s="10" t="s">
        <v>3466</v>
      </c>
      <c r="B2482" s="124" t="s">
        <v>660</v>
      </c>
      <c r="C2482" s="124" t="s">
        <v>678</v>
      </c>
      <c r="D2482" s="12">
        <v>20000000</v>
      </c>
      <c r="E2482" s="82">
        <v>0.97567498610000003</v>
      </c>
      <c r="F2482" s="14">
        <v>19513499.719999999</v>
      </c>
      <c r="G2482" s="14">
        <v>0.03</v>
      </c>
      <c r="H2482" s="10"/>
      <c r="I2482" s="10"/>
    </row>
    <row r="2483" spans="1:9">
      <c r="A2483" s="10" t="s">
        <v>3467</v>
      </c>
      <c r="B2483" s="124" t="s">
        <v>522</v>
      </c>
      <c r="C2483" s="124" t="s">
        <v>678</v>
      </c>
      <c r="D2483" s="12">
        <v>20000000</v>
      </c>
      <c r="E2483" s="82">
        <v>0.97907737530000005</v>
      </c>
      <c r="F2483" s="14">
        <v>19581547.510000002</v>
      </c>
      <c r="G2483" s="14">
        <v>0.03</v>
      </c>
      <c r="H2483" s="10"/>
      <c r="I2483" s="10"/>
    </row>
    <row r="2484" spans="1:9">
      <c r="A2484" s="10" t="s">
        <v>3468</v>
      </c>
      <c r="B2484" s="124" t="s">
        <v>520</v>
      </c>
      <c r="C2484" s="124" t="s">
        <v>678</v>
      </c>
      <c r="D2484" s="12">
        <v>10000000</v>
      </c>
      <c r="E2484" s="158">
        <v>0.97976075100000004</v>
      </c>
      <c r="F2484" s="14">
        <v>9797607.5099999998</v>
      </c>
      <c r="G2484" s="14">
        <v>0.01</v>
      </c>
      <c r="H2484" s="10"/>
      <c r="I2484" s="10"/>
    </row>
    <row r="2485" spans="1:9">
      <c r="A2485" s="10" t="s">
        <v>3469</v>
      </c>
      <c r="B2485" s="124" t="s">
        <v>680</v>
      </c>
      <c r="C2485" s="124" t="s">
        <v>678</v>
      </c>
      <c r="D2485" s="12">
        <v>10000000</v>
      </c>
      <c r="E2485" s="158">
        <v>0.97499753600000005</v>
      </c>
      <c r="F2485" s="14">
        <v>9749975.3599999994</v>
      </c>
      <c r="G2485" s="14">
        <v>0.01</v>
      </c>
      <c r="H2485" s="10"/>
      <c r="I2485" s="10"/>
    </row>
    <row r="2486" spans="1:9">
      <c r="A2486" s="10" t="s">
        <v>3470</v>
      </c>
      <c r="B2486" s="124" t="s">
        <v>574</v>
      </c>
      <c r="C2486" s="124" t="s">
        <v>678</v>
      </c>
      <c r="D2486" s="12">
        <v>10000000</v>
      </c>
      <c r="E2486" s="82">
        <v>0.97432078639999997</v>
      </c>
      <c r="F2486" s="14">
        <v>9743207.8599999994</v>
      </c>
      <c r="G2486" s="14">
        <v>0.01</v>
      </c>
      <c r="H2486" s="10"/>
      <c r="I2486" s="10"/>
    </row>
    <row r="2487" spans="1:9">
      <c r="A2487" s="10" t="s">
        <v>3471</v>
      </c>
      <c r="B2487" s="124" t="s">
        <v>655</v>
      </c>
      <c r="C2487" s="124" t="s">
        <v>678</v>
      </c>
      <c r="D2487" s="12">
        <v>88000000</v>
      </c>
      <c r="E2487" s="82">
        <v>0.95886113029999998</v>
      </c>
      <c r="F2487" s="14">
        <v>84379779.469999999</v>
      </c>
      <c r="G2487" s="14">
        <v>0.11</v>
      </c>
      <c r="H2487" s="10"/>
      <c r="I2487" s="10"/>
    </row>
    <row r="2488" spans="1:9">
      <c r="A2488" s="10" t="s">
        <v>3472</v>
      </c>
      <c r="B2488" s="124" t="s">
        <v>655</v>
      </c>
      <c r="C2488" s="124" t="s">
        <v>678</v>
      </c>
      <c r="D2488" s="12">
        <v>92000000</v>
      </c>
      <c r="E2488" s="82">
        <v>0.95886113029999998</v>
      </c>
      <c r="F2488" s="14">
        <v>88215223.989999995</v>
      </c>
      <c r="G2488" s="14">
        <v>0.12</v>
      </c>
      <c r="H2488" s="10"/>
      <c r="I2488" s="10"/>
    </row>
    <row r="2489" spans="1:9">
      <c r="A2489" s="10" t="s">
        <v>3473</v>
      </c>
      <c r="B2489" s="124" t="s">
        <v>697</v>
      </c>
      <c r="C2489" s="124" t="s">
        <v>678</v>
      </c>
      <c r="D2489" s="12">
        <v>22000000</v>
      </c>
      <c r="E2489" s="82">
        <v>0.93673820860000001</v>
      </c>
      <c r="F2489" s="14">
        <v>20608240.59</v>
      </c>
      <c r="G2489" s="14">
        <v>0.03</v>
      </c>
      <c r="H2489" s="10"/>
      <c r="I2489" s="10"/>
    </row>
    <row r="2490" spans="1:9">
      <c r="A2490" s="10" t="s">
        <v>3474</v>
      </c>
      <c r="B2490" s="124" t="s">
        <v>697</v>
      </c>
      <c r="C2490" s="124" t="s">
        <v>678</v>
      </c>
      <c r="D2490" s="12">
        <v>30000000</v>
      </c>
      <c r="E2490" s="82">
        <v>0.93673820860000001</v>
      </c>
      <c r="F2490" s="14">
        <v>28102146.260000002</v>
      </c>
      <c r="G2490" s="14">
        <v>0.04</v>
      </c>
      <c r="H2490" s="10"/>
      <c r="I2490" s="10"/>
    </row>
    <row r="2491" spans="1:9">
      <c r="A2491" s="10" t="s">
        <v>3475</v>
      </c>
      <c r="B2491" s="124" t="s">
        <v>697</v>
      </c>
      <c r="C2491" s="124" t="s">
        <v>678</v>
      </c>
      <c r="D2491" s="12">
        <v>10000000</v>
      </c>
      <c r="E2491" s="82">
        <v>0.93673820860000001</v>
      </c>
      <c r="F2491" s="14">
        <v>9367382.0899999999</v>
      </c>
      <c r="G2491" s="14">
        <v>0.01</v>
      </c>
      <c r="H2491" s="10"/>
      <c r="I2491" s="10"/>
    </row>
    <row r="2492" spans="1:9">
      <c r="A2492" s="10" t="s">
        <v>3476</v>
      </c>
      <c r="B2492" s="124" t="s">
        <v>697</v>
      </c>
      <c r="C2492" s="124" t="s">
        <v>678</v>
      </c>
      <c r="D2492" s="12">
        <v>18000000</v>
      </c>
      <c r="E2492" s="82">
        <v>0.93673820860000001</v>
      </c>
      <c r="F2492" s="14">
        <v>16861287.75</v>
      </c>
      <c r="G2492" s="14">
        <v>0.02</v>
      </c>
      <c r="H2492" s="10"/>
      <c r="I2492" s="10"/>
    </row>
    <row r="2493" spans="1:9">
      <c r="A2493" s="10" t="s">
        <v>3477</v>
      </c>
      <c r="B2493" s="124" t="s">
        <v>697</v>
      </c>
      <c r="C2493" s="124" t="s">
        <v>678</v>
      </c>
      <c r="D2493" s="12">
        <v>15000000</v>
      </c>
      <c r="E2493" s="82">
        <v>0.93673820860000001</v>
      </c>
      <c r="F2493" s="14">
        <v>14051073.130000001</v>
      </c>
      <c r="G2493" s="14">
        <v>0.02</v>
      </c>
      <c r="H2493" s="10"/>
      <c r="I2493" s="10"/>
    </row>
    <row r="2494" spans="1:9">
      <c r="A2494" s="10" t="s">
        <v>3478</v>
      </c>
      <c r="B2494" s="124" t="s">
        <v>697</v>
      </c>
      <c r="C2494" s="124" t="s">
        <v>678</v>
      </c>
      <c r="D2494" s="12">
        <v>12000000</v>
      </c>
      <c r="E2494" s="82">
        <v>0.93673820860000001</v>
      </c>
      <c r="F2494" s="154">
        <v>11240858.5</v>
      </c>
      <c r="G2494" s="14">
        <v>0.01</v>
      </c>
      <c r="H2494" s="10"/>
      <c r="I2494" s="10"/>
    </row>
    <row r="2495" spans="1:9">
      <c r="A2495" s="10" t="s">
        <v>3479</v>
      </c>
      <c r="B2495" s="124" t="s">
        <v>697</v>
      </c>
      <c r="C2495" s="124" t="s">
        <v>678</v>
      </c>
      <c r="D2495" s="12">
        <v>24600000</v>
      </c>
      <c r="E2495" s="82">
        <v>0.93673820860000001</v>
      </c>
      <c r="F2495" s="14">
        <v>23043759.93</v>
      </c>
      <c r="G2495" s="14">
        <v>0.03</v>
      </c>
      <c r="H2495" s="10"/>
      <c r="I2495" s="10"/>
    </row>
    <row r="2496" spans="1:9">
      <c r="A2496" s="10" t="s">
        <v>3480</v>
      </c>
      <c r="B2496" s="124" t="s">
        <v>1019</v>
      </c>
      <c r="C2496" s="124" t="s">
        <v>678</v>
      </c>
      <c r="D2496" s="12">
        <v>5000000</v>
      </c>
      <c r="E2496" s="82">
        <v>0.93676231340000005</v>
      </c>
      <c r="F2496" s="14">
        <v>4683811.57</v>
      </c>
      <c r="G2496" s="14">
        <v>0.01</v>
      </c>
      <c r="H2496" s="10"/>
      <c r="I2496" s="10"/>
    </row>
    <row r="2497" spans="1:9">
      <c r="A2497" s="10" t="s">
        <v>3481</v>
      </c>
      <c r="B2497" s="124" t="s">
        <v>1007</v>
      </c>
      <c r="C2497" s="124" t="s">
        <v>678</v>
      </c>
      <c r="D2497" s="12">
        <v>315500000</v>
      </c>
      <c r="E2497" s="82">
        <v>0.95524745249999998</v>
      </c>
      <c r="F2497" s="14">
        <v>301380571.25999999</v>
      </c>
      <c r="G2497" s="154">
        <v>0.4</v>
      </c>
      <c r="H2497" s="10"/>
      <c r="I2497" s="10"/>
    </row>
    <row r="2498" spans="1:9">
      <c r="A2498" s="10" t="s">
        <v>3482</v>
      </c>
      <c r="B2498" s="124" t="s">
        <v>948</v>
      </c>
      <c r="C2498" s="124" t="s">
        <v>678</v>
      </c>
      <c r="D2498" s="14">
        <v>6355928.2400000002</v>
      </c>
      <c r="E2498" s="82">
        <v>0.95509748179999998</v>
      </c>
      <c r="F2498" s="14">
        <v>6070531.0599999996</v>
      </c>
      <c r="G2498" s="14">
        <v>0.01</v>
      </c>
      <c r="H2498" s="10"/>
      <c r="I2498" s="10"/>
    </row>
    <row r="2499" spans="1:9">
      <c r="A2499" s="10" t="s">
        <v>3483</v>
      </c>
      <c r="B2499" s="124" t="s">
        <v>674</v>
      </c>
      <c r="C2499" s="124" t="s">
        <v>678</v>
      </c>
      <c r="D2499" s="14">
        <v>6355928.2300000004</v>
      </c>
      <c r="E2499" s="82">
        <v>0.92941556030000005</v>
      </c>
      <c r="F2499" s="154">
        <v>5907298.5999999996</v>
      </c>
      <c r="G2499" s="14">
        <v>0.01</v>
      </c>
      <c r="H2499" s="10"/>
      <c r="I2499" s="10"/>
    </row>
    <row r="2500" spans="1:9">
      <c r="A2500" s="10" t="s">
        <v>3484</v>
      </c>
      <c r="B2500" s="124" t="s">
        <v>948</v>
      </c>
      <c r="C2500" s="124" t="s">
        <v>678</v>
      </c>
      <c r="D2500" s="14">
        <v>6355928.2400000002</v>
      </c>
      <c r="E2500" s="82">
        <v>0.95509748179999998</v>
      </c>
      <c r="F2500" s="14">
        <v>6070531.0599999996</v>
      </c>
      <c r="G2500" s="14">
        <v>0.01</v>
      </c>
      <c r="H2500" s="10"/>
      <c r="I2500" s="10"/>
    </row>
    <row r="2501" spans="1:9">
      <c r="A2501" s="10" t="s">
        <v>3485</v>
      </c>
      <c r="B2501" s="124" t="s">
        <v>674</v>
      </c>
      <c r="C2501" s="124" t="s">
        <v>678</v>
      </c>
      <c r="D2501" s="14">
        <v>6355928.2400000002</v>
      </c>
      <c r="E2501" s="82">
        <v>0.92941556030000005</v>
      </c>
      <c r="F2501" s="14">
        <v>5907298.6100000003</v>
      </c>
      <c r="G2501" s="14">
        <v>0.01</v>
      </c>
      <c r="H2501" s="10"/>
      <c r="I2501" s="10"/>
    </row>
    <row r="2502" spans="1:9">
      <c r="A2502" s="10" t="s">
        <v>3486</v>
      </c>
      <c r="B2502" s="124" t="s">
        <v>766</v>
      </c>
      <c r="C2502" s="124" t="s">
        <v>678</v>
      </c>
      <c r="D2502" s="12">
        <v>20000000</v>
      </c>
      <c r="E2502" s="82">
        <v>0.97273679140000002</v>
      </c>
      <c r="F2502" s="14">
        <v>19454735.829999998</v>
      </c>
      <c r="G2502" s="14">
        <v>0.03</v>
      </c>
      <c r="H2502" s="10"/>
      <c r="I2502" s="10"/>
    </row>
    <row r="2503" spans="1:9">
      <c r="A2503" s="10" t="s">
        <v>3487</v>
      </c>
      <c r="B2503" s="124" t="s">
        <v>443</v>
      </c>
      <c r="C2503" s="124" t="s">
        <v>678</v>
      </c>
      <c r="D2503" s="14">
        <v>12889249.880000001</v>
      </c>
      <c r="E2503" s="82">
        <v>0.99195582049999997</v>
      </c>
      <c r="F2503" s="14">
        <v>12785566.439999999</v>
      </c>
      <c r="G2503" s="14">
        <v>0.02</v>
      </c>
      <c r="H2503" s="10"/>
      <c r="I2503" s="10"/>
    </row>
    <row r="2504" spans="1:9">
      <c r="A2504" s="10" t="s">
        <v>3488</v>
      </c>
      <c r="B2504" s="124" t="s">
        <v>443</v>
      </c>
      <c r="C2504" s="124" t="s">
        <v>678</v>
      </c>
      <c r="D2504" s="14">
        <v>204671.72</v>
      </c>
      <c r="E2504" s="82">
        <v>0.99195580110000003</v>
      </c>
      <c r="F2504" s="154">
        <v>203025.3</v>
      </c>
      <c r="G2504" s="12">
        <v>0</v>
      </c>
      <c r="H2504" s="10"/>
      <c r="I2504" s="10"/>
    </row>
    <row r="2505" spans="1:9">
      <c r="A2505" s="10" t="s">
        <v>3489</v>
      </c>
      <c r="B2505" s="124" t="s">
        <v>587</v>
      </c>
      <c r="C2505" s="124" t="s">
        <v>678</v>
      </c>
      <c r="D2505" s="12">
        <v>60000000</v>
      </c>
      <c r="E2505" s="82">
        <v>0.95840790060000003</v>
      </c>
      <c r="F2505" s="14">
        <v>57504474.039999999</v>
      </c>
      <c r="G2505" s="14">
        <v>0.08</v>
      </c>
      <c r="H2505" s="10"/>
      <c r="I2505" s="10"/>
    </row>
    <row r="2506" spans="1:9">
      <c r="A2506" s="10" t="s">
        <v>3490</v>
      </c>
      <c r="B2506" s="124" t="s">
        <v>450</v>
      </c>
      <c r="C2506" s="124" t="s">
        <v>678</v>
      </c>
      <c r="D2506" s="12">
        <v>60000000</v>
      </c>
      <c r="E2506" s="82">
        <v>0.93412509430000001</v>
      </c>
      <c r="F2506" s="14">
        <v>56047505.659999996</v>
      </c>
      <c r="G2506" s="14">
        <v>7.0000000000000007E-2</v>
      </c>
      <c r="H2506" s="10"/>
      <c r="I2506" s="10"/>
    </row>
    <row r="2507" spans="1:9">
      <c r="A2507" s="10" t="s">
        <v>3491</v>
      </c>
      <c r="B2507" s="124" t="s">
        <v>450</v>
      </c>
      <c r="C2507" s="124" t="s">
        <v>678</v>
      </c>
      <c r="D2507" s="12">
        <v>100000000</v>
      </c>
      <c r="E2507" s="82">
        <v>0.93412509430000001</v>
      </c>
      <c r="F2507" s="14">
        <v>93412509.430000007</v>
      </c>
      <c r="G2507" s="14">
        <v>0.12</v>
      </c>
      <c r="H2507" s="10"/>
      <c r="I2507" s="10"/>
    </row>
    <row r="2508" spans="1:9">
      <c r="A2508" s="10" t="s">
        <v>3492</v>
      </c>
      <c r="B2508" s="124" t="s">
        <v>769</v>
      </c>
      <c r="C2508" s="124" t="s">
        <v>678</v>
      </c>
      <c r="D2508" s="12">
        <v>60000000</v>
      </c>
      <c r="E2508" s="82">
        <v>0.92475299590000004</v>
      </c>
      <c r="F2508" s="14">
        <v>55485179.75</v>
      </c>
      <c r="G2508" s="14">
        <v>7.0000000000000007E-2</v>
      </c>
      <c r="H2508" s="10"/>
      <c r="I2508" s="10"/>
    </row>
    <row r="2509" spans="1:9">
      <c r="A2509" s="10" t="s">
        <v>3493</v>
      </c>
      <c r="B2509" s="124" t="s">
        <v>527</v>
      </c>
      <c r="C2509" s="124" t="s">
        <v>678</v>
      </c>
      <c r="D2509" s="12">
        <v>60000000</v>
      </c>
      <c r="E2509" s="82">
        <v>0.97530997829999999</v>
      </c>
      <c r="F2509" s="154">
        <v>58518598.700000003</v>
      </c>
      <c r="G2509" s="14">
        <v>0.08</v>
      </c>
      <c r="H2509" s="10"/>
      <c r="I2509" s="10"/>
    </row>
    <row r="2510" spans="1:9">
      <c r="A2510" s="10" t="s">
        <v>3494</v>
      </c>
      <c r="B2510" s="124" t="s">
        <v>766</v>
      </c>
      <c r="C2510" s="124" t="s">
        <v>678</v>
      </c>
      <c r="D2510" s="12">
        <v>60000000</v>
      </c>
      <c r="E2510" s="82">
        <v>0.97273679219999998</v>
      </c>
      <c r="F2510" s="14">
        <v>58364207.530000001</v>
      </c>
      <c r="G2510" s="14">
        <v>0.08</v>
      </c>
      <c r="H2510" s="10"/>
      <c r="I2510" s="10"/>
    </row>
    <row r="2511" spans="1:9">
      <c r="A2511" s="10" t="s">
        <v>3495</v>
      </c>
      <c r="B2511" s="124" t="s">
        <v>490</v>
      </c>
      <c r="C2511" s="124" t="s">
        <v>678</v>
      </c>
      <c r="D2511" s="12">
        <v>40000000</v>
      </c>
      <c r="E2511" s="82">
        <v>0.98049771379999995</v>
      </c>
      <c r="F2511" s="14">
        <v>39219908.549999997</v>
      </c>
      <c r="G2511" s="14">
        <v>0.05</v>
      </c>
      <c r="H2511" s="10"/>
      <c r="I2511" s="10"/>
    </row>
    <row r="2512" spans="1:9">
      <c r="A2512" s="10" t="s">
        <v>3496</v>
      </c>
      <c r="B2512" s="124" t="s">
        <v>1161</v>
      </c>
      <c r="C2512" s="124" t="s">
        <v>678</v>
      </c>
      <c r="D2512" s="12">
        <v>100000000</v>
      </c>
      <c r="E2512" s="82">
        <v>0.94611071430000004</v>
      </c>
      <c r="F2512" s="14">
        <v>94611071.430000007</v>
      </c>
      <c r="G2512" s="14">
        <v>0.13</v>
      </c>
      <c r="H2512" s="10"/>
      <c r="I2512" s="10"/>
    </row>
    <row r="2513" spans="1:9">
      <c r="A2513" s="10" t="s">
        <v>3497</v>
      </c>
      <c r="B2513" s="124" t="s">
        <v>1161</v>
      </c>
      <c r="C2513" s="124" t="s">
        <v>678</v>
      </c>
      <c r="D2513" s="12">
        <v>60000000</v>
      </c>
      <c r="E2513" s="82">
        <v>0.94611071430000004</v>
      </c>
      <c r="F2513" s="14">
        <v>56766642.859999999</v>
      </c>
      <c r="G2513" s="14">
        <v>0.08</v>
      </c>
      <c r="H2513" s="10"/>
      <c r="I2513" s="10"/>
    </row>
    <row r="2514" spans="1:9">
      <c r="A2514" s="10" t="s">
        <v>3498</v>
      </c>
      <c r="B2514" s="124" t="s">
        <v>1007</v>
      </c>
      <c r="C2514" s="124" t="s">
        <v>678</v>
      </c>
      <c r="D2514" s="12">
        <v>80000000</v>
      </c>
      <c r="E2514" s="158">
        <v>0.96090573899999998</v>
      </c>
      <c r="F2514" s="14">
        <v>76872459.120000005</v>
      </c>
      <c r="G2514" s="154">
        <v>0.1</v>
      </c>
      <c r="H2514" s="10"/>
      <c r="I2514" s="10"/>
    </row>
    <row r="2515" spans="1:9">
      <c r="A2515" s="10" t="s">
        <v>3499</v>
      </c>
      <c r="B2515" s="124" t="s">
        <v>583</v>
      </c>
      <c r="C2515" s="124" t="s">
        <v>678</v>
      </c>
      <c r="D2515" s="12">
        <v>80000000</v>
      </c>
      <c r="E2515" s="82">
        <v>0.95592301629999998</v>
      </c>
      <c r="F2515" s="154">
        <v>76473841.299999997</v>
      </c>
      <c r="G2515" s="154">
        <v>0.1</v>
      </c>
      <c r="H2515" s="10"/>
      <c r="I2515" s="10"/>
    </row>
    <row r="2516" spans="1:9">
      <c r="A2516" s="10" t="s">
        <v>3500</v>
      </c>
      <c r="B2516" s="124" t="s">
        <v>697</v>
      </c>
      <c r="C2516" s="124" t="s">
        <v>678</v>
      </c>
      <c r="D2516" s="12">
        <v>80000000</v>
      </c>
      <c r="E2516" s="82">
        <v>0.92863515620000003</v>
      </c>
      <c r="F2516" s="154">
        <v>74290812.5</v>
      </c>
      <c r="G2516" s="154">
        <v>0.1</v>
      </c>
      <c r="H2516" s="10"/>
      <c r="I2516" s="10"/>
    </row>
    <row r="2517" spans="1:9">
      <c r="A2517" s="10" t="s">
        <v>3501</v>
      </c>
      <c r="B2517" s="124" t="s">
        <v>1161</v>
      </c>
      <c r="C2517" s="124" t="s">
        <v>678</v>
      </c>
      <c r="D2517" s="12">
        <v>80000000</v>
      </c>
      <c r="E2517" s="82">
        <v>0.94611071430000004</v>
      </c>
      <c r="F2517" s="14">
        <v>75688857.140000001</v>
      </c>
      <c r="G2517" s="154">
        <v>0.1</v>
      </c>
      <c r="H2517" s="10"/>
      <c r="I2517" s="10"/>
    </row>
    <row r="2518" spans="1:9">
      <c r="A2518" s="10" t="s">
        <v>3502</v>
      </c>
      <c r="B2518" s="124" t="s">
        <v>766</v>
      </c>
      <c r="C2518" s="124" t="s">
        <v>678</v>
      </c>
      <c r="D2518" s="12">
        <v>80000000</v>
      </c>
      <c r="E2518" s="82">
        <v>0.97273679219999998</v>
      </c>
      <c r="F2518" s="14">
        <v>77818943.379999995</v>
      </c>
      <c r="G2518" s="154">
        <v>0.1</v>
      </c>
      <c r="H2518" s="10"/>
      <c r="I2518" s="10"/>
    </row>
    <row r="2519" spans="1:9">
      <c r="A2519" s="10" t="s">
        <v>3503</v>
      </c>
      <c r="B2519" s="124" t="s">
        <v>3165</v>
      </c>
      <c r="C2519" s="124" t="s">
        <v>678</v>
      </c>
      <c r="D2519" s="12">
        <v>55000000</v>
      </c>
      <c r="E2519" s="82">
        <v>0.88583644029999997</v>
      </c>
      <c r="F2519" s="14">
        <v>48721004.219999999</v>
      </c>
      <c r="G2519" s="14">
        <v>0.06</v>
      </c>
      <c r="H2519" s="10"/>
      <c r="I2519" s="10"/>
    </row>
    <row r="2520" spans="1:9">
      <c r="A2520" s="10" t="s">
        <v>3504</v>
      </c>
      <c r="B2520" s="124" t="s">
        <v>2764</v>
      </c>
      <c r="C2520" s="124" t="s">
        <v>678</v>
      </c>
      <c r="D2520" s="12">
        <v>45000000</v>
      </c>
      <c r="E2520" s="82">
        <v>0.86698356030000001</v>
      </c>
      <c r="F2520" s="14">
        <v>39014260.210000001</v>
      </c>
      <c r="G2520" s="14">
        <v>0.05</v>
      </c>
      <c r="H2520" s="10"/>
      <c r="I2520" s="10"/>
    </row>
    <row r="2521" spans="1:9">
      <c r="A2521" s="10" t="s">
        <v>3505</v>
      </c>
      <c r="B2521" s="124" t="s">
        <v>2186</v>
      </c>
      <c r="C2521" s="124" t="s">
        <v>678</v>
      </c>
      <c r="D2521" s="12">
        <v>45000000</v>
      </c>
      <c r="E2521" s="158">
        <v>0.88377739700000002</v>
      </c>
      <c r="F2521" s="14">
        <v>39769982.869999997</v>
      </c>
      <c r="G2521" s="14">
        <v>0.05</v>
      </c>
      <c r="H2521" s="10"/>
      <c r="I2521" s="10"/>
    </row>
    <row r="2522" spans="1:9">
      <c r="A2522" s="10" t="s">
        <v>3506</v>
      </c>
      <c r="B2522" s="124" t="s">
        <v>2343</v>
      </c>
      <c r="C2522" s="124" t="s">
        <v>678</v>
      </c>
      <c r="D2522" s="12">
        <v>45000000</v>
      </c>
      <c r="E2522" s="82">
        <v>0.86174345630000004</v>
      </c>
      <c r="F2522" s="14">
        <v>38778455.530000001</v>
      </c>
      <c r="G2522" s="14">
        <v>0.05</v>
      </c>
      <c r="H2522" s="10"/>
      <c r="I2522" s="10"/>
    </row>
    <row r="2523" spans="1:9">
      <c r="A2523" s="10" t="s">
        <v>3507</v>
      </c>
      <c r="B2523" s="124" t="s">
        <v>3508</v>
      </c>
      <c r="C2523" s="124" t="s">
        <v>678</v>
      </c>
      <c r="D2523" s="12">
        <v>45000000</v>
      </c>
      <c r="E2523" s="82">
        <v>0.86109283690000005</v>
      </c>
      <c r="F2523" s="14">
        <v>38749177.659999996</v>
      </c>
      <c r="G2523" s="14">
        <v>0.05</v>
      </c>
      <c r="H2523" s="10"/>
      <c r="I2523" s="10"/>
    </row>
    <row r="2524" spans="1:9">
      <c r="A2524" s="10" t="s">
        <v>3526</v>
      </c>
      <c r="B2524" s="124" t="s">
        <v>854</v>
      </c>
      <c r="C2524" s="124" t="s">
        <v>492</v>
      </c>
      <c r="D2524" s="12">
        <v>1082000000</v>
      </c>
      <c r="E2524" s="82">
        <v>0.93661797530000002</v>
      </c>
      <c r="F2524" s="14">
        <v>1013420649.27</v>
      </c>
      <c r="G2524" s="14">
        <v>1.35</v>
      </c>
      <c r="H2524" s="10"/>
      <c r="I2524" s="10"/>
    </row>
    <row r="2525" spans="1:9">
      <c r="A2525" s="10" t="s">
        <v>3527</v>
      </c>
      <c r="B2525" s="124" t="s">
        <v>854</v>
      </c>
      <c r="C2525" s="124" t="s">
        <v>492</v>
      </c>
      <c r="D2525" s="12">
        <v>100000000</v>
      </c>
      <c r="E2525" s="82">
        <v>0.93661797530000002</v>
      </c>
      <c r="F2525" s="14">
        <v>93661797.530000001</v>
      </c>
      <c r="G2525" s="14">
        <v>0.12</v>
      </c>
      <c r="H2525" s="10"/>
      <c r="I2525" s="10"/>
    </row>
    <row r="2526" spans="1:9">
      <c r="A2526" s="10" t="s">
        <v>3528</v>
      </c>
      <c r="B2526" s="124" t="s">
        <v>793</v>
      </c>
      <c r="C2526" s="124" t="s">
        <v>492</v>
      </c>
      <c r="D2526" s="12">
        <v>100000000</v>
      </c>
      <c r="E2526" s="82">
        <v>0.93753226290000002</v>
      </c>
      <c r="F2526" s="14">
        <v>93753226.290000007</v>
      </c>
      <c r="G2526" s="14">
        <v>0.12</v>
      </c>
      <c r="H2526" s="10"/>
      <c r="I2526" s="10"/>
    </row>
    <row r="2527" spans="1:9">
      <c r="A2527" s="10" t="s">
        <v>3529</v>
      </c>
      <c r="B2527" s="124" t="s">
        <v>1360</v>
      </c>
      <c r="C2527" s="124" t="s">
        <v>492</v>
      </c>
      <c r="D2527" s="12">
        <v>65000000</v>
      </c>
      <c r="E2527" s="82">
        <v>0.9357055474</v>
      </c>
      <c r="F2527" s="14">
        <v>60820860.579999998</v>
      </c>
      <c r="G2527" s="14">
        <v>0.08</v>
      </c>
      <c r="H2527" s="10"/>
      <c r="I2527" s="10"/>
    </row>
    <row r="2528" spans="1:9">
      <c r="A2528" s="10" t="s">
        <v>3530</v>
      </c>
      <c r="B2528" s="124" t="s">
        <v>1007</v>
      </c>
      <c r="C2528" s="124" t="s">
        <v>492</v>
      </c>
      <c r="D2528" s="12">
        <v>65000000</v>
      </c>
      <c r="E2528" s="82">
        <v>0.96090582550000003</v>
      </c>
      <c r="F2528" s="14">
        <v>62458878.659999996</v>
      </c>
      <c r="G2528" s="14">
        <v>0.08</v>
      </c>
      <c r="H2528" s="10"/>
      <c r="I2528" s="10"/>
    </row>
    <row r="2529" spans="1:9">
      <c r="A2529" s="10" t="s">
        <v>3531</v>
      </c>
      <c r="B2529" s="124" t="s">
        <v>680</v>
      </c>
      <c r="C2529" s="124" t="s">
        <v>492</v>
      </c>
      <c r="D2529" s="12">
        <v>5000000</v>
      </c>
      <c r="E2529" s="82">
        <v>0.97126134829999999</v>
      </c>
      <c r="F2529" s="14">
        <v>4856306.74</v>
      </c>
      <c r="G2529" s="14">
        <v>0.01</v>
      </c>
      <c r="H2529" s="10"/>
      <c r="I2529" s="10"/>
    </row>
    <row r="2530" spans="1:9">
      <c r="A2530" s="10" t="s">
        <v>3532</v>
      </c>
      <c r="B2530" s="124" t="s">
        <v>574</v>
      </c>
      <c r="C2530" s="124" t="s">
        <v>492</v>
      </c>
      <c r="D2530" s="12">
        <v>5000000</v>
      </c>
      <c r="E2530" s="82">
        <v>0.97048681619999999</v>
      </c>
      <c r="F2530" s="14">
        <v>4852434.08</v>
      </c>
      <c r="G2530" s="14">
        <v>0.01</v>
      </c>
      <c r="H2530" s="10"/>
      <c r="I2530" s="10"/>
    </row>
    <row r="2531" spans="1:9">
      <c r="A2531" s="10" t="s">
        <v>3533</v>
      </c>
      <c r="B2531" s="124" t="s">
        <v>1007</v>
      </c>
      <c r="C2531" s="124" t="s">
        <v>492</v>
      </c>
      <c r="D2531" s="12">
        <v>5000000</v>
      </c>
      <c r="E2531" s="82">
        <v>0.96433307989999995</v>
      </c>
      <c r="F2531" s="154">
        <v>4821665.4000000004</v>
      </c>
      <c r="G2531" s="14">
        <v>0.01</v>
      </c>
      <c r="H2531" s="10"/>
      <c r="I2531" s="10"/>
    </row>
    <row r="2532" spans="1:9">
      <c r="A2532" s="10" t="s">
        <v>3534</v>
      </c>
      <c r="B2532" s="124" t="s">
        <v>1007</v>
      </c>
      <c r="C2532" s="124" t="s">
        <v>492</v>
      </c>
      <c r="D2532" s="12">
        <v>5000000</v>
      </c>
      <c r="E2532" s="82">
        <v>0.96433307989999995</v>
      </c>
      <c r="F2532" s="154">
        <v>4821665.4000000004</v>
      </c>
      <c r="G2532" s="14">
        <v>0.01</v>
      </c>
      <c r="H2532" s="10"/>
      <c r="I2532" s="10"/>
    </row>
    <row r="2533" spans="1:9">
      <c r="A2533" s="10" t="s">
        <v>3535</v>
      </c>
      <c r="B2533" s="124" t="s">
        <v>587</v>
      </c>
      <c r="C2533" s="124" t="s">
        <v>492</v>
      </c>
      <c r="D2533" s="12">
        <v>5000000</v>
      </c>
      <c r="E2533" s="82">
        <v>0.96204556959999998</v>
      </c>
      <c r="F2533" s="14">
        <v>4810227.8499999996</v>
      </c>
      <c r="G2533" s="14">
        <v>0.01</v>
      </c>
      <c r="H2533" s="10"/>
      <c r="I2533" s="10"/>
    </row>
    <row r="2534" spans="1:9">
      <c r="A2534" s="10" t="s">
        <v>3536</v>
      </c>
      <c r="B2534" s="124" t="s">
        <v>776</v>
      </c>
      <c r="C2534" s="124" t="s">
        <v>492</v>
      </c>
      <c r="D2534" s="14">
        <v>382772.09</v>
      </c>
      <c r="E2534" s="82">
        <v>0.9436891812</v>
      </c>
      <c r="F2534" s="14">
        <v>361217.88</v>
      </c>
      <c r="G2534" s="12">
        <v>0</v>
      </c>
      <c r="H2534" s="10"/>
      <c r="I2534" s="10"/>
    </row>
    <row r="2535" spans="1:9">
      <c r="A2535" s="10" t="s">
        <v>3537</v>
      </c>
      <c r="B2535" s="124" t="s">
        <v>655</v>
      </c>
      <c r="C2535" s="124" t="s">
        <v>492</v>
      </c>
      <c r="D2535" s="14">
        <v>204483.81</v>
      </c>
      <c r="E2535" s="82">
        <v>0.95017444139999996</v>
      </c>
      <c r="F2535" s="14">
        <v>194295.29</v>
      </c>
      <c r="G2535" s="12">
        <v>0</v>
      </c>
      <c r="H2535" s="10"/>
      <c r="I2535" s="10"/>
    </row>
    <row r="2536" spans="1:9">
      <c r="A2536" s="10" t="s">
        <v>3538</v>
      </c>
      <c r="B2536" s="124" t="s">
        <v>808</v>
      </c>
      <c r="C2536" s="124" t="s">
        <v>492</v>
      </c>
      <c r="D2536" s="14">
        <v>204483.81</v>
      </c>
      <c r="E2536" s="82">
        <v>0.92320946979999996</v>
      </c>
      <c r="F2536" s="14">
        <v>188781.39</v>
      </c>
      <c r="G2536" s="12">
        <v>0</v>
      </c>
      <c r="H2536" s="10"/>
      <c r="I2536" s="10"/>
    </row>
    <row r="2537" spans="1:9">
      <c r="A2537" s="10" t="s">
        <v>3539</v>
      </c>
      <c r="B2537" s="124" t="s">
        <v>1704</v>
      </c>
      <c r="C2537" s="124" t="s">
        <v>492</v>
      </c>
      <c r="D2537" s="14">
        <v>10386286.039999999</v>
      </c>
      <c r="E2537" s="82">
        <v>0.9005231695</v>
      </c>
      <c r="F2537" s="14">
        <v>9353091.2200000007</v>
      </c>
      <c r="G2537" s="14">
        <v>0.01</v>
      </c>
      <c r="H2537" s="10"/>
      <c r="I2537" s="10"/>
    </row>
    <row r="2538" spans="1:9">
      <c r="A2538" s="10" t="s">
        <v>3540</v>
      </c>
      <c r="B2538" s="124" t="s">
        <v>999</v>
      </c>
      <c r="C2538" s="124" t="s">
        <v>492</v>
      </c>
      <c r="D2538" s="14">
        <v>10386286.039999999</v>
      </c>
      <c r="E2538" s="82">
        <v>0.92162419350000002</v>
      </c>
      <c r="F2538" s="154">
        <v>9572252.5</v>
      </c>
      <c r="G2538" s="14">
        <v>0.01</v>
      </c>
      <c r="H2538" s="10"/>
      <c r="I2538" s="10"/>
    </row>
    <row r="2539" spans="1:9">
      <c r="A2539" s="10" t="s">
        <v>3541</v>
      </c>
      <c r="B2539" s="124" t="s">
        <v>793</v>
      </c>
      <c r="C2539" s="124" t="s">
        <v>492</v>
      </c>
      <c r="D2539" s="14">
        <v>10386286.039999999</v>
      </c>
      <c r="E2539" s="82">
        <v>0.94687156660000005</v>
      </c>
      <c r="F2539" s="14">
        <v>9834478.9299999997</v>
      </c>
      <c r="G2539" s="14">
        <v>0.01</v>
      </c>
      <c r="H2539" s="10"/>
      <c r="I2539" s="10"/>
    </row>
    <row r="2540" spans="1:9">
      <c r="A2540" s="10" t="s">
        <v>3542</v>
      </c>
      <c r="B2540" s="124" t="s">
        <v>997</v>
      </c>
      <c r="C2540" s="124" t="s">
        <v>492</v>
      </c>
      <c r="D2540" s="14">
        <v>11145337.859999999</v>
      </c>
      <c r="E2540" s="82">
        <v>0.90409216709999995</v>
      </c>
      <c r="F2540" s="14">
        <v>10076412.66</v>
      </c>
      <c r="G2540" s="14">
        <v>0.01</v>
      </c>
      <c r="H2540" s="10"/>
      <c r="I2540" s="10"/>
    </row>
    <row r="2541" spans="1:9">
      <c r="A2541" s="10" t="s">
        <v>3543</v>
      </c>
      <c r="B2541" s="124" t="s">
        <v>1161</v>
      </c>
      <c r="C2541" s="124" t="s">
        <v>492</v>
      </c>
      <c r="D2541" s="14">
        <v>11145337.859999999</v>
      </c>
      <c r="E2541" s="82">
        <v>0.94765832849999998</v>
      </c>
      <c r="F2541" s="14">
        <v>10561972.25</v>
      </c>
      <c r="G2541" s="14">
        <v>0.01</v>
      </c>
      <c r="H2541" s="10"/>
      <c r="I2541" s="10"/>
    </row>
    <row r="2542" spans="1:9">
      <c r="A2542" s="10" t="s">
        <v>3544</v>
      </c>
      <c r="B2542" s="124" t="s">
        <v>808</v>
      </c>
      <c r="C2542" s="124" t="s">
        <v>492</v>
      </c>
      <c r="D2542" s="14">
        <v>11145337.859999999</v>
      </c>
      <c r="E2542" s="82">
        <v>0.92536275729999995</v>
      </c>
      <c r="F2542" s="14">
        <v>10313480.57</v>
      </c>
      <c r="G2542" s="14">
        <v>0.01</v>
      </c>
      <c r="H2542" s="10"/>
      <c r="I2542" s="10"/>
    </row>
    <row r="2543" spans="1:9">
      <c r="A2543" s="10" t="s">
        <v>3545</v>
      </c>
      <c r="B2543" s="124" t="s">
        <v>1007</v>
      </c>
      <c r="C2543" s="124" t="s">
        <v>492</v>
      </c>
      <c r="D2543" s="12">
        <v>50000000</v>
      </c>
      <c r="E2543" s="82">
        <v>0.96204553329999998</v>
      </c>
      <c r="F2543" s="14">
        <v>48102276.670000002</v>
      </c>
      <c r="G2543" s="14">
        <v>0.06</v>
      </c>
      <c r="H2543" s="10"/>
      <c r="I2543" s="10"/>
    </row>
    <row r="2544" spans="1:9">
      <c r="A2544" s="10" t="s">
        <v>3546</v>
      </c>
      <c r="B2544" s="124" t="s">
        <v>819</v>
      </c>
      <c r="C2544" s="124" t="s">
        <v>492</v>
      </c>
      <c r="D2544" s="12">
        <v>50000000</v>
      </c>
      <c r="E2544" s="82">
        <v>0.93522609189999995</v>
      </c>
      <c r="F2544" s="154">
        <v>46761304.600000001</v>
      </c>
      <c r="G2544" s="14">
        <v>0.06</v>
      </c>
      <c r="H2544" s="10"/>
      <c r="I2544" s="10"/>
    </row>
    <row r="2545" spans="1:9">
      <c r="A2545" s="10" t="s">
        <v>3547</v>
      </c>
      <c r="B2545" s="124" t="s">
        <v>750</v>
      </c>
      <c r="C2545" s="124" t="s">
        <v>492</v>
      </c>
      <c r="D2545" s="12">
        <v>50000000</v>
      </c>
      <c r="E2545" s="82">
        <v>0.95081820510000004</v>
      </c>
      <c r="F2545" s="14">
        <v>47540910.259999998</v>
      </c>
      <c r="G2545" s="14">
        <v>0.06</v>
      </c>
      <c r="H2545" s="10"/>
      <c r="I2545" s="10"/>
    </row>
    <row r="2546" spans="1:9">
      <c r="A2546" s="10" t="s">
        <v>3548</v>
      </c>
      <c r="B2546" s="124" t="s">
        <v>651</v>
      </c>
      <c r="C2546" s="124" t="s">
        <v>492</v>
      </c>
      <c r="D2546" s="12">
        <v>150000000</v>
      </c>
      <c r="E2546" s="82">
        <v>0.94339622639999998</v>
      </c>
      <c r="F2546" s="14">
        <v>141509433.96000001</v>
      </c>
      <c r="G2546" s="14">
        <v>0.19</v>
      </c>
      <c r="H2546" s="10"/>
      <c r="I2546" s="10"/>
    </row>
    <row r="2547" spans="1:9">
      <c r="A2547" s="10" t="s">
        <v>3549</v>
      </c>
      <c r="B2547" s="124" t="s">
        <v>1360</v>
      </c>
      <c r="C2547" s="124" t="s">
        <v>492</v>
      </c>
      <c r="D2547" s="12">
        <v>150000000</v>
      </c>
      <c r="E2547" s="82">
        <v>0.94120685559999995</v>
      </c>
      <c r="F2547" s="14">
        <v>141181028.34</v>
      </c>
      <c r="G2547" s="14">
        <v>0.19</v>
      </c>
      <c r="H2547" s="10"/>
      <c r="I2547" s="10"/>
    </row>
    <row r="2548" spans="1:9">
      <c r="A2548" s="10" t="s">
        <v>3550</v>
      </c>
      <c r="B2548" s="124" t="s">
        <v>655</v>
      </c>
      <c r="C2548" s="124" t="s">
        <v>492</v>
      </c>
      <c r="D2548" s="14">
        <v>3535037.55</v>
      </c>
      <c r="E2548" s="82">
        <v>0.95449793689999995</v>
      </c>
      <c r="F2548" s="14">
        <v>3374186.05</v>
      </c>
      <c r="G2548" s="12">
        <v>0</v>
      </c>
      <c r="H2548" s="10"/>
      <c r="I2548" s="10"/>
    </row>
    <row r="2549" spans="1:9">
      <c r="A2549" s="10" t="s">
        <v>3551</v>
      </c>
      <c r="B2549" s="124" t="s">
        <v>1039</v>
      </c>
      <c r="C2549" s="124" t="s">
        <v>492</v>
      </c>
      <c r="D2549" s="14">
        <v>3535037.55</v>
      </c>
      <c r="E2549" s="82">
        <v>0.93041041749999998</v>
      </c>
      <c r="F2549" s="14">
        <v>3289035.76</v>
      </c>
      <c r="G2549" s="12">
        <v>0</v>
      </c>
      <c r="H2549" s="10"/>
      <c r="I2549" s="10"/>
    </row>
    <row r="2550" spans="1:9">
      <c r="A2550" s="10" t="s">
        <v>3552</v>
      </c>
      <c r="B2550" s="124" t="s">
        <v>520</v>
      </c>
      <c r="C2550" s="124" t="s">
        <v>492</v>
      </c>
      <c r="D2550" s="14">
        <v>3535037.55</v>
      </c>
      <c r="E2550" s="158">
        <v>0.97671930799999995</v>
      </c>
      <c r="F2550" s="14">
        <v>3452739.43</v>
      </c>
      <c r="G2550" s="12">
        <v>0</v>
      </c>
      <c r="H2550" s="10"/>
      <c r="I2550" s="10"/>
    </row>
    <row r="2551" spans="1:9">
      <c r="A2551" s="10" t="s">
        <v>3553</v>
      </c>
      <c r="B2551" s="124" t="s">
        <v>1486</v>
      </c>
      <c r="C2551" s="124" t="s">
        <v>492</v>
      </c>
      <c r="D2551" s="14">
        <v>3535037.55</v>
      </c>
      <c r="E2551" s="158">
        <v>0.91090601199999999</v>
      </c>
      <c r="F2551" s="14">
        <v>3220086.96</v>
      </c>
      <c r="G2551" s="12">
        <v>0</v>
      </c>
      <c r="H2551" s="10"/>
      <c r="I2551" s="10"/>
    </row>
    <row r="2552" spans="1:9">
      <c r="A2552" s="10" t="s">
        <v>3554</v>
      </c>
      <c r="B2552" s="124" t="s">
        <v>518</v>
      </c>
      <c r="C2552" s="124" t="s">
        <v>492</v>
      </c>
      <c r="D2552" s="154">
        <v>2082031.9</v>
      </c>
      <c r="E2552" s="158">
        <v>0.97829017399999996</v>
      </c>
      <c r="F2552" s="14">
        <v>2036831.35</v>
      </c>
      <c r="G2552" s="12">
        <v>0</v>
      </c>
      <c r="H2552" s="10"/>
      <c r="I2552" s="10"/>
    </row>
    <row r="2553" spans="1:9">
      <c r="A2553" s="10" t="s">
        <v>3555</v>
      </c>
      <c r="B2553" s="124" t="s">
        <v>485</v>
      </c>
      <c r="C2553" s="124" t="s">
        <v>492</v>
      </c>
      <c r="D2553" s="154">
        <v>2195601.9</v>
      </c>
      <c r="E2553" s="82">
        <v>0.98702019230000004</v>
      </c>
      <c r="F2553" s="14">
        <v>2167103.41</v>
      </c>
      <c r="G2553" s="12">
        <v>0</v>
      </c>
      <c r="H2553" s="10"/>
      <c r="I2553" s="10"/>
    </row>
    <row r="2554" spans="1:9">
      <c r="A2554" s="10" t="s">
        <v>3556</v>
      </c>
      <c r="B2554" s="124" t="s">
        <v>1007</v>
      </c>
      <c r="C2554" s="124" t="s">
        <v>492</v>
      </c>
      <c r="D2554" s="154">
        <v>409929.9</v>
      </c>
      <c r="E2554" s="158">
        <v>0.96433307300000004</v>
      </c>
      <c r="F2554" s="14">
        <v>395308.96</v>
      </c>
      <c r="G2554" s="12">
        <v>0</v>
      </c>
      <c r="H2554" s="10"/>
      <c r="I2554" s="10"/>
    </row>
    <row r="2555" spans="1:9">
      <c r="A2555" s="10" t="s">
        <v>3557</v>
      </c>
      <c r="B2555" s="124" t="s">
        <v>1019</v>
      </c>
      <c r="C2555" s="124" t="s">
        <v>492</v>
      </c>
      <c r="D2555" s="154">
        <v>2195601.9</v>
      </c>
      <c r="E2555" s="82">
        <v>0.94047949679999998</v>
      </c>
      <c r="F2555" s="14">
        <v>2064918.57</v>
      </c>
      <c r="G2555" s="12">
        <v>0</v>
      </c>
      <c r="H2555" s="10"/>
      <c r="I2555" s="10"/>
    </row>
    <row r="2556" spans="1:9">
      <c r="A2556" s="10" t="s">
        <v>3558</v>
      </c>
      <c r="B2556" s="124" t="s">
        <v>587</v>
      </c>
      <c r="C2556" s="124" t="s">
        <v>492</v>
      </c>
      <c r="D2556" s="12">
        <v>5920000</v>
      </c>
      <c r="E2556" s="82">
        <v>0.96204557089999998</v>
      </c>
      <c r="F2556" s="14">
        <v>5695309.7800000003</v>
      </c>
      <c r="G2556" s="14">
        <v>0.01</v>
      </c>
      <c r="H2556" s="10"/>
      <c r="I2556" s="10"/>
    </row>
    <row r="2557" spans="1:9">
      <c r="A2557" s="10" t="s">
        <v>3559</v>
      </c>
      <c r="B2557" s="124" t="s">
        <v>485</v>
      </c>
      <c r="C2557" s="124" t="s">
        <v>492</v>
      </c>
      <c r="D2557" s="14">
        <v>6096304.9699999997</v>
      </c>
      <c r="E2557" s="82">
        <v>0.98702019149999998</v>
      </c>
      <c r="F2557" s="154">
        <v>6017176.0999999996</v>
      </c>
      <c r="G2557" s="14">
        <v>0.01</v>
      </c>
      <c r="H2557" s="10"/>
      <c r="I2557" s="10"/>
    </row>
    <row r="2558" spans="1:9">
      <c r="A2558" s="10" t="s">
        <v>3560</v>
      </c>
      <c r="B2558" s="124" t="s">
        <v>450</v>
      </c>
      <c r="C2558" s="124" t="s">
        <v>492</v>
      </c>
      <c r="D2558" s="12">
        <v>5900000</v>
      </c>
      <c r="E2558" s="82">
        <v>0.93975299820000002</v>
      </c>
      <c r="F2558" s="14">
        <v>5544542.6900000004</v>
      </c>
      <c r="G2558" s="14">
        <v>0.01</v>
      </c>
      <c r="H2558" s="10"/>
      <c r="I2558" s="10"/>
    </row>
    <row r="2559" spans="1:9">
      <c r="A2559" s="10" t="s">
        <v>3561</v>
      </c>
      <c r="B2559" s="124" t="s">
        <v>1161</v>
      </c>
      <c r="C2559" s="124" t="s">
        <v>492</v>
      </c>
      <c r="D2559" s="12">
        <v>5910000</v>
      </c>
      <c r="E2559" s="158">
        <v>0.95076862900000003</v>
      </c>
      <c r="F2559" s="154">
        <v>5619042.5999999996</v>
      </c>
      <c r="G2559" s="14">
        <v>0.01</v>
      </c>
      <c r="H2559" s="10"/>
      <c r="I2559" s="10"/>
    </row>
    <row r="2560" spans="1:9">
      <c r="A2560" s="10" t="s">
        <v>3562</v>
      </c>
      <c r="B2560" s="124" t="s">
        <v>766</v>
      </c>
      <c r="C2560" s="124" t="s">
        <v>492</v>
      </c>
      <c r="D2560" s="12">
        <v>5930000</v>
      </c>
      <c r="E2560" s="82">
        <v>0.97515376379999996</v>
      </c>
      <c r="F2560" s="14">
        <v>5782661.8200000003</v>
      </c>
      <c r="G2560" s="14">
        <v>0.01</v>
      </c>
      <c r="H2560" s="10"/>
      <c r="I2560" s="10"/>
    </row>
    <row r="2561" spans="1:9">
      <c r="A2561" s="10" t="s">
        <v>3563</v>
      </c>
      <c r="B2561" s="124" t="s">
        <v>999</v>
      </c>
      <c r="C2561" s="124" t="s">
        <v>492</v>
      </c>
      <c r="D2561" s="12">
        <v>5890000</v>
      </c>
      <c r="E2561" s="82">
        <v>0.92616098229999999</v>
      </c>
      <c r="F2561" s="14">
        <v>5455088.1900000004</v>
      </c>
      <c r="G2561" s="14">
        <v>0.01</v>
      </c>
      <c r="H2561" s="10"/>
      <c r="I2561" s="10"/>
    </row>
    <row r="2562" spans="1:9">
      <c r="A2562" s="10" t="s">
        <v>3564</v>
      </c>
      <c r="B2562" s="124" t="s">
        <v>518</v>
      </c>
      <c r="C2562" s="124" t="s">
        <v>492</v>
      </c>
      <c r="D2562" s="12">
        <v>1785672</v>
      </c>
      <c r="E2562" s="82">
        <v>0.97829017330000001</v>
      </c>
      <c r="F2562" s="14">
        <v>1746905.37</v>
      </c>
      <c r="G2562" s="12">
        <v>0</v>
      </c>
      <c r="H2562" s="10"/>
      <c r="I2562" s="10"/>
    </row>
    <row r="2563" spans="1:9">
      <c r="A2563" s="10" t="s">
        <v>3565</v>
      </c>
      <c r="B2563" s="124" t="s">
        <v>287</v>
      </c>
      <c r="C2563" s="124" t="s">
        <v>492</v>
      </c>
      <c r="D2563" s="12">
        <v>37500000</v>
      </c>
      <c r="E2563" s="82">
        <v>0.90480915480000002</v>
      </c>
      <c r="F2563" s="14">
        <v>33930343.310000002</v>
      </c>
      <c r="G2563" s="14">
        <v>0.05</v>
      </c>
      <c r="H2563" s="10"/>
      <c r="I2563" s="10"/>
    </row>
    <row r="2564" spans="1:9">
      <c r="A2564" s="10" t="s">
        <v>3566</v>
      </c>
      <c r="B2564" s="124" t="s">
        <v>287</v>
      </c>
      <c r="C2564" s="124" t="s">
        <v>492</v>
      </c>
      <c r="D2564" s="12">
        <v>37500000</v>
      </c>
      <c r="E2564" s="82">
        <v>0.90480915480000002</v>
      </c>
      <c r="F2564" s="14">
        <v>33930343.310000002</v>
      </c>
      <c r="G2564" s="14">
        <v>0.05</v>
      </c>
      <c r="H2564" s="10"/>
      <c r="I2564" s="10"/>
    </row>
    <row r="2565" spans="1:9">
      <c r="A2565" s="10" t="s">
        <v>3567</v>
      </c>
      <c r="B2565" s="124" t="s">
        <v>287</v>
      </c>
      <c r="C2565" s="124" t="s">
        <v>492</v>
      </c>
      <c r="D2565" s="12">
        <v>37500000</v>
      </c>
      <c r="E2565" s="82">
        <v>0.90480915480000002</v>
      </c>
      <c r="F2565" s="14">
        <v>33930343.310000002</v>
      </c>
      <c r="G2565" s="14">
        <v>0.05</v>
      </c>
      <c r="H2565" s="10"/>
      <c r="I2565" s="10"/>
    </row>
    <row r="2566" spans="1:9">
      <c r="A2566" s="10" t="s">
        <v>3568</v>
      </c>
      <c r="B2566" s="124" t="s">
        <v>997</v>
      </c>
      <c r="C2566" s="124" t="s">
        <v>492</v>
      </c>
      <c r="D2566" s="12">
        <v>37500000</v>
      </c>
      <c r="E2566" s="82">
        <v>0.90409216709999995</v>
      </c>
      <c r="F2566" s="14">
        <v>33903456.270000003</v>
      </c>
      <c r="G2566" s="14">
        <v>0.05</v>
      </c>
      <c r="H2566" s="10"/>
      <c r="I2566" s="10"/>
    </row>
    <row r="2567" spans="1:9">
      <c r="A2567" s="10" t="s">
        <v>3569</v>
      </c>
      <c r="B2567" s="124" t="s">
        <v>522</v>
      </c>
      <c r="C2567" s="124" t="s">
        <v>492</v>
      </c>
      <c r="D2567" s="12">
        <v>260000000</v>
      </c>
      <c r="E2567" s="82">
        <v>0.96971335020000005</v>
      </c>
      <c r="F2567" s="14">
        <v>252125471.05000001</v>
      </c>
      <c r="G2567" s="14">
        <v>0.34</v>
      </c>
      <c r="H2567" s="10"/>
      <c r="I2567" s="10"/>
    </row>
    <row r="2568" spans="1:9">
      <c r="A2568" s="10" t="s">
        <v>3570</v>
      </c>
      <c r="B2568" s="124" t="s">
        <v>524</v>
      </c>
      <c r="C2568" s="124" t="s">
        <v>492</v>
      </c>
      <c r="D2568" s="12">
        <v>50000000</v>
      </c>
      <c r="E2568" s="82">
        <v>0.97105479829999997</v>
      </c>
      <c r="F2568" s="14">
        <v>48552739.920000002</v>
      </c>
      <c r="G2568" s="14">
        <v>0.06</v>
      </c>
      <c r="H2568" s="10"/>
      <c r="I2568" s="10"/>
    </row>
    <row r="2569" spans="1:9">
      <c r="A2569" s="10" t="s">
        <v>3571</v>
      </c>
      <c r="B2569" s="124" t="s">
        <v>660</v>
      </c>
      <c r="C2569" s="124" t="s">
        <v>492</v>
      </c>
      <c r="D2569" s="12">
        <v>50000000</v>
      </c>
      <c r="E2569" s="82">
        <v>0.97022872550000006</v>
      </c>
      <c r="F2569" s="14">
        <v>48511436.280000001</v>
      </c>
      <c r="G2569" s="14">
        <v>0.06</v>
      </c>
      <c r="H2569" s="10"/>
      <c r="I2569" s="10"/>
    </row>
    <row r="2570" spans="1:9">
      <c r="A2570" s="10"/>
      <c r="B2570" s="10"/>
      <c r="C2570" s="10" t="s">
        <v>28</v>
      </c>
      <c r="D2570" s="10" t="s">
        <v>28</v>
      </c>
      <c r="E2570" s="10" t="s">
        <v>28</v>
      </c>
      <c r="F2570" s="14">
        <v>63966966162.980003</v>
      </c>
      <c r="G2570" s="14">
        <v>85.04</v>
      </c>
      <c r="H2570" s="10"/>
      <c r="I2570" s="10"/>
    </row>
    <row r="2571" spans="1:9">
      <c r="A2571" s="10" t="s">
        <v>28</v>
      </c>
      <c r="B2571" s="10"/>
      <c r="C2571" s="10"/>
      <c r="D2571" s="10"/>
      <c r="E2571" s="10"/>
      <c r="F2571" s="10"/>
      <c r="G2571" s="10"/>
      <c r="H2571" s="10"/>
      <c r="I2571" s="10"/>
    </row>
    <row r="2572" spans="1:9">
      <c r="A2572" s="10" t="s">
        <v>120</v>
      </c>
      <c r="B2572" s="10"/>
      <c r="C2572" s="10"/>
      <c r="D2572" s="10"/>
      <c r="E2572" s="10"/>
      <c r="F2572" s="10"/>
      <c r="G2572" s="10"/>
      <c r="H2572" s="10"/>
      <c r="I2572" s="10"/>
    </row>
    <row r="2573" spans="1:9">
      <c r="A2573" s="11" t="s">
        <v>9</v>
      </c>
      <c r="B2573" s="11" t="s">
        <v>97</v>
      </c>
      <c r="C2573" s="11" t="s">
        <v>16</v>
      </c>
      <c r="D2573" s="11" t="s">
        <v>99</v>
      </c>
      <c r="E2573" s="11" t="s">
        <v>32</v>
      </c>
      <c r="F2573" s="11" t="s">
        <v>100</v>
      </c>
      <c r="G2573" s="11" t="s">
        <v>4</v>
      </c>
      <c r="H2573" s="11"/>
      <c r="I2573" s="11"/>
    </row>
    <row r="2574" spans="1:9">
      <c r="A2574" s="10" t="s">
        <v>280</v>
      </c>
      <c r="B2574" s="124" t="s">
        <v>281</v>
      </c>
      <c r="C2574" s="124" t="s">
        <v>139</v>
      </c>
      <c r="D2574" s="12">
        <v>20856</v>
      </c>
      <c r="E2574" s="82">
        <v>1345.2218994453999</v>
      </c>
      <c r="F2574" s="14">
        <v>28055947.98</v>
      </c>
      <c r="G2574" s="14">
        <v>0.04</v>
      </c>
      <c r="H2574" s="10"/>
      <c r="I2574" s="10"/>
    </row>
    <row r="2575" spans="1:9">
      <c r="A2575" s="10" t="s">
        <v>282</v>
      </c>
      <c r="B2575" s="124" t="s">
        <v>283</v>
      </c>
      <c r="C2575" s="124" t="s">
        <v>139</v>
      </c>
      <c r="D2575" s="12">
        <v>20856</v>
      </c>
      <c r="E2575" s="82">
        <v>1407.5105868655</v>
      </c>
      <c r="F2575" s="14">
        <v>29355040.760000002</v>
      </c>
      <c r="G2575" s="14">
        <v>0.04</v>
      </c>
      <c r="H2575" s="10"/>
      <c r="I2575" s="10"/>
    </row>
    <row r="2576" spans="1:9">
      <c r="A2576" s="10" t="s">
        <v>284</v>
      </c>
      <c r="B2576" s="124" t="s">
        <v>285</v>
      </c>
      <c r="C2576" s="124" t="s">
        <v>139</v>
      </c>
      <c r="D2576" s="12">
        <v>20856</v>
      </c>
      <c r="E2576" s="158">
        <v>1288.510006233</v>
      </c>
      <c r="F2576" s="14">
        <v>26873164.57</v>
      </c>
      <c r="G2576" s="14">
        <v>0.04</v>
      </c>
      <c r="H2576" s="10"/>
      <c r="I2576" s="10"/>
    </row>
    <row r="2577" spans="1:9">
      <c r="A2577" s="10" t="s">
        <v>286</v>
      </c>
      <c r="B2577" s="124" t="s">
        <v>287</v>
      </c>
      <c r="C2577" s="124" t="s">
        <v>139</v>
      </c>
      <c r="D2577" s="12">
        <v>13904</v>
      </c>
      <c r="E2577" s="82">
        <v>1475.4633719963999</v>
      </c>
      <c r="F2577" s="154">
        <v>20514842.699999999</v>
      </c>
      <c r="G2577" s="14">
        <v>0.03</v>
      </c>
      <c r="H2577" s="10"/>
      <c r="I2577" s="10"/>
    </row>
    <row r="2578" spans="1:9">
      <c r="A2578" s="10" t="s">
        <v>445</v>
      </c>
      <c r="B2578" s="124" t="s">
        <v>446</v>
      </c>
      <c r="C2578" s="124" t="s">
        <v>301</v>
      </c>
      <c r="D2578" s="12">
        <v>18230</v>
      </c>
      <c r="E2578" s="82">
        <v>1507.7770567877001</v>
      </c>
      <c r="F2578" s="14">
        <v>27486775.75</v>
      </c>
      <c r="G2578" s="14">
        <v>0.04</v>
      </c>
      <c r="H2578" s="10"/>
      <c r="I2578" s="10"/>
    </row>
    <row r="2579" spans="1:9">
      <c r="A2579" s="10" t="s">
        <v>447</v>
      </c>
      <c r="B2579" s="124" t="s">
        <v>448</v>
      </c>
      <c r="C2579" s="124" t="s">
        <v>301</v>
      </c>
      <c r="D2579" s="12">
        <v>18230</v>
      </c>
      <c r="E2579" s="82">
        <v>1518.3127627895001</v>
      </c>
      <c r="F2579" s="14">
        <v>27678841.66</v>
      </c>
      <c r="G2579" s="14">
        <v>0.04</v>
      </c>
      <c r="H2579" s="10"/>
      <c r="I2579" s="10"/>
    </row>
    <row r="2580" spans="1:9">
      <c r="A2580" s="10" t="s">
        <v>449</v>
      </c>
      <c r="B2580" s="124" t="s">
        <v>450</v>
      </c>
      <c r="C2580" s="124" t="s">
        <v>301</v>
      </c>
      <c r="D2580" s="12">
        <v>18230</v>
      </c>
      <c r="E2580" s="82">
        <v>1498.3531894401001</v>
      </c>
      <c r="F2580" s="14">
        <v>27314978.640000001</v>
      </c>
      <c r="G2580" s="14">
        <v>0.04</v>
      </c>
      <c r="H2580" s="10"/>
      <c r="I2580" s="10"/>
    </row>
    <row r="2581" spans="1:9">
      <c r="A2581" s="10" t="s">
        <v>451</v>
      </c>
      <c r="B2581" s="124" t="s">
        <v>452</v>
      </c>
      <c r="C2581" s="124" t="s">
        <v>301</v>
      </c>
      <c r="D2581" s="12">
        <v>18230</v>
      </c>
      <c r="E2581" s="82">
        <v>1442.1151115317</v>
      </c>
      <c r="F2581" s="14">
        <v>26289758.469999999</v>
      </c>
      <c r="G2581" s="14">
        <v>0.03</v>
      </c>
      <c r="H2581" s="10"/>
      <c r="I2581" s="10"/>
    </row>
    <row r="2582" spans="1:9">
      <c r="A2582" s="10" t="s">
        <v>453</v>
      </c>
      <c r="B2582" s="124" t="s">
        <v>454</v>
      </c>
      <c r="C2582" s="124" t="s">
        <v>301</v>
      </c>
      <c r="D2582" s="12">
        <v>18230</v>
      </c>
      <c r="E2582" s="82">
        <v>1469.5382082077999</v>
      </c>
      <c r="F2582" s="14">
        <v>26789681.510000002</v>
      </c>
      <c r="G2582" s="14">
        <v>0.04</v>
      </c>
      <c r="H2582" s="10"/>
      <c r="I2582" s="10"/>
    </row>
    <row r="2583" spans="1:9">
      <c r="A2583" s="10" t="s">
        <v>455</v>
      </c>
      <c r="B2583" s="124" t="s">
        <v>456</v>
      </c>
      <c r="C2583" s="124" t="s">
        <v>301</v>
      </c>
      <c r="D2583" s="12">
        <v>18230</v>
      </c>
      <c r="E2583" s="82">
        <v>1451.7404466145999</v>
      </c>
      <c r="F2583" s="14">
        <v>26465228.34</v>
      </c>
      <c r="G2583" s="14">
        <v>0.04</v>
      </c>
      <c r="H2583" s="10"/>
      <c r="I2583" s="10"/>
    </row>
    <row r="2584" spans="1:9">
      <c r="A2584" s="10" t="s">
        <v>457</v>
      </c>
      <c r="B2584" s="124" t="s">
        <v>458</v>
      </c>
      <c r="C2584" s="124" t="s">
        <v>301</v>
      </c>
      <c r="D2584" s="12">
        <v>18230</v>
      </c>
      <c r="E2584" s="82">
        <v>1460.8942982194999</v>
      </c>
      <c r="F2584" s="14">
        <v>26632103.030000001</v>
      </c>
      <c r="G2584" s="14">
        <v>0.04</v>
      </c>
      <c r="H2584" s="10"/>
      <c r="I2584" s="10"/>
    </row>
    <row r="2585" spans="1:9">
      <c r="A2585" s="10" t="s">
        <v>459</v>
      </c>
      <c r="B2585" s="124" t="s">
        <v>460</v>
      </c>
      <c r="C2585" s="124" t="s">
        <v>301</v>
      </c>
      <c r="D2585" s="12">
        <v>18230</v>
      </c>
      <c r="E2585" s="82">
        <v>1489.0480291260999</v>
      </c>
      <c r="F2585" s="14">
        <v>27145345.57</v>
      </c>
      <c r="G2585" s="14">
        <v>0.04</v>
      </c>
      <c r="H2585" s="10"/>
      <c r="I2585" s="10"/>
    </row>
    <row r="2586" spans="1:9">
      <c r="A2586" s="10" t="s">
        <v>461</v>
      </c>
      <c r="B2586" s="124" t="s">
        <v>462</v>
      </c>
      <c r="C2586" s="124" t="s">
        <v>301</v>
      </c>
      <c r="D2586" s="12">
        <v>18230</v>
      </c>
      <c r="E2586" s="82">
        <v>1478.9102418386999</v>
      </c>
      <c r="F2586" s="14">
        <v>26960533.760000002</v>
      </c>
      <c r="G2586" s="14">
        <v>0.04</v>
      </c>
      <c r="H2586" s="10"/>
      <c r="I2586" s="10"/>
    </row>
    <row r="2587" spans="1:9">
      <c r="A2587" s="10" t="s">
        <v>600</v>
      </c>
      <c r="B2587" s="124" t="s">
        <v>441</v>
      </c>
      <c r="C2587" s="124" t="s">
        <v>350</v>
      </c>
      <c r="D2587" s="12">
        <v>50000</v>
      </c>
      <c r="E2587" s="82">
        <v>1522.2181076562999</v>
      </c>
      <c r="F2587" s="14">
        <v>76110905.379999995</v>
      </c>
      <c r="G2587" s="154">
        <v>0.1</v>
      </c>
      <c r="H2587" s="10"/>
      <c r="I2587" s="10"/>
    </row>
    <row r="2588" spans="1:9">
      <c r="A2588" s="10" t="s">
        <v>606</v>
      </c>
      <c r="B2588" s="124" t="s">
        <v>441</v>
      </c>
      <c r="C2588" s="124" t="s">
        <v>150</v>
      </c>
      <c r="D2588" s="12">
        <v>25000</v>
      </c>
      <c r="E2588" s="82">
        <v>1521.7185502171001</v>
      </c>
      <c r="F2588" s="14">
        <v>38042963.759999998</v>
      </c>
      <c r="G2588" s="14">
        <v>0.05</v>
      </c>
      <c r="H2588" s="10"/>
      <c r="I2588" s="10"/>
    </row>
    <row r="2589" spans="1:9">
      <c r="A2589" s="10" t="s">
        <v>681</v>
      </c>
      <c r="B2589" s="124" t="s">
        <v>680</v>
      </c>
      <c r="C2589" s="124" t="s">
        <v>310</v>
      </c>
      <c r="D2589" s="12">
        <v>500000</v>
      </c>
      <c r="E2589" s="82">
        <v>1512.0391480399001</v>
      </c>
      <c r="F2589" s="14">
        <v>756019573.87</v>
      </c>
      <c r="G2589" s="14">
        <v>1.01</v>
      </c>
      <c r="H2589" s="10"/>
      <c r="I2589" s="10"/>
    </row>
    <row r="2590" spans="1:9">
      <c r="A2590" s="10" t="s">
        <v>784</v>
      </c>
      <c r="B2590" s="124" t="s">
        <v>680</v>
      </c>
      <c r="C2590" s="124" t="s">
        <v>333</v>
      </c>
      <c r="D2590" s="12">
        <v>100000</v>
      </c>
      <c r="E2590" s="82">
        <v>1510.5608060884999</v>
      </c>
      <c r="F2590" s="14">
        <v>151056080.56</v>
      </c>
      <c r="G2590" s="154">
        <v>0.2</v>
      </c>
      <c r="H2590" s="10"/>
      <c r="I2590" s="10"/>
    </row>
    <row r="2591" spans="1:9">
      <c r="A2591" s="10" t="s">
        <v>1100</v>
      </c>
      <c r="B2591" s="124" t="s">
        <v>854</v>
      </c>
      <c r="C2591" s="124" t="s">
        <v>433</v>
      </c>
      <c r="D2591" s="12">
        <v>50000</v>
      </c>
      <c r="E2591" s="82">
        <v>1502.5634683113001</v>
      </c>
      <c r="F2591" s="14">
        <v>75128173.480000004</v>
      </c>
      <c r="G2591" s="154">
        <v>0.1</v>
      </c>
      <c r="H2591" s="10"/>
      <c r="I2591" s="10"/>
    </row>
    <row r="2592" spans="1:9">
      <c r="A2592" s="10" t="s">
        <v>1101</v>
      </c>
      <c r="B2592" s="124" t="s">
        <v>680</v>
      </c>
      <c r="C2592" s="124" t="s">
        <v>433</v>
      </c>
      <c r="D2592" s="12">
        <v>50000</v>
      </c>
      <c r="E2592" s="82">
        <v>1512.0395134879</v>
      </c>
      <c r="F2592" s="14">
        <v>75601975.670000002</v>
      </c>
      <c r="G2592" s="154">
        <v>0.1</v>
      </c>
      <c r="H2592" s="10"/>
      <c r="I2592" s="10"/>
    </row>
    <row r="2593" spans="1:9">
      <c r="A2593" s="10" t="s">
        <v>1256</v>
      </c>
      <c r="B2593" s="124" t="s">
        <v>854</v>
      </c>
      <c r="C2593" s="124" t="s">
        <v>403</v>
      </c>
      <c r="D2593" s="12">
        <v>100000</v>
      </c>
      <c r="E2593" s="82">
        <v>1499.9294408098001</v>
      </c>
      <c r="F2593" s="14">
        <v>149992944.02000001</v>
      </c>
      <c r="G2593" s="154">
        <v>0.2</v>
      </c>
      <c r="H2593" s="10"/>
      <c r="I2593" s="10"/>
    </row>
    <row r="2594" spans="1:9">
      <c r="A2594" s="10" t="s">
        <v>1257</v>
      </c>
      <c r="B2594" s="124" t="s">
        <v>778</v>
      </c>
      <c r="C2594" s="124" t="s">
        <v>403</v>
      </c>
      <c r="D2594" s="12">
        <v>20000</v>
      </c>
      <c r="E2594" s="158">
        <v>1491.603689988</v>
      </c>
      <c r="F2594" s="14">
        <v>29832073.77</v>
      </c>
      <c r="G2594" s="14">
        <v>0.04</v>
      </c>
      <c r="H2594" s="10"/>
      <c r="I2594" s="10"/>
    </row>
    <row r="2595" spans="1:9">
      <c r="A2595" s="10" t="s">
        <v>1462</v>
      </c>
      <c r="B2595" s="124" t="s">
        <v>1463</v>
      </c>
      <c r="C2595" s="124" t="s">
        <v>397</v>
      </c>
      <c r="D2595" s="12">
        <v>20100</v>
      </c>
      <c r="E2595" s="158">
        <v>1433.4831055760001</v>
      </c>
      <c r="F2595" s="14">
        <v>28813010.43</v>
      </c>
      <c r="G2595" s="14">
        <v>0.04</v>
      </c>
      <c r="H2595" s="10"/>
      <c r="I2595" s="10"/>
    </row>
    <row r="2596" spans="1:9">
      <c r="A2596" s="10" t="s">
        <v>1464</v>
      </c>
      <c r="B2596" s="124" t="s">
        <v>1465</v>
      </c>
      <c r="C2596" s="124" t="s">
        <v>397</v>
      </c>
      <c r="D2596" s="12">
        <v>20100</v>
      </c>
      <c r="E2596" s="82">
        <v>1414.8171346015999</v>
      </c>
      <c r="F2596" s="14">
        <v>28437824.32</v>
      </c>
      <c r="G2596" s="14">
        <v>0.04</v>
      </c>
      <c r="H2596" s="10"/>
      <c r="I2596" s="10"/>
    </row>
    <row r="2597" spans="1:9">
      <c r="A2597" s="10" t="s">
        <v>1466</v>
      </c>
      <c r="B2597" s="124" t="s">
        <v>1467</v>
      </c>
      <c r="C2597" s="124" t="s">
        <v>397</v>
      </c>
      <c r="D2597" s="12">
        <v>20100</v>
      </c>
      <c r="E2597" s="82">
        <v>1422.9252511121001</v>
      </c>
      <c r="F2597" s="14">
        <v>28600797.649999999</v>
      </c>
      <c r="G2597" s="14">
        <v>0.04</v>
      </c>
      <c r="H2597" s="10"/>
      <c r="I2597" s="10"/>
    </row>
    <row r="2598" spans="1:9">
      <c r="A2598" s="10" t="s">
        <v>1502</v>
      </c>
      <c r="B2598" s="124" t="s">
        <v>441</v>
      </c>
      <c r="C2598" s="124" t="s">
        <v>414</v>
      </c>
      <c r="D2598" s="12">
        <v>188100</v>
      </c>
      <c r="E2598" s="158">
        <v>1521.9681808830001</v>
      </c>
      <c r="F2598" s="14">
        <v>286282214.81999999</v>
      </c>
      <c r="G2598" s="14">
        <v>0.38</v>
      </c>
      <c r="H2598" s="10"/>
      <c r="I2598" s="10"/>
    </row>
    <row r="2599" spans="1:9">
      <c r="A2599" s="10" t="s">
        <v>1503</v>
      </c>
      <c r="B2599" s="124" t="s">
        <v>680</v>
      </c>
      <c r="C2599" s="124" t="s">
        <v>414</v>
      </c>
      <c r="D2599" s="12">
        <v>188100</v>
      </c>
      <c r="E2599" s="82">
        <v>1512.0392057984</v>
      </c>
      <c r="F2599" s="14">
        <v>284414574.63999999</v>
      </c>
      <c r="G2599" s="14">
        <v>0.38</v>
      </c>
      <c r="H2599" s="10"/>
      <c r="I2599" s="10"/>
    </row>
    <row r="2600" spans="1:9">
      <c r="A2600" s="10" t="s">
        <v>1723</v>
      </c>
      <c r="B2600" s="124" t="s">
        <v>518</v>
      </c>
      <c r="C2600" s="124" t="s">
        <v>425</v>
      </c>
      <c r="D2600" s="12">
        <v>101000</v>
      </c>
      <c r="E2600" s="82">
        <v>1521.7185084603</v>
      </c>
      <c r="F2600" s="154">
        <v>153693569.30000001</v>
      </c>
      <c r="G2600" s="154">
        <v>0.2</v>
      </c>
      <c r="H2600" s="10"/>
      <c r="I2600" s="10"/>
    </row>
    <row r="2601" spans="1:9">
      <c r="A2601" s="10" t="s">
        <v>1935</v>
      </c>
      <c r="B2601" s="124" t="s">
        <v>441</v>
      </c>
      <c r="C2601" s="124" t="s">
        <v>436</v>
      </c>
      <c r="D2601" s="12">
        <v>70000</v>
      </c>
      <c r="E2601" s="82">
        <v>1521.4689238183</v>
      </c>
      <c r="F2601" s="14">
        <v>106502824.68000001</v>
      </c>
      <c r="G2601" s="14">
        <v>0.14000000000000001</v>
      </c>
      <c r="H2601" s="10"/>
      <c r="I2601" s="10"/>
    </row>
    <row r="2602" spans="1:9">
      <c r="A2602" s="10" t="s">
        <v>2016</v>
      </c>
      <c r="B2602" s="124" t="s">
        <v>778</v>
      </c>
      <c r="C2602" s="124" t="s">
        <v>164</v>
      </c>
      <c r="D2602" s="12">
        <v>125000</v>
      </c>
      <c r="E2602" s="82">
        <v>1487.6547795501001</v>
      </c>
      <c r="F2602" s="14">
        <v>185956847.27000001</v>
      </c>
      <c r="G2602" s="14">
        <v>0.25</v>
      </c>
      <c r="H2602" s="10"/>
      <c r="I2602" s="10"/>
    </row>
    <row r="2603" spans="1:9">
      <c r="A2603" s="10" t="s">
        <v>2237</v>
      </c>
      <c r="B2603" s="124" t="s">
        <v>778</v>
      </c>
      <c r="C2603" s="124" t="s">
        <v>551</v>
      </c>
      <c r="D2603" s="12">
        <v>415000</v>
      </c>
      <c r="E2603" s="82">
        <v>1491.6041296532001</v>
      </c>
      <c r="F2603" s="14">
        <v>619015713.64999998</v>
      </c>
      <c r="G2603" s="14">
        <v>0.82</v>
      </c>
      <c r="H2603" s="10"/>
      <c r="I2603" s="10"/>
    </row>
    <row r="2604" spans="1:9">
      <c r="A2604" s="10" t="s">
        <v>2464</v>
      </c>
      <c r="B2604" s="124" t="s">
        <v>854</v>
      </c>
      <c r="C2604" s="124" t="s">
        <v>483</v>
      </c>
      <c r="D2604" s="12">
        <v>150000</v>
      </c>
      <c r="E2604" s="82">
        <v>1502.5633680341</v>
      </c>
      <c r="F2604" s="14">
        <v>225384505.19</v>
      </c>
      <c r="G2604" s="154">
        <v>0.3</v>
      </c>
      <c r="H2604" s="10"/>
      <c r="I2604" s="10"/>
    </row>
    <row r="2605" spans="1:9">
      <c r="A2605" s="10" t="s">
        <v>2596</v>
      </c>
      <c r="B2605" s="124" t="s">
        <v>680</v>
      </c>
      <c r="C2605" s="124" t="s">
        <v>423</v>
      </c>
      <c r="D2605" s="12">
        <v>100000</v>
      </c>
      <c r="E2605" s="82">
        <v>1509.0856026004999</v>
      </c>
      <c r="F2605" s="14">
        <v>150908560.28999999</v>
      </c>
      <c r="G2605" s="154">
        <v>0.2</v>
      </c>
      <c r="H2605" s="10"/>
      <c r="I2605" s="10"/>
    </row>
    <row r="2606" spans="1:9">
      <c r="A2606" s="10" t="s">
        <v>2990</v>
      </c>
      <c r="B2606" s="124" t="s">
        <v>854</v>
      </c>
      <c r="C2606" s="124" t="s">
        <v>434</v>
      </c>
      <c r="D2606" s="12">
        <v>450000</v>
      </c>
      <c r="E2606" s="82">
        <v>1502.5634023233999</v>
      </c>
      <c r="F2606" s="14">
        <v>676153530.80999994</v>
      </c>
      <c r="G2606" s="154">
        <v>0.9</v>
      </c>
      <c r="H2606" s="10"/>
      <c r="I2606" s="10"/>
    </row>
    <row r="2607" spans="1:9">
      <c r="A2607" s="10"/>
      <c r="B2607" s="10"/>
      <c r="C2607" s="10" t="s">
        <v>28</v>
      </c>
      <c r="D2607" s="10" t="s">
        <v>28</v>
      </c>
      <c r="E2607" s="10" t="s">
        <v>28</v>
      </c>
      <c r="F2607" s="154">
        <v>4473510906.3000002</v>
      </c>
      <c r="G2607" s="14">
        <v>5.95</v>
      </c>
      <c r="H2607" s="10"/>
      <c r="I2607" s="10"/>
    </row>
    <row r="2608" spans="1:9">
      <c r="A2608" s="10" t="s">
        <v>28</v>
      </c>
      <c r="B2608" s="10"/>
      <c r="C2608" s="10"/>
      <c r="D2608" s="10"/>
      <c r="E2608" s="10"/>
      <c r="F2608" s="10"/>
      <c r="G2608" s="10"/>
      <c r="H2608" s="10"/>
      <c r="I2608" s="10"/>
    </row>
    <row r="2609" spans="1:9">
      <c r="A2609" s="10" t="s">
        <v>1200</v>
      </c>
      <c r="B2609" s="10"/>
      <c r="C2609" s="10"/>
      <c r="D2609" s="10"/>
      <c r="E2609" s="10"/>
      <c r="F2609" s="10"/>
      <c r="G2609" s="10"/>
      <c r="H2609" s="10"/>
      <c r="I2609" s="10"/>
    </row>
    <row r="2610" spans="1:9">
      <c r="A2610" s="11" t="s">
        <v>9</v>
      </c>
      <c r="B2610" s="11" t="s">
        <v>97</v>
      </c>
      <c r="C2610" s="11" t="s">
        <v>16</v>
      </c>
      <c r="D2610" s="11" t="s">
        <v>99</v>
      </c>
      <c r="E2610" s="11" t="s">
        <v>32</v>
      </c>
      <c r="F2610" s="11" t="s">
        <v>100</v>
      </c>
      <c r="G2610" s="11" t="s">
        <v>4</v>
      </c>
      <c r="H2610" s="11"/>
      <c r="I2610" s="11"/>
    </row>
    <row r="2611" spans="1:9">
      <c r="A2611" s="10" t="s">
        <v>1936</v>
      </c>
      <c r="B2611" s="124" t="s">
        <v>480</v>
      </c>
      <c r="C2611" s="124" t="s">
        <v>436</v>
      </c>
      <c r="D2611" s="14">
        <v>4105.28</v>
      </c>
      <c r="E2611" s="82">
        <v>1541.4548121496</v>
      </c>
      <c r="F2611" s="14">
        <v>6328103.6100000003</v>
      </c>
      <c r="G2611" s="14">
        <v>0.01</v>
      </c>
      <c r="H2611" s="10"/>
      <c r="I2611" s="10"/>
    </row>
    <row r="2612" spans="1:9">
      <c r="A2612" s="10" t="s">
        <v>2693</v>
      </c>
      <c r="B2612" s="124" t="s">
        <v>490</v>
      </c>
      <c r="C2612" s="124" t="s">
        <v>420</v>
      </c>
      <c r="D2612" s="14">
        <v>20534.87</v>
      </c>
      <c r="E2612" s="82">
        <v>1531.1569616463</v>
      </c>
      <c r="F2612" s="14">
        <v>31442109.16</v>
      </c>
      <c r="G2612" s="14">
        <v>0.04</v>
      </c>
      <c r="H2612" s="10"/>
      <c r="I2612" s="10"/>
    </row>
    <row r="2613" spans="1:9">
      <c r="A2613" s="10" t="s">
        <v>2694</v>
      </c>
      <c r="B2613" s="124" t="s">
        <v>490</v>
      </c>
      <c r="C2613" s="124" t="s">
        <v>420</v>
      </c>
      <c r="D2613" s="14">
        <v>24316.54</v>
      </c>
      <c r="E2613" s="82">
        <v>1531.1565373893</v>
      </c>
      <c r="F2613" s="14">
        <v>37232429.18</v>
      </c>
      <c r="G2613" s="14">
        <v>0.05</v>
      </c>
      <c r="H2613" s="10"/>
      <c r="I2613" s="10"/>
    </row>
    <row r="2614" spans="1:9">
      <c r="A2614" s="10" t="s">
        <v>2695</v>
      </c>
      <c r="B2614" s="124" t="s">
        <v>482</v>
      </c>
      <c r="C2614" s="124" t="s">
        <v>420</v>
      </c>
      <c r="D2614" s="14">
        <v>6354.68</v>
      </c>
      <c r="E2614" s="82">
        <v>1535.5350090815</v>
      </c>
      <c r="F2614" s="14">
        <v>9757833.6099999994</v>
      </c>
      <c r="G2614" s="14">
        <v>0.01</v>
      </c>
      <c r="H2614" s="10"/>
      <c r="I2614" s="10"/>
    </row>
    <row r="2615" spans="1:9">
      <c r="A2615" s="10" t="s">
        <v>2697</v>
      </c>
      <c r="B2615" s="124" t="s">
        <v>490</v>
      </c>
      <c r="C2615" s="124" t="s">
        <v>420</v>
      </c>
      <c r="D2615" s="14">
        <v>16608.349999999999</v>
      </c>
      <c r="E2615" s="82">
        <v>1531.1568547323</v>
      </c>
      <c r="F2615" s="14">
        <v>25429988.940000001</v>
      </c>
      <c r="G2615" s="14">
        <v>0.03</v>
      </c>
      <c r="H2615" s="10"/>
      <c r="I2615" s="10"/>
    </row>
    <row r="2616" spans="1:9">
      <c r="A2616" s="10" t="s">
        <v>2769</v>
      </c>
      <c r="B2616" s="124" t="s">
        <v>480</v>
      </c>
      <c r="C2616" s="124" t="s">
        <v>422</v>
      </c>
      <c r="D2616" s="14">
        <v>6619.93</v>
      </c>
      <c r="E2616" s="82">
        <v>1540.5679752095</v>
      </c>
      <c r="F2616" s="14">
        <v>10198452.16</v>
      </c>
      <c r="G2616" s="14">
        <v>0.01</v>
      </c>
      <c r="H2616" s="10"/>
      <c r="I2616" s="10"/>
    </row>
    <row r="2617" spans="1:9">
      <c r="A2617" s="10" t="s">
        <v>2991</v>
      </c>
      <c r="B2617" s="124" t="s">
        <v>482</v>
      </c>
      <c r="C2617" s="124" t="s">
        <v>434</v>
      </c>
      <c r="D2617" s="14">
        <v>33187.68</v>
      </c>
      <c r="E2617" s="158">
        <v>1535.5342716529999</v>
      </c>
      <c r="F2617" s="14">
        <v>50960820.039999999</v>
      </c>
      <c r="G2617" s="14">
        <v>7.0000000000000007E-2</v>
      </c>
      <c r="H2617" s="10"/>
      <c r="I2617" s="10"/>
    </row>
    <row r="2618" spans="1:9">
      <c r="A2618" s="10"/>
      <c r="B2618" s="10"/>
      <c r="C2618" s="10" t="s">
        <v>28</v>
      </c>
      <c r="D2618" s="10" t="s">
        <v>28</v>
      </c>
      <c r="E2618" s="10" t="s">
        <v>28</v>
      </c>
      <c r="F2618" s="154">
        <v>171349736.69999999</v>
      </c>
      <c r="G2618" s="14">
        <v>0.23</v>
      </c>
      <c r="H2618" s="10"/>
      <c r="I2618" s="10"/>
    </row>
    <row r="2619" spans="1:9">
      <c r="A2619" s="10" t="s">
        <v>28</v>
      </c>
      <c r="B2619" s="10"/>
      <c r="C2619" s="10"/>
      <c r="D2619" s="10"/>
      <c r="E2619" s="10"/>
      <c r="F2619" s="10"/>
      <c r="G2619" s="10"/>
      <c r="H2619" s="10"/>
      <c r="I2619" s="10"/>
    </row>
    <row r="2620" spans="1:9">
      <c r="A2620" s="10" t="s">
        <v>7</v>
      </c>
      <c r="B2620" s="10"/>
      <c r="C2620" s="10"/>
      <c r="D2620" s="10"/>
      <c r="E2620" s="10"/>
      <c r="F2620" s="10"/>
      <c r="G2620" s="10"/>
      <c r="H2620" s="10"/>
      <c r="I2620" s="10"/>
    </row>
    <row r="2621" spans="1:9">
      <c r="A2621" s="11" t="s">
        <v>8</v>
      </c>
      <c r="B2621" s="11" t="s">
        <v>2</v>
      </c>
      <c r="C2621" s="11" t="s">
        <v>4</v>
      </c>
      <c r="D2621" s="11"/>
      <c r="E2621" s="11"/>
      <c r="F2621" s="11"/>
      <c r="G2621" s="11"/>
      <c r="H2621" s="11"/>
      <c r="I2621" s="11"/>
    </row>
    <row r="2622" spans="1:9">
      <c r="A2622" s="10" t="s">
        <v>87</v>
      </c>
      <c r="B2622" s="154">
        <v>2029338.5</v>
      </c>
      <c r="C2622" s="12">
        <v>0</v>
      </c>
      <c r="D2622" s="10"/>
      <c r="E2622" s="10"/>
      <c r="F2622" s="10"/>
      <c r="G2622" s="10"/>
      <c r="H2622" s="10"/>
      <c r="I2622" s="10"/>
    </row>
    <row r="2623" spans="1:9">
      <c r="A2623" s="10" t="s">
        <v>28</v>
      </c>
      <c r="B2623" s="154">
        <v>2029338.5</v>
      </c>
      <c r="C2623" s="12">
        <v>0</v>
      </c>
      <c r="D2623" s="10"/>
      <c r="E2623" s="10"/>
      <c r="F2623" s="10"/>
      <c r="G2623" s="10"/>
      <c r="H2623" s="10"/>
      <c r="I2623" s="10"/>
    </row>
    <row r="2624" spans="1:9">
      <c r="A2624" s="10" t="s">
        <v>28</v>
      </c>
      <c r="B2624" s="10"/>
      <c r="C2624" s="10"/>
      <c r="D2624" s="10"/>
      <c r="E2624" s="10"/>
      <c r="F2624" s="10"/>
      <c r="G2624" s="10"/>
      <c r="H2624" s="10"/>
      <c r="I2624" s="10"/>
    </row>
    <row r="2625" spans="1:9">
      <c r="A2625" s="10" t="s">
        <v>3572</v>
      </c>
      <c r="B2625" s="10"/>
      <c r="C2625" s="10"/>
      <c r="D2625" s="10"/>
      <c r="E2625" s="10"/>
      <c r="F2625" s="10"/>
      <c r="G2625" s="10"/>
      <c r="H2625" s="10"/>
      <c r="I2625" s="10"/>
    </row>
    <row r="2626" spans="1:9">
      <c r="A2626" s="10" t="s">
        <v>28</v>
      </c>
      <c r="B2626" s="10"/>
      <c r="C2626" s="10"/>
      <c r="D2626" s="10"/>
      <c r="E2626" s="10"/>
      <c r="F2626" s="10"/>
      <c r="G2626" s="10"/>
      <c r="H2626" s="10"/>
      <c r="I2626" s="10"/>
    </row>
    <row r="2627" spans="1:9">
      <c r="A2627" s="10" t="s">
        <v>121</v>
      </c>
      <c r="B2627" s="10"/>
      <c r="C2627" s="10"/>
      <c r="D2627" s="10"/>
      <c r="E2627" s="10"/>
      <c r="F2627" s="10"/>
      <c r="G2627" s="10"/>
      <c r="H2627" s="10"/>
      <c r="I2627" s="10"/>
    </row>
    <row r="2628" spans="1:9">
      <c r="A2628" s="10" t="s">
        <v>380</v>
      </c>
      <c r="B2628" s="10"/>
      <c r="C2628" s="10"/>
      <c r="D2628" s="10"/>
      <c r="E2628" s="10"/>
      <c r="F2628" s="10"/>
      <c r="G2628" s="10"/>
      <c r="H2628" s="10"/>
      <c r="I2628" s="10"/>
    </row>
    <row r="2629" spans="1:9">
      <c r="A2629" s="11" t="s">
        <v>8</v>
      </c>
      <c r="B2629" s="11" t="s">
        <v>122</v>
      </c>
      <c r="C2629" s="11" t="s">
        <v>123</v>
      </c>
      <c r="D2629" s="11"/>
      <c r="E2629" s="11"/>
      <c r="F2629" s="11"/>
      <c r="G2629" s="11"/>
      <c r="H2629" s="11"/>
      <c r="I2629" s="11"/>
    </row>
    <row r="2630" spans="1:9">
      <c r="A2630" s="10" t="s">
        <v>941</v>
      </c>
      <c r="B2630" s="12">
        <v>600000000</v>
      </c>
      <c r="C2630" s="12">
        <v>646075548</v>
      </c>
      <c r="D2630" s="10"/>
      <c r="E2630" s="10"/>
      <c r="F2630" s="10"/>
      <c r="G2630" s="10"/>
      <c r="H2630" s="10"/>
      <c r="I2630" s="10"/>
    </row>
    <row r="2631" spans="1:9">
      <c r="A2631" s="10" t="s">
        <v>28</v>
      </c>
      <c r="B2631" s="10"/>
      <c r="C2631" s="10"/>
      <c r="D2631" s="10"/>
      <c r="E2631" s="10"/>
      <c r="F2631" s="10"/>
      <c r="G2631" s="10"/>
      <c r="H2631" s="10"/>
      <c r="I2631" s="10"/>
    </row>
    <row r="2632" spans="1:9">
      <c r="A2632" s="10" t="s">
        <v>12</v>
      </c>
      <c r="B2632" s="10"/>
      <c r="C2632" s="10"/>
      <c r="D2632" s="10"/>
      <c r="E2632" s="10"/>
      <c r="F2632" s="10"/>
      <c r="G2632" s="10"/>
      <c r="H2632" s="10"/>
      <c r="I2632" s="10"/>
    </row>
    <row r="2633" spans="1:9">
      <c r="A2633" s="10" t="s">
        <v>20</v>
      </c>
      <c r="B2633" s="10"/>
      <c r="C2633" s="10"/>
      <c r="D2633" s="10"/>
      <c r="E2633" s="10"/>
      <c r="F2633" s="10"/>
      <c r="G2633" s="10"/>
      <c r="H2633" s="10"/>
      <c r="I2633" s="10"/>
    </row>
    <row r="2634" spans="1:9">
      <c r="A2634" s="11" t="s">
        <v>9</v>
      </c>
      <c r="B2634" s="11" t="s">
        <v>30</v>
      </c>
      <c r="C2634" s="11" t="s">
        <v>25</v>
      </c>
      <c r="D2634" s="11" t="s">
        <v>21</v>
      </c>
      <c r="E2634" s="11"/>
      <c r="F2634" s="11"/>
      <c r="G2634" s="11"/>
      <c r="H2634" s="11"/>
      <c r="I2634" s="11"/>
    </row>
    <row r="2635" spans="1:9">
      <c r="A2635" s="10" t="s">
        <v>31</v>
      </c>
      <c r="B2635" s="124" t="s">
        <v>492</v>
      </c>
      <c r="C2635" s="156">
        <v>1516.979</v>
      </c>
      <c r="D2635" s="10" t="s">
        <v>28</v>
      </c>
      <c r="E2635" s="10"/>
      <c r="F2635" s="10"/>
      <c r="G2635" s="10"/>
      <c r="H2635" s="10"/>
      <c r="I2635" s="10"/>
    </row>
    <row r="2636" spans="1:9">
      <c r="A2636" s="10" t="s">
        <v>13</v>
      </c>
      <c r="B2636" s="124" t="s">
        <v>678</v>
      </c>
      <c r="C2636" s="14">
        <v>1515.99</v>
      </c>
      <c r="D2636" s="14">
        <v>7.0000000000000007E-2</v>
      </c>
      <c r="E2636" s="10"/>
      <c r="F2636" s="10"/>
      <c r="G2636" s="10"/>
      <c r="H2636" s="10"/>
      <c r="I2636" s="10"/>
    </row>
    <row r="2637" spans="1:9">
      <c r="A2637" s="10" t="s">
        <v>0</v>
      </c>
      <c r="B2637" s="124" t="s">
        <v>436</v>
      </c>
      <c r="C2637" s="156">
        <v>1485.2560000000001</v>
      </c>
      <c r="D2637" s="14">
        <v>2.14</v>
      </c>
      <c r="E2637" s="10"/>
      <c r="F2637" s="10"/>
      <c r="G2637" s="10"/>
      <c r="H2637" s="10"/>
      <c r="I2637" s="10"/>
    </row>
    <row r="2638" spans="1:9">
      <c r="A2638" s="10" t="s">
        <v>40</v>
      </c>
      <c r="B2638" s="124" t="s">
        <v>139</v>
      </c>
      <c r="C2638" s="156">
        <v>1231.2270000000001</v>
      </c>
      <c r="D2638" s="14">
        <v>23.21</v>
      </c>
      <c r="E2638" s="10"/>
      <c r="F2638" s="10"/>
      <c r="G2638" s="10"/>
      <c r="H2638" s="10"/>
      <c r="I2638" s="10"/>
    </row>
    <row r="2639" spans="1:9">
      <c r="A2639" s="10" t="s">
        <v>5</v>
      </c>
      <c r="B2639" s="124" t="s">
        <v>88</v>
      </c>
      <c r="C2639" s="12">
        <v>1000</v>
      </c>
      <c r="D2639" s="154">
        <v>51.7</v>
      </c>
      <c r="E2639" s="10"/>
      <c r="F2639" s="10"/>
      <c r="G2639" s="10"/>
      <c r="H2639" s="10"/>
      <c r="I2639" s="10"/>
    </row>
    <row r="2640" spans="1:9">
      <c r="A2640" s="10" t="s">
        <v>28</v>
      </c>
      <c r="B2640" s="10"/>
      <c r="C2640" s="10"/>
      <c r="D2640" s="10"/>
      <c r="E2640" s="10"/>
      <c r="F2640" s="10"/>
      <c r="G2640" s="10"/>
      <c r="H2640" s="10"/>
      <c r="I2640" s="10"/>
    </row>
    <row r="2641" spans="1:9">
      <c r="A2641" s="10" t="s">
        <v>23</v>
      </c>
      <c r="B2641" s="10"/>
      <c r="C2641" s="10"/>
      <c r="D2641" s="10"/>
      <c r="E2641" s="10"/>
      <c r="F2641" s="10"/>
      <c r="G2641" s="10"/>
      <c r="H2641" s="10"/>
      <c r="I2641" s="10"/>
    </row>
    <row r="2642" spans="1:9">
      <c r="A2642" s="11" t="s">
        <v>9</v>
      </c>
      <c r="B2642" s="11" t="s">
        <v>30</v>
      </c>
      <c r="C2642" s="11" t="s">
        <v>25</v>
      </c>
      <c r="D2642" s="11" t="s">
        <v>21</v>
      </c>
      <c r="E2642" s="11"/>
      <c r="F2642" s="11"/>
      <c r="G2642" s="11"/>
      <c r="H2642" s="11"/>
      <c r="I2642" s="11"/>
    </row>
    <row r="2643" spans="1:9">
      <c r="A2643" s="10" t="s">
        <v>31</v>
      </c>
      <c r="B2643" s="124" t="s">
        <v>492</v>
      </c>
      <c r="C2643" s="156">
        <v>1817.748</v>
      </c>
      <c r="D2643" s="10" t="s">
        <v>28</v>
      </c>
      <c r="E2643" s="10"/>
      <c r="F2643" s="10"/>
      <c r="G2643" s="10"/>
      <c r="H2643" s="10"/>
      <c r="I2643" s="10"/>
    </row>
    <row r="2644" spans="1:9">
      <c r="A2644" s="10" t="s">
        <v>13</v>
      </c>
      <c r="B2644" s="124" t="s">
        <v>678</v>
      </c>
      <c r="C2644" s="156">
        <v>1816.5630000000001</v>
      </c>
      <c r="D2644" s="14">
        <v>7.0000000000000007E-2</v>
      </c>
      <c r="E2644" s="10"/>
      <c r="F2644" s="10"/>
      <c r="G2644" s="10"/>
      <c r="H2644" s="10"/>
      <c r="I2644" s="10"/>
    </row>
    <row r="2645" spans="1:9">
      <c r="A2645" s="10" t="s">
        <v>0</v>
      </c>
      <c r="B2645" s="124" t="s">
        <v>436</v>
      </c>
      <c r="C2645" s="156">
        <v>1779.7349999999999</v>
      </c>
      <c r="D2645" s="14">
        <v>2.14</v>
      </c>
      <c r="E2645" s="10"/>
      <c r="F2645" s="10"/>
      <c r="G2645" s="10"/>
      <c r="H2645" s="10"/>
      <c r="I2645" s="10"/>
    </row>
    <row r="2646" spans="1:9">
      <c r="A2646" s="10" t="s">
        <v>40</v>
      </c>
      <c r="B2646" s="124" t="s">
        <v>139</v>
      </c>
      <c r="C2646" s="156">
        <v>1475.3389999999999</v>
      </c>
      <c r="D2646" s="14">
        <v>23.21</v>
      </c>
      <c r="E2646" s="10"/>
      <c r="F2646" s="10"/>
      <c r="G2646" s="10"/>
      <c r="H2646" s="10"/>
      <c r="I2646" s="10"/>
    </row>
    <row r="2647" spans="1:9">
      <c r="A2647" s="10" t="s">
        <v>5</v>
      </c>
      <c r="B2647" s="124" t="s">
        <v>88</v>
      </c>
      <c r="C2647" s="12">
        <v>1000</v>
      </c>
      <c r="D2647" s="14">
        <v>81.77</v>
      </c>
      <c r="E2647" s="10"/>
      <c r="F2647" s="10"/>
      <c r="G2647" s="10"/>
      <c r="H2647" s="10"/>
      <c r="I2647" s="10"/>
    </row>
    <row r="2648" spans="1:9">
      <c r="A2648" s="10" t="s">
        <v>28</v>
      </c>
      <c r="B2648" s="10"/>
      <c r="C2648" s="10"/>
      <c r="D2648" s="10"/>
      <c r="E2648" s="10"/>
      <c r="F2648" s="10"/>
      <c r="G2648" s="10"/>
      <c r="H2648" s="10"/>
      <c r="I2648" s="10"/>
    </row>
    <row r="2649" spans="1:9">
      <c r="A2649" s="10" t="s">
        <v>22</v>
      </c>
      <c r="B2649" s="10"/>
      <c r="C2649" s="10"/>
      <c r="D2649" s="10"/>
      <c r="E2649" s="10"/>
      <c r="F2649" s="10"/>
      <c r="G2649" s="10"/>
      <c r="H2649" s="10"/>
      <c r="I2649" s="10"/>
    </row>
    <row r="2650" spans="1:9">
      <c r="A2650" s="11" t="s">
        <v>9</v>
      </c>
      <c r="B2650" s="11" t="s">
        <v>30</v>
      </c>
      <c r="C2650" s="11" t="s">
        <v>25</v>
      </c>
      <c r="D2650" s="11" t="s">
        <v>21</v>
      </c>
      <c r="E2650" s="11"/>
      <c r="F2650" s="11"/>
      <c r="G2650" s="11"/>
      <c r="H2650" s="11"/>
      <c r="I2650" s="11"/>
    </row>
    <row r="2651" spans="1:9">
      <c r="A2651" s="10" t="s">
        <v>31</v>
      </c>
      <c r="B2651" s="124" t="s">
        <v>492</v>
      </c>
      <c r="C2651" s="14">
        <v>1831.25</v>
      </c>
      <c r="D2651" s="10" t="s">
        <v>28</v>
      </c>
      <c r="E2651" s="10"/>
      <c r="F2651" s="10"/>
      <c r="G2651" s="10"/>
      <c r="H2651" s="10"/>
      <c r="I2651" s="10"/>
    </row>
    <row r="2652" spans="1:9">
      <c r="A2652" s="10" t="s">
        <v>13</v>
      </c>
      <c r="B2652" s="124" t="s">
        <v>678</v>
      </c>
      <c r="C2652" s="156">
        <v>1830.056</v>
      </c>
      <c r="D2652" s="14">
        <v>7.0000000000000007E-2</v>
      </c>
      <c r="E2652" s="10"/>
      <c r="F2652" s="10"/>
      <c r="G2652" s="10"/>
      <c r="H2652" s="10"/>
      <c r="I2652" s="10"/>
    </row>
    <row r="2653" spans="1:9">
      <c r="A2653" s="10" t="s">
        <v>0</v>
      </c>
      <c r="B2653" s="124" t="s">
        <v>436</v>
      </c>
      <c r="C2653" s="156">
        <v>1792.953</v>
      </c>
      <c r="D2653" s="14">
        <v>2.14</v>
      </c>
      <c r="E2653" s="10"/>
      <c r="F2653" s="10"/>
      <c r="G2653" s="10"/>
      <c r="H2653" s="10"/>
      <c r="I2653" s="10"/>
    </row>
    <row r="2654" spans="1:9">
      <c r="A2654" s="10" t="s">
        <v>40</v>
      </c>
      <c r="B2654" s="124" t="s">
        <v>139</v>
      </c>
      <c r="C2654" s="154">
        <v>1486.3</v>
      </c>
      <c r="D2654" s="14">
        <v>23.21</v>
      </c>
      <c r="E2654" s="10"/>
      <c r="F2654" s="10"/>
      <c r="G2654" s="10"/>
      <c r="H2654" s="10"/>
      <c r="I2654" s="10"/>
    </row>
    <row r="2655" spans="1:9">
      <c r="A2655" s="10" t="s">
        <v>5</v>
      </c>
      <c r="B2655" s="124" t="s">
        <v>88</v>
      </c>
      <c r="C2655" s="12">
        <v>1000</v>
      </c>
      <c r="D2655" s="14">
        <v>83.13</v>
      </c>
      <c r="E2655" s="10"/>
      <c r="F2655" s="10"/>
      <c r="G2655" s="10"/>
      <c r="H2655" s="10"/>
      <c r="I2655" s="10"/>
    </row>
    <row r="2656" spans="1:9">
      <c r="A2656" s="10" t="s">
        <v>28</v>
      </c>
      <c r="B2656" s="10"/>
      <c r="C2656" s="10"/>
      <c r="D2656" s="10"/>
      <c r="E2656" s="10"/>
      <c r="F2656" s="10"/>
      <c r="G2656" s="10"/>
      <c r="H2656" s="10"/>
      <c r="I2656" s="10"/>
    </row>
    <row r="2657" spans="1:9">
      <c r="A2657" s="10" t="s">
        <v>223</v>
      </c>
      <c r="B2657" s="10"/>
      <c r="C2657" s="10"/>
      <c r="D2657" s="10"/>
      <c r="E2657" s="10"/>
      <c r="F2657" s="10"/>
      <c r="G2657" s="10"/>
      <c r="H2657" s="10"/>
      <c r="I2657" s="10"/>
    </row>
    <row r="2658" spans="1:9">
      <c r="A2658" s="11" t="s">
        <v>9</v>
      </c>
      <c r="B2658" s="11" t="s">
        <v>30</v>
      </c>
      <c r="C2658" s="11" t="s">
        <v>25</v>
      </c>
      <c r="D2658" s="11" t="s">
        <v>21</v>
      </c>
      <c r="E2658" s="11"/>
      <c r="F2658" s="11"/>
      <c r="G2658" s="11"/>
      <c r="H2658" s="11"/>
      <c r="I2658" s="11"/>
    </row>
    <row r="2659" spans="1:9">
      <c r="A2659" s="10" t="s">
        <v>31</v>
      </c>
      <c r="B2659" s="124" t="s">
        <v>492</v>
      </c>
      <c r="C2659" s="156">
        <v>1102.4880000000001</v>
      </c>
      <c r="D2659" s="10" t="s">
        <v>28</v>
      </c>
      <c r="E2659" s="10"/>
      <c r="F2659" s="10"/>
      <c r="G2659" s="10"/>
      <c r="H2659" s="10"/>
      <c r="I2659" s="10"/>
    </row>
    <row r="2660" spans="1:9">
      <c r="A2660" s="10" t="s">
        <v>13</v>
      </c>
      <c r="B2660" s="124" t="s">
        <v>678</v>
      </c>
      <c r="C2660" s="156">
        <v>1102.4880000000001</v>
      </c>
      <c r="D2660" s="12">
        <v>0</v>
      </c>
      <c r="E2660" s="10"/>
      <c r="F2660" s="10"/>
      <c r="G2660" s="10"/>
      <c r="H2660" s="10"/>
      <c r="I2660" s="10"/>
    </row>
    <row r="2661" spans="1:9">
      <c r="A2661" s="10" t="s">
        <v>0</v>
      </c>
      <c r="B2661" s="124" t="s">
        <v>436</v>
      </c>
      <c r="C2661" s="156">
        <v>1102.4880000000001</v>
      </c>
      <c r="D2661" s="12">
        <v>0</v>
      </c>
      <c r="E2661" s="10"/>
      <c r="F2661" s="10"/>
      <c r="G2661" s="10"/>
      <c r="H2661" s="10"/>
      <c r="I2661" s="10"/>
    </row>
    <row r="2662" spans="1:9">
      <c r="A2662" s="10" t="s">
        <v>40</v>
      </c>
      <c r="B2662" s="124" t="s">
        <v>139</v>
      </c>
      <c r="C2662" s="14">
        <v>1047.33</v>
      </c>
      <c r="D2662" s="14">
        <v>5.27</v>
      </c>
      <c r="E2662" s="10"/>
      <c r="F2662" s="10"/>
      <c r="G2662" s="10"/>
      <c r="H2662" s="10"/>
      <c r="I2662" s="10"/>
    </row>
    <row r="2663" spans="1:9">
      <c r="A2663" s="10" t="s">
        <v>5</v>
      </c>
      <c r="B2663" s="124" t="s">
        <v>130</v>
      </c>
      <c r="C2663" s="12">
        <v>1000</v>
      </c>
      <c r="D2663" s="14">
        <v>10.25</v>
      </c>
      <c r="E2663" s="10"/>
      <c r="F2663" s="10"/>
      <c r="G2663" s="10"/>
      <c r="H2663" s="10"/>
      <c r="I2663" s="10"/>
    </row>
    <row r="2664" spans="1:9">
      <c r="A2664" s="10" t="s">
        <v>28</v>
      </c>
      <c r="B2664" s="10"/>
      <c r="C2664" s="10"/>
      <c r="D2664" s="10"/>
      <c r="E2664" s="10"/>
      <c r="F2664" s="10"/>
      <c r="G2664" s="10"/>
      <c r="H2664" s="10"/>
      <c r="I2664" s="10"/>
    </row>
    <row r="2665" spans="1:9">
      <c r="A2665" s="10" t="s">
        <v>12</v>
      </c>
      <c r="B2665" s="10"/>
      <c r="C2665" s="10"/>
      <c r="D2665" s="10"/>
      <c r="E2665" s="10"/>
      <c r="F2665" s="10"/>
      <c r="G2665" s="10"/>
      <c r="H2665" s="10"/>
      <c r="I2665" s="10"/>
    </row>
    <row r="2666" spans="1:9">
      <c r="A2666" s="10"/>
      <c r="B2666" s="10"/>
      <c r="C2666" s="10"/>
      <c r="D2666" s="10"/>
      <c r="E2666" s="10"/>
      <c r="F2666" s="10"/>
      <c r="G2666" s="10"/>
      <c r="H2666" s="10"/>
      <c r="I2666" s="10"/>
    </row>
    <row r="2667" spans="1:9">
      <c r="A2667" s="10" t="s">
        <v>626</v>
      </c>
      <c r="B2667" s="12">
        <v>200000000</v>
      </c>
      <c r="C2667" s="12">
        <v>1</v>
      </c>
      <c r="D2667" s="10"/>
      <c r="E2667" s="10"/>
      <c r="F2667" s="10"/>
      <c r="G2667" s="10"/>
      <c r="H2667" s="10"/>
      <c r="I2667" s="10"/>
    </row>
    <row r="2668" spans="1:9">
      <c r="A2668" s="10" t="s">
        <v>627</v>
      </c>
      <c r="B2668" s="12">
        <v>16000000</v>
      </c>
      <c r="C2668" s="12">
        <v>1</v>
      </c>
      <c r="D2668" s="10"/>
      <c r="E2668" s="10"/>
      <c r="F2668" s="10"/>
      <c r="G2668" s="10"/>
      <c r="H2668" s="10"/>
      <c r="I2668" s="10"/>
    </row>
    <row r="2669" spans="1:9">
      <c r="A2669" s="10" t="s">
        <v>628</v>
      </c>
      <c r="B2669" s="159">
        <v>4538715448.8809576</v>
      </c>
      <c r="C2669" s="10" t="s">
        <v>28</v>
      </c>
      <c r="D2669" s="10"/>
      <c r="E2669" s="10"/>
      <c r="F2669" s="10"/>
      <c r="G2669" s="10"/>
      <c r="H2669" s="10"/>
      <c r="I2669" s="10"/>
    </row>
    <row r="2670" spans="1:9">
      <c r="A2670" s="10" t="s">
        <v>629</v>
      </c>
      <c r="B2670" s="12">
        <v>400000000</v>
      </c>
      <c r="C2670" s="12">
        <v>1</v>
      </c>
      <c r="D2670" s="10"/>
      <c r="E2670" s="10"/>
      <c r="F2670" s="10"/>
      <c r="G2670" s="10"/>
      <c r="H2670" s="10"/>
      <c r="I2670" s="10"/>
    </row>
    <row r="2671" spans="1:9">
      <c r="A2671" s="10" t="s">
        <v>80</v>
      </c>
      <c r="B2671" s="12">
        <v>35000000</v>
      </c>
      <c r="C2671" s="12">
        <v>1</v>
      </c>
      <c r="D2671" s="10"/>
      <c r="E2671" s="10"/>
      <c r="F2671" s="10"/>
      <c r="G2671" s="10"/>
      <c r="H2671" s="10"/>
      <c r="I2671" s="10"/>
    </row>
    <row r="2672" spans="1:9">
      <c r="A2672" s="10" t="s">
        <v>630</v>
      </c>
      <c r="B2672" s="159">
        <v>6033253570.7619715</v>
      </c>
      <c r="C2672" s="10" t="s">
        <v>28</v>
      </c>
      <c r="D2672" s="10"/>
      <c r="E2672" s="10"/>
      <c r="F2672" s="10"/>
      <c r="G2672" s="10"/>
      <c r="H2672" s="10"/>
      <c r="I2672" s="10"/>
    </row>
    <row r="2673" spans="1:9">
      <c r="A2673" s="10" t="s">
        <v>631</v>
      </c>
      <c r="B2673" s="12">
        <v>0</v>
      </c>
      <c r="C2673" s="12">
        <v>0</v>
      </c>
      <c r="D2673" s="10"/>
      <c r="E2673" s="10"/>
      <c r="F2673" s="10"/>
      <c r="G2673" s="10"/>
      <c r="H2673" s="10"/>
      <c r="I2673" s="10"/>
    </row>
    <row r="2674" spans="1:9">
      <c r="A2674" s="10" t="s">
        <v>632</v>
      </c>
      <c r="B2674" s="12">
        <v>0</v>
      </c>
      <c r="C2674" s="12">
        <v>0</v>
      </c>
      <c r="D2674" s="10"/>
      <c r="E2674" s="10"/>
      <c r="F2674" s="10"/>
      <c r="G2674" s="10"/>
      <c r="H2674" s="10"/>
      <c r="I2674" s="10"/>
    </row>
    <row r="2675" spans="1:9">
      <c r="A2675" s="10" t="s">
        <v>633</v>
      </c>
      <c r="B2675" s="159">
        <v>31326479978.605881</v>
      </c>
      <c r="C2675" s="10" t="s">
        <v>28</v>
      </c>
      <c r="D2675" s="10"/>
      <c r="E2675" s="10"/>
      <c r="F2675" s="10"/>
      <c r="G2675" s="10"/>
      <c r="H2675" s="10"/>
      <c r="I2675" s="10"/>
    </row>
    <row r="2676" spans="1:9">
      <c r="A2676" s="10" t="s">
        <v>634</v>
      </c>
      <c r="B2676" s="12">
        <v>0</v>
      </c>
      <c r="C2676" s="12">
        <v>0</v>
      </c>
      <c r="D2676" s="10"/>
      <c r="E2676" s="10"/>
      <c r="F2676" s="10"/>
      <c r="G2676" s="10"/>
      <c r="H2676" s="10"/>
      <c r="I2676" s="10"/>
    </row>
    <row r="2677" spans="1:9">
      <c r="A2677" s="10" t="s">
        <v>635</v>
      </c>
      <c r="B2677" s="12">
        <v>0</v>
      </c>
      <c r="C2677" s="12">
        <v>0</v>
      </c>
      <c r="D2677" s="10"/>
      <c r="E2677" s="10"/>
      <c r="F2677" s="10"/>
      <c r="G2677" s="10"/>
      <c r="H2677" s="10"/>
      <c r="I2677" s="10"/>
    </row>
    <row r="2678" spans="1:9">
      <c r="A2678" s="10" t="s">
        <v>636</v>
      </c>
      <c r="B2678" s="12">
        <v>0</v>
      </c>
      <c r="C2678" s="10" t="s">
        <v>28</v>
      </c>
      <c r="D2678" s="10"/>
      <c r="E2678" s="10"/>
      <c r="F2678" s="10"/>
      <c r="G2678" s="10"/>
      <c r="H2678" s="10"/>
      <c r="I2678" s="10"/>
    </row>
    <row r="2679" spans="1:9">
      <c r="A2679" s="10" t="s">
        <v>28</v>
      </c>
      <c r="B2679" s="10"/>
      <c r="C2679" s="10"/>
      <c r="D2679" s="10"/>
      <c r="E2679" s="10"/>
      <c r="F2679" s="10"/>
      <c r="G2679" s="10"/>
      <c r="H2679" s="10"/>
      <c r="I2679" s="10"/>
    </row>
    <row r="2680" spans="1:9">
      <c r="A2680" s="10" t="s">
        <v>12</v>
      </c>
      <c r="B2680" s="10"/>
      <c r="C2680" s="10"/>
      <c r="D2680" s="10"/>
      <c r="E2680" s="10"/>
      <c r="F2680" s="10"/>
      <c r="G2680" s="10"/>
      <c r="H2680" s="10"/>
      <c r="I2680" s="10"/>
    </row>
    <row r="2681" spans="1:9">
      <c r="A2681" s="10"/>
      <c r="B2681" s="10"/>
      <c r="C2681" s="10"/>
      <c r="D2681" s="10"/>
      <c r="E2681" s="10"/>
      <c r="F2681" s="10"/>
      <c r="G2681" s="10"/>
      <c r="H2681" s="10"/>
      <c r="I2681" s="10"/>
    </row>
    <row r="2682" spans="1:9">
      <c r="A2682" s="10" t="s">
        <v>637</v>
      </c>
      <c r="B2682" s="10" t="s">
        <v>28</v>
      </c>
      <c r="C2682" s="12">
        <v>6</v>
      </c>
      <c r="D2682" s="10"/>
      <c r="E2682" s="10"/>
      <c r="F2682" s="10"/>
      <c r="G2682" s="10"/>
      <c r="H2682" s="10"/>
      <c r="I2682" s="10"/>
    </row>
    <row r="2683" spans="1:9">
      <c r="A2683" s="10" t="s">
        <v>28</v>
      </c>
      <c r="B2683" s="10"/>
      <c r="C2683" s="10"/>
      <c r="D2683" s="10"/>
      <c r="E2683" s="10"/>
      <c r="F2683" s="10"/>
      <c r="G2683" s="10"/>
      <c r="H2683" s="10"/>
      <c r="I2683" s="10"/>
    </row>
    <row r="2684" spans="1:9">
      <c r="A2684" s="10" t="s">
        <v>3344</v>
      </c>
      <c r="B2684" s="10"/>
      <c r="C2684" s="10"/>
      <c r="D2684" s="10"/>
      <c r="E2684" s="10"/>
      <c r="F2684" s="10"/>
      <c r="G2684" s="10"/>
      <c r="H2684" s="10"/>
      <c r="I2684" s="10"/>
    </row>
    <row r="2685" spans="1:9">
      <c r="A2685" s="10" t="s">
        <v>12</v>
      </c>
      <c r="B2685" s="10"/>
      <c r="C2685" s="10"/>
      <c r="D2685" s="10"/>
      <c r="E2685" s="10"/>
      <c r="F2685" s="10"/>
      <c r="G2685" s="10"/>
      <c r="H2685" s="10"/>
      <c r="I2685" s="10"/>
    </row>
    <row r="2686" spans="1:9">
      <c r="A2686" s="10" t="s">
        <v>638</v>
      </c>
      <c r="B2686" s="10"/>
      <c r="C2686" s="10"/>
      <c r="D2686" s="10"/>
      <c r="E2686" s="10"/>
      <c r="F2686" s="10"/>
      <c r="G2686" s="10"/>
      <c r="H2686" s="10"/>
      <c r="I2686" s="10"/>
    </row>
    <row r="2687" spans="1:9">
      <c r="A2687" s="10" t="s">
        <v>639</v>
      </c>
      <c r="B2687" s="10"/>
      <c r="C2687" s="10"/>
      <c r="D2687" s="10"/>
      <c r="E2687" s="10"/>
      <c r="F2687" s="10"/>
      <c r="G2687" s="10"/>
      <c r="H2687" s="10"/>
      <c r="I2687" s="10"/>
    </row>
    <row r="2688" spans="1:9">
      <c r="A2688" s="10" t="s">
        <v>640</v>
      </c>
      <c r="B2688" s="10"/>
      <c r="C2688" s="10"/>
      <c r="D2688" s="10"/>
      <c r="E2688" s="10"/>
      <c r="F2688" s="10"/>
      <c r="G2688" s="10"/>
      <c r="H2688" s="10"/>
      <c r="I2688" s="10"/>
    </row>
    <row r="2689" spans="1:9">
      <c r="A2689" s="10" t="s">
        <v>641</v>
      </c>
      <c r="B2689" s="10"/>
      <c r="C2689" s="10"/>
      <c r="D2689" s="10"/>
      <c r="E2689" s="10"/>
      <c r="F2689" s="10"/>
      <c r="G2689" s="10"/>
      <c r="H2689" s="10"/>
      <c r="I2689" s="10"/>
    </row>
    <row r="2690" spans="1:9">
      <c r="A2690" s="10" t="s">
        <v>642</v>
      </c>
      <c r="B2690" s="10"/>
      <c r="C2690" s="10"/>
      <c r="D2690" s="10"/>
      <c r="E2690" s="10"/>
      <c r="F2690" s="10"/>
      <c r="G2690" s="10"/>
      <c r="H2690" s="10"/>
      <c r="I2690" s="10"/>
    </row>
    <row r="2691" spans="1:9">
      <c r="A2691" s="10" t="s">
        <v>643</v>
      </c>
      <c r="B2691" s="10"/>
      <c r="C2691" s="10"/>
      <c r="D2691" s="10"/>
      <c r="E2691" s="10"/>
      <c r="F2691" s="10"/>
      <c r="G2691" s="10"/>
      <c r="H2691" s="10"/>
      <c r="I2691" s="10"/>
    </row>
  </sheetData>
  <mergeCells count="1">
    <mergeCell ref="K4:L4"/>
  </mergeCells>
  <conditionalFormatting sqref="F15">
    <cfRule type="duplicateValues" dxfId="17" priority="1"/>
  </conditionalFormatting>
  <conditionalFormatting sqref="N67:N70">
    <cfRule type="expression" dxfId="16" priority="2">
      <formula>N67&lt;0</formula>
    </cfRule>
    <cfRule type="expression" dxfId="15" priority="3">
      <formula>AND(N67&gt;=0,N67&lt;=500000)</formula>
    </cfRule>
    <cfRule type="expression" dxfId="14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E31" sqref="E31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56414014642.785004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3760934309.5190005</v>
      </c>
      <c r="E2" s="58"/>
      <c r="F2" s="58"/>
      <c r="G2" s="73">
        <f>VLOOKUP(E1,'GESTION MOMENTUM'!A8:B32,2,0)</f>
        <v>75218686190.380005</v>
      </c>
      <c r="H2" s="16">
        <v>-2E-3</v>
      </c>
      <c r="I2" s="17">
        <f>+G2*(1+H2)</f>
        <v>75068248817.999252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15043737238.076002</v>
      </c>
      <c r="E3" s="58"/>
      <c r="F3" s="58"/>
      <c r="G3" s="58" t="s">
        <v>37</v>
      </c>
      <c r="H3" s="18">
        <v>0.05</v>
      </c>
      <c r="I3" s="19">
        <f>+I2*H3</f>
        <v>3753412440.8999629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15043737238.076002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18804671547.595001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345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340</v>
      </c>
      <c r="C9" s="107" t="s">
        <v>341</v>
      </c>
      <c r="D9" s="107" t="s">
        <v>32</v>
      </c>
      <c r="E9" s="107" t="s">
        <v>342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941</v>
      </c>
      <c r="C10" s="101">
        <v>600000000</v>
      </c>
      <c r="D10" s="117">
        <f>+VLOOKUP(B10,'GESTION MOMENTUM'!A:D,4,0)</f>
        <v>1.0768</v>
      </c>
      <c r="E10" s="118">
        <v>0.8</v>
      </c>
      <c r="F10" s="119">
        <f>C10*D10*E10</f>
        <v>516864000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/>
      <c r="C11" s="101"/>
      <c r="D11" s="117"/>
      <c r="E11" s="118"/>
      <c r="F11" s="119">
        <f>C11*D11*E11</f>
        <v>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346</v>
      </c>
      <c r="F13" s="123">
        <f>SUM(F10:F12)</f>
        <v>516864000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335</v>
      </c>
      <c r="C15" s="98" t="s">
        <v>344</v>
      </c>
      <c r="D15" s="98" t="s">
        <v>336</v>
      </c>
      <c r="E15" s="98" t="s">
        <v>337</v>
      </c>
      <c r="F15" s="98" t="s">
        <v>343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>
      <c r="A16" s="10" t="s">
        <v>278</v>
      </c>
      <c r="B16" s="99" t="s">
        <v>338</v>
      </c>
      <c r="C16" s="100"/>
      <c r="D16" s="109">
        <v>0</v>
      </c>
      <c r="E16" s="101">
        <f>_xlfn.IFNA(-VLOOKUP(A16,'GESTION MOMENTUM'!A:C,3,0)/1000,0)</f>
        <v>0</v>
      </c>
      <c r="F16" s="110">
        <f>+C16*(E16+D16)</f>
        <v>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541</v>
      </c>
      <c r="B17" s="99" t="s">
        <v>612</v>
      </c>
      <c r="C17" s="100"/>
      <c r="D17" s="109">
        <v>0</v>
      </c>
      <c r="E17" s="101">
        <f>_xlfn.IFNA(-VLOOKUP(A17,'GESTION MOMENTUM'!A:C,3,0)/1000,0)</f>
        <v>0</v>
      </c>
      <c r="F17" s="110">
        <f t="shared" ref="F17:F22" si="0">+C17*(E17+D17)</f>
        <v>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599</v>
      </c>
      <c r="B18" s="99" t="s">
        <v>613</v>
      </c>
      <c r="C18" s="100">
        <v>150000</v>
      </c>
      <c r="D18" s="109">
        <v>0</v>
      </c>
      <c r="E18" s="101">
        <f>_xlfn.IFNA(-VLOOKUP(A18,'GESTION MOMENTUM'!A:C,3,0)/1000,0)</f>
        <v>833</v>
      </c>
      <c r="F18" s="110">
        <f>+C18*(E18+D18)</f>
        <v>124950000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 ht="15.75" customHeight="1">
      <c r="A19" s="10" t="s">
        <v>765</v>
      </c>
      <c r="B19" s="99" t="s">
        <v>1103</v>
      </c>
      <c r="C19" s="100">
        <v>155000</v>
      </c>
      <c r="D19" s="109">
        <v>0</v>
      </c>
      <c r="E19" s="101">
        <f>_xlfn.IFNA(-VLOOKUP(A19,'GESTION MOMENTUM'!A:C,3,0)/1000,0)</f>
        <v>539</v>
      </c>
      <c r="F19" s="110">
        <f t="shared" si="0"/>
        <v>83545000</v>
      </c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 t="s">
        <v>1087</v>
      </c>
      <c r="B20" s="99" t="s">
        <v>1104</v>
      </c>
      <c r="C20" s="100">
        <v>160000</v>
      </c>
      <c r="D20" s="109">
        <v>0</v>
      </c>
      <c r="E20" s="101">
        <f>_xlfn.IFNA(-VLOOKUP(A20,'GESTION MOMENTUM'!A:C,3,0)/1000,0)</f>
        <v>750</v>
      </c>
      <c r="F20" s="110">
        <f t="shared" si="0"/>
        <v>120000000</v>
      </c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 t="s">
        <v>1258</v>
      </c>
      <c r="B21" s="99" t="s">
        <v>1279</v>
      </c>
      <c r="C21" s="100">
        <v>165000</v>
      </c>
      <c r="D21" s="109"/>
      <c r="E21" s="101">
        <f>_xlfn.IFNA(-VLOOKUP(A21,'GESTION MOMENTUM'!A:C,3,0)/1000,0)</f>
        <v>823</v>
      </c>
      <c r="F21" s="110">
        <f t="shared" si="0"/>
        <v>135795000</v>
      </c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/>
      <c r="B22" s="99"/>
      <c r="C22" s="100"/>
      <c r="D22" s="109">
        <v>0</v>
      </c>
      <c r="E22" s="101">
        <f>_xlfn.IFNA(-VLOOKUP(A22,'GESTION MOMENTUM'!A:C,3,0)/1000,0)</f>
        <v>0</v>
      </c>
      <c r="F22" s="110">
        <f t="shared" si="0"/>
        <v>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464290000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339</v>
      </c>
      <c r="C24" s="103">
        <f>F13-F23</f>
        <v>52574000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96"/>
  <sheetViews>
    <sheetView workbookViewId="0">
      <selection activeCell="A29" sqref="A29"/>
    </sheetView>
  </sheetViews>
  <sheetFormatPr baseColWidth="10" defaultRowHeight="15"/>
  <cols>
    <col min="1" max="1" width="87.28515625" bestFit="1" customWidth="1"/>
    <col min="2" max="2" width="8.140625" style="18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8"/>
    </row>
    <row r="5" spans="1:2">
      <c r="A5" s="133" t="s">
        <v>65</v>
      </c>
      <c r="B5" s="185" t="s">
        <v>76</v>
      </c>
    </row>
    <row r="6" spans="1:2">
      <c r="A6" s="134" t="s">
        <v>166</v>
      </c>
      <c r="B6" s="178">
        <v>5.0208045589248837E-2</v>
      </c>
    </row>
    <row r="7" spans="1:2">
      <c r="A7" s="135" t="s">
        <v>688</v>
      </c>
      <c r="B7" s="179">
        <v>4.6387312763862737E-2</v>
      </c>
    </row>
    <row r="8" spans="1:2">
      <c r="A8" s="135" t="s">
        <v>675</v>
      </c>
      <c r="B8" s="179">
        <v>3.720942290744176E-2</v>
      </c>
    </row>
    <row r="9" spans="1:2">
      <c r="A9" s="135" t="s">
        <v>367</v>
      </c>
      <c r="B9" s="179">
        <v>3.039920731123379E-2</v>
      </c>
    </row>
    <row r="10" spans="1:2">
      <c r="A10" s="135" t="s">
        <v>386</v>
      </c>
      <c r="B10" s="179">
        <v>2.5056316846983725E-2</v>
      </c>
    </row>
    <row r="11" spans="1:2">
      <c r="A11" s="135" t="s">
        <v>899</v>
      </c>
      <c r="B11" s="179">
        <v>2.4566633428068717E-2</v>
      </c>
    </row>
    <row r="12" spans="1:2">
      <c r="A12" s="135" t="s">
        <v>382</v>
      </c>
      <c r="B12" s="179">
        <v>2.3516318254655017E-2</v>
      </c>
    </row>
    <row r="13" spans="1:2">
      <c r="A13" s="135" t="s">
        <v>1287</v>
      </c>
      <c r="B13" s="179">
        <v>2.1887262899448985E-2</v>
      </c>
    </row>
    <row r="14" spans="1:2">
      <c r="A14" s="135" t="s">
        <v>273</v>
      </c>
      <c r="B14" s="179">
        <v>2.160726450587569E-2</v>
      </c>
    </row>
    <row r="15" spans="1:2">
      <c r="A15" s="135" t="s">
        <v>2161</v>
      </c>
      <c r="B15" s="179">
        <v>2.1592468090697911E-2</v>
      </c>
    </row>
    <row r="16" spans="1:2">
      <c r="A16" s="135" t="s">
        <v>477</v>
      </c>
      <c r="B16" s="179">
        <v>1.8812364286561745E-2</v>
      </c>
    </row>
    <row r="17" spans="1:11">
      <c r="A17" s="135" t="s">
        <v>644</v>
      </c>
      <c r="B17" s="179">
        <v>1.7784024488998351E-2</v>
      </c>
    </row>
    <row r="18" spans="1:11">
      <c r="A18" s="135" t="s">
        <v>2624</v>
      </c>
      <c r="B18" s="179">
        <v>1.5700471544410444E-2</v>
      </c>
    </row>
    <row r="19" spans="1:11">
      <c r="A19" s="135" t="s">
        <v>317</v>
      </c>
      <c r="B19" s="179">
        <v>1.4481096070238304E-2</v>
      </c>
    </row>
    <row r="20" spans="1:11">
      <c r="A20" s="135" t="s">
        <v>494</v>
      </c>
      <c r="B20" s="179">
        <v>1.4420610360896282E-2</v>
      </c>
    </row>
    <row r="21" spans="1:11">
      <c r="A21" s="135" t="s">
        <v>404</v>
      </c>
      <c r="B21" s="179">
        <v>1.4386124586664139E-2</v>
      </c>
    </row>
    <row r="22" spans="1:11">
      <c r="A22" s="135" t="s">
        <v>544</v>
      </c>
      <c r="B22" s="179">
        <v>1.3583274554596927E-2</v>
      </c>
    </row>
    <row r="23" spans="1:11">
      <c r="A23" s="135" t="s">
        <v>495</v>
      </c>
      <c r="B23" s="179">
        <v>1.3312645125514935E-2</v>
      </c>
    </row>
    <row r="24" spans="1:11">
      <c r="A24" s="135" t="s">
        <v>663</v>
      </c>
      <c r="B24" s="179">
        <v>1.3268316690269993E-2</v>
      </c>
    </row>
    <row r="25" spans="1:11">
      <c r="A25" s="135" t="s">
        <v>1504</v>
      </c>
      <c r="B25" s="179">
        <v>1.2909617381806789E-2</v>
      </c>
    </row>
    <row r="26" spans="1:11">
      <c r="A26" s="135" t="s">
        <v>427</v>
      </c>
      <c r="B26" s="179">
        <v>1.2154872187290739E-2</v>
      </c>
      <c r="I26" s="8"/>
    </row>
    <row r="27" spans="1:11">
      <c r="A27" s="135" t="s">
        <v>1507</v>
      </c>
      <c r="B27" s="179">
        <v>1.1977543013576645E-2</v>
      </c>
    </row>
    <row r="28" spans="1:11">
      <c r="A28" s="135" t="s">
        <v>162</v>
      </c>
      <c r="B28" s="179">
        <v>1.1954328364286169E-2</v>
      </c>
      <c r="K28" s="15"/>
    </row>
    <row r="29" spans="1:11">
      <c r="A29" s="135" t="s">
        <v>465</v>
      </c>
      <c r="B29" s="179">
        <v>1.1801621355007551E-2</v>
      </c>
    </row>
    <row r="30" spans="1:11">
      <c r="A30" s="135" t="s">
        <v>293</v>
      </c>
      <c r="B30" s="179">
        <v>1.005095425299638E-2</v>
      </c>
    </row>
    <row r="31" spans="1:11">
      <c r="A31" s="135" t="s">
        <v>2993</v>
      </c>
      <c r="B31" s="179">
        <v>9.8817078609791248E-3</v>
      </c>
    </row>
    <row r="32" spans="1:11">
      <c r="A32" s="135" t="s">
        <v>798</v>
      </c>
      <c r="B32" s="179">
        <v>9.6203768285512553E-3</v>
      </c>
    </row>
    <row r="33" spans="1:2">
      <c r="A33" s="135" t="s">
        <v>135</v>
      </c>
      <c r="B33" s="179">
        <v>9.1952664300650657E-3</v>
      </c>
    </row>
    <row r="34" spans="1:2">
      <c r="A34" s="135" t="s">
        <v>691</v>
      </c>
      <c r="B34" s="179">
        <v>8.5258454144871605E-3</v>
      </c>
    </row>
    <row r="35" spans="1:2">
      <c r="A35" s="135" t="s">
        <v>219</v>
      </c>
      <c r="B35" s="179">
        <v>8.297065983981753E-3</v>
      </c>
    </row>
    <row r="36" spans="1:2">
      <c r="A36" s="135" t="s">
        <v>2238</v>
      </c>
      <c r="B36" s="179">
        <v>8.2295470048926248E-3</v>
      </c>
    </row>
    <row r="37" spans="1:2">
      <c r="A37" s="135" t="s">
        <v>3269</v>
      </c>
      <c r="B37" s="179">
        <v>8.0824050735381313E-3</v>
      </c>
    </row>
    <row r="38" spans="1:2">
      <c r="A38" s="135" t="s">
        <v>132</v>
      </c>
      <c r="B38" s="179">
        <v>7.8165326282340075E-3</v>
      </c>
    </row>
    <row r="39" spans="1:2">
      <c r="A39" s="135" t="s">
        <v>2915</v>
      </c>
      <c r="B39" s="179">
        <v>7.774942425208097E-3</v>
      </c>
    </row>
    <row r="40" spans="1:2">
      <c r="A40" s="135" t="s">
        <v>562</v>
      </c>
      <c r="B40" s="179">
        <v>7.5854906903834278E-3</v>
      </c>
    </row>
    <row r="41" spans="1:2">
      <c r="A41" s="135" t="s">
        <v>3511</v>
      </c>
      <c r="B41" s="179">
        <v>7.5769749089673729E-3</v>
      </c>
    </row>
    <row r="42" spans="1:2">
      <c r="A42" s="135" t="s">
        <v>762</v>
      </c>
      <c r="B42" s="179">
        <v>7.3529908972371242E-3</v>
      </c>
    </row>
    <row r="43" spans="1:2">
      <c r="A43" s="135" t="s">
        <v>608</v>
      </c>
      <c r="B43" s="179">
        <v>7.3141814923159661E-3</v>
      </c>
    </row>
    <row r="44" spans="1:2">
      <c r="A44" s="135" t="s">
        <v>1937</v>
      </c>
      <c r="B44" s="179">
        <v>6.6352864291829572E-3</v>
      </c>
    </row>
    <row r="45" spans="1:2">
      <c r="A45" s="135" t="s">
        <v>371</v>
      </c>
      <c r="B45" s="179">
        <v>6.5976124064962595E-3</v>
      </c>
    </row>
    <row r="46" spans="1:2">
      <c r="A46" s="135" t="s">
        <v>595</v>
      </c>
      <c r="B46" s="179">
        <v>6.483657601724673E-3</v>
      </c>
    </row>
    <row r="47" spans="1:2">
      <c r="A47" s="135" t="s">
        <v>334</v>
      </c>
      <c r="B47" s="179">
        <v>6.3668332524165899E-3</v>
      </c>
    </row>
    <row r="48" spans="1:2">
      <c r="A48" s="135" t="s">
        <v>576</v>
      </c>
      <c r="B48" s="179">
        <v>6.2710200185645774E-3</v>
      </c>
    </row>
    <row r="49" spans="1:2">
      <c r="A49" s="135" t="s">
        <v>151</v>
      </c>
      <c r="B49" s="179">
        <v>6.1994113241988311E-3</v>
      </c>
    </row>
    <row r="50" spans="1:2">
      <c r="A50" s="135" t="s">
        <v>401</v>
      </c>
      <c r="B50" s="179">
        <v>6.1091904325067878E-3</v>
      </c>
    </row>
    <row r="51" spans="1:2">
      <c r="A51" s="135" t="s">
        <v>2774</v>
      </c>
      <c r="B51" s="179">
        <v>5.7717197729455147E-3</v>
      </c>
    </row>
    <row r="52" spans="1:2">
      <c r="A52" s="135" t="s">
        <v>222</v>
      </c>
      <c r="B52" s="179">
        <v>5.690110617416486E-3</v>
      </c>
    </row>
    <row r="53" spans="1:2">
      <c r="A53" s="135" t="s">
        <v>1505</v>
      </c>
      <c r="B53" s="179">
        <v>5.5867538055157434E-3</v>
      </c>
    </row>
    <row r="54" spans="1:2">
      <c r="A54" s="135" t="s">
        <v>402</v>
      </c>
      <c r="B54" s="179">
        <v>5.482555635526935E-3</v>
      </c>
    </row>
    <row r="55" spans="1:2">
      <c r="A55" s="135" t="s">
        <v>353</v>
      </c>
      <c r="B55" s="179">
        <v>5.458250385826445E-3</v>
      </c>
    </row>
    <row r="56" spans="1:2">
      <c r="A56" s="135" t="s">
        <v>124</v>
      </c>
      <c r="B56" s="179">
        <v>5.4182261071202189E-3</v>
      </c>
    </row>
    <row r="57" spans="1:2">
      <c r="A57" s="135" t="s">
        <v>3512</v>
      </c>
      <c r="B57" s="179">
        <v>5.0671572815738173E-3</v>
      </c>
    </row>
    <row r="58" spans="1:2">
      <c r="A58" s="135" t="s">
        <v>389</v>
      </c>
      <c r="B58" s="179">
        <v>4.9676645790416498E-3</v>
      </c>
    </row>
    <row r="59" spans="1:2">
      <c r="A59" s="135" t="s">
        <v>267</v>
      </c>
      <c r="B59" s="179">
        <v>4.9194271998242488E-3</v>
      </c>
    </row>
    <row r="60" spans="1:2">
      <c r="A60" s="135" t="s">
        <v>143</v>
      </c>
      <c r="B60" s="179">
        <v>4.5149169271642168E-3</v>
      </c>
    </row>
    <row r="61" spans="1:2">
      <c r="A61" s="135" t="s">
        <v>849</v>
      </c>
      <c r="B61" s="179">
        <v>4.3846310487962257E-3</v>
      </c>
    </row>
    <row r="62" spans="1:2">
      <c r="A62" s="135" t="s">
        <v>464</v>
      </c>
      <c r="B62" s="179">
        <v>4.3687931253979786E-3</v>
      </c>
    </row>
    <row r="63" spans="1:2">
      <c r="A63" s="135" t="s">
        <v>180</v>
      </c>
      <c r="B63" s="179">
        <v>4.3218942244909429E-3</v>
      </c>
    </row>
    <row r="64" spans="1:2">
      <c r="A64" s="135" t="s">
        <v>799</v>
      </c>
      <c r="B64" s="179">
        <v>4.3019533610437451E-3</v>
      </c>
    </row>
    <row r="65" spans="1:2">
      <c r="A65" s="135" t="s">
        <v>400</v>
      </c>
      <c r="B65" s="179">
        <v>4.1517480012824232E-3</v>
      </c>
    </row>
    <row r="66" spans="1:2">
      <c r="A66" s="135" t="s">
        <v>272</v>
      </c>
      <c r="B66" s="179">
        <v>4.0115682627888186E-3</v>
      </c>
    </row>
    <row r="67" spans="1:2">
      <c r="A67" s="135" t="s">
        <v>141</v>
      </c>
      <c r="B67" s="179">
        <v>3.8875519165528618E-3</v>
      </c>
    </row>
    <row r="68" spans="1:2">
      <c r="A68" s="135" t="s">
        <v>1883</v>
      </c>
      <c r="B68" s="179">
        <v>3.8696315054386819E-3</v>
      </c>
    </row>
    <row r="69" spans="1:2">
      <c r="A69" s="135" t="s">
        <v>1062</v>
      </c>
      <c r="B69" s="179">
        <v>3.7896482506823738E-3</v>
      </c>
    </row>
    <row r="70" spans="1:2">
      <c r="A70" s="135" t="s">
        <v>1666</v>
      </c>
      <c r="B70" s="179">
        <v>3.7203716028981898E-3</v>
      </c>
    </row>
    <row r="71" spans="1:2">
      <c r="A71" s="135" t="s">
        <v>1667</v>
      </c>
      <c r="B71" s="179">
        <v>3.7075555896330806E-3</v>
      </c>
    </row>
    <row r="72" spans="1:2">
      <c r="A72" s="135" t="s">
        <v>763</v>
      </c>
      <c r="B72" s="179">
        <v>3.3306205165019296E-3</v>
      </c>
    </row>
    <row r="73" spans="1:2">
      <c r="A73" s="135" t="s">
        <v>1471</v>
      </c>
      <c r="B73" s="179">
        <v>3.2844412781248E-3</v>
      </c>
    </row>
    <row r="74" spans="1:2">
      <c r="A74" s="135" t="s">
        <v>601</v>
      </c>
      <c r="B74" s="179">
        <v>3.2314249626057188E-3</v>
      </c>
    </row>
    <row r="75" spans="1:2">
      <c r="A75" s="135" t="s">
        <v>471</v>
      </c>
      <c r="B75" s="179">
        <v>3.141673870398216E-3</v>
      </c>
    </row>
    <row r="76" spans="1:2">
      <c r="A76" s="135" t="s">
        <v>385</v>
      </c>
      <c r="B76" s="179">
        <v>2.9778602375887687E-3</v>
      </c>
    </row>
    <row r="77" spans="1:2">
      <c r="A77" s="135" t="s">
        <v>384</v>
      </c>
      <c r="B77" s="179">
        <v>2.8193136919895017E-3</v>
      </c>
    </row>
    <row r="78" spans="1:2">
      <c r="A78" s="135" t="s">
        <v>1669</v>
      </c>
      <c r="B78" s="179">
        <v>2.8036826335444743E-3</v>
      </c>
    </row>
    <row r="79" spans="1:2">
      <c r="A79" s="135" t="s">
        <v>1604</v>
      </c>
      <c r="B79" s="179">
        <v>2.7271001590058975E-3</v>
      </c>
    </row>
    <row r="80" spans="1:2">
      <c r="A80" s="135" t="s">
        <v>2421</v>
      </c>
      <c r="B80" s="179">
        <v>2.6726010769609855E-3</v>
      </c>
    </row>
    <row r="81" spans="1:2">
      <c r="A81" s="135" t="s">
        <v>2017</v>
      </c>
      <c r="B81" s="179">
        <v>2.6454073528533505E-3</v>
      </c>
    </row>
    <row r="82" spans="1:2">
      <c r="A82" s="135" t="s">
        <v>2321</v>
      </c>
      <c r="B82" s="179">
        <v>2.6210763788269238E-3</v>
      </c>
    </row>
    <row r="83" spans="1:2">
      <c r="A83" s="135" t="s">
        <v>3451</v>
      </c>
      <c r="B83" s="179">
        <v>2.5852559337159781E-3</v>
      </c>
    </row>
    <row r="84" spans="1:2">
      <c r="A84" s="135" t="s">
        <v>1542</v>
      </c>
      <c r="B84" s="179">
        <v>2.5055169776962028E-3</v>
      </c>
    </row>
    <row r="85" spans="1:2">
      <c r="A85" s="135" t="s">
        <v>2125</v>
      </c>
      <c r="B85" s="179">
        <v>2.4647073533133643E-3</v>
      </c>
    </row>
    <row r="86" spans="1:2">
      <c r="A86" s="135" t="s">
        <v>699</v>
      </c>
      <c r="B86" s="179">
        <v>2.4462967108236111E-3</v>
      </c>
    </row>
    <row r="87" spans="1:2">
      <c r="A87" s="135" t="s">
        <v>127</v>
      </c>
      <c r="B87" s="179">
        <v>2.4004968986428899E-3</v>
      </c>
    </row>
    <row r="88" spans="1:2">
      <c r="A88" s="135" t="s">
        <v>426</v>
      </c>
      <c r="B88" s="179">
        <v>2.2625785547390484E-3</v>
      </c>
    </row>
    <row r="89" spans="1:2">
      <c r="A89" s="135" t="s">
        <v>2914</v>
      </c>
      <c r="B89" s="179">
        <v>2.2266387906070642E-3</v>
      </c>
    </row>
    <row r="90" spans="1:2">
      <c r="A90" s="135" t="s">
        <v>539</v>
      </c>
      <c r="B90" s="179">
        <v>2.2095599720971457E-3</v>
      </c>
    </row>
    <row r="91" spans="1:2">
      <c r="A91" s="135" t="s">
        <v>596</v>
      </c>
      <c r="B91" s="179">
        <v>1.9505637642839393E-3</v>
      </c>
    </row>
    <row r="92" spans="1:2">
      <c r="A92" s="135" t="s">
        <v>686</v>
      </c>
      <c r="B92" s="179">
        <v>1.8265706225213437E-3</v>
      </c>
    </row>
    <row r="93" spans="1:2">
      <c r="A93" s="135" t="s">
        <v>1429</v>
      </c>
      <c r="B93" s="179">
        <v>1.7904653259847056E-3</v>
      </c>
    </row>
    <row r="94" spans="1:2">
      <c r="A94" s="135" t="s">
        <v>1665</v>
      </c>
      <c r="B94" s="179">
        <v>1.7638823993042375E-3</v>
      </c>
    </row>
    <row r="95" spans="1:2">
      <c r="A95" s="135" t="s">
        <v>561</v>
      </c>
      <c r="B95" s="179">
        <v>1.7243730605944624E-3</v>
      </c>
    </row>
    <row r="96" spans="1:2">
      <c r="A96" s="135" t="s">
        <v>1424</v>
      </c>
      <c r="B96" s="179">
        <v>1.7109734916702062E-3</v>
      </c>
    </row>
    <row r="97" spans="1:2">
      <c r="A97" s="135" t="s">
        <v>3574</v>
      </c>
      <c r="B97" s="179">
        <v>1.6389509772608431E-3</v>
      </c>
    </row>
    <row r="98" spans="1:2">
      <c r="A98" s="135" t="s">
        <v>1727</v>
      </c>
      <c r="B98" s="179">
        <v>1.6015384849331071E-3</v>
      </c>
    </row>
    <row r="99" spans="1:2">
      <c r="A99" s="135" t="s">
        <v>2599</v>
      </c>
      <c r="B99" s="179">
        <v>1.5660860874630077E-3</v>
      </c>
    </row>
    <row r="100" spans="1:2">
      <c r="A100" s="135" t="s">
        <v>764</v>
      </c>
      <c r="B100" s="179">
        <v>1.5481124874378999E-3</v>
      </c>
    </row>
    <row r="101" spans="1:2">
      <c r="A101" s="135" t="s">
        <v>737</v>
      </c>
      <c r="B101" s="179">
        <v>1.5103376258455501E-3</v>
      </c>
    </row>
    <row r="102" spans="1:2">
      <c r="A102" s="135" t="s">
        <v>303</v>
      </c>
      <c r="B102" s="179">
        <v>1.4134974098177992E-3</v>
      </c>
    </row>
    <row r="103" spans="1:2">
      <c r="A103" s="135" t="s">
        <v>2127</v>
      </c>
      <c r="B103" s="179">
        <v>1.4035013193769621E-3</v>
      </c>
    </row>
    <row r="104" spans="1:2">
      <c r="A104" s="135" t="s">
        <v>2921</v>
      </c>
      <c r="B104" s="179">
        <v>1.3937293144772802E-3</v>
      </c>
    </row>
    <row r="105" spans="1:2">
      <c r="A105" s="135" t="s">
        <v>288</v>
      </c>
      <c r="B105" s="179">
        <v>1.3932574645713917E-3</v>
      </c>
    </row>
    <row r="106" spans="1:2">
      <c r="A106" s="135" t="s">
        <v>1819</v>
      </c>
      <c r="B106" s="179">
        <v>1.3808053045106675E-3</v>
      </c>
    </row>
    <row r="107" spans="1:2">
      <c r="A107" s="135" t="s">
        <v>1522</v>
      </c>
      <c r="B107" s="179">
        <v>1.3370075778173058E-3</v>
      </c>
    </row>
    <row r="108" spans="1:2">
      <c r="A108" s="135" t="s">
        <v>1431</v>
      </c>
      <c r="B108" s="179">
        <v>1.3247875522285372E-3</v>
      </c>
    </row>
    <row r="109" spans="1:2">
      <c r="A109" s="135" t="s">
        <v>2773</v>
      </c>
      <c r="B109" s="179">
        <v>1.3205404557132985E-3</v>
      </c>
    </row>
    <row r="110" spans="1:2">
      <c r="A110" s="135" t="s">
        <v>2130</v>
      </c>
      <c r="B110" s="179">
        <v>1.2905287291818568E-3</v>
      </c>
    </row>
    <row r="111" spans="1:2">
      <c r="A111" s="135" t="s">
        <v>383</v>
      </c>
      <c r="B111" s="179">
        <v>1.2899051141950003E-3</v>
      </c>
    </row>
    <row r="112" spans="1:2">
      <c r="A112" s="135" t="s">
        <v>1084</v>
      </c>
      <c r="B112" s="179">
        <v>1.2870993648434912E-3</v>
      </c>
    </row>
    <row r="113" spans="1:2">
      <c r="A113" s="135" t="s">
        <v>2131</v>
      </c>
      <c r="B113" s="179">
        <v>1.2609182949559418E-3</v>
      </c>
    </row>
    <row r="114" spans="1:2">
      <c r="A114" s="135" t="s">
        <v>2919</v>
      </c>
      <c r="B114" s="179">
        <v>1.222446262585213E-3</v>
      </c>
    </row>
    <row r="115" spans="1:2">
      <c r="A115" s="135" t="s">
        <v>1724</v>
      </c>
      <c r="B115" s="179">
        <v>1.1906812665315385E-3</v>
      </c>
    </row>
    <row r="116" spans="1:2">
      <c r="A116" s="135" t="s">
        <v>2772</v>
      </c>
      <c r="B116" s="179">
        <v>1.1843958726494466E-3</v>
      </c>
    </row>
    <row r="117" spans="1:2">
      <c r="A117" s="135" t="s">
        <v>1063</v>
      </c>
      <c r="B117" s="179">
        <v>1.1688117126571664E-3</v>
      </c>
    </row>
    <row r="118" spans="1:2">
      <c r="A118" s="135" t="s">
        <v>181</v>
      </c>
      <c r="B118" s="179">
        <v>1.1560544314734554E-3</v>
      </c>
    </row>
    <row r="119" spans="1:2">
      <c r="A119" s="135" t="s">
        <v>1941</v>
      </c>
      <c r="B119" s="179">
        <v>1.1557340005909085E-3</v>
      </c>
    </row>
    <row r="120" spans="1:2">
      <c r="A120" s="135" t="s">
        <v>290</v>
      </c>
      <c r="B120" s="179">
        <v>1.0910137074488754E-3</v>
      </c>
    </row>
    <row r="121" spans="1:2">
      <c r="A121" s="135" t="s">
        <v>730</v>
      </c>
      <c r="B121" s="179">
        <v>1.0897018509807863E-3</v>
      </c>
    </row>
    <row r="122" spans="1:2">
      <c r="A122" s="135" t="s">
        <v>2600</v>
      </c>
      <c r="B122" s="179">
        <v>1.0232681074113714E-3</v>
      </c>
    </row>
    <row r="123" spans="1:2">
      <c r="A123" s="135" t="s">
        <v>2290</v>
      </c>
      <c r="B123" s="179">
        <v>1.0218140661944963E-3</v>
      </c>
    </row>
    <row r="124" spans="1:2">
      <c r="A124" s="135" t="s">
        <v>2700</v>
      </c>
      <c r="B124" s="179">
        <v>1.0131413188621528E-3</v>
      </c>
    </row>
    <row r="125" spans="1:2">
      <c r="A125" s="135" t="s">
        <v>3261</v>
      </c>
      <c r="B125" s="179">
        <v>9.8664561625235511E-4</v>
      </c>
    </row>
    <row r="126" spans="1:2">
      <c r="A126" s="135" t="s">
        <v>2698</v>
      </c>
      <c r="B126" s="179">
        <v>9.6775401973598653E-4</v>
      </c>
    </row>
    <row r="127" spans="1:2">
      <c r="A127" s="135" t="s">
        <v>2771</v>
      </c>
      <c r="B127" s="179">
        <v>9.6701461277719941E-4</v>
      </c>
    </row>
    <row r="128" spans="1:2">
      <c r="A128" s="135" t="s">
        <v>3268</v>
      </c>
      <c r="B128" s="179">
        <v>9.3336118331429892E-4</v>
      </c>
    </row>
    <row r="129" spans="1:2">
      <c r="A129" s="135" t="s">
        <v>478</v>
      </c>
      <c r="B129" s="179">
        <v>9.2736154728160103E-4</v>
      </c>
    </row>
    <row r="130" spans="1:2">
      <c r="A130" s="135" t="s">
        <v>1468</v>
      </c>
      <c r="B130" s="179">
        <v>9.1264646641461356E-4</v>
      </c>
    </row>
    <row r="131" spans="1:2">
      <c r="A131" s="135" t="s">
        <v>604</v>
      </c>
      <c r="B131" s="179">
        <v>8.9377480550302578E-4</v>
      </c>
    </row>
    <row r="132" spans="1:2">
      <c r="A132" s="135" t="s">
        <v>3348</v>
      </c>
      <c r="B132" s="179">
        <v>8.8186830745899908E-4</v>
      </c>
    </row>
    <row r="133" spans="1:2">
      <c r="A133" s="135" t="s">
        <v>1428</v>
      </c>
      <c r="B133" s="179">
        <v>8.7220136328824331E-4</v>
      </c>
    </row>
    <row r="134" spans="1:2">
      <c r="A134" s="135" t="s">
        <v>2164</v>
      </c>
      <c r="B134" s="179">
        <v>8.1471266109188608E-4</v>
      </c>
    </row>
    <row r="135" spans="1:2">
      <c r="A135" s="135" t="s">
        <v>1190</v>
      </c>
      <c r="B135" s="179">
        <v>8.130861531562072E-4</v>
      </c>
    </row>
    <row r="136" spans="1:2">
      <c r="A136" s="135" t="s">
        <v>3270</v>
      </c>
      <c r="B136" s="179">
        <v>8.1023701445339085E-4</v>
      </c>
    </row>
    <row r="137" spans="1:2">
      <c r="A137" s="135" t="s">
        <v>3454</v>
      </c>
      <c r="B137" s="179">
        <v>7.9237688583322613E-4</v>
      </c>
    </row>
    <row r="138" spans="1:2">
      <c r="A138" s="135" t="s">
        <v>597</v>
      </c>
      <c r="B138" s="179">
        <v>7.8693991557074493E-4</v>
      </c>
    </row>
    <row r="139" spans="1:2">
      <c r="A139" s="135" t="s">
        <v>1918</v>
      </c>
      <c r="B139" s="179">
        <v>7.7571098639399446E-4</v>
      </c>
    </row>
    <row r="140" spans="1:2">
      <c r="A140" s="135" t="s">
        <v>1728</v>
      </c>
      <c r="B140" s="179">
        <v>7.57655515755188E-4</v>
      </c>
    </row>
    <row r="141" spans="1:2">
      <c r="A141" s="135" t="s">
        <v>1670</v>
      </c>
      <c r="B141" s="179">
        <v>7.5075500663586772E-4</v>
      </c>
    </row>
    <row r="142" spans="1:2">
      <c r="A142" s="135" t="s">
        <v>785</v>
      </c>
      <c r="B142" s="179">
        <v>7.4413823645272078E-4</v>
      </c>
    </row>
    <row r="143" spans="1:2">
      <c r="A143" s="135" t="s">
        <v>1673</v>
      </c>
      <c r="B143" s="179">
        <v>7.3991419059268241E-4</v>
      </c>
    </row>
    <row r="144" spans="1:2">
      <c r="A144" s="135" t="s">
        <v>2705</v>
      </c>
      <c r="B144" s="179">
        <v>7.1946618374891603E-4</v>
      </c>
    </row>
    <row r="145" spans="1:2">
      <c r="A145" s="135" t="s">
        <v>1816</v>
      </c>
      <c r="B145" s="179">
        <v>7.1068374572111023E-4</v>
      </c>
    </row>
    <row r="146" spans="1:2">
      <c r="A146" s="135" t="s">
        <v>208</v>
      </c>
      <c r="B146" s="179">
        <v>6.6031272687068292E-4</v>
      </c>
    </row>
    <row r="147" spans="1:2">
      <c r="A147" s="135" t="s">
        <v>3149</v>
      </c>
      <c r="B147" s="179">
        <v>6.5433053450878614E-4</v>
      </c>
    </row>
    <row r="148" spans="1:2">
      <c r="A148" s="135" t="s">
        <v>392</v>
      </c>
      <c r="B148" s="179">
        <v>6.473067569508689E-4</v>
      </c>
    </row>
    <row r="149" spans="1:2">
      <c r="A149" s="135" t="s">
        <v>186</v>
      </c>
      <c r="B149" s="179">
        <v>6.4675756775211797E-4</v>
      </c>
    </row>
    <row r="150" spans="1:2">
      <c r="A150" s="135" t="s">
        <v>3260</v>
      </c>
      <c r="B150" s="179">
        <v>6.2941251460006155E-4</v>
      </c>
    </row>
    <row r="151" spans="1:2">
      <c r="A151" s="135" t="s">
        <v>2430</v>
      </c>
      <c r="B151" s="179">
        <v>6.2694841027456346E-4</v>
      </c>
    </row>
    <row r="152" spans="1:2">
      <c r="A152" s="135" t="s">
        <v>2288</v>
      </c>
      <c r="B152" s="179">
        <v>6.2600941394828826E-4</v>
      </c>
    </row>
    <row r="153" spans="1:2">
      <c r="A153" s="135" t="s">
        <v>2320</v>
      </c>
      <c r="B153" s="179">
        <v>6.1486229489494818E-4</v>
      </c>
    </row>
    <row r="154" spans="1:2">
      <c r="A154" s="135" t="s">
        <v>2614</v>
      </c>
      <c r="B154" s="179">
        <v>6.0145015462641704E-4</v>
      </c>
    </row>
    <row r="155" spans="1:2">
      <c r="A155" s="135" t="s">
        <v>1422</v>
      </c>
      <c r="B155" s="179">
        <v>5.8526593735733516E-4</v>
      </c>
    </row>
    <row r="156" spans="1:2">
      <c r="A156" s="135" t="s">
        <v>1671</v>
      </c>
      <c r="B156" s="179">
        <v>5.7889871580300227E-4</v>
      </c>
    </row>
    <row r="157" spans="1:2">
      <c r="A157" s="135" t="s">
        <v>2319</v>
      </c>
      <c r="B157" s="179">
        <v>5.7291294401139669E-4</v>
      </c>
    </row>
    <row r="158" spans="1:2">
      <c r="A158" s="135" t="s">
        <v>3266</v>
      </c>
      <c r="B158" s="179">
        <v>5.7162868028794503E-4</v>
      </c>
    </row>
    <row r="159" spans="1:2">
      <c r="A159" s="135" t="s">
        <v>1915</v>
      </c>
      <c r="B159" s="179">
        <v>5.6359029154941199E-4</v>
      </c>
    </row>
    <row r="160" spans="1:2">
      <c r="A160" s="135" t="s">
        <v>1821</v>
      </c>
      <c r="B160" s="179">
        <v>5.5704565211295569E-4</v>
      </c>
    </row>
    <row r="161" spans="1:2">
      <c r="A161" s="135" t="s">
        <v>666</v>
      </c>
      <c r="B161" s="179">
        <v>5.4163457504274415E-4</v>
      </c>
    </row>
    <row r="162" spans="1:2">
      <c r="A162" s="135" t="s">
        <v>1436</v>
      </c>
      <c r="B162" s="179">
        <v>5.2918216863365967E-4</v>
      </c>
    </row>
    <row r="163" spans="1:2">
      <c r="A163" s="135" t="s">
        <v>1524</v>
      </c>
      <c r="B163" s="179">
        <v>5.2276166803122068E-4</v>
      </c>
    </row>
    <row r="164" spans="1:2">
      <c r="A164" s="135" t="s">
        <v>1917</v>
      </c>
      <c r="B164" s="179">
        <v>5.2015415093761483E-4</v>
      </c>
    </row>
    <row r="165" spans="1:2">
      <c r="A165" s="135" t="s">
        <v>1278</v>
      </c>
      <c r="B165" s="179">
        <v>5.1859762614397953E-4</v>
      </c>
    </row>
    <row r="166" spans="1:2">
      <c r="A166" s="135" t="s">
        <v>1244</v>
      </c>
      <c r="B166" s="179">
        <v>5.1850917538344421E-4</v>
      </c>
    </row>
    <row r="167" spans="1:2">
      <c r="A167" s="135" t="s">
        <v>741</v>
      </c>
      <c r="B167" s="179">
        <v>5.1461323801944544E-4</v>
      </c>
    </row>
    <row r="168" spans="1:2">
      <c r="A168" s="135" t="s">
        <v>1469</v>
      </c>
      <c r="B168" s="179">
        <v>5.0838320351958828E-4</v>
      </c>
    </row>
    <row r="169" spans="1:2">
      <c r="A169" s="135" t="s">
        <v>1506</v>
      </c>
      <c r="B169" s="179">
        <v>5.0643338283767967E-4</v>
      </c>
    </row>
    <row r="170" spans="1:2">
      <c r="A170" s="135" t="s">
        <v>1672</v>
      </c>
      <c r="B170" s="179">
        <v>5.064245080482647E-4</v>
      </c>
    </row>
    <row r="171" spans="1:2">
      <c r="A171" s="135" t="s">
        <v>463</v>
      </c>
      <c r="B171" s="179">
        <v>4.9304003856348989E-4</v>
      </c>
    </row>
    <row r="172" spans="1:2">
      <c r="A172" s="135" t="s">
        <v>1546</v>
      </c>
      <c r="B172" s="179">
        <v>4.8567643547425062E-4</v>
      </c>
    </row>
    <row r="173" spans="1:2">
      <c r="A173" s="135" t="s">
        <v>1814</v>
      </c>
      <c r="B173" s="179">
        <v>4.8330100831579472E-4</v>
      </c>
    </row>
    <row r="174" spans="1:2">
      <c r="A174" s="135" t="s">
        <v>1677</v>
      </c>
      <c r="B174" s="179">
        <v>4.7744848439792412E-4</v>
      </c>
    </row>
    <row r="175" spans="1:2">
      <c r="A175" s="135" t="s">
        <v>466</v>
      </c>
      <c r="B175" s="179">
        <v>4.6372152687852974E-4</v>
      </c>
    </row>
    <row r="176" spans="1:2">
      <c r="A176" s="135" t="s">
        <v>1102</v>
      </c>
      <c r="B176" s="179">
        <v>4.6095841267743939E-4</v>
      </c>
    </row>
    <row r="177" spans="1:2">
      <c r="A177" s="135" t="s">
        <v>719</v>
      </c>
      <c r="B177" s="179">
        <v>4.5660262681366159E-4</v>
      </c>
    </row>
    <row r="178" spans="1:2">
      <c r="A178" s="135" t="s">
        <v>3349</v>
      </c>
      <c r="B178" s="179">
        <v>4.5422488414015457E-4</v>
      </c>
    </row>
    <row r="179" spans="1:2">
      <c r="A179" s="135" t="s">
        <v>3580</v>
      </c>
      <c r="B179" s="179">
        <v>4.5352854334170678E-4</v>
      </c>
    </row>
    <row r="180" spans="1:2">
      <c r="A180" s="135" t="s">
        <v>2621</v>
      </c>
      <c r="B180" s="179">
        <v>4.4878470643000019E-4</v>
      </c>
    </row>
    <row r="181" spans="1:2">
      <c r="A181" s="135" t="s">
        <v>261</v>
      </c>
      <c r="B181" s="179">
        <v>4.3449938871944669E-4</v>
      </c>
    </row>
    <row r="182" spans="1:2">
      <c r="A182" s="135" t="s">
        <v>2087</v>
      </c>
      <c r="B182" s="179">
        <v>4.3442017116990169E-4</v>
      </c>
    </row>
    <row r="183" spans="1:2">
      <c r="A183" s="135" t="s">
        <v>1726</v>
      </c>
      <c r="B183" s="179">
        <v>4.2581327210280788E-4</v>
      </c>
    </row>
    <row r="184" spans="1:2">
      <c r="A184" s="135" t="s">
        <v>1118</v>
      </c>
      <c r="B184" s="179">
        <v>4.2369975752216732E-4</v>
      </c>
    </row>
    <row r="185" spans="1:2">
      <c r="A185" s="135" t="s">
        <v>3576</v>
      </c>
      <c r="B185" s="179">
        <v>4.1149170568680516E-4</v>
      </c>
    </row>
    <row r="186" spans="1:2">
      <c r="A186" s="135" t="s">
        <v>3345</v>
      </c>
      <c r="B186" s="179">
        <v>4.0416784245678693E-4</v>
      </c>
    </row>
    <row r="187" spans="1:2">
      <c r="A187" s="135" t="s">
        <v>540</v>
      </c>
      <c r="B187" s="179">
        <v>4.0386116015258378E-4</v>
      </c>
    </row>
    <row r="188" spans="1:2">
      <c r="A188" s="135" t="s">
        <v>1152</v>
      </c>
      <c r="B188" s="179">
        <v>3.928599364951327E-4</v>
      </c>
    </row>
    <row r="189" spans="1:2">
      <c r="A189" s="135" t="s">
        <v>3575</v>
      </c>
      <c r="B189" s="179">
        <v>3.8234944143012963E-4</v>
      </c>
    </row>
    <row r="190" spans="1:2">
      <c r="A190" s="135" t="s">
        <v>308</v>
      </c>
      <c r="B190" s="179">
        <v>3.7924189087535948E-4</v>
      </c>
    </row>
    <row r="191" spans="1:2">
      <c r="A191" s="135" t="s">
        <v>1470</v>
      </c>
      <c r="B191" s="179">
        <v>3.7439680345815047E-4</v>
      </c>
    </row>
    <row r="192" spans="1:2">
      <c r="A192" s="135" t="s">
        <v>1330</v>
      </c>
      <c r="B192" s="179">
        <v>3.704430832449671E-4</v>
      </c>
    </row>
    <row r="193" spans="1:2">
      <c r="A193" s="135" t="s">
        <v>3350</v>
      </c>
      <c r="B193" s="179">
        <v>3.5864739875568561E-4</v>
      </c>
    </row>
    <row r="194" spans="1:2">
      <c r="A194" s="135" t="s">
        <v>1425</v>
      </c>
      <c r="B194" s="179">
        <v>3.5168867577725979E-4</v>
      </c>
    </row>
    <row r="195" spans="1:2">
      <c r="A195" s="135" t="s">
        <v>717</v>
      </c>
      <c r="B195" s="179">
        <v>3.4458372663407266E-4</v>
      </c>
    </row>
    <row r="196" spans="1:2">
      <c r="A196" s="135" t="s">
        <v>1435</v>
      </c>
      <c r="B196" s="179">
        <v>3.4177130659971354E-4</v>
      </c>
    </row>
    <row r="197" spans="1:2">
      <c r="A197" s="135" t="s">
        <v>2429</v>
      </c>
      <c r="B197" s="179">
        <v>3.3864938847147537E-4</v>
      </c>
    </row>
    <row r="198" spans="1:2">
      <c r="A198" s="135" t="s">
        <v>900</v>
      </c>
      <c r="B198" s="179">
        <v>3.2758640609108886E-4</v>
      </c>
    </row>
    <row r="199" spans="1:2">
      <c r="A199" s="135" t="s">
        <v>2770</v>
      </c>
      <c r="B199" s="179">
        <v>3.2577791797610504E-4</v>
      </c>
    </row>
    <row r="200" spans="1:2">
      <c r="A200" s="135" t="s">
        <v>1427</v>
      </c>
      <c r="B200" s="179">
        <v>3.1894736261783141E-4</v>
      </c>
    </row>
    <row r="201" spans="1:2">
      <c r="A201" s="135" t="s">
        <v>3509</v>
      </c>
      <c r="B201" s="179">
        <v>3.184801615567672E-4</v>
      </c>
    </row>
    <row r="202" spans="1:2">
      <c r="A202" s="135" t="s">
        <v>1171</v>
      </c>
      <c r="B202" s="179">
        <v>3.1826467401210347E-4</v>
      </c>
    </row>
    <row r="203" spans="1:2">
      <c r="A203" s="135" t="s">
        <v>1430</v>
      </c>
      <c r="B203" s="179">
        <v>3.1378577538912955E-4</v>
      </c>
    </row>
    <row r="204" spans="1:2">
      <c r="A204" s="135" t="s">
        <v>2465</v>
      </c>
      <c r="B204" s="179">
        <v>3.1303884024780311E-4</v>
      </c>
    </row>
    <row r="205" spans="1:2">
      <c r="A205" s="135" t="s">
        <v>2918</v>
      </c>
      <c r="B205" s="179">
        <v>3.0896433967457726E-4</v>
      </c>
    </row>
    <row r="206" spans="1:2">
      <c r="A206" s="135" t="s">
        <v>607</v>
      </c>
      <c r="B206" s="179">
        <v>3.0845068340169037E-4</v>
      </c>
    </row>
    <row r="207" spans="1:2">
      <c r="A207" s="135" t="s">
        <v>1434</v>
      </c>
      <c r="B207" s="179">
        <v>3.0820709845055696E-4</v>
      </c>
    </row>
    <row r="208" spans="1:2">
      <c r="A208" s="135" t="s">
        <v>2602</v>
      </c>
      <c r="B208" s="179">
        <v>2.9501920445451873E-4</v>
      </c>
    </row>
    <row r="209" spans="1:2">
      <c r="A209" s="135" t="s">
        <v>716</v>
      </c>
      <c r="B209" s="179">
        <v>2.8651162711688314E-4</v>
      </c>
    </row>
    <row r="210" spans="1:2">
      <c r="A210" s="135" t="s">
        <v>2601</v>
      </c>
      <c r="B210" s="179">
        <v>2.8295213966023774E-4</v>
      </c>
    </row>
    <row r="211" spans="1:2">
      <c r="A211" s="135" t="s">
        <v>903</v>
      </c>
      <c r="B211" s="179">
        <v>2.7771851926698037E-4</v>
      </c>
    </row>
    <row r="212" spans="1:2">
      <c r="A212" s="135" t="s">
        <v>2165</v>
      </c>
      <c r="B212" s="179">
        <v>2.7533772216628728E-4</v>
      </c>
    </row>
    <row r="213" spans="1:2">
      <c r="A213" s="135" t="s">
        <v>1884</v>
      </c>
      <c r="B213" s="179">
        <v>2.6613358719578651E-4</v>
      </c>
    </row>
    <row r="214" spans="1:2">
      <c r="A214" s="135" t="s">
        <v>902</v>
      </c>
      <c r="B214" s="179">
        <v>2.6324445430864771E-4</v>
      </c>
    </row>
    <row r="215" spans="1:2">
      <c r="A215" s="135" t="s">
        <v>2019</v>
      </c>
      <c r="B215" s="179">
        <v>2.585963551765372E-4</v>
      </c>
    </row>
    <row r="216" spans="1:2">
      <c r="A216" s="135" t="s">
        <v>469</v>
      </c>
      <c r="B216" s="179">
        <v>2.5747380991183669E-4</v>
      </c>
    </row>
    <row r="217" spans="1:2">
      <c r="A217" s="135" t="s">
        <v>3144</v>
      </c>
      <c r="B217" s="179">
        <v>2.5300570966944002E-4</v>
      </c>
    </row>
    <row r="218" spans="1:2">
      <c r="A218" s="135" t="s">
        <v>2420</v>
      </c>
      <c r="B218" s="179">
        <v>2.5017583266971085E-4</v>
      </c>
    </row>
    <row r="219" spans="1:2">
      <c r="A219" s="135" t="s">
        <v>3145</v>
      </c>
      <c r="B219" s="179">
        <v>2.4463211978240269E-4</v>
      </c>
    </row>
    <row r="220" spans="1:2">
      <c r="A220" s="135" t="s">
        <v>1605</v>
      </c>
      <c r="B220" s="179">
        <v>2.4261485149861542E-4</v>
      </c>
    </row>
    <row r="221" spans="1:2">
      <c r="A221" s="135" t="s">
        <v>2423</v>
      </c>
      <c r="B221" s="179">
        <v>2.3826520347136973E-4</v>
      </c>
    </row>
    <row r="222" spans="1:2">
      <c r="A222" s="135" t="s">
        <v>2992</v>
      </c>
      <c r="B222" s="179">
        <v>2.2978811815793935E-4</v>
      </c>
    </row>
    <row r="223" spans="1:2">
      <c r="A223" s="135" t="s">
        <v>2245</v>
      </c>
      <c r="B223" s="179">
        <v>2.2590953459345649E-4</v>
      </c>
    </row>
    <row r="224" spans="1:2">
      <c r="A224" s="135" t="s">
        <v>3148</v>
      </c>
      <c r="B224" s="179">
        <v>2.187840612949273E-4</v>
      </c>
    </row>
    <row r="225" spans="1:2">
      <c r="A225" s="135" t="s">
        <v>676</v>
      </c>
      <c r="B225" s="179">
        <v>2.1788911572475847E-4</v>
      </c>
    </row>
    <row r="226" spans="1:2">
      <c r="A226" s="135" t="s">
        <v>470</v>
      </c>
      <c r="B226" s="179">
        <v>2.1745920260558813E-4</v>
      </c>
    </row>
    <row r="227" spans="1:2">
      <c r="A227" s="135" t="s">
        <v>2416</v>
      </c>
      <c r="B227" s="179">
        <v>2.1644823028140356E-4</v>
      </c>
    </row>
    <row r="228" spans="1:2">
      <c r="A228" s="135" t="s">
        <v>3146</v>
      </c>
      <c r="B228" s="179">
        <v>2.0916058704056604E-4</v>
      </c>
    </row>
    <row r="229" spans="1:2">
      <c r="A229" s="135" t="s">
        <v>665</v>
      </c>
      <c r="B229" s="179">
        <v>2.0450645124359205E-4</v>
      </c>
    </row>
    <row r="230" spans="1:2">
      <c r="A230" s="135" t="s">
        <v>803</v>
      </c>
      <c r="B230" s="179">
        <v>1.982777597610769E-4</v>
      </c>
    </row>
    <row r="231" spans="1:2">
      <c r="A231" s="135" t="s">
        <v>2622</v>
      </c>
      <c r="B231" s="179">
        <v>1.9117586637453274E-4</v>
      </c>
    </row>
    <row r="232" spans="1:2">
      <c r="A232" s="135" t="s">
        <v>1188</v>
      </c>
      <c r="B232" s="179">
        <v>1.8898290105761001E-4</v>
      </c>
    </row>
    <row r="233" spans="1:2">
      <c r="A233" s="135" t="s">
        <v>1916</v>
      </c>
      <c r="B233" s="179">
        <v>1.8740446601688758E-4</v>
      </c>
    </row>
    <row r="234" spans="1:2">
      <c r="A234" s="135" t="s">
        <v>1432</v>
      </c>
      <c r="B234" s="179">
        <v>1.8549949788653055E-4</v>
      </c>
    </row>
    <row r="235" spans="1:2">
      <c r="A235" s="135" t="s">
        <v>2162</v>
      </c>
      <c r="B235" s="179">
        <v>1.8438956291919157E-4</v>
      </c>
    </row>
    <row r="236" spans="1:2">
      <c r="A236" s="135" t="s">
        <v>1813</v>
      </c>
      <c r="B236" s="179">
        <v>1.8418844308094141E-4</v>
      </c>
    </row>
    <row r="237" spans="1:2">
      <c r="A237" s="135" t="s">
        <v>1423</v>
      </c>
      <c r="B237" s="179">
        <v>1.8334843997532907E-4</v>
      </c>
    </row>
    <row r="238" spans="1:2">
      <c r="A238" s="135" t="s">
        <v>664</v>
      </c>
      <c r="B238" s="179">
        <v>1.823276025492983E-4</v>
      </c>
    </row>
    <row r="239" spans="1:2">
      <c r="A239" s="135" t="s">
        <v>2597</v>
      </c>
      <c r="B239" s="179">
        <v>1.8152210842185969E-4</v>
      </c>
    </row>
    <row r="240" spans="1:2">
      <c r="A240" s="135" t="s">
        <v>1523</v>
      </c>
      <c r="B240" s="179">
        <v>1.8114621605478965E-4</v>
      </c>
    </row>
    <row r="241" spans="1:2">
      <c r="A241" s="135" t="s">
        <v>3577</v>
      </c>
      <c r="B241" s="179">
        <v>1.7729701056259071E-4</v>
      </c>
    </row>
    <row r="242" spans="1:2">
      <c r="A242" s="135" t="s">
        <v>418</v>
      </c>
      <c r="B242" s="179">
        <v>1.7667506058753274E-4</v>
      </c>
    </row>
    <row r="243" spans="1:2">
      <c r="A243" s="135" t="s">
        <v>1811</v>
      </c>
      <c r="B243" s="179">
        <v>1.7366720440898471E-4</v>
      </c>
    </row>
    <row r="244" spans="1:2">
      <c r="A244" s="135" t="s">
        <v>3510</v>
      </c>
      <c r="B244" s="179">
        <v>1.7267772674366597E-4</v>
      </c>
    </row>
    <row r="245" spans="1:2">
      <c r="A245" s="135" t="s">
        <v>1817</v>
      </c>
      <c r="B245" s="179">
        <v>1.7197461900968959E-4</v>
      </c>
    </row>
    <row r="246" spans="1:2">
      <c r="A246" s="135" t="s">
        <v>987</v>
      </c>
      <c r="B246" s="179">
        <v>1.7167704893590035E-4</v>
      </c>
    </row>
    <row r="247" spans="1:2">
      <c r="A247" s="135" t="s">
        <v>577</v>
      </c>
      <c r="B247" s="179">
        <v>1.6255964985950291E-4</v>
      </c>
    </row>
    <row r="248" spans="1:2">
      <c r="A248" s="135" t="s">
        <v>1331</v>
      </c>
      <c r="B248" s="179">
        <v>1.5507380972431569E-4</v>
      </c>
    </row>
    <row r="249" spans="1:2">
      <c r="A249" s="135" t="s">
        <v>2126</v>
      </c>
      <c r="B249" s="179">
        <v>1.5505729202023273E-4</v>
      </c>
    </row>
    <row r="250" spans="1:2">
      <c r="A250" s="135" t="s">
        <v>1189</v>
      </c>
      <c r="B250" s="179">
        <v>1.5342781022245475E-4</v>
      </c>
    </row>
    <row r="251" spans="1:2">
      <c r="A251" s="135" t="s">
        <v>1117</v>
      </c>
      <c r="B251" s="179">
        <v>1.5253809194379966E-4</v>
      </c>
    </row>
    <row r="252" spans="1:2">
      <c r="A252" s="135" t="s">
        <v>2426</v>
      </c>
      <c r="B252" s="179">
        <v>1.5058165615033827E-4</v>
      </c>
    </row>
    <row r="253" spans="1:2">
      <c r="A253" s="135" t="s">
        <v>3347</v>
      </c>
      <c r="B253" s="179">
        <v>1.5048046267853612E-4</v>
      </c>
    </row>
    <row r="254" spans="1:2">
      <c r="A254" s="135" t="s">
        <v>1086</v>
      </c>
      <c r="B254" s="179">
        <v>1.4242042200638815E-4</v>
      </c>
    </row>
    <row r="255" spans="1:2">
      <c r="A255" s="135" t="s">
        <v>800</v>
      </c>
      <c r="B255" s="179">
        <v>1.3979035852057707E-4</v>
      </c>
    </row>
    <row r="256" spans="1:2">
      <c r="A256" s="135" t="s">
        <v>1291</v>
      </c>
      <c r="B256" s="179">
        <v>1.3752153851529192E-4</v>
      </c>
    </row>
    <row r="257" spans="1:2">
      <c r="A257" s="135" t="s">
        <v>3455</v>
      </c>
      <c r="B257" s="179">
        <v>1.3733004819912841E-4</v>
      </c>
    </row>
    <row r="258" spans="1:2">
      <c r="A258" s="135" t="s">
        <v>1812</v>
      </c>
      <c r="B258" s="179">
        <v>1.3228639935049268E-4</v>
      </c>
    </row>
    <row r="259" spans="1:2">
      <c r="A259" s="135" t="s">
        <v>2246</v>
      </c>
      <c r="B259" s="179">
        <v>1.3199102261466717E-4</v>
      </c>
    </row>
    <row r="260" spans="1:2">
      <c r="A260" s="135" t="s">
        <v>2128</v>
      </c>
      <c r="B260" s="179">
        <v>1.3182756668871705E-4</v>
      </c>
    </row>
    <row r="261" spans="1:2">
      <c r="A261" s="135" t="s">
        <v>1277</v>
      </c>
      <c r="B261" s="179">
        <v>1.2981708701060562E-4</v>
      </c>
    </row>
    <row r="262" spans="1:2">
      <c r="A262" s="135" t="s">
        <v>3452</v>
      </c>
      <c r="B262" s="179">
        <v>1.2793328197256812E-4</v>
      </c>
    </row>
    <row r="263" spans="1:2">
      <c r="A263" s="135" t="s">
        <v>2606</v>
      </c>
      <c r="B263" s="179">
        <v>1.2777716823813944E-4</v>
      </c>
    </row>
    <row r="264" spans="1:2">
      <c r="A264" s="135" t="s">
        <v>2020</v>
      </c>
      <c r="B264" s="179">
        <v>1.1992996470541554E-4</v>
      </c>
    </row>
    <row r="265" spans="1:2">
      <c r="A265" s="135" t="s">
        <v>3462</v>
      </c>
      <c r="B265" s="179">
        <v>1.1605094215427031E-4</v>
      </c>
    </row>
    <row r="266" spans="1:2">
      <c r="A266" s="135" t="s">
        <v>1818</v>
      </c>
      <c r="B266" s="179">
        <v>1.1053942791496654E-4</v>
      </c>
    </row>
    <row r="267" spans="1:2">
      <c r="A267" s="135" t="s">
        <v>2466</v>
      </c>
      <c r="B267" s="179">
        <v>1.1032743378415122E-4</v>
      </c>
    </row>
    <row r="268" spans="1:2">
      <c r="A268" s="135" t="s">
        <v>614</v>
      </c>
      <c r="B268" s="179">
        <v>9.9875776891205584E-5</v>
      </c>
    </row>
    <row r="269" spans="1:2">
      <c r="A269" s="135" t="s">
        <v>1426</v>
      </c>
      <c r="B269" s="179">
        <v>9.9567169799328885E-5</v>
      </c>
    </row>
    <row r="270" spans="1:2">
      <c r="A270" s="135" t="s">
        <v>858</v>
      </c>
      <c r="B270" s="179">
        <v>9.9428911601443336E-5</v>
      </c>
    </row>
    <row r="271" spans="1:2">
      <c r="A271" s="135" t="s">
        <v>1938</v>
      </c>
      <c r="B271" s="179">
        <v>9.9036367255145286E-5</v>
      </c>
    </row>
    <row r="272" spans="1:2">
      <c r="A272" s="135" t="s">
        <v>2424</v>
      </c>
      <c r="B272" s="179">
        <v>9.8182724985490616E-5</v>
      </c>
    </row>
    <row r="273" spans="1:2">
      <c r="A273" s="135" t="s">
        <v>2620</v>
      </c>
      <c r="B273" s="179">
        <v>9.7504080454651561E-5</v>
      </c>
    </row>
    <row r="274" spans="1:2">
      <c r="A274" s="135" t="s">
        <v>2242</v>
      </c>
      <c r="B274" s="179">
        <v>9.7324342404377968E-5</v>
      </c>
    </row>
    <row r="275" spans="1:2">
      <c r="A275" s="135" t="s">
        <v>2598</v>
      </c>
      <c r="B275" s="179">
        <v>9.5023362704175005E-5</v>
      </c>
    </row>
    <row r="276" spans="1:2">
      <c r="A276" s="135" t="s">
        <v>2610</v>
      </c>
      <c r="B276" s="179">
        <v>9.4333020681069575E-5</v>
      </c>
    </row>
    <row r="277" spans="1:2">
      <c r="A277" s="135" t="s">
        <v>2605</v>
      </c>
      <c r="B277" s="179">
        <v>9.284178365366262E-5</v>
      </c>
    </row>
    <row r="278" spans="1:2">
      <c r="A278" s="135" t="s">
        <v>2243</v>
      </c>
      <c r="B278" s="179">
        <v>9.0665151246316225E-5</v>
      </c>
    </row>
    <row r="279" spans="1:2">
      <c r="A279" s="135" t="s">
        <v>715</v>
      </c>
      <c r="B279" s="179">
        <v>9.0121931574856101E-5</v>
      </c>
    </row>
    <row r="280" spans="1:2">
      <c r="A280" s="135" t="s">
        <v>2239</v>
      </c>
      <c r="B280" s="179">
        <v>8.8515523033045452E-5</v>
      </c>
    </row>
    <row r="281" spans="1:2">
      <c r="A281" s="135" t="s">
        <v>3460</v>
      </c>
      <c r="B281" s="179">
        <v>8.8200378071060843E-5</v>
      </c>
    </row>
    <row r="282" spans="1:2">
      <c r="A282" s="135" t="s">
        <v>2626</v>
      </c>
      <c r="B282" s="179">
        <v>8.8192541720416435E-5</v>
      </c>
    </row>
    <row r="283" spans="1:2">
      <c r="A283" s="135" t="s">
        <v>1939</v>
      </c>
      <c r="B283" s="179">
        <v>8.4129408934150262E-5</v>
      </c>
    </row>
    <row r="284" spans="1:2">
      <c r="A284" s="135" t="s">
        <v>2615</v>
      </c>
      <c r="B284" s="179">
        <v>8.3570547005963895E-5</v>
      </c>
    </row>
    <row r="285" spans="1:2">
      <c r="A285" s="135" t="s">
        <v>1815</v>
      </c>
      <c r="B285" s="179">
        <v>8.2582830206285191E-5</v>
      </c>
    </row>
    <row r="286" spans="1:2">
      <c r="A286" s="135" t="s">
        <v>2616</v>
      </c>
      <c r="B286" s="179">
        <v>8.0853583305178905E-5</v>
      </c>
    </row>
    <row r="287" spans="1:2">
      <c r="A287" s="135" t="s">
        <v>2129</v>
      </c>
      <c r="B287" s="179">
        <v>7.936268103501479E-5</v>
      </c>
    </row>
    <row r="288" spans="1:2">
      <c r="A288" s="135" t="s">
        <v>2413</v>
      </c>
      <c r="B288" s="179">
        <v>7.8383856174744679E-5</v>
      </c>
    </row>
    <row r="289" spans="1:2">
      <c r="A289" s="135" t="s">
        <v>1725</v>
      </c>
      <c r="B289" s="179">
        <v>7.8091196317002905E-5</v>
      </c>
    </row>
    <row r="290" spans="1:2">
      <c r="A290" s="135" t="s">
        <v>3155</v>
      </c>
      <c r="B290" s="179">
        <v>7.7502395285728511E-5</v>
      </c>
    </row>
    <row r="291" spans="1:2">
      <c r="A291" s="135" t="s">
        <v>419</v>
      </c>
      <c r="B291" s="179">
        <v>7.7424273474545482E-5</v>
      </c>
    </row>
    <row r="292" spans="1:2">
      <c r="A292" s="135" t="s">
        <v>1433</v>
      </c>
      <c r="B292" s="179">
        <v>7.2123143393773134E-5</v>
      </c>
    </row>
    <row r="293" spans="1:2">
      <c r="A293" s="135" t="s">
        <v>2427</v>
      </c>
      <c r="B293" s="179">
        <v>7.2002762668469292E-5</v>
      </c>
    </row>
    <row r="294" spans="1:2">
      <c r="A294" s="135" t="s">
        <v>2241</v>
      </c>
      <c r="B294" s="179">
        <v>7.1555176015402952E-5</v>
      </c>
    </row>
    <row r="295" spans="1:2">
      <c r="A295" s="135" t="s">
        <v>1170</v>
      </c>
      <c r="B295" s="179">
        <v>6.9675280777109285E-5</v>
      </c>
    </row>
    <row r="296" spans="1:2">
      <c r="A296" s="135" t="s">
        <v>934</v>
      </c>
      <c r="B296" s="179">
        <v>6.737373911548238E-5</v>
      </c>
    </row>
    <row r="297" spans="1:2">
      <c r="A297" s="135" t="s">
        <v>2244</v>
      </c>
      <c r="B297" s="179">
        <v>6.7309063564148142E-5</v>
      </c>
    </row>
    <row r="298" spans="1:2">
      <c r="A298" s="135" t="s">
        <v>1820</v>
      </c>
      <c r="B298" s="179">
        <v>6.6441572209209455E-5</v>
      </c>
    </row>
    <row r="299" spans="1:2">
      <c r="A299" s="135" t="s">
        <v>2422</v>
      </c>
      <c r="B299" s="179">
        <v>6.5981872475655474E-5</v>
      </c>
    </row>
    <row r="300" spans="1:2">
      <c r="A300" s="135" t="s">
        <v>1940</v>
      </c>
      <c r="B300" s="179">
        <v>6.5362580350795702E-5</v>
      </c>
    </row>
    <row r="301" spans="1:2">
      <c r="A301" s="135" t="s">
        <v>2994</v>
      </c>
      <c r="B301" s="179">
        <v>6.5037920200016264E-5</v>
      </c>
    </row>
    <row r="302" spans="1:2">
      <c r="A302" s="135" t="s">
        <v>2086</v>
      </c>
      <c r="B302" s="179">
        <v>6.1744877572642129E-5</v>
      </c>
    </row>
    <row r="303" spans="1:2">
      <c r="A303" s="135" t="s">
        <v>3579</v>
      </c>
      <c r="B303" s="179">
        <v>6.1518369628101892E-5</v>
      </c>
    </row>
    <row r="304" spans="1:2">
      <c r="A304" s="135" t="s">
        <v>2467</v>
      </c>
      <c r="B304" s="179">
        <v>6.1367121971752167E-5</v>
      </c>
    </row>
    <row r="305" spans="1:2">
      <c r="A305" s="135" t="s">
        <v>2167</v>
      </c>
      <c r="B305" s="179">
        <v>6.1270290979762151E-5</v>
      </c>
    </row>
    <row r="306" spans="1:2">
      <c r="A306" s="135" t="s">
        <v>2625</v>
      </c>
      <c r="B306" s="179">
        <v>6.1082914667919539E-5</v>
      </c>
    </row>
    <row r="307" spans="1:2">
      <c r="A307" s="135" t="s">
        <v>2419</v>
      </c>
      <c r="B307" s="179">
        <v>6.0414820308057844E-5</v>
      </c>
    </row>
    <row r="308" spans="1:2">
      <c r="A308" s="135" t="s">
        <v>2618</v>
      </c>
      <c r="B308" s="179">
        <v>6.0312681060629958E-5</v>
      </c>
    </row>
    <row r="309" spans="1:2">
      <c r="A309" s="135" t="s">
        <v>2617</v>
      </c>
      <c r="B309" s="179">
        <v>5.873566295505221E-5</v>
      </c>
    </row>
    <row r="310" spans="1:2">
      <c r="A310" s="135" t="s">
        <v>1083</v>
      </c>
      <c r="B310" s="179">
        <v>5.5742261163506466E-5</v>
      </c>
    </row>
    <row r="311" spans="1:2">
      <c r="A311" s="135" t="s">
        <v>1120</v>
      </c>
      <c r="B311" s="179">
        <v>5.4984652211712678E-5</v>
      </c>
    </row>
    <row r="312" spans="1:2">
      <c r="A312" s="135" t="s">
        <v>467</v>
      </c>
      <c r="B312" s="179">
        <v>5.1850282124427742E-5</v>
      </c>
    </row>
    <row r="313" spans="1:2">
      <c r="A313" s="135" t="s">
        <v>2699</v>
      </c>
      <c r="B313" s="179">
        <v>5.0458662763580837E-5</v>
      </c>
    </row>
    <row r="314" spans="1:2">
      <c r="A314" s="135" t="s">
        <v>3262</v>
      </c>
      <c r="B314" s="179">
        <v>4.9987929734418618E-5</v>
      </c>
    </row>
    <row r="315" spans="1:2">
      <c r="A315" s="135" t="s">
        <v>2166</v>
      </c>
      <c r="B315" s="179">
        <v>4.8617559215860127E-5</v>
      </c>
    </row>
    <row r="316" spans="1:2">
      <c r="A316" s="135" t="s">
        <v>468</v>
      </c>
      <c r="B316" s="179">
        <v>4.5315605371952581E-5</v>
      </c>
    </row>
    <row r="317" spans="1:2">
      <c r="A317" s="135" t="s">
        <v>904</v>
      </c>
      <c r="B317" s="179">
        <v>4.2470541720370627E-5</v>
      </c>
    </row>
    <row r="318" spans="1:2">
      <c r="A318" s="135" t="s">
        <v>1168</v>
      </c>
      <c r="B318" s="179">
        <v>4.1726852448021249E-5</v>
      </c>
    </row>
    <row r="319" spans="1:2">
      <c r="A319" s="135" t="s">
        <v>1115</v>
      </c>
      <c r="B319" s="179">
        <v>3.9818278963546318E-5</v>
      </c>
    </row>
    <row r="320" spans="1:2">
      <c r="A320" s="135" t="s">
        <v>898</v>
      </c>
      <c r="B320" s="179">
        <v>3.9676520970419288E-5</v>
      </c>
    </row>
    <row r="321" spans="1:2">
      <c r="A321" s="135" t="s">
        <v>3449</v>
      </c>
      <c r="B321" s="179">
        <v>3.9627252228997507E-5</v>
      </c>
    </row>
    <row r="322" spans="1:2">
      <c r="A322" s="135" t="s">
        <v>3346</v>
      </c>
      <c r="B322" s="179">
        <v>3.9623173721175347E-5</v>
      </c>
    </row>
    <row r="323" spans="1:2">
      <c r="A323" s="135" t="s">
        <v>3456</v>
      </c>
      <c r="B323" s="179">
        <v>3.9381512361204334E-5</v>
      </c>
    </row>
    <row r="324" spans="1:2">
      <c r="A324" s="135" t="s">
        <v>1043</v>
      </c>
      <c r="B324" s="179">
        <v>3.8131610976832323E-5</v>
      </c>
    </row>
    <row r="325" spans="1:2">
      <c r="A325" s="135" t="s">
        <v>2168</v>
      </c>
      <c r="B325" s="179">
        <v>3.5435501269641818E-5</v>
      </c>
    </row>
    <row r="326" spans="1:2">
      <c r="A326" s="135" t="s">
        <v>2425</v>
      </c>
      <c r="B326" s="179">
        <v>3.4462881516422083E-5</v>
      </c>
    </row>
    <row r="327" spans="1:2">
      <c r="A327" s="135" t="s">
        <v>3461</v>
      </c>
      <c r="B327" s="179">
        <v>3.3844877236443774E-5</v>
      </c>
    </row>
    <row r="328" spans="1:2">
      <c r="A328" s="135" t="s">
        <v>1116</v>
      </c>
      <c r="B328" s="179">
        <v>3.321410113009285E-5</v>
      </c>
    </row>
    <row r="329" spans="1:2">
      <c r="A329" s="135" t="s">
        <v>3453</v>
      </c>
      <c r="B329" s="179">
        <v>3.2218973804808975E-5</v>
      </c>
    </row>
    <row r="330" spans="1:2">
      <c r="A330" s="135" t="s">
        <v>2018</v>
      </c>
      <c r="B330" s="179">
        <v>3.1027582349590221E-5</v>
      </c>
    </row>
    <row r="331" spans="1:2">
      <c r="A331" s="135" t="s">
        <v>2291</v>
      </c>
      <c r="B331" s="179">
        <v>3.0752140686762431E-5</v>
      </c>
    </row>
    <row r="332" spans="1:2">
      <c r="A332" s="135" t="s">
        <v>415</v>
      </c>
      <c r="B332" s="179">
        <v>2.9771191221449418E-5</v>
      </c>
    </row>
    <row r="333" spans="1:2">
      <c r="A333" s="135" t="s">
        <v>2163</v>
      </c>
      <c r="B333" s="179">
        <v>2.8855595463426089E-5</v>
      </c>
    </row>
    <row r="334" spans="1:2">
      <c r="A334" s="135" t="s">
        <v>2613</v>
      </c>
      <c r="B334" s="179">
        <v>2.8379958998446518E-5</v>
      </c>
    </row>
    <row r="335" spans="1:2">
      <c r="A335" s="135" t="s">
        <v>1119</v>
      </c>
      <c r="B335" s="179">
        <v>2.8015933762341E-5</v>
      </c>
    </row>
    <row r="336" spans="1:2">
      <c r="A336" s="135" t="s">
        <v>3265</v>
      </c>
      <c r="B336" s="179">
        <v>2.7756146321351384E-5</v>
      </c>
    </row>
    <row r="337" spans="1:2">
      <c r="A337" s="135" t="s">
        <v>3458</v>
      </c>
      <c r="B337" s="179">
        <v>2.7356452953616848E-5</v>
      </c>
    </row>
    <row r="338" spans="1:2">
      <c r="A338" s="135" t="s">
        <v>3578</v>
      </c>
      <c r="B338" s="179">
        <v>2.7078794554384252E-5</v>
      </c>
    </row>
    <row r="339" spans="1:2">
      <c r="A339" s="135" t="s">
        <v>2623</v>
      </c>
      <c r="B339" s="179">
        <v>2.6560349046026152E-5</v>
      </c>
    </row>
    <row r="340" spans="1:2">
      <c r="A340" s="135" t="s">
        <v>1668</v>
      </c>
      <c r="B340" s="179">
        <v>2.6500521093320221E-5</v>
      </c>
    </row>
    <row r="341" spans="1:2">
      <c r="A341" s="135" t="s">
        <v>2603</v>
      </c>
      <c r="B341" s="179">
        <v>2.4944398061554615E-5</v>
      </c>
    </row>
    <row r="342" spans="1:2">
      <c r="A342" s="135" t="s">
        <v>2628</v>
      </c>
      <c r="B342" s="179">
        <v>2.4827910650729291E-5</v>
      </c>
    </row>
    <row r="343" spans="1:2">
      <c r="A343" s="135" t="s">
        <v>2920</v>
      </c>
      <c r="B343" s="179">
        <v>2.4567994917150575E-5</v>
      </c>
    </row>
    <row r="344" spans="1:2">
      <c r="A344" s="135" t="s">
        <v>3151</v>
      </c>
      <c r="B344" s="179">
        <v>2.3987369513916853E-5</v>
      </c>
    </row>
    <row r="345" spans="1:2">
      <c r="A345" s="135" t="s">
        <v>2289</v>
      </c>
      <c r="B345" s="179">
        <v>2.3480015664324081E-5</v>
      </c>
    </row>
    <row r="346" spans="1:2">
      <c r="A346" s="135" t="s">
        <v>3581</v>
      </c>
      <c r="B346" s="179">
        <v>2.3224353660984555E-5</v>
      </c>
    </row>
    <row r="347" spans="1:2">
      <c r="A347" s="135" t="s">
        <v>2612</v>
      </c>
      <c r="B347" s="179">
        <v>2.221034857976107E-5</v>
      </c>
    </row>
    <row r="348" spans="1:2">
      <c r="A348" s="135" t="s">
        <v>901</v>
      </c>
      <c r="B348" s="179">
        <v>2.0983287530510725E-5</v>
      </c>
    </row>
    <row r="349" spans="1:2">
      <c r="A349" s="135" t="s">
        <v>3459</v>
      </c>
      <c r="B349" s="179">
        <v>1.9660241023847227E-5</v>
      </c>
    </row>
    <row r="350" spans="1:2">
      <c r="A350" s="135" t="s">
        <v>2608</v>
      </c>
      <c r="B350" s="179">
        <v>1.9433836245161024E-5</v>
      </c>
    </row>
    <row r="351" spans="1:2">
      <c r="A351" s="135" t="s">
        <v>3264</v>
      </c>
      <c r="B351" s="179">
        <v>1.9270533605589385E-5</v>
      </c>
    </row>
    <row r="352" spans="1:2">
      <c r="A352" s="135" t="s">
        <v>1085</v>
      </c>
      <c r="B352" s="179">
        <v>1.8467012126272054E-5</v>
      </c>
    </row>
    <row r="353" spans="1:2">
      <c r="A353" s="135" t="s">
        <v>2083</v>
      </c>
      <c r="B353" s="179">
        <v>1.8433686098831809E-5</v>
      </c>
    </row>
    <row r="354" spans="1:2">
      <c r="A354" s="135" t="s">
        <v>3259</v>
      </c>
      <c r="B354" s="179">
        <v>1.7563303042229403E-5</v>
      </c>
    </row>
    <row r="355" spans="1:2">
      <c r="A355" s="135" t="s">
        <v>1169</v>
      </c>
      <c r="B355" s="179">
        <v>1.7519263719452403E-5</v>
      </c>
    </row>
    <row r="356" spans="1:2">
      <c r="A356" s="135" t="s">
        <v>2611</v>
      </c>
      <c r="B356" s="179">
        <v>1.7053882950750851E-5</v>
      </c>
    </row>
    <row r="357" spans="1:2">
      <c r="A357" s="135" t="s">
        <v>2428</v>
      </c>
      <c r="B357" s="179">
        <v>1.6352541001404931E-5</v>
      </c>
    </row>
    <row r="358" spans="1:2">
      <c r="A358" s="135" t="s">
        <v>2084</v>
      </c>
      <c r="B358" s="179">
        <v>1.6003080497222904E-5</v>
      </c>
    </row>
    <row r="359" spans="1:2">
      <c r="A359" s="135" t="s">
        <v>3267</v>
      </c>
      <c r="B359" s="179">
        <v>1.5534625891264812E-5</v>
      </c>
    </row>
    <row r="360" spans="1:2">
      <c r="A360" s="135" t="s">
        <v>3271</v>
      </c>
      <c r="B360" s="179">
        <v>1.4854585829536876E-5</v>
      </c>
    </row>
    <row r="361" spans="1:2">
      <c r="A361" s="135" t="s">
        <v>1243</v>
      </c>
      <c r="B361" s="179">
        <v>1.344157470978678E-5</v>
      </c>
    </row>
    <row r="362" spans="1:2">
      <c r="A362" s="135" t="s">
        <v>682</v>
      </c>
      <c r="B362" s="179">
        <v>1.3407752130201159E-5</v>
      </c>
    </row>
    <row r="363" spans="1:2">
      <c r="A363" s="135" t="s">
        <v>2085</v>
      </c>
      <c r="B363" s="179">
        <v>1.2439446996345802E-5</v>
      </c>
    </row>
    <row r="364" spans="1:2">
      <c r="A364" s="135" t="s">
        <v>2604</v>
      </c>
      <c r="B364" s="179">
        <v>1.1984611612576822E-5</v>
      </c>
    </row>
    <row r="365" spans="1:2">
      <c r="A365" s="135" t="s">
        <v>2240</v>
      </c>
      <c r="B365" s="179">
        <v>1.1799383836000981E-5</v>
      </c>
    </row>
    <row r="366" spans="1:2">
      <c r="A366" s="135" t="s">
        <v>931</v>
      </c>
      <c r="B366" s="179">
        <v>1.102543014246458E-5</v>
      </c>
    </row>
    <row r="367" spans="1:2">
      <c r="A367" s="135" t="s">
        <v>2619</v>
      </c>
      <c r="B367" s="179">
        <v>1.0832756875567592E-5</v>
      </c>
    </row>
    <row r="368" spans="1:2">
      <c r="A368" s="135" t="s">
        <v>2917</v>
      </c>
      <c r="B368" s="179">
        <v>1.0744823007868025E-5</v>
      </c>
    </row>
    <row r="369" spans="1:2">
      <c r="A369" s="135" t="s">
        <v>3457</v>
      </c>
      <c r="B369" s="179">
        <v>1.0681674603653975E-5</v>
      </c>
    </row>
    <row r="370" spans="1:2">
      <c r="A370" s="135" t="s">
        <v>3156</v>
      </c>
      <c r="B370" s="179">
        <v>1.0466329709713622E-5</v>
      </c>
    </row>
    <row r="371" spans="1:2">
      <c r="A371" s="135" t="s">
        <v>1167</v>
      </c>
      <c r="B371" s="179">
        <v>9.3586173283897358E-6</v>
      </c>
    </row>
    <row r="372" spans="1:2">
      <c r="A372" s="135" t="s">
        <v>2415</v>
      </c>
      <c r="B372" s="179">
        <v>8.8953152984686527E-6</v>
      </c>
    </row>
    <row r="373" spans="1:2">
      <c r="A373" s="135" t="s">
        <v>2609</v>
      </c>
      <c r="B373" s="179">
        <v>8.8459346167774175E-6</v>
      </c>
    </row>
    <row r="374" spans="1:2">
      <c r="A374" s="135" t="s">
        <v>2431</v>
      </c>
      <c r="B374" s="179">
        <v>8.1852776375498865E-6</v>
      </c>
    </row>
    <row r="375" spans="1:2">
      <c r="A375" s="135" t="s">
        <v>3153</v>
      </c>
      <c r="B375" s="179">
        <v>7.2983569350113177E-6</v>
      </c>
    </row>
    <row r="376" spans="1:2">
      <c r="A376" s="135" t="s">
        <v>2414</v>
      </c>
      <c r="B376" s="179">
        <v>7.0538149078686993E-6</v>
      </c>
    </row>
    <row r="377" spans="1:2">
      <c r="A377" s="135" t="s">
        <v>3450</v>
      </c>
      <c r="B377" s="179">
        <v>6.8545702685503822E-6</v>
      </c>
    </row>
    <row r="378" spans="1:2">
      <c r="A378" s="135" t="s">
        <v>3150</v>
      </c>
      <c r="B378" s="179">
        <v>6.6223505784086269E-6</v>
      </c>
    </row>
    <row r="379" spans="1:2">
      <c r="A379" s="135" t="s">
        <v>2627</v>
      </c>
      <c r="B379" s="179">
        <v>5.7011578069126799E-6</v>
      </c>
    </row>
    <row r="380" spans="1:2">
      <c r="A380" s="135" t="s">
        <v>2702</v>
      </c>
      <c r="B380" s="179">
        <v>5.5998174301250984E-6</v>
      </c>
    </row>
    <row r="381" spans="1:2">
      <c r="A381" s="135" t="s">
        <v>3154</v>
      </c>
      <c r="B381" s="179">
        <v>5.4787104225266991E-6</v>
      </c>
    </row>
    <row r="382" spans="1:2">
      <c r="A382" s="135" t="s">
        <v>933</v>
      </c>
      <c r="B382" s="179">
        <v>4.5840681014726199E-6</v>
      </c>
    </row>
    <row r="383" spans="1:2">
      <c r="A383" s="135" t="s">
        <v>2287</v>
      </c>
      <c r="B383" s="179">
        <v>4.5173087594217581E-6</v>
      </c>
    </row>
    <row r="384" spans="1:2">
      <c r="A384" s="135" t="s">
        <v>3152</v>
      </c>
      <c r="B384" s="179">
        <v>4.3821466007226838E-6</v>
      </c>
    </row>
    <row r="385" spans="1:2">
      <c r="A385" s="135" t="s">
        <v>3463</v>
      </c>
      <c r="B385" s="179">
        <v>3.6222309082931824E-6</v>
      </c>
    </row>
    <row r="386" spans="1:2">
      <c r="A386" s="135" t="s">
        <v>2704</v>
      </c>
      <c r="B386" s="179">
        <v>3.5617773131786542E-6</v>
      </c>
    </row>
    <row r="387" spans="1:2">
      <c r="A387" s="135" t="s">
        <v>3263</v>
      </c>
      <c r="B387" s="179">
        <v>3.2646115272272005E-6</v>
      </c>
    </row>
    <row r="388" spans="1:2">
      <c r="A388" s="135" t="s">
        <v>2417</v>
      </c>
      <c r="B388" s="179">
        <v>2.6989958251353282E-6</v>
      </c>
    </row>
    <row r="389" spans="1:2">
      <c r="A389" s="135" t="s">
        <v>2916</v>
      </c>
      <c r="B389" s="179">
        <v>2.6565848211472262E-6</v>
      </c>
    </row>
    <row r="390" spans="1:2">
      <c r="A390" s="135" t="s">
        <v>2607</v>
      </c>
      <c r="B390" s="179">
        <v>2.0032877152176535E-6</v>
      </c>
    </row>
    <row r="391" spans="1:2">
      <c r="A391" s="135" t="s">
        <v>3147</v>
      </c>
      <c r="B391" s="179">
        <v>1.6676038409195499E-6</v>
      </c>
    </row>
    <row r="392" spans="1:2">
      <c r="A392" s="135" t="s">
        <v>2418</v>
      </c>
      <c r="B392" s="179">
        <v>1.6217903579337127E-6</v>
      </c>
    </row>
    <row r="393" spans="1:2">
      <c r="A393" s="135" t="s">
        <v>2701</v>
      </c>
      <c r="B393" s="179">
        <v>1.5348995821036519E-6</v>
      </c>
    </row>
    <row r="394" spans="1:2">
      <c r="A394" s="135" t="s">
        <v>2922</v>
      </c>
      <c r="B394" s="179">
        <v>9.7988217732825086E-7</v>
      </c>
    </row>
    <row r="395" spans="1:2">
      <c r="A395" s="135" t="s">
        <v>2703</v>
      </c>
      <c r="B395" s="179">
        <v>9.7949397591874886E-7</v>
      </c>
    </row>
    <row r="396" spans="1:2">
      <c r="A396" s="136" t="s">
        <v>75</v>
      </c>
      <c r="B396" s="180">
        <v>0.91953139037751286</v>
      </c>
    </row>
  </sheetData>
  <phoneticPr fontId="3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5"/>
  <sheetViews>
    <sheetView topLeftCell="A72" zoomScale="90" zoomScaleNormal="90" workbookViewId="0">
      <selection activeCell="D108" sqref="D108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572</v>
      </c>
      <c r="U2" s="91" t="s">
        <v>314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567</v>
      </c>
      <c r="U3" s="58" t="str" cm="1">
        <f t="array" ref="U3:U20">+_xlfn.UNIQUE(H2:H78)</f>
        <v>UKUMARI SOCIEDAD ANONIMA.</v>
      </c>
      <c r="V3" s="87">
        <f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1">+TODAY()-C4</f>
        <v>496</v>
      </c>
      <c r="U4" s="58" t="str">
        <v>NIRO CONSTRUYE S. A.</v>
      </c>
      <c r="V4" s="87">
        <f>+SUMIF(H:H,U4,E:E)</f>
        <v>258370000</v>
      </c>
    </row>
    <row r="5" spans="1:22">
      <c r="A5" s="20" t="s">
        <v>101</v>
      </c>
      <c r="B5" s="20" t="s">
        <v>114</v>
      </c>
      <c r="C5" s="38">
        <v>45811</v>
      </c>
      <c r="D5" s="20" t="s">
        <v>118</v>
      </c>
      <c r="E5" s="28">
        <v>129185000</v>
      </c>
      <c r="F5" s="20"/>
      <c r="G5" s="20" t="s">
        <v>119</v>
      </c>
      <c r="H5" s="20" t="s">
        <v>103</v>
      </c>
      <c r="I5" s="27">
        <f t="shared" ca="1" si="1"/>
        <v>484</v>
      </c>
      <c r="U5" s="58" t="str">
        <v>MERCOL RAUL ALBERTO Y MERCOL MAURICIO EDUARDO.</v>
      </c>
      <c r="V5" s="87">
        <f>+SUMIF(H:H,U5,E:E)</f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1"/>
        <v>352</v>
      </c>
      <c r="U6" s="58" t="str">
        <v>AKAI ENERGY LED SRL</v>
      </c>
      <c r="V6" s="87">
        <f>+SUMIF(H:H,U6,E:E)</f>
        <v>44963000</v>
      </c>
    </row>
    <row r="7" spans="1:22">
      <c r="A7" s="20" t="s">
        <v>101</v>
      </c>
      <c r="B7" s="20" t="s">
        <v>171</v>
      </c>
      <c r="C7" s="38">
        <v>45966</v>
      </c>
      <c r="D7" s="20" t="s">
        <v>118</v>
      </c>
      <c r="E7" s="61">
        <v>4400000</v>
      </c>
      <c r="F7" s="20"/>
      <c r="G7" s="20" t="s">
        <v>119</v>
      </c>
      <c r="H7" s="20" t="s">
        <v>136</v>
      </c>
      <c r="I7" s="27">
        <f t="shared" ref="I7:I38" ca="1" si="2">+TODAY()-C7</f>
        <v>329</v>
      </c>
      <c r="J7" s="64"/>
      <c r="L7" s="68"/>
      <c r="M7" s="67"/>
      <c r="N7" s="65"/>
      <c r="U7" s="58" t="str">
        <v>FRIGORIFICO GENERAL PICO S A</v>
      </c>
      <c r="V7" s="87">
        <f>+SUMIF(H:H,U7,E:E)</f>
        <v>70000000</v>
      </c>
    </row>
    <row r="8" spans="1:22">
      <c r="A8" s="20" t="s">
        <v>101</v>
      </c>
      <c r="B8" s="20" t="s">
        <v>172</v>
      </c>
      <c r="C8" s="38">
        <v>45968</v>
      </c>
      <c r="D8" s="20" t="s">
        <v>118</v>
      </c>
      <c r="E8" s="61">
        <v>4400000</v>
      </c>
      <c r="F8" s="20"/>
      <c r="G8" s="20" t="s">
        <v>119</v>
      </c>
      <c r="H8" s="20" t="s">
        <v>136</v>
      </c>
      <c r="I8" s="27">
        <f t="shared" ca="1" si="2"/>
        <v>327</v>
      </c>
      <c r="J8" s="64"/>
      <c r="K8" s="88" t="s">
        <v>29</v>
      </c>
      <c r="L8" s="89">
        <f>+VLOOKUP(K8,'GESTION MOMENTUM'!A:B,2,0)</f>
        <v>75218686190.380005</v>
      </c>
      <c r="M8" s="65"/>
      <c r="U8" s="58" t="str">
        <v>MIANI CLARA A Y MIANI ADA CLELIA</v>
      </c>
      <c r="V8" s="87">
        <f>+SUMIF(H:H,U8,E:E)</f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2"/>
        <v>324</v>
      </c>
      <c r="K9" s="76"/>
      <c r="U9" s="58" t="str">
        <v>PORT PLA S.R.L.</v>
      </c>
      <c r="V9" s="87">
        <f>+SUMIF(H:H,U9,E:E)</f>
        <v>150000000</v>
      </c>
    </row>
    <row r="10" spans="1:22">
      <c r="A10" s="20" t="s">
        <v>101</v>
      </c>
      <c r="B10" s="20" t="s">
        <v>173</v>
      </c>
      <c r="C10" s="38">
        <v>45971</v>
      </c>
      <c r="D10" s="20" t="s">
        <v>118</v>
      </c>
      <c r="E10" s="61">
        <v>4400000</v>
      </c>
      <c r="F10" s="20"/>
      <c r="G10" s="20" t="s">
        <v>119</v>
      </c>
      <c r="H10" s="20" t="s">
        <v>136</v>
      </c>
      <c r="I10" s="27">
        <f t="shared" ca="1" si="2"/>
        <v>324</v>
      </c>
      <c r="L10" s="78" t="s">
        <v>118</v>
      </c>
      <c r="M10" s="78" t="s">
        <v>312</v>
      </c>
      <c r="U10" s="58" t="str">
        <v>MASTER DESIGN HOME SRL</v>
      </c>
      <c r="V10" s="87">
        <f>+SUMIF(H:H,U10,E:E)</f>
        <v>24000000</v>
      </c>
    </row>
    <row r="11" spans="1:22">
      <c r="A11" s="20" t="s">
        <v>101</v>
      </c>
      <c r="B11" s="20" t="s">
        <v>174</v>
      </c>
      <c r="C11" s="38">
        <v>45972</v>
      </c>
      <c r="D11" s="20" t="s">
        <v>118</v>
      </c>
      <c r="E11" s="61">
        <v>4400000</v>
      </c>
      <c r="F11" s="20"/>
      <c r="G11" s="20" t="s">
        <v>119</v>
      </c>
      <c r="H11" s="20" t="s">
        <v>136</v>
      </c>
      <c r="I11" s="27">
        <f t="shared" ca="1" si="2"/>
        <v>323</v>
      </c>
      <c r="K11" s="79" t="s">
        <v>128</v>
      </c>
      <c r="L11" s="76">
        <f>+VLOOKUP(K11,'GESTION MOMENTUM'!A:B,2,0)</f>
        <v>-373229036.55000001</v>
      </c>
      <c r="M11" s="90">
        <f>+L11/L8</f>
        <v>-4.9619191115004299E-3</v>
      </c>
      <c r="U11" s="58" t="str">
        <v>GROCAL S.A.</v>
      </c>
      <c r="V11" s="87">
        <f>+SUMIF(H:H,U11,E:E)</f>
        <v>15000000</v>
      </c>
    </row>
    <row r="12" spans="1:22">
      <c r="A12" s="20" t="s">
        <v>101</v>
      </c>
      <c r="B12" s="20" t="s">
        <v>142</v>
      </c>
      <c r="C12" s="38">
        <v>45974</v>
      </c>
      <c r="D12" s="20" t="s">
        <v>118</v>
      </c>
      <c r="E12" s="61">
        <v>963000</v>
      </c>
      <c r="F12" s="20"/>
      <c r="G12" s="20" t="s">
        <v>119</v>
      </c>
      <c r="H12" s="20" t="s">
        <v>136</v>
      </c>
      <c r="I12" s="27">
        <f t="shared" ca="1" si="2"/>
        <v>321</v>
      </c>
      <c r="K12" s="23" t="s">
        <v>129</v>
      </c>
      <c r="L12" s="93">
        <f>+SUMIF(G:G,K12,E:E)</f>
        <v>100812500</v>
      </c>
      <c r="U12" s="58" t="str">
        <v>Paccioli Group Sociedad Anonima</v>
      </c>
      <c r="V12" s="87">
        <f>+SUMIF(H:H,U12,E:E)</f>
        <v>13958000</v>
      </c>
    </row>
    <row r="13" spans="1:22">
      <c r="A13" s="20" t="s">
        <v>101</v>
      </c>
      <c r="B13" s="20" t="s">
        <v>175</v>
      </c>
      <c r="C13" s="38">
        <v>45975</v>
      </c>
      <c r="D13" s="20" t="s">
        <v>118</v>
      </c>
      <c r="E13" s="61">
        <v>4400000</v>
      </c>
      <c r="F13" s="20"/>
      <c r="G13" s="20" t="s">
        <v>119</v>
      </c>
      <c r="H13" s="20" t="s">
        <v>136</v>
      </c>
      <c r="I13" s="27">
        <f t="shared" ca="1" si="2"/>
        <v>320</v>
      </c>
      <c r="K13" s="58" t="s">
        <v>313</v>
      </c>
      <c r="L13" s="80">
        <f>+L11+L12</f>
        <v>-272416536.55000001</v>
      </c>
      <c r="U13" s="58" t="str">
        <v>FINEX CABA S. A.</v>
      </c>
      <c r="V13" s="87">
        <f>+SUMIF(H:H,U13,E:E)</f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2"/>
        <v>320</v>
      </c>
      <c r="U14" s="58" t="str">
        <v>TRADICION VALORES S.A.</v>
      </c>
      <c r="V14" s="87">
        <f>+SUMIF(H:H,U14,E:E)</f>
        <v>25000000</v>
      </c>
    </row>
    <row r="15" spans="1:22">
      <c r="A15" s="20" t="s">
        <v>101</v>
      </c>
      <c r="B15" s="20" t="s">
        <v>176</v>
      </c>
      <c r="C15" s="38">
        <v>45979</v>
      </c>
      <c r="D15" s="20" t="s">
        <v>118</v>
      </c>
      <c r="E15" s="61">
        <v>4400000</v>
      </c>
      <c r="F15" s="20"/>
      <c r="G15" s="20" t="s">
        <v>119</v>
      </c>
      <c r="H15" s="20" t="s">
        <v>136</v>
      </c>
      <c r="I15" s="27">
        <f t="shared" ca="1" si="2"/>
        <v>316</v>
      </c>
      <c r="K15" s="58" t="s">
        <v>119</v>
      </c>
      <c r="L15" s="76">
        <f>+SUMIF(G:G,K15,E:E)+E2</f>
        <v>1337025251.97</v>
      </c>
      <c r="M15" s="90">
        <f>+SUMIF(G:G,K15,E:E)/$L$8</f>
        <v>1.7729889599435219E-2</v>
      </c>
      <c r="U15" s="58" t="str">
        <v>Maradona Wines</v>
      </c>
      <c r="V15" s="87">
        <f>+SUMIF(H:H,U15,E:E)</f>
        <v>119500000</v>
      </c>
    </row>
    <row r="16" spans="1:22">
      <c r="A16" s="20" t="s">
        <v>101</v>
      </c>
      <c r="B16" s="20" t="s">
        <v>177</v>
      </c>
      <c r="C16" s="38">
        <v>45979</v>
      </c>
      <c r="D16" s="20" t="s">
        <v>118</v>
      </c>
      <c r="E16" s="61">
        <v>4400000</v>
      </c>
      <c r="F16" s="20"/>
      <c r="G16" s="20" t="s">
        <v>119</v>
      </c>
      <c r="H16" s="20" t="s">
        <v>136</v>
      </c>
      <c r="I16" s="27">
        <f t="shared" ca="1" si="2"/>
        <v>316</v>
      </c>
      <c r="U16" s="58" t="str">
        <v>LOPEZ LUCIA SOLEDAD</v>
      </c>
      <c r="V16" s="87">
        <f>+SUMIF(H:H,U16,E:E)</f>
        <v>995000</v>
      </c>
    </row>
    <row r="17" spans="1:22">
      <c r="A17" s="20" t="s">
        <v>101</v>
      </c>
      <c r="B17" s="20" t="s">
        <v>179</v>
      </c>
      <c r="C17" s="38">
        <v>45980</v>
      </c>
      <c r="D17" s="20" t="s">
        <v>118</v>
      </c>
      <c r="E17" s="61">
        <v>4400000</v>
      </c>
      <c r="F17" s="20"/>
      <c r="G17" s="20" t="s">
        <v>119</v>
      </c>
      <c r="H17" s="20" t="s">
        <v>136</v>
      </c>
      <c r="I17" s="27">
        <f t="shared" ca="1" si="2"/>
        <v>315</v>
      </c>
      <c r="U17" s="58" t="str">
        <v>RABU INVERSIONES SRL</v>
      </c>
      <c r="V17" s="87">
        <f>+SUMIF(H:H,U17,E:E)</f>
        <v>7194300</v>
      </c>
    </row>
    <row r="18" spans="1:22">
      <c r="A18" s="20" t="s">
        <v>101</v>
      </c>
      <c r="B18" s="20" t="s">
        <v>178</v>
      </c>
      <c r="C18" s="38">
        <v>45980</v>
      </c>
      <c r="D18" s="20" t="s">
        <v>118</v>
      </c>
      <c r="E18" s="61">
        <v>4400000</v>
      </c>
      <c r="F18" s="20"/>
      <c r="G18" s="20" t="s">
        <v>119</v>
      </c>
      <c r="H18" s="20" t="s">
        <v>136</v>
      </c>
      <c r="I18" s="27">
        <f t="shared" ca="1" si="2"/>
        <v>315</v>
      </c>
      <c r="U18" s="58" t="str">
        <v>GROUP DIEZ S.A.</v>
      </c>
      <c r="V18" s="87">
        <f>+SUMIF(H:H,U18,E:E)</f>
        <v>425000000</v>
      </c>
    </row>
    <row r="19" spans="1:22">
      <c r="A19" s="20" t="s">
        <v>101</v>
      </c>
      <c r="B19" s="20" t="s">
        <v>170</v>
      </c>
      <c r="C19" s="38">
        <v>45981</v>
      </c>
      <c r="D19" s="20" t="s">
        <v>118</v>
      </c>
      <c r="E19" s="61">
        <v>4400000</v>
      </c>
      <c r="F19" s="20"/>
      <c r="G19" s="20" t="s">
        <v>119</v>
      </c>
      <c r="H19" s="20" t="s">
        <v>136</v>
      </c>
      <c r="I19" s="27">
        <f t="shared" ca="1" si="2"/>
        <v>314</v>
      </c>
      <c r="U19" s="58" t="str">
        <v>INVLAC CONSTRUCCIONES S.R.L</v>
      </c>
      <c r="V19" s="87">
        <f>+SUMIF(H:H,U19,E:E)</f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2"/>
        <v>314</v>
      </c>
      <c r="K20" s="94" t="s">
        <v>315</v>
      </c>
      <c r="L20" s="94" t="s">
        <v>118</v>
      </c>
      <c r="M20" s="94" t="s">
        <v>312</v>
      </c>
      <c r="O20" s="97" t="s">
        <v>316</v>
      </c>
      <c r="P20" s="96"/>
      <c r="U20" s="58" t="str">
        <v>I-LED ARGENTINA S.A.</v>
      </c>
      <c r="V20" s="87">
        <f>+SUMIF(H:H,U20,E:E)</f>
        <v>60100000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2"/>
        <v>309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5.6501917478898322E-3</v>
      </c>
      <c r="O21" s="95">
        <f>+SUMIF('Reporte de Cheques'!A:A,'Cheques pendientes'!K21,'Reporte de Cheques'!I:I)</f>
        <v>0</v>
      </c>
      <c r="P21" s="96"/>
      <c r="V21" s="87">
        <f>+SUMIF(H:H,U21,E:E)</f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2"/>
        <v>308</v>
      </c>
      <c r="K22" s="58" t="str">
        <v>NIRO CONSTRUYE S. A.</v>
      </c>
      <c r="L22" s="76">
        <v>258370000</v>
      </c>
      <c r="M22" s="90">
        <f t="shared" ref="M22:M52" si="3">+L22/$L$8</f>
        <v>3.4349177456524612E-3</v>
      </c>
      <c r="O22" s="95">
        <f>+SUMIF('Reporte de Cheques'!A:A,'Cheques pendientes'!K22,'Reporte de Cheques'!I:I)</f>
        <v>0</v>
      </c>
      <c r="P22" s="96"/>
      <c r="V22" s="87">
        <f>+SUMIF(H:H,U22,E:E)</f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2"/>
        <v>307</v>
      </c>
      <c r="K23" s="58" t="str">
        <v>PORT PLA S.R.L.</v>
      </c>
      <c r="L23" s="76">
        <v>150000000</v>
      </c>
      <c r="M23" s="90">
        <f t="shared" si="3"/>
        <v>1.9941853227846465E-3</v>
      </c>
      <c r="O23" s="95">
        <f>+SUMIF('Reporte de Cheques'!A:A,'Cheques pendientes'!K23,'Reporte de Cheques'!I:I)</f>
        <v>0</v>
      </c>
      <c r="P23" s="96"/>
      <c r="V23" s="87">
        <f>+SUMIF(H:H,U23,E:E)</f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2"/>
        <v>307</v>
      </c>
      <c r="K24" s="58" t="str">
        <v>Maradona Wines</v>
      </c>
      <c r="L24" s="76">
        <v>119500000</v>
      </c>
      <c r="M24" s="90">
        <f t="shared" si="3"/>
        <v>1.5887009738184351E-3</v>
      </c>
      <c r="O24" s="95">
        <f>+SUMIF('Reporte de Cheques'!A:A,'Cheques pendientes'!K24,'Reporte de Cheques'!I:I)</f>
        <v>0</v>
      </c>
      <c r="P24" s="96"/>
      <c r="V24" s="87">
        <f>+SUMIF(H:H,U24,E:E)</f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2"/>
        <v>303</v>
      </c>
      <c r="K25" s="58" t="str">
        <v>FRIGORIFICO GENERAL PICO S A</v>
      </c>
      <c r="L25" s="76">
        <v>70000000</v>
      </c>
      <c r="M25" s="90">
        <f t="shared" si="3"/>
        <v>9.3061981729950177E-4</v>
      </c>
      <c r="O25" s="95">
        <f>+SUMIF('Reporte de Cheques'!A:A,'Cheques pendientes'!K25,'Reporte de Cheques'!I:I)</f>
        <v>0</v>
      </c>
      <c r="P25" s="96"/>
      <c r="V25" s="87">
        <f>+SUMIF(H:H,U25,E:E)</f>
        <v>0</v>
      </c>
    </row>
    <row r="26" spans="1:22">
      <c r="A26" s="20" t="s">
        <v>101</v>
      </c>
      <c r="B26" s="20" t="s">
        <v>203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207</v>
      </c>
      <c r="I26" s="27">
        <f t="shared" ca="1" si="2"/>
        <v>301</v>
      </c>
      <c r="K26" s="58" t="str">
        <v>MERCOL RAUL ALBERTO Y MERCOL MAURICIO EDUARDO.</v>
      </c>
      <c r="L26" s="76">
        <v>62500000</v>
      </c>
      <c r="M26" s="90">
        <f t="shared" si="3"/>
        <v>8.3091055116026947E-4</v>
      </c>
      <c r="O26" s="95">
        <f>+SUMIF('Reporte de Cheques'!A:A,'Cheques pendientes'!K26,'Reporte de Cheques'!I:I)</f>
        <v>0</v>
      </c>
      <c r="P26" s="96"/>
      <c r="V26" s="87">
        <f>+SUMIF(H:H,U26,E:E)</f>
        <v>0</v>
      </c>
    </row>
    <row r="27" spans="1:22">
      <c r="A27" s="53" t="s">
        <v>101</v>
      </c>
      <c r="B27" s="53" t="s">
        <v>184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2"/>
        <v>285</v>
      </c>
      <c r="K27" s="58" t="str">
        <v>I-LED ARGENTINA S.A.</v>
      </c>
      <c r="L27" s="76">
        <v>60100000</v>
      </c>
      <c r="M27" s="90">
        <f t="shared" si="3"/>
        <v>7.9900358599571512E-4</v>
      </c>
      <c r="O27" s="95">
        <f>+SUMIF('Reporte de Cheques'!A:A,'Cheques pendientes'!K27,'Reporte de Cheques'!I:I)</f>
        <v>33000000</v>
      </c>
      <c r="P27" s="96"/>
      <c r="V27" s="87">
        <f>+SUMIF(H:H,U27,E:E)</f>
        <v>0</v>
      </c>
    </row>
    <row r="28" spans="1:22">
      <c r="A28" s="20" t="s">
        <v>101</v>
      </c>
      <c r="B28" s="20" t="s">
        <v>204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207</v>
      </c>
      <c r="I28" s="27">
        <f t="shared" ca="1" si="2"/>
        <v>271</v>
      </c>
      <c r="K28" s="58" t="str">
        <v>FINEX CABA S. A.</v>
      </c>
      <c r="L28" s="76">
        <v>55300000</v>
      </c>
      <c r="M28" s="90">
        <f t="shared" si="3"/>
        <v>7.3518965566660643E-4</v>
      </c>
      <c r="O28" s="95">
        <f>+SUMIF('Reporte de Cheques'!A:A,'Cheques pendientes'!K28,'Reporte de Cheques'!I:I)</f>
        <v>0</v>
      </c>
      <c r="P28" s="96"/>
      <c r="V28" s="87">
        <f>+SUMIF(H:H,U28,E:E)</f>
        <v>0</v>
      </c>
    </row>
    <row r="29" spans="1:22">
      <c r="A29" s="20" t="s">
        <v>101</v>
      </c>
      <c r="B29" s="20" t="s">
        <v>209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207</v>
      </c>
      <c r="I29" s="27">
        <f t="shared" ca="1" si="2"/>
        <v>267</v>
      </c>
      <c r="K29" s="58" t="str">
        <v>AKAI ENERGY LED SRL</v>
      </c>
      <c r="L29" s="76">
        <v>44963000</v>
      </c>
      <c r="M29" s="90">
        <f t="shared" si="3"/>
        <v>5.9776369778910717E-4</v>
      </c>
      <c r="O29" s="95">
        <f>+SUMIF('Reporte de Cheques'!A:A,'Cheques pendientes'!K29,'Reporte de Cheques'!I:I)</f>
        <v>0</v>
      </c>
      <c r="P29" s="96"/>
      <c r="V29" s="87">
        <f>+SUMIF(H:H,U29,E:E)</f>
        <v>0</v>
      </c>
    </row>
    <row r="30" spans="1:22">
      <c r="A30" s="53" t="s">
        <v>101</v>
      </c>
      <c r="B30" s="53" t="s">
        <v>185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2"/>
        <v>267</v>
      </c>
      <c r="K30" s="58" t="str">
        <v>TRADICION VALORES S.A.</v>
      </c>
      <c r="L30" s="76">
        <v>25000000</v>
      </c>
      <c r="M30" s="90">
        <f t="shared" si="3"/>
        <v>3.3236422046410778E-4</v>
      </c>
      <c r="O30" s="95">
        <f>+SUMIF('Reporte de Cheques'!A:A,'Cheques pendientes'!K30,'Reporte de Cheques'!I:I)</f>
        <v>0</v>
      </c>
      <c r="P30" s="96"/>
      <c r="V30" s="87">
        <f>+SUMIF(H:H,U30,E:E)</f>
        <v>0</v>
      </c>
    </row>
    <row r="31" spans="1:22">
      <c r="A31" s="20" t="s">
        <v>101</v>
      </c>
      <c r="B31" s="20" t="s">
        <v>211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207</v>
      </c>
      <c r="I31" s="27">
        <f t="shared" ca="1" si="2"/>
        <v>266</v>
      </c>
      <c r="K31" s="58" t="str">
        <v>MASTER DESIGN HOME SRL</v>
      </c>
      <c r="L31" s="76">
        <v>24000000</v>
      </c>
      <c r="M31" s="90">
        <f t="shared" si="3"/>
        <v>3.1906965164554347E-4</v>
      </c>
      <c r="O31" s="95">
        <f>+SUMIF('Reporte de Cheques'!A:A,'Cheques pendientes'!K31,'Reporte de Cheques'!I:I)</f>
        <v>0</v>
      </c>
      <c r="P31" s="96"/>
      <c r="V31" s="87">
        <f>+SUMIF(H:H,U31,E:E)</f>
        <v>0</v>
      </c>
    </row>
    <row r="32" spans="1:22">
      <c r="A32" s="20" t="s">
        <v>101</v>
      </c>
      <c r="B32" s="20" t="s">
        <v>212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207</v>
      </c>
      <c r="I32" s="27">
        <f t="shared" ca="1" si="2"/>
        <v>260</v>
      </c>
      <c r="K32" s="58" t="str">
        <v>GROCAL S.A.</v>
      </c>
      <c r="L32" s="76">
        <v>15000000</v>
      </c>
      <c r="M32" s="90">
        <f t="shared" si="3"/>
        <v>1.9941853227846467E-4</v>
      </c>
      <c r="O32" s="95">
        <f>+SUMIF('Reporte de Cheques'!A:A,'Cheques pendientes'!K32,'Reporte de Cheques'!I:I)</f>
        <v>0</v>
      </c>
      <c r="P32" s="96"/>
      <c r="V32" s="87">
        <f>+SUMIF(H:H,U32,E:E)</f>
        <v>0</v>
      </c>
    </row>
    <row r="33" spans="1:22">
      <c r="A33" s="20" t="s">
        <v>101</v>
      </c>
      <c r="B33" s="20" t="s">
        <v>213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207</v>
      </c>
      <c r="I33" s="27">
        <f t="shared" ca="1" si="2"/>
        <v>259</v>
      </c>
      <c r="K33" s="58" t="str">
        <v>Paccioli Group Sociedad Anonima</v>
      </c>
      <c r="L33" s="76">
        <v>13958000</v>
      </c>
      <c r="M33" s="90">
        <f t="shared" si="3"/>
        <v>1.8556559156952067E-4</v>
      </c>
      <c r="O33" s="95">
        <f>+SUMIF('Reporte de Cheques'!A:A,'Cheques pendientes'!K33,'Reporte de Cheques'!I:I)</f>
        <v>0</v>
      </c>
      <c r="P33" s="96"/>
      <c r="V33" s="87">
        <f>+SUMIF(H:H,U33,E:E)</f>
        <v>0</v>
      </c>
    </row>
    <row r="34" spans="1:22">
      <c r="A34" s="20" t="s">
        <v>101</v>
      </c>
      <c r="B34" s="20" t="s">
        <v>220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191</v>
      </c>
      <c r="I34" s="27">
        <f t="shared" ca="1" si="2"/>
        <v>259</v>
      </c>
      <c r="K34" s="58" t="str">
        <v>RABU INVERSIONES SRL</v>
      </c>
      <c r="L34" s="76">
        <v>7194300</v>
      </c>
      <c r="M34" s="90">
        <f t="shared" si="3"/>
        <v>9.5645116451397228E-5</v>
      </c>
      <c r="O34" s="95">
        <f>+SUMIF('Reporte de Cheques'!A:A,'Cheques pendientes'!K34,'Reporte de Cheques'!I:I)</f>
        <v>0</v>
      </c>
      <c r="P34" s="96"/>
      <c r="V34" s="87">
        <f>+SUMIF(H:H,U34,E:E)</f>
        <v>0</v>
      </c>
    </row>
    <row r="35" spans="1:22">
      <c r="A35" s="20" t="s">
        <v>101</v>
      </c>
      <c r="B35" s="20" t="s">
        <v>221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191</v>
      </c>
      <c r="I35" s="27">
        <f t="shared" ca="1" si="2"/>
        <v>257</v>
      </c>
      <c r="K35" s="58" t="str">
        <v>UKUMARI SOCIEDAD ANONIMA.</v>
      </c>
      <c r="L35" s="76">
        <v>6812500</v>
      </c>
      <c r="M35" s="90">
        <f t="shared" si="3"/>
        <v>9.0569250076469372E-5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214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207</v>
      </c>
      <c r="I36" s="27">
        <f t="shared" ca="1" si="2"/>
        <v>253</v>
      </c>
      <c r="K36" s="58" t="str">
        <v>INVLAC CONSTRUCCIONES S.R.L</v>
      </c>
      <c r="L36" s="76">
        <v>4000000</v>
      </c>
      <c r="M36" s="90">
        <f t="shared" si="3"/>
        <v>5.3178275274257244E-5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187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2"/>
        <v>253</v>
      </c>
      <c r="K37" s="58" t="str">
        <v>MIANI CLARA A Y MIANI ADA CLELIA</v>
      </c>
      <c r="L37" s="76">
        <v>3125000</v>
      </c>
      <c r="M37" s="90">
        <f t="shared" si="3"/>
        <v>4.1545527558013472E-5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215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207</v>
      </c>
      <c r="I38" s="27">
        <f t="shared" ca="1" si="2"/>
        <v>252</v>
      </c>
      <c r="K38" s="58" t="str">
        <v>LOPEZ LUCIA SOLEDAD</v>
      </c>
      <c r="L38" s="76">
        <v>995000</v>
      </c>
      <c r="M38" s="90">
        <f t="shared" si="3"/>
        <v>1.3228095974471489E-5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243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253</v>
      </c>
      <c r="I39" s="27">
        <f t="shared" ref="I39:I77" ca="1" si="4">+TODAY()-C39</f>
        <v>251</v>
      </c>
      <c r="K39" s="58">
        <v>0</v>
      </c>
      <c r="L39" s="76">
        <v>0</v>
      </c>
      <c r="M39" s="90">
        <f t="shared" si="3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244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253</v>
      </c>
      <c r="I40" s="27">
        <f t="shared" ca="1" si="4"/>
        <v>251</v>
      </c>
      <c r="K40" s="58">
        <v>0</v>
      </c>
      <c r="L40" s="76">
        <v>0</v>
      </c>
      <c r="M40" s="90">
        <f t="shared" si="3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245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253</v>
      </c>
      <c r="I41" s="27">
        <f t="shared" ca="1" si="4"/>
        <v>251</v>
      </c>
      <c r="K41" s="58">
        <v>0</v>
      </c>
      <c r="L41" s="76">
        <v>0</v>
      </c>
      <c r="M41" s="90">
        <f t="shared" si="3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246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253</v>
      </c>
      <c r="I42" s="27">
        <f t="shared" ca="1" si="4"/>
        <v>251</v>
      </c>
      <c r="K42" s="58">
        <v>0</v>
      </c>
      <c r="L42" s="76">
        <v>0</v>
      </c>
      <c r="M42" s="90">
        <f t="shared" si="3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247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253</v>
      </c>
      <c r="I43" s="27">
        <f t="shared" ca="1" si="4"/>
        <v>250</v>
      </c>
      <c r="K43" s="58">
        <v>0</v>
      </c>
      <c r="L43" s="76">
        <v>0</v>
      </c>
      <c r="M43" s="90">
        <f t="shared" si="3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188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4"/>
        <v>250</v>
      </c>
      <c r="K44" s="58">
        <v>0</v>
      </c>
      <c r="L44" s="76">
        <v>0</v>
      </c>
      <c r="M44" s="90">
        <f t="shared" si="3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226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227</v>
      </c>
      <c r="I45" s="27">
        <f t="shared" ca="1" si="4"/>
        <v>250</v>
      </c>
      <c r="K45" s="58">
        <v>0</v>
      </c>
      <c r="L45" s="76">
        <v>0</v>
      </c>
      <c r="M45" s="90">
        <f t="shared" si="3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190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191</v>
      </c>
      <c r="I46" s="27">
        <f t="shared" ca="1" si="4"/>
        <v>250</v>
      </c>
      <c r="K46" s="58">
        <v>0</v>
      </c>
      <c r="L46" s="76">
        <v>0</v>
      </c>
      <c r="M46" s="90">
        <f t="shared" si="3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248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253</v>
      </c>
      <c r="I47" s="27">
        <f t="shared" ca="1" si="4"/>
        <v>247</v>
      </c>
      <c r="K47" s="58">
        <v>0</v>
      </c>
      <c r="L47" s="76">
        <v>0</v>
      </c>
      <c r="M47" s="90">
        <f t="shared" si="3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216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207</v>
      </c>
      <c r="I48" s="27">
        <f t="shared" ca="1" si="4"/>
        <v>246</v>
      </c>
      <c r="K48" s="58">
        <v>0</v>
      </c>
      <c r="L48" s="76">
        <v>0</v>
      </c>
      <c r="M48" s="90">
        <f t="shared" si="3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249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253</v>
      </c>
      <c r="I49" s="27">
        <f t="shared" ca="1" si="4"/>
        <v>246</v>
      </c>
      <c r="K49" s="58">
        <v>0</v>
      </c>
      <c r="L49" s="76">
        <v>0</v>
      </c>
      <c r="M49" s="90">
        <f t="shared" si="3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250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253</v>
      </c>
      <c r="I50" s="27">
        <f t="shared" ca="1" si="4"/>
        <v>246</v>
      </c>
      <c r="K50" s="58">
        <v>0</v>
      </c>
      <c r="L50" s="76">
        <v>0</v>
      </c>
      <c r="M50" s="90">
        <f t="shared" si="3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251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253</v>
      </c>
      <c r="I51" s="27">
        <f t="shared" ca="1" si="4"/>
        <v>246</v>
      </c>
      <c r="K51" s="58">
        <v>0</v>
      </c>
      <c r="L51" s="76">
        <v>0</v>
      </c>
      <c r="M51" s="90">
        <f t="shared" si="3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252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253</v>
      </c>
      <c r="I52" s="27">
        <f t="shared" ca="1" si="4"/>
        <v>246</v>
      </c>
      <c r="K52" s="58">
        <v>0</v>
      </c>
      <c r="L52" s="76">
        <v>0</v>
      </c>
      <c r="M52" s="90">
        <f t="shared" si="3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193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192</v>
      </c>
      <c r="I53" s="27">
        <f t="shared" ca="1" si="4"/>
        <v>245</v>
      </c>
      <c r="O53" s="96"/>
      <c r="P53" s="96"/>
    </row>
    <row r="54" spans="1:16">
      <c r="A54" s="53" t="s">
        <v>101</v>
      </c>
      <c r="B54" s="53" t="s">
        <v>189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4"/>
        <v>245</v>
      </c>
    </row>
    <row r="55" spans="1:16">
      <c r="A55" s="20" t="s">
        <v>101</v>
      </c>
      <c r="B55" s="20" t="s">
        <v>262</v>
      </c>
      <c r="C55" s="38">
        <v>46050</v>
      </c>
      <c r="D55" s="20" t="s">
        <v>118</v>
      </c>
      <c r="E55" s="61">
        <v>22000000</v>
      </c>
      <c r="F55" s="20"/>
      <c r="G55" s="20" t="s">
        <v>119</v>
      </c>
      <c r="H55" s="20" t="s">
        <v>134</v>
      </c>
      <c r="I55" s="27">
        <f t="shared" ca="1" si="4"/>
        <v>245</v>
      </c>
    </row>
    <row r="56" spans="1:16" ht="15.75" customHeight="1">
      <c r="A56" s="20" t="s">
        <v>101</v>
      </c>
      <c r="B56" s="20" t="s">
        <v>217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207</v>
      </c>
      <c r="I56" s="27">
        <f t="shared" ca="1" si="4"/>
        <v>244</v>
      </c>
    </row>
    <row r="57" spans="1:16">
      <c r="A57" s="20" t="s">
        <v>101</v>
      </c>
      <c r="B57" s="20" t="s">
        <v>194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192</v>
      </c>
      <c r="I57" s="27">
        <f t="shared" ca="1" si="4"/>
        <v>243</v>
      </c>
    </row>
    <row r="58" spans="1:16">
      <c r="A58" s="20" t="s">
        <v>101</v>
      </c>
      <c r="B58" s="20" t="s">
        <v>195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192</v>
      </c>
      <c r="I58" s="27">
        <f t="shared" ca="1" si="4"/>
        <v>239</v>
      </c>
    </row>
    <row r="59" spans="1:16">
      <c r="A59" s="20" t="s">
        <v>101</v>
      </c>
      <c r="B59" s="20" t="s">
        <v>202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206</v>
      </c>
      <c r="I59" s="27">
        <f t="shared" ca="1" si="4"/>
        <v>239</v>
      </c>
    </row>
    <row r="60" spans="1:16">
      <c r="A60" s="20" t="s">
        <v>101</v>
      </c>
      <c r="B60" s="20" t="s">
        <v>201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205</v>
      </c>
      <c r="I60" s="27">
        <f t="shared" ca="1" si="4"/>
        <v>239</v>
      </c>
    </row>
    <row r="61" spans="1:16">
      <c r="A61" s="20" t="s">
        <v>101</v>
      </c>
      <c r="B61" s="20" t="s">
        <v>218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207</v>
      </c>
      <c r="I61" s="27">
        <f t="shared" ca="1" si="4"/>
        <v>239</v>
      </c>
    </row>
    <row r="62" spans="1:16">
      <c r="A62" s="20" t="s">
        <v>101</v>
      </c>
      <c r="B62" s="20" t="s">
        <v>196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192</v>
      </c>
      <c r="I62" s="27">
        <f t="shared" ca="1" si="4"/>
        <v>238</v>
      </c>
    </row>
    <row r="63" spans="1:16">
      <c r="A63" s="20" t="s">
        <v>101</v>
      </c>
      <c r="B63" s="20" t="s">
        <v>199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205</v>
      </c>
      <c r="I63" s="27">
        <f t="shared" ca="1" si="4"/>
        <v>238</v>
      </c>
    </row>
    <row r="64" spans="1:16">
      <c r="A64" s="20" t="s">
        <v>101</v>
      </c>
      <c r="B64" s="20" t="s">
        <v>210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207</v>
      </c>
      <c r="I64" s="27">
        <f t="shared" ca="1" si="4"/>
        <v>238</v>
      </c>
    </row>
    <row r="65" spans="1:9">
      <c r="A65" s="20" t="s">
        <v>101</v>
      </c>
      <c r="B65" s="20" t="s">
        <v>200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205</v>
      </c>
      <c r="I65" s="27">
        <f t="shared" ca="1" si="4"/>
        <v>237</v>
      </c>
    </row>
    <row r="66" spans="1:9">
      <c r="A66" s="20" t="s">
        <v>101</v>
      </c>
      <c r="B66" s="20" t="s">
        <v>264</v>
      </c>
      <c r="C66" s="38">
        <v>46065</v>
      </c>
      <c r="D66" s="20" t="s">
        <v>118</v>
      </c>
      <c r="E66" s="61">
        <v>25000000</v>
      </c>
      <c r="F66" s="20"/>
      <c r="G66" s="20" t="s">
        <v>119</v>
      </c>
      <c r="H66" s="20" t="s">
        <v>134</v>
      </c>
      <c r="I66" s="27">
        <f t="shared" ca="1" si="4"/>
        <v>230</v>
      </c>
    </row>
    <row r="67" spans="1:9">
      <c r="A67" s="20" t="s">
        <v>101</v>
      </c>
      <c r="B67" s="20" t="s">
        <v>224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227</v>
      </c>
      <c r="I67" s="27">
        <f t="shared" ca="1" si="4"/>
        <v>230</v>
      </c>
    </row>
    <row r="68" spans="1:9">
      <c r="A68" s="20" t="s">
        <v>101</v>
      </c>
      <c r="B68" s="20" t="s">
        <v>225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227</v>
      </c>
      <c r="I68" s="27">
        <f t="shared" ca="1" si="4"/>
        <v>219</v>
      </c>
    </row>
    <row r="69" spans="1:9">
      <c r="A69" s="20" t="s">
        <v>101</v>
      </c>
      <c r="B69" s="20" t="s">
        <v>266</v>
      </c>
      <c r="C69" s="38">
        <v>46078</v>
      </c>
      <c r="D69" s="20" t="s">
        <v>118</v>
      </c>
      <c r="E69" s="61">
        <v>26000000</v>
      </c>
      <c r="F69" s="20"/>
      <c r="G69" s="20" t="s">
        <v>119</v>
      </c>
      <c r="H69" s="20" t="s">
        <v>134</v>
      </c>
      <c r="I69" s="27">
        <f t="shared" ca="1" si="4"/>
        <v>217</v>
      </c>
    </row>
    <row r="70" spans="1:9">
      <c r="A70" s="20" t="s">
        <v>101</v>
      </c>
      <c r="B70" s="20" t="s">
        <v>263</v>
      </c>
      <c r="C70" s="38">
        <v>46085</v>
      </c>
      <c r="D70" s="20" t="s">
        <v>118</v>
      </c>
      <c r="E70" s="61">
        <v>27000000</v>
      </c>
      <c r="F70" s="20"/>
      <c r="G70" s="20" t="s">
        <v>119</v>
      </c>
      <c r="H70" s="20" t="s">
        <v>134</v>
      </c>
      <c r="I70" s="27">
        <f t="shared" ca="1" si="4"/>
        <v>210</v>
      </c>
    </row>
    <row r="71" spans="1:9">
      <c r="A71" s="20" t="s">
        <v>101</v>
      </c>
      <c r="B71" s="20" t="s">
        <v>265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4"/>
        <v>201</v>
      </c>
    </row>
    <row r="72" spans="1:9">
      <c r="A72" s="20" t="s">
        <v>101</v>
      </c>
      <c r="B72" s="20" t="s">
        <v>275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4"/>
        <v>196</v>
      </c>
    </row>
    <row r="73" spans="1:9">
      <c r="A73" s="20" t="s">
        <v>101</v>
      </c>
      <c r="B73" s="20" t="s">
        <v>299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169</v>
      </c>
      <c r="I73" s="27">
        <f t="shared" ca="1" si="4"/>
        <v>196</v>
      </c>
    </row>
    <row r="74" spans="1:9">
      <c r="A74" s="20" t="s">
        <v>101</v>
      </c>
      <c r="B74" s="20" t="s">
        <v>405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4"/>
        <v>182</v>
      </c>
    </row>
    <row r="75" spans="1:9">
      <c r="A75" s="20" t="s">
        <v>101</v>
      </c>
      <c r="B75" s="20" t="s">
        <v>274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4"/>
        <v>168</v>
      </c>
    </row>
    <row r="76" spans="1:9">
      <c r="A76" s="20" t="s">
        <v>101</v>
      </c>
      <c r="B76" s="20" t="s">
        <v>408</v>
      </c>
      <c r="C76" s="38">
        <v>46161</v>
      </c>
      <c r="D76" s="20" t="s">
        <v>118</v>
      </c>
      <c r="E76" s="61">
        <v>5450000</v>
      </c>
      <c r="F76" s="20"/>
      <c r="G76" s="20" t="s">
        <v>119</v>
      </c>
      <c r="H76" s="20" t="s">
        <v>261</v>
      </c>
      <c r="I76" s="27">
        <f t="shared" ca="1" si="4"/>
        <v>134</v>
      </c>
    </row>
    <row r="77" spans="1:9">
      <c r="A77" s="20" t="s">
        <v>101</v>
      </c>
      <c r="B77" s="20" t="s">
        <v>413</v>
      </c>
      <c r="C77" s="38">
        <v>46176</v>
      </c>
      <c r="D77" s="20" t="s">
        <v>118</v>
      </c>
      <c r="E77" s="61">
        <v>5450000</v>
      </c>
      <c r="F77" s="20"/>
      <c r="G77" s="20" t="s">
        <v>119</v>
      </c>
      <c r="H77" s="20" t="s">
        <v>261</v>
      </c>
      <c r="I77" s="27">
        <f t="shared" ca="1" si="4"/>
        <v>119</v>
      </c>
    </row>
    <row r="78" spans="1:9">
      <c r="A78" s="20" t="s">
        <v>101</v>
      </c>
      <c r="B78" s="20" t="s">
        <v>406</v>
      </c>
      <c r="C78" s="38">
        <v>46191</v>
      </c>
      <c r="D78" s="20" t="s">
        <v>118</v>
      </c>
      <c r="E78" s="61">
        <v>5450000</v>
      </c>
      <c r="F78" s="20"/>
      <c r="G78" s="20" t="s">
        <v>119</v>
      </c>
      <c r="H78" s="20" t="s">
        <v>261</v>
      </c>
      <c r="I78" s="27">
        <f t="shared" ref="I78:I80" ca="1" si="5">+TODAY()-C78</f>
        <v>104</v>
      </c>
    </row>
    <row r="79" spans="1:9">
      <c r="A79" s="20" t="s">
        <v>101</v>
      </c>
      <c r="B79" s="20" t="s">
        <v>571</v>
      </c>
      <c r="C79" s="38">
        <v>46203</v>
      </c>
      <c r="D79" s="20" t="s">
        <v>118</v>
      </c>
      <c r="E79" s="61">
        <v>2000000</v>
      </c>
      <c r="F79" s="20"/>
      <c r="G79" s="20" t="s">
        <v>119</v>
      </c>
      <c r="H79" s="20" t="s">
        <v>572</v>
      </c>
      <c r="I79" s="27">
        <f t="shared" ca="1" si="5"/>
        <v>92</v>
      </c>
    </row>
    <row r="80" spans="1:9">
      <c r="A80" s="20" t="s">
        <v>101</v>
      </c>
      <c r="B80" s="20" t="s">
        <v>411</v>
      </c>
      <c r="C80" s="38">
        <v>46204</v>
      </c>
      <c r="D80" s="20" t="s">
        <v>118</v>
      </c>
      <c r="E80" s="61">
        <v>5450000</v>
      </c>
      <c r="F80" s="20"/>
      <c r="G80" s="20" t="s">
        <v>119</v>
      </c>
      <c r="H80" s="20" t="s">
        <v>261</v>
      </c>
      <c r="I80" s="27">
        <f t="shared" ca="1" si="5"/>
        <v>91</v>
      </c>
    </row>
    <row r="81" spans="1:9">
      <c r="A81" s="20" t="s">
        <v>101</v>
      </c>
      <c r="B81" s="20" t="s">
        <v>568</v>
      </c>
      <c r="C81" s="38">
        <v>46206</v>
      </c>
      <c r="D81" s="20" t="s">
        <v>118</v>
      </c>
      <c r="E81" s="61">
        <v>2000000</v>
      </c>
      <c r="F81" s="20"/>
      <c r="G81" s="20" t="s">
        <v>119</v>
      </c>
      <c r="H81" s="20" t="s">
        <v>572</v>
      </c>
      <c r="I81" s="27">
        <f t="shared" ref="I81:I86" ca="1" si="6">+TODAY()-C81</f>
        <v>89</v>
      </c>
    </row>
    <row r="82" spans="1:9">
      <c r="A82" s="20" t="s">
        <v>101</v>
      </c>
      <c r="B82" s="20" t="s">
        <v>569</v>
      </c>
      <c r="C82" s="38">
        <v>46209</v>
      </c>
      <c r="D82" s="20" t="s">
        <v>118</v>
      </c>
      <c r="E82" s="61">
        <v>2000000</v>
      </c>
      <c r="F82" s="20"/>
      <c r="G82" s="20" t="s">
        <v>119</v>
      </c>
      <c r="H82" s="20" t="s">
        <v>572</v>
      </c>
      <c r="I82" s="27">
        <f t="shared" ca="1" si="6"/>
        <v>86</v>
      </c>
    </row>
    <row r="83" spans="1:9">
      <c r="A83" s="20" t="s">
        <v>101</v>
      </c>
      <c r="B83" s="20" t="s">
        <v>570</v>
      </c>
      <c r="C83" s="38">
        <v>46210</v>
      </c>
      <c r="D83" s="20" t="s">
        <v>118</v>
      </c>
      <c r="E83" s="61">
        <v>2000000</v>
      </c>
      <c r="F83" s="20"/>
      <c r="G83" s="20" t="s">
        <v>119</v>
      </c>
      <c r="H83" s="20" t="s">
        <v>572</v>
      </c>
      <c r="I83" s="27">
        <f t="shared" ca="1" si="6"/>
        <v>85</v>
      </c>
    </row>
    <row r="84" spans="1:9">
      <c r="A84" s="20" t="s">
        <v>101</v>
      </c>
      <c r="B84" s="20" t="s">
        <v>940</v>
      </c>
      <c r="C84" s="38">
        <v>46216</v>
      </c>
      <c r="D84" s="20" t="s">
        <v>118</v>
      </c>
      <c r="E84" s="61">
        <v>2000000</v>
      </c>
      <c r="F84" s="20"/>
      <c r="G84" s="20" t="s">
        <v>119</v>
      </c>
      <c r="H84" s="20" t="s">
        <v>572</v>
      </c>
      <c r="I84" s="27">
        <f t="shared" ca="1" si="6"/>
        <v>79</v>
      </c>
    </row>
    <row r="85" spans="1:9">
      <c r="A85" s="20" t="s">
        <v>101</v>
      </c>
      <c r="B85" s="20" t="s">
        <v>407</v>
      </c>
      <c r="C85" s="38">
        <v>46219</v>
      </c>
      <c r="D85" s="20" t="s">
        <v>118</v>
      </c>
      <c r="E85" s="61">
        <v>5450000</v>
      </c>
      <c r="F85" s="20"/>
      <c r="G85" s="20" t="s">
        <v>119</v>
      </c>
      <c r="H85" s="20" t="s">
        <v>261</v>
      </c>
      <c r="I85" s="27">
        <f t="shared" ca="1" si="6"/>
        <v>76</v>
      </c>
    </row>
    <row r="86" spans="1:9">
      <c r="A86" s="20" t="s">
        <v>101</v>
      </c>
      <c r="B86" s="20" t="s">
        <v>712</v>
      </c>
      <c r="C86" s="38">
        <v>46223</v>
      </c>
      <c r="D86" s="20" t="s">
        <v>118</v>
      </c>
      <c r="E86" s="61">
        <v>10000000</v>
      </c>
      <c r="F86" s="20"/>
      <c r="G86" s="20" t="s">
        <v>119</v>
      </c>
      <c r="H86" s="20" t="s">
        <v>714</v>
      </c>
      <c r="I86" s="27">
        <f t="shared" ca="1" si="6"/>
        <v>72</v>
      </c>
    </row>
    <row r="87" spans="1:9">
      <c r="A87" s="20" t="s">
        <v>101</v>
      </c>
      <c r="B87" s="20" t="s">
        <v>412</v>
      </c>
      <c r="C87" s="38">
        <v>46234</v>
      </c>
      <c r="D87" s="20" t="s">
        <v>118</v>
      </c>
      <c r="E87" s="61">
        <v>5450000</v>
      </c>
      <c r="F87" s="20"/>
      <c r="G87" s="20" t="s">
        <v>119</v>
      </c>
      <c r="H87" s="20" t="s">
        <v>261</v>
      </c>
      <c r="I87" s="27">
        <f t="shared" ref="I87" ca="1" si="7">+TODAY()-C87</f>
        <v>61</v>
      </c>
    </row>
    <row r="88" spans="1:9">
      <c r="A88" s="20" t="s">
        <v>101</v>
      </c>
      <c r="B88" s="20" t="s">
        <v>713</v>
      </c>
      <c r="C88" s="38">
        <v>46237</v>
      </c>
      <c r="D88" s="20" t="s">
        <v>118</v>
      </c>
      <c r="E88" s="61">
        <v>10000000</v>
      </c>
      <c r="F88" s="20"/>
      <c r="G88" s="20" t="s">
        <v>119</v>
      </c>
      <c r="H88" s="20" t="s">
        <v>714</v>
      </c>
      <c r="I88" s="27">
        <f t="shared" ref="I88" ca="1" si="8">+TODAY()-C88</f>
        <v>58</v>
      </c>
    </row>
    <row r="89" spans="1:9">
      <c r="A89" s="20" t="s">
        <v>101</v>
      </c>
      <c r="B89" s="20" t="s">
        <v>711</v>
      </c>
      <c r="C89" s="38">
        <v>46244</v>
      </c>
      <c r="D89" s="20" t="s">
        <v>118</v>
      </c>
      <c r="E89" s="61">
        <v>18000000</v>
      </c>
      <c r="F89" s="20"/>
      <c r="G89" s="20" t="s">
        <v>119</v>
      </c>
      <c r="H89" s="20" t="s">
        <v>714</v>
      </c>
      <c r="I89" s="27">
        <f t="shared" ref="I89:I97" ca="1" si="9">+TODAY()-C89</f>
        <v>51</v>
      </c>
    </row>
    <row r="90" spans="1:9">
      <c r="A90" s="20" t="s">
        <v>101</v>
      </c>
      <c r="B90" s="20" t="s">
        <v>410</v>
      </c>
      <c r="C90" s="38">
        <v>46252</v>
      </c>
      <c r="D90" s="20" t="s">
        <v>118</v>
      </c>
      <c r="E90" s="61">
        <v>5450000</v>
      </c>
      <c r="F90" s="20"/>
      <c r="G90" s="20" t="s">
        <v>119</v>
      </c>
      <c r="H90" s="20" t="s">
        <v>261</v>
      </c>
      <c r="I90" s="27">
        <f t="shared" ca="1" si="9"/>
        <v>43</v>
      </c>
    </row>
    <row r="91" spans="1:9">
      <c r="A91" s="20" t="s">
        <v>101</v>
      </c>
      <c r="B91" s="20" t="s">
        <v>1460</v>
      </c>
      <c r="C91" s="38">
        <v>46261</v>
      </c>
      <c r="D91" s="20" t="s">
        <v>118</v>
      </c>
      <c r="E91" s="61">
        <v>5000000</v>
      </c>
      <c r="F91" s="20"/>
      <c r="G91" s="20" t="s">
        <v>119</v>
      </c>
      <c r="H91" s="20" t="s">
        <v>464</v>
      </c>
      <c r="I91" s="27">
        <f t="shared" ca="1" si="9"/>
        <v>34</v>
      </c>
    </row>
    <row r="92" spans="1:9">
      <c r="A92" s="20" t="s">
        <v>101</v>
      </c>
      <c r="B92" s="20" t="s">
        <v>2021</v>
      </c>
      <c r="C92" s="38">
        <v>46265</v>
      </c>
      <c r="D92" s="20" t="s">
        <v>118</v>
      </c>
      <c r="E92" s="61">
        <v>5000000</v>
      </c>
      <c r="F92" s="20"/>
      <c r="G92" s="20" t="s">
        <v>119</v>
      </c>
      <c r="H92" s="20" t="s">
        <v>464</v>
      </c>
      <c r="I92" s="27">
        <f t="shared" ca="1" si="9"/>
        <v>30</v>
      </c>
    </row>
    <row r="93" spans="1:9">
      <c r="A93" s="20" t="s">
        <v>101</v>
      </c>
      <c r="B93" s="20" t="s">
        <v>2022</v>
      </c>
      <c r="C93" s="38">
        <v>46265</v>
      </c>
      <c r="D93" s="20" t="s">
        <v>118</v>
      </c>
      <c r="E93" s="61">
        <v>5600000</v>
      </c>
      <c r="F93" s="20"/>
      <c r="G93" s="20" t="s">
        <v>119</v>
      </c>
      <c r="H93" s="20" t="s">
        <v>464</v>
      </c>
      <c r="I93" s="27">
        <f t="shared" ca="1" si="9"/>
        <v>30</v>
      </c>
    </row>
    <row r="94" spans="1:9">
      <c r="A94" s="20" t="s">
        <v>101</v>
      </c>
      <c r="B94" s="20" t="s">
        <v>409</v>
      </c>
      <c r="C94" s="38">
        <v>46266</v>
      </c>
      <c r="D94" s="20" t="s">
        <v>118</v>
      </c>
      <c r="E94" s="61">
        <v>5450000</v>
      </c>
      <c r="F94" s="20"/>
      <c r="G94" s="20" t="s">
        <v>119</v>
      </c>
      <c r="H94" s="20" t="s">
        <v>261</v>
      </c>
      <c r="I94" s="27">
        <f t="shared" ca="1" si="9"/>
        <v>29</v>
      </c>
    </row>
    <row r="95" spans="1:9">
      <c r="A95" s="20" t="s">
        <v>101</v>
      </c>
      <c r="B95" s="20" t="s">
        <v>1461</v>
      </c>
      <c r="C95" s="38">
        <v>46274</v>
      </c>
      <c r="D95" s="20" t="s">
        <v>118</v>
      </c>
      <c r="E95" s="61">
        <v>5000000</v>
      </c>
      <c r="F95" s="20"/>
      <c r="G95" s="20" t="s">
        <v>119</v>
      </c>
      <c r="H95" s="20" t="s">
        <v>464</v>
      </c>
      <c r="I95" s="27">
        <f t="shared" ca="1" si="9"/>
        <v>21</v>
      </c>
    </row>
    <row r="96" spans="1:9">
      <c r="A96" s="20" t="s">
        <v>101</v>
      </c>
      <c r="B96" s="20" t="s">
        <v>1459</v>
      </c>
      <c r="C96" s="38">
        <v>46281</v>
      </c>
      <c r="D96" s="20" t="s">
        <v>118</v>
      </c>
      <c r="E96" s="61">
        <v>5000000</v>
      </c>
      <c r="F96" s="20"/>
      <c r="G96" s="20" t="s">
        <v>119</v>
      </c>
      <c r="H96" s="20" t="s">
        <v>464</v>
      </c>
      <c r="I96" s="27">
        <f t="shared" ca="1" si="9"/>
        <v>14</v>
      </c>
    </row>
    <row r="97" spans="1:9">
      <c r="A97" s="20" t="s">
        <v>101</v>
      </c>
      <c r="B97" s="20" t="s">
        <v>598</v>
      </c>
      <c r="C97" s="38">
        <v>46282</v>
      </c>
      <c r="D97" s="20" t="s">
        <v>118</v>
      </c>
      <c r="E97" s="61">
        <v>10000000</v>
      </c>
      <c r="F97" s="20"/>
      <c r="G97" s="20" t="s">
        <v>119</v>
      </c>
      <c r="H97" s="20" t="s">
        <v>294</v>
      </c>
      <c r="I97" s="27">
        <f t="shared" ca="1" si="9"/>
        <v>13</v>
      </c>
    </row>
    <row r="98" spans="1:9">
      <c r="A98" s="20" t="s">
        <v>101</v>
      </c>
      <c r="B98" s="20" t="s">
        <v>554</v>
      </c>
      <c r="C98" s="38">
        <v>46282</v>
      </c>
      <c r="D98" s="20" t="s">
        <v>118</v>
      </c>
      <c r="E98" s="61">
        <v>16500000</v>
      </c>
      <c r="F98" s="20"/>
      <c r="G98" s="20" t="s">
        <v>119</v>
      </c>
      <c r="H98" s="20" t="s">
        <v>261</v>
      </c>
      <c r="I98" s="27">
        <f t="shared" ref="I98:I100" ca="1" si="10">+TODAY()-C98</f>
        <v>13</v>
      </c>
    </row>
    <row r="99" spans="1:9">
      <c r="A99" s="20" t="s">
        <v>101</v>
      </c>
      <c r="B99" s="20" t="s">
        <v>2696</v>
      </c>
      <c r="C99" s="38">
        <v>46293</v>
      </c>
      <c r="D99" s="20" t="s">
        <v>2339</v>
      </c>
      <c r="E99" s="61">
        <v>13701.97</v>
      </c>
      <c r="F99" s="20"/>
      <c r="G99" s="20" t="s">
        <v>119</v>
      </c>
      <c r="H99" s="20" t="s">
        <v>1819</v>
      </c>
      <c r="I99" s="27">
        <f t="shared" ca="1" si="10"/>
        <v>2</v>
      </c>
    </row>
    <row r="100" spans="1:9">
      <c r="A100" s="20" t="s">
        <v>101</v>
      </c>
      <c r="B100" s="20" t="s">
        <v>1005</v>
      </c>
      <c r="C100" s="38">
        <v>46294</v>
      </c>
      <c r="D100" s="20" t="s">
        <v>118</v>
      </c>
      <c r="E100" s="61">
        <v>5000000</v>
      </c>
      <c r="F100" s="20"/>
      <c r="G100" s="20" t="s">
        <v>119</v>
      </c>
      <c r="H100" s="20" t="s">
        <v>273</v>
      </c>
      <c r="I100" s="27">
        <f t="shared" ca="1" si="10"/>
        <v>1</v>
      </c>
    </row>
    <row r="101" spans="1:9">
      <c r="A101" s="20"/>
      <c r="B101" s="20"/>
      <c r="C101" s="38"/>
      <c r="D101" s="20"/>
      <c r="E101" s="61"/>
      <c r="F101" s="20"/>
      <c r="G101" s="20"/>
      <c r="H101" s="20"/>
      <c r="I101" s="27"/>
    </row>
    <row r="105" spans="1:9">
      <c r="H105" s="3"/>
    </row>
  </sheetData>
  <autoFilter ref="A1:V101" xr:uid="{122951D1-6112-462C-9B14-022B97B05780}"/>
  <phoneticPr fontId="2" type="noConversion"/>
  <conditionalFormatting sqref="B1:B57">
    <cfRule type="duplicateValues" dxfId="11" priority="1099"/>
  </conditionalFormatting>
  <conditionalFormatting sqref="B75:B76">
    <cfRule type="expression" dxfId="10" priority="2169" stopIfTrue="1">
      <formula>AND(COUNTIF($B$5:$B$941, B75)+COUNTIF($B$943:$B$952, B75)+COUNTIF($B$954:$B$963, B75)+COUNTIF($B$979:$B$65508, B75)&gt;1,NOT(ISBLANK(B75)))</formula>
    </cfRule>
  </conditionalFormatting>
  <conditionalFormatting sqref="B17:B18 B38:B39">
    <cfRule type="expression" dxfId="9" priority="2170" stopIfTrue="1">
      <formula>AND(COUNTIF($B$5:$B$1003, B17)+COUNTIF($B$1005:$B$1014, B17)+COUNTIF($B$1016:$B$1025, B17)+COUNTIF($B$1041:$B$65566, B17)&gt;1,NOT(ISBLANK(B17)))</formula>
    </cfRule>
  </conditionalFormatting>
  <conditionalFormatting sqref="B27 B59">
    <cfRule type="expression" dxfId="8" priority="2172" stopIfTrue="1">
      <formula>AND(COUNTIF($B$5:$B$964, B27)+COUNTIF($B$966:$B$975, B27)+COUNTIF($B$977:$B$986, B27)+COUNTIF($B$1002:$B$65529, B27)&gt;1,NOT(ISBLANK(B27)))</formula>
    </cfRule>
  </conditionalFormatting>
  <conditionalFormatting sqref="B38:B45 B71:B76">
    <cfRule type="expression" dxfId="7" priority="2174" stopIfTrue="1">
      <formula>AND(COUNTIF($B$5:$B$973, B38)+COUNTIF($B$975:$B$984, B38)+COUNTIF($B$986:$B$995, B38)+COUNTIF($B$1011:$B$65540, B38)&gt;1,NOT(ISBLANK(B38)))</formula>
    </cfRule>
  </conditionalFormatting>
  <conditionalFormatting sqref="B40:B70 B72:B74 B19:B26 B28:B37 B77:B95">
    <cfRule type="expression" dxfId="6" priority="2176" stopIfTrue="1">
      <formula>AND(COUNTIF($B$5:$B$992, B19)+COUNTIF($B$994:$B$1003, B19)+COUNTIF($B$1005:$B$1014, B19)+COUNTIF($B$1030:$B$65555, B19)&gt;1,NOT(ISBLANK(B19)))</formula>
    </cfRule>
  </conditionalFormatting>
  <conditionalFormatting sqref="B65">
    <cfRule type="expression" dxfId="5" priority="2181" stopIfTrue="1">
      <formula>AND(COUNTIF($B$5:$B$946, B65)+COUNTIF($B$948:$B$957, B65)+COUNTIF($B$959:$B$968, B65)+COUNTIF($B$984:$B$65513, B65)&gt;1,NOT(ISBLANK(B65)))</formula>
    </cfRule>
  </conditionalFormatting>
  <conditionalFormatting sqref="B71">
    <cfRule type="expression" dxfId="4" priority="2182" stopIfTrue="1">
      <formula>AND(COUNTIF($B$5:$B$940, B71)+COUNTIF($B$942:$B$951, B71)+COUNTIF($B$953:$B$962, B71)+COUNTIF($B$978:$B$65507, B71)&gt;1,NOT(ISBLANK(B71)))</formula>
    </cfRule>
  </conditionalFormatting>
  <conditionalFormatting sqref="B96:B101">
    <cfRule type="duplicateValues" dxfId="3" priority="2184"/>
    <cfRule type="expression" dxfId="2" priority="2185" stopIfTrue="1">
      <formula>AND(COUNTIF($B$5:$B$959, B96)+COUNTIF($B$961:$B$970, B96)+COUNTIF($B$972:$B$981, B96)+COUNTIF($B$997:$B$65536, B96)&gt;1,NOT(ISBLANK(B96)))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550"/>
  <sheetViews>
    <sheetView topLeftCell="A8" zoomScaleNormal="100" workbookViewId="0">
      <selection activeCell="J72" sqref="J72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9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75218686190.380005</v>
      </c>
    </row>
    <row r="3" spans="1:29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9">
      <c r="A4" s="10" t="s">
        <v>1083</v>
      </c>
      <c r="B4" s="10" t="s">
        <v>381</v>
      </c>
      <c r="C4" s="124">
        <v>46294</v>
      </c>
      <c r="D4" s="124" t="s">
        <v>492</v>
      </c>
      <c r="E4" s="21">
        <v>1</v>
      </c>
      <c r="F4" s="10"/>
      <c r="G4" s="14">
        <v>2097348.4</v>
      </c>
      <c r="H4" s="14">
        <v>2097348.4</v>
      </c>
      <c r="I4" s="14">
        <v>2097348.4</v>
      </c>
      <c r="J4" s="14">
        <v>2097348.4</v>
      </c>
      <c r="K4" s="12">
        <v>76510842</v>
      </c>
      <c r="L4" s="10" t="s">
        <v>101</v>
      </c>
      <c r="M4" s="10" t="s">
        <v>102</v>
      </c>
      <c r="N4" s="124" t="s">
        <v>365</v>
      </c>
      <c r="O4" s="124" t="s">
        <v>365</v>
      </c>
      <c r="P4" s="21">
        <v>32</v>
      </c>
      <c r="Q4" s="10" t="s">
        <v>54</v>
      </c>
      <c r="R4" s="10" t="s">
        <v>28</v>
      </c>
      <c r="S4" s="10"/>
      <c r="T4" s="10"/>
      <c r="U4" s="10" t="s">
        <v>1074</v>
      </c>
      <c r="V4" s="10" t="s">
        <v>1074</v>
      </c>
      <c r="W4" s="50">
        <f>+J4/$W$2</f>
        <v>2.7883342640305747E-5</v>
      </c>
    </row>
    <row r="5" spans="1:29">
      <c r="A5" s="10" t="s">
        <v>1427</v>
      </c>
      <c r="B5" s="10" t="s">
        <v>381</v>
      </c>
      <c r="C5" s="124">
        <v>46294</v>
      </c>
      <c r="D5" s="124" t="s">
        <v>492</v>
      </c>
      <c r="E5" s="21">
        <v>1</v>
      </c>
      <c r="F5" s="10"/>
      <c r="G5" s="14">
        <v>12000000</v>
      </c>
      <c r="H5" s="14">
        <v>12000000</v>
      </c>
      <c r="I5" s="14">
        <v>12000000</v>
      </c>
      <c r="J5" s="14">
        <v>12000000</v>
      </c>
      <c r="K5" s="12">
        <v>29830738</v>
      </c>
      <c r="L5" s="10" t="s">
        <v>101</v>
      </c>
      <c r="M5" s="10" t="s">
        <v>102</v>
      </c>
      <c r="N5" s="124" t="s">
        <v>548</v>
      </c>
      <c r="O5" s="124" t="s">
        <v>548</v>
      </c>
      <c r="P5" s="21">
        <v>28</v>
      </c>
      <c r="Q5" s="10" t="s">
        <v>54</v>
      </c>
      <c r="R5" s="10" t="s">
        <v>28</v>
      </c>
      <c r="S5" s="10"/>
      <c r="T5" s="10"/>
      <c r="U5" s="10" t="s">
        <v>1395</v>
      </c>
      <c r="V5" s="10" t="s">
        <v>1395</v>
      </c>
      <c r="W5" s="50">
        <f>+J5/$W$2</f>
        <v>1.5953482582277173E-4</v>
      </c>
    </row>
    <row r="6" spans="1:29">
      <c r="A6" s="10" t="s">
        <v>334</v>
      </c>
      <c r="B6" s="10" t="s">
        <v>381</v>
      </c>
      <c r="C6" s="124">
        <v>46294</v>
      </c>
      <c r="D6" s="124" t="s">
        <v>492</v>
      </c>
      <c r="E6" s="21">
        <v>1</v>
      </c>
      <c r="F6" s="10"/>
      <c r="G6" s="14">
        <v>40000000</v>
      </c>
      <c r="H6" s="14">
        <v>40000000</v>
      </c>
      <c r="I6" s="14">
        <v>40000000</v>
      </c>
      <c r="J6" s="14">
        <v>40000000</v>
      </c>
      <c r="K6" s="12">
        <v>13662791</v>
      </c>
      <c r="L6" s="10" t="s">
        <v>101</v>
      </c>
      <c r="M6" s="10" t="s">
        <v>102</v>
      </c>
      <c r="N6" s="124" t="s">
        <v>318</v>
      </c>
      <c r="O6" s="124" t="s">
        <v>318</v>
      </c>
      <c r="P6" s="21">
        <v>32</v>
      </c>
      <c r="Q6" s="10" t="s">
        <v>54</v>
      </c>
      <c r="R6" s="10" t="s">
        <v>28</v>
      </c>
      <c r="S6" s="10"/>
      <c r="T6" s="10"/>
      <c r="U6" s="10" t="s">
        <v>701</v>
      </c>
      <c r="V6" s="10" t="s">
        <v>701</v>
      </c>
      <c r="W6" s="50">
        <f>+J6/$W$2</f>
        <v>5.3178275274257244E-4</v>
      </c>
      <c r="AC6" s="47"/>
    </row>
    <row r="7" spans="1:29">
      <c r="A7" s="10" t="s">
        <v>1424</v>
      </c>
      <c r="B7" s="10" t="s">
        <v>381</v>
      </c>
      <c r="C7" s="124">
        <v>46294</v>
      </c>
      <c r="D7" s="124" t="s">
        <v>492</v>
      </c>
      <c r="E7" s="21">
        <v>1</v>
      </c>
      <c r="F7" s="10"/>
      <c r="G7" s="14">
        <v>7560000</v>
      </c>
      <c r="H7" s="14">
        <v>7560000</v>
      </c>
      <c r="I7" s="14">
        <v>7560000</v>
      </c>
      <c r="J7" s="14">
        <v>7560000</v>
      </c>
      <c r="K7" s="12">
        <v>10537648</v>
      </c>
      <c r="L7" s="10" t="s">
        <v>101</v>
      </c>
      <c r="M7" s="10" t="s">
        <v>102</v>
      </c>
      <c r="N7" s="124" t="s">
        <v>548</v>
      </c>
      <c r="O7" s="124" t="s">
        <v>548</v>
      </c>
      <c r="P7" s="21">
        <v>28</v>
      </c>
      <c r="Q7" s="10" t="s">
        <v>54</v>
      </c>
      <c r="R7" s="10" t="s">
        <v>28</v>
      </c>
      <c r="S7" s="10"/>
      <c r="T7" s="10"/>
      <c r="U7" s="10" t="s">
        <v>1404</v>
      </c>
      <c r="V7" s="10" t="s">
        <v>1404</v>
      </c>
      <c r="W7" s="50">
        <f>+J7/$W$2</f>
        <v>1.0050694026834619E-4</v>
      </c>
    </row>
    <row r="8" spans="1:29">
      <c r="A8" s="10" t="s">
        <v>2289</v>
      </c>
      <c r="B8" s="10" t="s">
        <v>381</v>
      </c>
      <c r="C8" s="124">
        <v>46294</v>
      </c>
      <c r="D8" s="124" t="s">
        <v>492</v>
      </c>
      <c r="E8" s="21">
        <v>1</v>
      </c>
      <c r="F8" s="10"/>
      <c r="G8" s="14">
        <v>1382744</v>
      </c>
      <c r="H8" s="14">
        <v>1382744</v>
      </c>
      <c r="I8" s="14">
        <v>1382744</v>
      </c>
      <c r="J8" s="14">
        <v>1382744</v>
      </c>
      <c r="K8" s="12">
        <v>5365</v>
      </c>
      <c r="L8" s="10" t="s">
        <v>101</v>
      </c>
      <c r="M8" s="10" t="s">
        <v>102</v>
      </c>
      <c r="N8" s="124" t="s">
        <v>431</v>
      </c>
      <c r="O8" s="124" t="s">
        <v>431</v>
      </c>
      <c r="P8" s="21">
        <v>31</v>
      </c>
      <c r="Q8" s="10" t="s">
        <v>54</v>
      </c>
      <c r="R8" s="10" t="s">
        <v>28</v>
      </c>
      <c r="S8" s="10"/>
      <c r="T8" s="10"/>
      <c r="U8" s="10" t="s">
        <v>2259</v>
      </c>
      <c r="V8" s="10" t="s">
        <v>2259</v>
      </c>
      <c r="W8" s="50">
        <f>+J8/$W$2</f>
        <v>1.8382985266456889E-5</v>
      </c>
    </row>
    <row r="9" spans="1:29">
      <c r="A9" s="10" t="s">
        <v>2617</v>
      </c>
      <c r="B9" s="10" t="s">
        <v>381</v>
      </c>
      <c r="C9" s="124">
        <v>46294</v>
      </c>
      <c r="D9" s="124" t="s">
        <v>492</v>
      </c>
      <c r="E9" s="21">
        <v>1</v>
      </c>
      <c r="F9" s="10"/>
      <c r="G9" s="14">
        <v>1509475</v>
      </c>
      <c r="H9" s="14">
        <v>1509475</v>
      </c>
      <c r="I9" s="14">
        <v>1509475</v>
      </c>
      <c r="J9" s="14">
        <v>1509475</v>
      </c>
      <c r="K9" s="12">
        <v>3848023</v>
      </c>
      <c r="L9" s="10" t="s">
        <v>101</v>
      </c>
      <c r="M9" s="10" t="s">
        <v>102</v>
      </c>
      <c r="N9" s="124" t="s">
        <v>423</v>
      </c>
      <c r="O9" s="124" t="s">
        <v>423</v>
      </c>
      <c r="P9" s="21">
        <v>32</v>
      </c>
      <c r="Q9" s="10" t="s">
        <v>54</v>
      </c>
      <c r="R9" s="10" t="s">
        <v>28</v>
      </c>
      <c r="S9" s="10"/>
      <c r="T9" s="10"/>
      <c r="U9" s="10" t="s">
        <v>2568</v>
      </c>
      <c r="V9" s="10" t="s">
        <v>2568</v>
      </c>
      <c r="W9" s="50">
        <f>+J9/$W$2</f>
        <v>2.0067819267402365E-5</v>
      </c>
    </row>
    <row r="10" spans="1:29">
      <c r="A10" s="10" t="s">
        <v>494</v>
      </c>
      <c r="B10" s="10" t="s">
        <v>381</v>
      </c>
      <c r="C10" s="124">
        <v>46294</v>
      </c>
      <c r="D10" s="124" t="s">
        <v>492</v>
      </c>
      <c r="E10" s="21">
        <v>1</v>
      </c>
      <c r="F10" s="10"/>
      <c r="G10" s="14">
        <v>4000000</v>
      </c>
      <c r="H10" s="14">
        <v>4000000</v>
      </c>
      <c r="I10" s="14">
        <v>4000000</v>
      </c>
      <c r="J10" s="14">
        <v>4000000</v>
      </c>
      <c r="K10" s="12">
        <v>16821013</v>
      </c>
      <c r="L10" s="10" t="s">
        <v>101</v>
      </c>
      <c r="M10" s="10" t="s">
        <v>102</v>
      </c>
      <c r="N10" s="124" t="s">
        <v>319</v>
      </c>
      <c r="O10" s="124" t="s">
        <v>319</v>
      </c>
      <c r="P10" s="21">
        <v>24</v>
      </c>
      <c r="Q10" s="10" t="s">
        <v>54</v>
      </c>
      <c r="R10" s="10" t="s">
        <v>28</v>
      </c>
      <c r="S10" s="10"/>
      <c r="T10" s="10"/>
      <c r="U10" s="10" t="s">
        <v>1002</v>
      </c>
      <c r="V10" s="10" t="s">
        <v>1002</v>
      </c>
      <c r="W10" s="50">
        <f>+J10/$W$2</f>
        <v>5.3178275274257244E-5</v>
      </c>
      <c r="AC10" s="47"/>
    </row>
    <row r="11" spans="1:29">
      <c r="A11" s="10" t="s">
        <v>494</v>
      </c>
      <c r="B11" s="10" t="s">
        <v>381</v>
      </c>
      <c r="C11" s="124">
        <v>46294</v>
      </c>
      <c r="D11" s="124" t="s">
        <v>492</v>
      </c>
      <c r="E11" s="21">
        <v>1</v>
      </c>
      <c r="F11" s="10"/>
      <c r="G11" s="14">
        <v>10950000</v>
      </c>
      <c r="H11" s="14">
        <v>10950000</v>
      </c>
      <c r="I11" s="14">
        <v>10950000</v>
      </c>
      <c r="J11" s="14">
        <v>10950000</v>
      </c>
      <c r="K11" s="12">
        <v>90000869</v>
      </c>
      <c r="L11" s="10" t="s">
        <v>101</v>
      </c>
      <c r="M11" s="10" t="s">
        <v>102</v>
      </c>
      <c r="N11" s="124" t="s">
        <v>476</v>
      </c>
      <c r="O11" s="124" t="s">
        <v>476</v>
      </c>
      <c r="P11" s="21">
        <v>28</v>
      </c>
      <c r="Q11" s="10" t="s">
        <v>54</v>
      </c>
      <c r="R11" s="10" t="s">
        <v>28</v>
      </c>
      <c r="S11" s="10"/>
      <c r="T11" s="10"/>
      <c r="U11" s="10" t="s">
        <v>1512</v>
      </c>
      <c r="V11" s="10" t="s">
        <v>1512</v>
      </c>
      <c r="W11" s="50">
        <f>+J11/$W$2</f>
        <v>1.4557552856327922E-4</v>
      </c>
    </row>
    <row r="12" spans="1:29">
      <c r="A12" s="10" t="s">
        <v>494</v>
      </c>
      <c r="B12" s="10" t="s">
        <v>381</v>
      </c>
      <c r="C12" s="124">
        <v>46294</v>
      </c>
      <c r="D12" s="124" t="s">
        <v>492</v>
      </c>
      <c r="E12" s="21">
        <v>1</v>
      </c>
      <c r="F12" s="10"/>
      <c r="G12" s="14">
        <v>20000000</v>
      </c>
      <c r="H12" s="14">
        <v>20000000</v>
      </c>
      <c r="I12" s="14">
        <v>20000000</v>
      </c>
      <c r="J12" s="14">
        <v>20000000</v>
      </c>
      <c r="K12" s="12">
        <v>67970141</v>
      </c>
      <c r="L12" s="10" t="s">
        <v>101</v>
      </c>
      <c r="M12" s="10" t="s">
        <v>102</v>
      </c>
      <c r="N12" s="124" t="s">
        <v>370</v>
      </c>
      <c r="O12" s="124" t="s">
        <v>370</v>
      </c>
      <c r="P12" s="21">
        <v>27</v>
      </c>
      <c r="Q12" s="10" t="s">
        <v>54</v>
      </c>
      <c r="R12" s="10" t="s">
        <v>28</v>
      </c>
      <c r="S12" s="10"/>
      <c r="T12" s="10"/>
      <c r="U12" s="10" t="s">
        <v>743</v>
      </c>
      <c r="V12" s="10" t="s">
        <v>743</v>
      </c>
      <c r="W12" s="50">
        <f>+J12/$W$2</f>
        <v>2.6589137637128622E-4</v>
      </c>
    </row>
    <row r="13" spans="1:29">
      <c r="A13" s="10" t="s">
        <v>1504</v>
      </c>
      <c r="B13" s="10" t="s">
        <v>381</v>
      </c>
      <c r="C13" s="124">
        <v>46294</v>
      </c>
      <c r="D13" s="124" t="s">
        <v>492</v>
      </c>
      <c r="E13" s="21">
        <v>1</v>
      </c>
      <c r="F13" s="10"/>
      <c r="G13" s="14">
        <v>100000000</v>
      </c>
      <c r="H13" s="14">
        <v>100000000</v>
      </c>
      <c r="I13" s="14">
        <v>100000000</v>
      </c>
      <c r="J13" s="14">
        <v>100000000</v>
      </c>
      <c r="K13" s="12">
        <v>83</v>
      </c>
      <c r="L13" s="10" t="s">
        <v>101</v>
      </c>
      <c r="M13" s="10" t="s">
        <v>102</v>
      </c>
      <c r="N13" s="124" t="s">
        <v>414</v>
      </c>
      <c r="O13" s="124" t="s">
        <v>414</v>
      </c>
      <c r="P13" s="21">
        <v>28</v>
      </c>
      <c r="Q13" s="10" t="s">
        <v>54</v>
      </c>
      <c r="R13" s="10" t="s">
        <v>28</v>
      </c>
      <c r="S13" s="10"/>
      <c r="T13" s="10"/>
      <c r="U13" s="10" t="s">
        <v>1490</v>
      </c>
      <c r="V13" s="10" t="s">
        <v>1490</v>
      </c>
      <c r="W13" s="50">
        <f>+J13/$W$2</f>
        <v>1.3294568818564311E-3</v>
      </c>
    </row>
    <row r="14" spans="1:29">
      <c r="A14" s="10" t="s">
        <v>273</v>
      </c>
      <c r="B14" s="10" t="s">
        <v>381</v>
      </c>
      <c r="C14" s="124">
        <v>46294</v>
      </c>
      <c r="D14" s="124" t="s">
        <v>492</v>
      </c>
      <c r="E14" s="21">
        <v>1</v>
      </c>
      <c r="F14" s="10"/>
      <c r="G14" s="14">
        <v>5000000</v>
      </c>
      <c r="H14" s="14">
        <v>5000000</v>
      </c>
      <c r="I14" s="14">
        <v>5000000</v>
      </c>
      <c r="J14" s="14">
        <v>5000000</v>
      </c>
      <c r="K14" s="12">
        <v>8743</v>
      </c>
      <c r="L14" s="10" t="s">
        <v>101</v>
      </c>
      <c r="M14" s="10" t="s">
        <v>102</v>
      </c>
      <c r="N14" s="124" t="s">
        <v>319</v>
      </c>
      <c r="O14" s="124" t="s">
        <v>319</v>
      </c>
      <c r="P14" s="21">
        <v>25</v>
      </c>
      <c r="Q14" s="10" t="s">
        <v>54</v>
      </c>
      <c r="R14" s="10" t="s">
        <v>28</v>
      </c>
      <c r="S14" s="10"/>
      <c r="T14" s="10"/>
      <c r="U14" s="10" t="s">
        <v>1005</v>
      </c>
      <c r="V14" s="10" t="s">
        <v>1005</v>
      </c>
      <c r="W14" s="50">
        <f>+J14/$W$2</f>
        <v>6.6472844092821555E-5</v>
      </c>
    </row>
    <row r="15" spans="1:29">
      <c r="A15" s="10" t="s">
        <v>273</v>
      </c>
      <c r="B15" s="10" t="s">
        <v>381</v>
      </c>
      <c r="C15" s="124">
        <v>46294</v>
      </c>
      <c r="D15" s="124" t="s">
        <v>492</v>
      </c>
      <c r="E15" s="21">
        <v>1</v>
      </c>
      <c r="F15" s="10"/>
      <c r="G15" s="14">
        <v>9000000</v>
      </c>
      <c r="H15" s="14">
        <v>9000000</v>
      </c>
      <c r="I15" s="14">
        <v>9000000</v>
      </c>
      <c r="J15" s="14">
        <v>9000000</v>
      </c>
      <c r="K15" s="12">
        <v>68958371</v>
      </c>
      <c r="L15" s="10" t="s">
        <v>101</v>
      </c>
      <c r="M15" s="10" t="s">
        <v>102</v>
      </c>
      <c r="N15" s="124" t="s">
        <v>322</v>
      </c>
      <c r="O15" s="124" t="s">
        <v>322</v>
      </c>
      <c r="P15" s="21">
        <v>28</v>
      </c>
      <c r="Q15" s="10" t="s">
        <v>54</v>
      </c>
      <c r="R15" s="10" t="s">
        <v>28</v>
      </c>
      <c r="S15" s="10"/>
      <c r="T15" s="10"/>
      <c r="U15" s="10" t="s">
        <v>1586</v>
      </c>
      <c r="V15" s="10" t="s">
        <v>1586</v>
      </c>
      <c r="W15" s="50">
        <f>+J15/$W$2</f>
        <v>1.196511193670788E-4</v>
      </c>
    </row>
    <row r="16" spans="1:29">
      <c r="A16" s="10" t="s">
        <v>1670</v>
      </c>
      <c r="B16" s="10" t="s">
        <v>381</v>
      </c>
      <c r="C16" s="124">
        <v>46294</v>
      </c>
      <c r="D16" s="124" t="s">
        <v>492</v>
      </c>
      <c r="E16" s="21">
        <v>1</v>
      </c>
      <c r="F16" s="10"/>
      <c r="G16" s="14">
        <v>13629007.35</v>
      </c>
      <c r="H16" s="14">
        <v>13629007.35</v>
      </c>
      <c r="I16" s="14">
        <v>13629007.35</v>
      </c>
      <c r="J16" s="14">
        <v>13629007.35</v>
      </c>
      <c r="K16" s="12">
        <v>68961023</v>
      </c>
      <c r="L16" s="10" t="s">
        <v>101</v>
      </c>
      <c r="M16" s="10" t="s">
        <v>102</v>
      </c>
      <c r="N16" s="124" t="s">
        <v>398</v>
      </c>
      <c r="O16" s="124" t="s">
        <v>398</v>
      </c>
      <c r="P16" s="21">
        <v>32</v>
      </c>
      <c r="Q16" s="10" t="s">
        <v>54</v>
      </c>
      <c r="R16" s="10" t="s">
        <v>28</v>
      </c>
      <c r="S16" s="10"/>
      <c r="T16" s="10"/>
      <c r="U16" s="10" t="s">
        <v>1808</v>
      </c>
      <c r="V16" s="10" t="s">
        <v>1808</v>
      </c>
      <c r="W16" s="50">
        <f>+J16/$W$2</f>
        <v>1.8119177614329382E-4</v>
      </c>
    </row>
    <row r="17" spans="1:23">
      <c r="A17" s="10" t="s">
        <v>2129</v>
      </c>
      <c r="B17" s="10" t="s">
        <v>381</v>
      </c>
      <c r="C17" s="124">
        <v>46294</v>
      </c>
      <c r="D17" s="124" t="s">
        <v>492</v>
      </c>
      <c r="E17" s="21">
        <v>1</v>
      </c>
      <c r="F17" s="10"/>
      <c r="G17" s="14">
        <v>3563600</v>
      </c>
      <c r="H17" s="14">
        <v>3563600</v>
      </c>
      <c r="I17" s="14">
        <v>3563600</v>
      </c>
      <c r="J17" s="14">
        <v>3563600</v>
      </c>
      <c r="K17" s="12">
        <v>758</v>
      </c>
      <c r="L17" s="10" t="s">
        <v>101</v>
      </c>
      <c r="M17" s="10" t="s">
        <v>102</v>
      </c>
      <c r="N17" s="124" t="s">
        <v>421</v>
      </c>
      <c r="O17" s="124" t="s">
        <v>421</v>
      </c>
      <c r="P17" s="21">
        <v>31</v>
      </c>
      <c r="Q17" s="10" t="s">
        <v>54</v>
      </c>
      <c r="R17" s="10" t="s">
        <v>28</v>
      </c>
      <c r="S17" s="10"/>
      <c r="T17" s="10"/>
      <c r="U17" s="10" t="s">
        <v>2122</v>
      </c>
      <c r="V17" s="10" t="s">
        <v>2122</v>
      </c>
      <c r="W17" s="50">
        <f>+J17/$W$2</f>
        <v>4.7376525441835782E-5</v>
      </c>
    </row>
    <row r="18" spans="1:23">
      <c r="A18" s="10" t="s">
        <v>2161</v>
      </c>
      <c r="B18" s="10" t="s">
        <v>381</v>
      </c>
      <c r="C18" s="124">
        <v>46294</v>
      </c>
      <c r="D18" s="124" t="s">
        <v>492</v>
      </c>
      <c r="E18" s="21">
        <v>1</v>
      </c>
      <c r="F18" s="10"/>
      <c r="G18" s="14">
        <v>182525858.19</v>
      </c>
      <c r="H18" s="14">
        <v>182525858.19</v>
      </c>
      <c r="I18" s="14">
        <v>182525858.19</v>
      </c>
      <c r="J18" s="14">
        <v>182525858.19</v>
      </c>
      <c r="K18" s="12">
        <v>60</v>
      </c>
      <c r="L18" s="10" t="s">
        <v>101</v>
      </c>
      <c r="M18" s="10" t="s">
        <v>102</v>
      </c>
      <c r="N18" s="124" t="s">
        <v>416</v>
      </c>
      <c r="O18" s="124" t="s">
        <v>416</v>
      </c>
      <c r="P18" s="21">
        <v>34</v>
      </c>
      <c r="Q18" s="10" t="s">
        <v>54</v>
      </c>
      <c r="R18" s="10" t="s">
        <v>28</v>
      </c>
      <c r="S18" s="10"/>
      <c r="T18" s="10"/>
      <c r="U18" s="10" t="s">
        <v>2132</v>
      </c>
      <c r="V18" s="10" t="s">
        <v>2132</v>
      </c>
      <c r="W18" s="50">
        <f>+J18/$W$2</f>
        <v>2.4266025828744652E-3</v>
      </c>
    </row>
    <row r="19" spans="1:23">
      <c r="A19" s="10" t="s">
        <v>2242</v>
      </c>
      <c r="B19" s="10" t="s">
        <v>381</v>
      </c>
      <c r="C19" s="124">
        <v>46294</v>
      </c>
      <c r="D19" s="124" t="s">
        <v>492</v>
      </c>
      <c r="E19" s="21">
        <v>1</v>
      </c>
      <c r="F19" s="10"/>
      <c r="G19" s="14">
        <v>2500000</v>
      </c>
      <c r="H19" s="14">
        <v>2500000</v>
      </c>
      <c r="I19" s="14">
        <v>2500000</v>
      </c>
      <c r="J19" s="14">
        <v>2500000</v>
      </c>
      <c r="K19" s="12">
        <v>362</v>
      </c>
      <c r="L19" s="10" t="s">
        <v>101</v>
      </c>
      <c r="M19" s="10" t="s">
        <v>102</v>
      </c>
      <c r="N19" s="124" t="s">
        <v>551</v>
      </c>
      <c r="O19" s="124" t="s">
        <v>551</v>
      </c>
      <c r="P19" s="21">
        <v>31</v>
      </c>
      <c r="Q19" s="10" t="s">
        <v>54</v>
      </c>
      <c r="R19" s="10" t="s">
        <v>28</v>
      </c>
      <c r="S19" s="10"/>
      <c r="T19" s="10"/>
      <c r="U19" s="10" t="s">
        <v>2197</v>
      </c>
      <c r="V19" s="10" t="s">
        <v>2197</v>
      </c>
      <c r="W19" s="50">
        <f>+J19/$W$2</f>
        <v>3.3236422046410778E-5</v>
      </c>
    </row>
    <row r="20" spans="1:23">
      <c r="A20" s="10" t="s">
        <v>143</v>
      </c>
      <c r="B20" s="10" t="s">
        <v>381</v>
      </c>
      <c r="C20" s="124">
        <v>46294</v>
      </c>
      <c r="D20" s="124" t="s">
        <v>492</v>
      </c>
      <c r="E20" s="21">
        <v>1</v>
      </c>
      <c r="F20" s="10"/>
      <c r="G20" s="14">
        <v>50000000</v>
      </c>
      <c r="H20" s="14">
        <v>50000000</v>
      </c>
      <c r="I20" s="14">
        <v>50000000</v>
      </c>
      <c r="J20" s="14">
        <v>50000000</v>
      </c>
      <c r="K20" s="12">
        <v>4899</v>
      </c>
      <c r="L20" s="10" t="s">
        <v>101</v>
      </c>
      <c r="M20" s="10" t="s">
        <v>102</v>
      </c>
      <c r="N20" s="124" t="s">
        <v>368</v>
      </c>
      <c r="O20" s="124" t="s">
        <v>368</v>
      </c>
      <c r="P20" s="21">
        <v>25</v>
      </c>
      <c r="Q20" s="10" t="s">
        <v>54</v>
      </c>
      <c r="R20" s="10" t="s">
        <v>28</v>
      </c>
      <c r="S20" s="10"/>
      <c r="T20" s="10"/>
      <c r="U20" s="10" t="s">
        <v>736</v>
      </c>
      <c r="V20" s="10" t="s">
        <v>736</v>
      </c>
      <c r="W20" s="50">
        <f>+J20/$W$2</f>
        <v>6.6472844092821555E-4</v>
      </c>
    </row>
    <row r="21" spans="1:23">
      <c r="A21" s="10" t="s">
        <v>273</v>
      </c>
      <c r="B21" s="10" t="s">
        <v>381</v>
      </c>
      <c r="C21" s="124">
        <v>46294</v>
      </c>
      <c r="D21" s="124" t="s">
        <v>492</v>
      </c>
      <c r="E21" s="21">
        <v>1</v>
      </c>
      <c r="F21" s="10"/>
      <c r="G21" s="14">
        <v>30000000</v>
      </c>
      <c r="H21" s="14">
        <v>30000000</v>
      </c>
      <c r="I21" s="14">
        <v>30000000</v>
      </c>
      <c r="J21" s="14">
        <v>30000000</v>
      </c>
      <c r="K21" s="12">
        <v>54027797</v>
      </c>
      <c r="L21" s="10" t="s">
        <v>101</v>
      </c>
      <c r="M21" s="10" t="s">
        <v>102</v>
      </c>
      <c r="N21" s="124" t="s">
        <v>368</v>
      </c>
      <c r="O21" s="124" t="s">
        <v>368</v>
      </c>
      <c r="P21" s="21">
        <v>27</v>
      </c>
      <c r="Q21" s="10" t="s">
        <v>54</v>
      </c>
      <c r="R21" s="10" t="s">
        <v>28</v>
      </c>
      <c r="S21" s="10"/>
      <c r="T21" s="10"/>
      <c r="U21" s="10" t="s">
        <v>732</v>
      </c>
      <c r="V21" s="10" t="s">
        <v>732</v>
      </c>
      <c r="W21" s="50">
        <f>+J21/$W$2</f>
        <v>3.9883706455692933E-4</v>
      </c>
    </row>
    <row r="22" spans="1:23">
      <c r="A22" s="10" t="s">
        <v>273</v>
      </c>
      <c r="B22" s="10" t="s">
        <v>381</v>
      </c>
      <c r="C22" s="124">
        <v>46294</v>
      </c>
      <c r="D22" s="124" t="s">
        <v>492</v>
      </c>
      <c r="E22" s="21">
        <v>1</v>
      </c>
      <c r="F22" s="10"/>
      <c r="G22" s="14">
        <v>5000000</v>
      </c>
      <c r="H22" s="14">
        <v>5000000</v>
      </c>
      <c r="I22" s="14">
        <v>5000000</v>
      </c>
      <c r="J22" s="14">
        <v>5000000</v>
      </c>
      <c r="K22" s="12">
        <v>67193060</v>
      </c>
      <c r="L22" s="10" t="s">
        <v>101</v>
      </c>
      <c r="M22" s="10" t="s">
        <v>102</v>
      </c>
      <c r="N22" s="124" t="s">
        <v>310</v>
      </c>
      <c r="O22" s="124" t="s">
        <v>310</v>
      </c>
      <c r="P22" s="21">
        <v>27</v>
      </c>
      <c r="Q22" s="10" t="s">
        <v>54</v>
      </c>
      <c r="R22" s="10" t="s">
        <v>28</v>
      </c>
      <c r="S22" s="10"/>
      <c r="T22" s="10"/>
      <c r="U22" s="10" t="s">
        <v>679</v>
      </c>
      <c r="V22" s="10" t="s">
        <v>679</v>
      </c>
      <c r="W22" s="50">
        <f>+J22/$W$2</f>
        <v>6.6472844092821555E-5</v>
      </c>
    </row>
    <row r="23" spans="1:23">
      <c r="A23" s="10" t="s">
        <v>902</v>
      </c>
      <c r="B23" s="10" t="s">
        <v>381</v>
      </c>
      <c r="C23" s="124">
        <v>46294</v>
      </c>
      <c r="D23" s="124" t="s">
        <v>492</v>
      </c>
      <c r="E23" s="21">
        <v>1</v>
      </c>
      <c r="F23" s="10"/>
      <c r="G23" s="14">
        <v>9828483.25</v>
      </c>
      <c r="H23" s="14">
        <v>9828483.25</v>
      </c>
      <c r="I23" s="14">
        <v>9828483.25</v>
      </c>
      <c r="J23" s="14">
        <v>9828483.25</v>
      </c>
      <c r="K23" s="12">
        <v>33</v>
      </c>
      <c r="L23" s="10" t="s">
        <v>101</v>
      </c>
      <c r="M23" s="10" t="s">
        <v>102</v>
      </c>
      <c r="N23" s="124" t="s">
        <v>396</v>
      </c>
      <c r="O23" s="124" t="s">
        <v>396</v>
      </c>
      <c r="P23" s="21">
        <v>33</v>
      </c>
      <c r="Q23" s="10" t="s">
        <v>54</v>
      </c>
      <c r="R23" s="10" t="s">
        <v>28</v>
      </c>
      <c r="S23" s="10"/>
      <c r="T23" s="10"/>
      <c r="U23" s="10" t="s">
        <v>885</v>
      </c>
      <c r="V23" s="10" t="s">
        <v>885</v>
      </c>
      <c r="W23" s="50">
        <f>+J23/$W$2</f>
        <v>1.3066544694923164E-4</v>
      </c>
    </row>
    <row r="24" spans="1:23">
      <c r="A24" s="10" t="s">
        <v>1431</v>
      </c>
      <c r="B24" s="10" t="s">
        <v>381</v>
      </c>
      <c r="C24" s="124">
        <v>46294</v>
      </c>
      <c r="D24" s="124" t="s">
        <v>492</v>
      </c>
      <c r="E24" s="21">
        <v>1</v>
      </c>
      <c r="F24" s="10"/>
      <c r="G24" s="14">
        <v>5225717</v>
      </c>
      <c r="H24" s="14">
        <v>5225717</v>
      </c>
      <c r="I24" s="14">
        <v>5225717</v>
      </c>
      <c r="J24" s="14">
        <v>5225717</v>
      </c>
      <c r="K24" s="12">
        <v>3171</v>
      </c>
      <c r="L24" s="10" t="s">
        <v>101</v>
      </c>
      <c r="M24" s="10" t="s">
        <v>102</v>
      </c>
      <c r="N24" s="124" t="s">
        <v>548</v>
      </c>
      <c r="O24" s="124" t="s">
        <v>548</v>
      </c>
      <c r="P24" s="21">
        <v>28</v>
      </c>
      <c r="Q24" s="10" t="s">
        <v>54</v>
      </c>
      <c r="R24" s="10" t="s">
        <v>28</v>
      </c>
      <c r="S24" s="10"/>
      <c r="T24" s="10"/>
      <c r="U24" s="10" t="s">
        <v>1410</v>
      </c>
      <c r="V24" s="10" t="s">
        <v>1410</v>
      </c>
      <c r="W24" s="50">
        <f>+J24/$W$2</f>
        <v>6.9473654282841438E-5</v>
      </c>
    </row>
    <row r="25" spans="1:23">
      <c r="A25" s="10" t="s">
        <v>1432</v>
      </c>
      <c r="B25" s="10" t="s">
        <v>381</v>
      </c>
      <c r="C25" s="124">
        <v>46294</v>
      </c>
      <c r="D25" s="124" t="s">
        <v>492</v>
      </c>
      <c r="E25" s="21">
        <v>1</v>
      </c>
      <c r="F25" s="10"/>
      <c r="G25" s="14">
        <v>8000000</v>
      </c>
      <c r="H25" s="14">
        <v>8000000</v>
      </c>
      <c r="I25" s="14">
        <v>8000000</v>
      </c>
      <c r="J25" s="14">
        <v>8000000</v>
      </c>
      <c r="K25" s="12">
        <v>1161724</v>
      </c>
      <c r="L25" s="10" t="s">
        <v>101</v>
      </c>
      <c r="M25" s="10" t="s">
        <v>102</v>
      </c>
      <c r="N25" s="124" t="s">
        <v>548</v>
      </c>
      <c r="O25" s="124" t="s">
        <v>548</v>
      </c>
      <c r="P25" s="21">
        <v>28</v>
      </c>
      <c r="Q25" s="10" t="s">
        <v>54</v>
      </c>
      <c r="R25" s="10" t="s">
        <v>28</v>
      </c>
      <c r="S25" s="10"/>
      <c r="T25" s="10"/>
      <c r="U25" s="10" t="s">
        <v>1419</v>
      </c>
      <c r="V25" s="10" t="s">
        <v>1419</v>
      </c>
      <c r="W25" s="50">
        <f>+J25/$W$2</f>
        <v>1.0635655054851449E-4</v>
      </c>
    </row>
    <row r="26" spans="1:23">
      <c r="A26" s="10" t="s">
        <v>1727</v>
      </c>
      <c r="B26" s="10" t="s">
        <v>381</v>
      </c>
      <c r="C26" s="124">
        <v>46294</v>
      </c>
      <c r="D26" s="124" t="s">
        <v>492</v>
      </c>
      <c r="E26" s="21">
        <v>1</v>
      </c>
      <c r="F26" s="10"/>
      <c r="G26" s="14">
        <v>5939810.4699999997</v>
      </c>
      <c r="H26" s="14">
        <v>5939810.4699999997</v>
      </c>
      <c r="I26" s="14">
        <v>5939810.4699999997</v>
      </c>
      <c r="J26" s="14">
        <v>5939810.4699999997</v>
      </c>
      <c r="K26" s="12">
        <v>67</v>
      </c>
      <c r="L26" s="10" t="s">
        <v>101</v>
      </c>
      <c r="M26" s="10" t="s">
        <v>102</v>
      </c>
      <c r="N26" s="124" t="s">
        <v>420</v>
      </c>
      <c r="O26" s="124" t="s">
        <v>420</v>
      </c>
      <c r="P26" s="21">
        <v>37</v>
      </c>
      <c r="Q26" s="10" t="s">
        <v>54</v>
      </c>
      <c r="R26" s="10" t="s">
        <v>28</v>
      </c>
      <c r="S26" s="10"/>
      <c r="T26" s="10"/>
      <c r="U26" s="10" t="s">
        <v>2642</v>
      </c>
      <c r="V26" s="10" t="s">
        <v>2642</v>
      </c>
      <c r="W26" s="50">
        <f>+J26/$W$2</f>
        <v>7.896721906264383E-5</v>
      </c>
    </row>
    <row r="27" spans="1:23">
      <c r="A27" s="10" t="s">
        <v>385</v>
      </c>
      <c r="B27" s="10" t="s">
        <v>381</v>
      </c>
      <c r="C27" s="124">
        <v>46294</v>
      </c>
      <c r="D27" s="124" t="s">
        <v>492</v>
      </c>
      <c r="E27" s="21">
        <v>1</v>
      </c>
      <c r="F27" s="10"/>
      <c r="G27" s="14">
        <v>12500000</v>
      </c>
      <c r="H27" s="14">
        <v>12500000</v>
      </c>
      <c r="I27" s="14">
        <v>12500000</v>
      </c>
      <c r="J27" s="14">
        <v>12500000</v>
      </c>
      <c r="K27" s="12">
        <v>1361</v>
      </c>
      <c r="L27" s="10" t="s">
        <v>101</v>
      </c>
      <c r="M27" s="10" t="s">
        <v>102</v>
      </c>
      <c r="N27" s="124" t="s">
        <v>351</v>
      </c>
      <c r="O27" s="124" t="s">
        <v>351</v>
      </c>
      <c r="P27" s="21">
        <v>33</v>
      </c>
      <c r="Q27" s="10" t="s">
        <v>54</v>
      </c>
      <c r="R27" s="10" t="s">
        <v>28</v>
      </c>
      <c r="S27" s="10"/>
      <c r="T27" s="10"/>
      <c r="U27" s="10" t="s">
        <v>611</v>
      </c>
      <c r="V27" s="10" t="s">
        <v>611</v>
      </c>
      <c r="W27" s="50">
        <f>+J27/$W$2</f>
        <v>1.6618211023205389E-4</v>
      </c>
    </row>
    <row r="28" spans="1:23">
      <c r="A28" s="10" t="s">
        <v>688</v>
      </c>
      <c r="B28" s="10" t="s">
        <v>381</v>
      </c>
      <c r="C28" s="124">
        <v>46294</v>
      </c>
      <c r="D28" s="124" t="s">
        <v>492</v>
      </c>
      <c r="E28" s="21">
        <v>1</v>
      </c>
      <c r="F28" s="10"/>
      <c r="G28" s="14">
        <v>555972720.34000003</v>
      </c>
      <c r="H28" s="14">
        <v>555972720.34000003</v>
      </c>
      <c r="I28" s="14">
        <v>555972720.34000003</v>
      </c>
      <c r="J28" s="14">
        <v>555972720.34000003</v>
      </c>
      <c r="K28" s="12">
        <v>160819</v>
      </c>
      <c r="L28" s="10" t="s">
        <v>101</v>
      </c>
      <c r="M28" s="10" t="s">
        <v>102</v>
      </c>
      <c r="N28" s="124" t="s">
        <v>414</v>
      </c>
      <c r="O28" s="124" t="s">
        <v>414</v>
      </c>
      <c r="P28" s="21">
        <v>38</v>
      </c>
      <c r="Q28" s="10" t="s">
        <v>54</v>
      </c>
      <c r="R28" s="10" t="s">
        <v>28</v>
      </c>
      <c r="S28" s="10"/>
      <c r="T28" s="10"/>
      <c r="U28" s="10" t="s">
        <v>1495</v>
      </c>
      <c r="V28" s="10" t="s">
        <v>1495</v>
      </c>
      <c r="W28" s="50">
        <f>+J28/$W$2</f>
        <v>7.3914175918045402E-3</v>
      </c>
    </row>
    <row r="29" spans="1:23">
      <c r="A29" s="10" t="s">
        <v>682</v>
      </c>
      <c r="B29" s="10" t="s">
        <v>381</v>
      </c>
      <c r="C29" s="124">
        <v>46294</v>
      </c>
      <c r="D29" s="124" t="s">
        <v>492</v>
      </c>
      <c r="E29" s="21">
        <v>1</v>
      </c>
      <c r="F29" s="10"/>
      <c r="G29" s="14">
        <v>1008513.5</v>
      </c>
      <c r="H29" s="14">
        <v>1008513.5</v>
      </c>
      <c r="I29" s="14">
        <v>1008513.5</v>
      </c>
      <c r="J29" s="14">
        <v>1008513.5</v>
      </c>
      <c r="K29" s="12">
        <v>67381841</v>
      </c>
      <c r="L29" s="10" t="s">
        <v>101</v>
      </c>
      <c r="M29" s="10" t="s">
        <v>102</v>
      </c>
      <c r="N29" s="124" t="s">
        <v>310</v>
      </c>
      <c r="O29" s="124" t="s">
        <v>310</v>
      </c>
      <c r="P29" s="21">
        <v>32</v>
      </c>
      <c r="Q29" s="10" t="s">
        <v>54</v>
      </c>
      <c r="R29" s="10" t="s">
        <v>28</v>
      </c>
      <c r="S29" s="10"/>
      <c r="T29" s="10"/>
      <c r="U29" s="10" t="s">
        <v>683</v>
      </c>
      <c r="V29" s="10" t="s">
        <v>683</v>
      </c>
      <c r="W29" s="50">
        <f>+J29/$W$2</f>
        <v>1.3407752130201159E-5</v>
      </c>
    </row>
    <row r="30" spans="1:23">
      <c r="A30" s="10" t="s">
        <v>465</v>
      </c>
      <c r="B30" s="10" t="s">
        <v>381</v>
      </c>
      <c r="C30" s="124">
        <v>46294</v>
      </c>
      <c r="D30" s="124" t="s">
        <v>492</v>
      </c>
      <c r="E30" s="21">
        <v>1</v>
      </c>
      <c r="F30" s="10"/>
      <c r="G30" s="14">
        <v>10000000</v>
      </c>
      <c r="H30" s="14">
        <v>10000000</v>
      </c>
      <c r="I30" s="14">
        <v>10000000</v>
      </c>
      <c r="J30" s="14">
        <v>10000000</v>
      </c>
      <c r="K30" s="12">
        <v>14422560</v>
      </c>
      <c r="L30" s="10" t="s">
        <v>101</v>
      </c>
      <c r="M30" s="10" t="s">
        <v>102</v>
      </c>
      <c r="N30" s="124" t="s">
        <v>164</v>
      </c>
      <c r="O30" s="124" t="s">
        <v>164</v>
      </c>
      <c r="P30" s="21">
        <v>32</v>
      </c>
      <c r="Q30" s="10" t="s">
        <v>54</v>
      </c>
      <c r="R30" s="10" t="s">
        <v>28</v>
      </c>
      <c r="S30" s="10"/>
      <c r="T30" s="10"/>
      <c r="U30" s="10" t="s">
        <v>1982</v>
      </c>
      <c r="V30" s="10" t="s">
        <v>1982</v>
      </c>
      <c r="W30" s="50">
        <f>+J30/$W$2</f>
        <v>1.3294568818564311E-4</v>
      </c>
    </row>
    <row r="31" spans="1:23">
      <c r="A31" s="10" t="s">
        <v>465</v>
      </c>
      <c r="B31" s="10" t="s">
        <v>381</v>
      </c>
      <c r="C31" s="124">
        <v>46294</v>
      </c>
      <c r="D31" s="124" t="s">
        <v>492</v>
      </c>
      <c r="E31" s="21">
        <v>1</v>
      </c>
      <c r="F31" s="10"/>
      <c r="G31" s="14">
        <v>25000000</v>
      </c>
      <c r="H31" s="14">
        <v>25000000</v>
      </c>
      <c r="I31" s="14">
        <v>25000000</v>
      </c>
      <c r="J31" s="14">
        <v>25000000</v>
      </c>
      <c r="K31" s="12">
        <v>14422652</v>
      </c>
      <c r="L31" s="10" t="s">
        <v>101</v>
      </c>
      <c r="M31" s="10" t="s">
        <v>102</v>
      </c>
      <c r="N31" s="124" t="s">
        <v>421</v>
      </c>
      <c r="O31" s="124" t="s">
        <v>421</v>
      </c>
      <c r="P31" s="21">
        <v>33</v>
      </c>
      <c r="Q31" s="10" t="s">
        <v>54</v>
      </c>
      <c r="R31" s="10" t="s">
        <v>28</v>
      </c>
      <c r="S31" s="10"/>
      <c r="T31" s="10"/>
      <c r="U31" s="10" t="s">
        <v>2101</v>
      </c>
      <c r="V31" s="10" t="s">
        <v>2101</v>
      </c>
      <c r="W31" s="50">
        <f>+J31/$W$2</f>
        <v>3.3236422046410778E-4</v>
      </c>
    </row>
    <row r="32" spans="1:23">
      <c r="A32" s="10" t="s">
        <v>1086</v>
      </c>
      <c r="B32" s="10" t="s">
        <v>381</v>
      </c>
      <c r="C32" s="124">
        <v>46294</v>
      </c>
      <c r="D32" s="124" t="s">
        <v>492</v>
      </c>
      <c r="E32" s="21">
        <v>1</v>
      </c>
      <c r="F32" s="10"/>
      <c r="G32" s="14">
        <v>4615815.71</v>
      </c>
      <c r="H32" s="14">
        <v>4615815.71</v>
      </c>
      <c r="I32" s="14">
        <v>4615815.71</v>
      </c>
      <c r="J32" s="14">
        <v>4615815.71</v>
      </c>
      <c r="K32" s="12">
        <v>10038099</v>
      </c>
      <c r="L32" s="10" t="s">
        <v>101</v>
      </c>
      <c r="M32" s="10" t="s">
        <v>102</v>
      </c>
      <c r="N32" s="124" t="s">
        <v>365</v>
      </c>
      <c r="O32" s="124" t="s">
        <v>365</v>
      </c>
      <c r="P32" s="21">
        <v>32</v>
      </c>
      <c r="Q32" s="10" t="s">
        <v>54</v>
      </c>
      <c r="R32" s="10" t="s">
        <v>28</v>
      </c>
      <c r="S32" s="10"/>
      <c r="T32" s="10"/>
      <c r="U32" s="10" t="s">
        <v>1072</v>
      </c>
      <c r="V32" s="10" t="s">
        <v>1072</v>
      </c>
      <c r="W32" s="50">
        <f>+J32/$W$2</f>
        <v>6.1365279610405284E-5</v>
      </c>
    </row>
    <row r="33" spans="1:29">
      <c r="A33" s="10" t="s">
        <v>1435</v>
      </c>
      <c r="B33" s="10" t="s">
        <v>381</v>
      </c>
      <c r="C33" s="124">
        <v>46294</v>
      </c>
      <c r="D33" s="124" t="s">
        <v>492</v>
      </c>
      <c r="E33" s="21">
        <v>1</v>
      </c>
      <c r="F33" s="10"/>
      <c r="G33" s="14">
        <v>12995000</v>
      </c>
      <c r="H33" s="14">
        <v>12995000</v>
      </c>
      <c r="I33" s="14">
        <v>12995000</v>
      </c>
      <c r="J33" s="14">
        <v>12995000</v>
      </c>
      <c r="K33" s="12">
        <v>7563</v>
      </c>
      <c r="L33" s="10" t="s">
        <v>101</v>
      </c>
      <c r="M33" s="10" t="s">
        <v>102</v>
      </c>
      <c r="N33" s="124" t="s">
        <v>548</v>
      </c>
      <c r="O33" s="124" t="s">
        <v>548</v>
      </c>
      <c r="P33" s="21">
        <v>28</v>
      </c>
      <c r="Q33" s="10" t="s">
        <v>54</v>
      </c>
      <c r="R33" s="10" t="s">
        <v>28</v>
      </c>
      <c r="S33" s="10"/>
      <c r="T33" s="10"/>
      <c r="U33" s="10" t="s">
        <v>1415</v>
      </c>
      <c r="V33" s="10" t="s">
        <v>1415</v>
      </c>
      <c r="W33" s="50">
        <f>+J33/$W$2</f>
        <v>1.7276292179724324E-4</v>
      </c>
    </row>
    <row r="34" spans="1:29">
      <c r="A34" s="10" t="s">
        <v>469</v>
      </c>
      <c r="B34" s="10" t="s">
        <v>381</v>
      </c>
      <c r="C34" s="124">
        <v>46294</v>
      </c>
      <c r="D34" s="124" t="s">
        <v>492</v>
      </c>
      <c r="E34" s="21">
        <v>1</v>
      </c>
      <c r="F34" s="10"/>
      <c r="G34" s="14">
        <v>6899161.7699999996</v>
      </c>
      <c r="H34" s="14">
        <v>6899161.7699999996</v>
      </c>
      <c r="I34" s="14">
        <v>6899161.7699999996</v>
      </c>
      <c r="J34" s="14">
        <v>6899161.7699999996</v>
      </c>
      <c r="K34" s="12">
        <v>65964605</v>
      </c>
      <c r="L34" s="10" t="s">
        <v>101</v>
      </c>
      <c r="M34" s="10" t="s">
        <v>102</v>
      </c>
      <c r="N34" s="124" t="s">
        <v>277</v>
      </c>
      <c r="O34" s="124" t="s">
        <v>277</v>
      </c>
      <c r="P34" s="21">
        <v>38</v>
      </c>
      <c r="Q34" s="10" t="s">
        <v>54</v>
      </c>
      <c r="R34" s="10" t="s">
        <v>28</v>
      </c>
      <c r="S34" s="10"/>
      <c r="T34" s="10"/>
      <c r="U34" s="10" t="s">
        <v>535</v>
      </c>
      <c r="V34" s="10" t="s">
        <v>535</v>
      </c>
      <c r="W34" s="50">
        <f>+J34/$W$2</f>
        <v>9.1721380941672953E-5</v>
      </c>
      <c r="AC34" s="47"/>
    </row>
    <row r="35" spans="1:29">
      <c r="A35" s="10" t="s">
        <v>426</v>
      </c>
      <c r="B35" s="10" t="s">
        <v>381</v>
      </c>
      <c r="C35" s="124">
        <v>46294</v>
      </c>
      <c r="D35" s="124" t="s">
        <v>492</v>
      </c>
      <c r="E35" s="21">
        <v>1</v>
      </c>
      <c r="F35" s="10"/>
      <c r="G35" s="14">
        <v>12500000</v>
      </c>
      <c r="H35" s="14">
        <v>12500000</v>
      </c>
      <c r="I35" s="14">
        <v>12500000</v>
      </c>
      <c r="J35" s="14">
        <v>12500000</v>
      </c>
      <c r="K35" s="12">
        <v>90027594</v>
      </c>
      <c r="L35" s="10" t="s">
        <v>101</v>
      </c>
      <c r="M35" s="10" t="s">
        <v>102</v>
      </c>
      <c r="N35" s="124" t="s">
        <v>352</v>
      </c>
      <c r="O35" s="124" t="s">
        <v>352</v>
      </c>
      <c r="P35" s="21">
        <v>28</v>
      </c>
      <c r="Q35" s="10" t="s">
        <v>54</v>
      </c>
      <c r="R35" s="10" t="s">
        <v>28</v>
      </c>
      <c r="S35" s="10"/>
      <c r="T35" s="10"/>
      <c r="U35" s="10" t="s">
        <v>787</v>
      </c>
      <c r="V35" s="10" t="s">
        <v>787</v>
      </c>
      <c r="W35" s="50">
        <f>+J35/$W$2</f>
        <v>1.6618211023205389E-4</v>
      </c>
    </row>
    <row r="36" spans="1:29">
      <c r="A36" s="10" t="s">
        <v>730</v>
      </c>
      <c r="B36" s="10" t="s">
        <v>381</v>
      </c>
      <c r="C36" s="124">
        <v>46294</v>
      </c>
      <c r="D36" s="124" t="s">
        <v>492</v>
      </c>
      <c r="E36" s="21">
        <v>1</v>
      </c>
      <c r="F36" s="10"/>
      <c r="G36" s="14">
        <v>29575498</v>
      </c>
      <c r="H36" s="14">
        <v>29575498</v>
      </c>
      <c r="I36" s="14">
        <v>29575498</v>
      </c>
      <c r="J36" s="14">
        <v>29575498</v>
      </c>
      <c r="K36" s="12">
        <v>90044735</v>
      </c>
      <c r="L36" s="10" t="s">
        <v>101</v>
      </c>
      <c r="M36" s="10" t="s">
        <v>102</v>
      </c>
      <c r="N36" s="124" t="s">
        <v>417</v>
      </c>
      <c r="O36" s="124" t="s">
        <v>417</v>
      </c>
      <c r="P36" s="21">
        <v>32</v>
      </c>
      <c r="Q36" s="10" t="s">
        <v>54</v>
      </c>
      <c r="R36" s="10" t="s">
        <v>28</v>
      </c>
      <c r="S36" s="10"/>
      <c r="T36" s="10"/>
      <c r="U36" s="10" t="s">
        <v>1679</v>
      </c>
      <c r="V36" s="10" t="s">
        <v>1679</v>
      </c>
      <c r="W36" s="50">
        <f>+J36/$W$2</f>
        <v>3.9319349350431116E-4</v>
      </c>
      <c r="AC36" s="47"/>
    </row>
    <row r="37" spans="1:29">
      <c r="A37" s="10" t="s">
        <v>730</v>
      </c>
      <c r="B37" s="10" t="s">
        <v>381</v>
      </c>
      <c r="C37" s="124">
        <v>46294</v>
      </c>
      <c r="D37" s="124" t="s">
        <v>492</v>
      </c>
      <c r="E37" s="21">
        <v>1</v>
      </c>
      <c r="F37" s="10"/>
      <c r="G37" s="14">
        <v>5636569</v>
      </c>
      <c r="H37" s="14">
        <v>5636569</v>
      </c>
      <c r="I37" s="14">
        <v>5636569</v>
      </c>
      <c r="J37" s="14">
        <v>5636569</v>
      </c>
      <c r="K37" s="12">
        <v>90044888</v>
      </c>
      <c r="L37" s="10" t="s">
        <v>101</v>
      </c>
      <c r="M37" s="10" t="s">
        <v>102</v>
      </c>
      <c r="N37" s="124" t="s">
        <v>348</v>
      </c>
      <c r="O37" s="124" t="s">
        <v>348</v>
      </c>
      <c r="P37" s="21">
        <v>32</v>
      </c>
      <c r="Q37" s="10" t="s">
        <v>54</v>
      </c>
      <c r="R37" s="10" t="s">
        <v>28</v>
      </c>
      <c r="S37" s="10"/>
      <c r="T37" s="10"/>
      <c r="U37" s="10" t="s">
        <v>1888</v>
      </c>
      <c r="V37" s="10" t="s">
        <v>1888</v>
      </c>
      <c r="W37" s="50">
        <f>+J37/$W$2</f>
        <v>7.4935754471086219E-5</v>
      </c>
    </row>
    <row r="38" spans="1:29">
      <c r="A38" s="10" t="s">
        <v>427</v>
      </c>
      <c r="B38" s="10" t="s">
        <v>381</v>
      </c>
      <c r="C38" s="124">
        <v>46294</v>
      </c>
      <c r="D38" s="124" t="s">
        <v>492</v>
      </c>
      <c r="E38" s="21">
        <v>1</v>
      </c>
      <c r="F38" s="10"/>
      <c r="G38" s="14">
        <v>10000000</v>
      </c>
      <c r="H38" s="14">
        <v>10000000</v>
      </c>
      <c r="I38" s="14">
        <v>10000000</v>
      </c>
      <c r="J38" s="14">
        <v>10000000</v>
      </c>
      <c r="K38" s="12">
        <v>360567</v>
      </c>
      <c r="L38" s="10" t="s">
        <v>101</v>
      </c>
      <c r="M38" s="10" t="s">
        <v>102</v>
      </c>
      <c r="N38" s="124" t="s">
        <v>295</v>
      </c>
      <c r="O38" s="124" t="s">
        <v>295</v>
      </c>
      <c r="P38" s="21">
        <v>28</v>
      </c>
      <c r="Q38" s="10" t="s">
        <v>54</v>
      </c>
      <c r="R38" s="10" t="s">
        <v>28</v>
      </c>
      <c r="S38" s="10"/>
      <c r="T38" s="10"/>
      <c r="U38" s="10" t="s">
        <v>491</v>
      </c>
      <c r="V38" s="10" t="s">
        <v>491</v>
      </c>
      <c r="W38" s="50">
        <f>+J38/$W$2</f>
        <v>1.3294568818564311E-4</v>
      </c>
    </row>
    <row r="39" spans="1:29">
      <c r="A39" s="10" t="s">
        <v>382</v>
      </c>
      <c r="B39" s="10" t="s">
        <v>381</v>
      </c>
      <c r="C39" s="124">
        <v>46294</v>
      </c>
      <c r="D39" s="124" t="s">
        <v>492</v>
      </c>
      <c r="E39" s="21">
        <v>1</v>
      </c>
      <c r="F39" s="10"/>
      <c r="G39" s="14">
        <v>2000000</v>
      </c>
      <c r="H39" s="14">
        <v>2000000</v>
      </c>
      <c r="I39" s="14">
        <v>2000000</v>
      </c>
      <c r="J39" s="14">
        <v>2000000</v>
      </c>
      <c r="K39" s="12">
        <v>1008</v>
      </c>
      <c r="L39" s="10" t="s">
        <v>101</v>
      </c>
      <c r="M39" s="10" t="s">
        <v>102</v>
      </c>
      <c r="N39" s="124" t="s">
        <v>325</v>
      </c>
      <c r="O39" s="124" t="s">
        <v>325</v>
      </c>
      <c r="P39" s="21">
        <v>32</v>
      </c>
      <c r="Q39" s="10" t="s">
        <v>54</v>
      </c>
      <c r="R39" s="10" t="s">
        <v>28</v>
      </c>
      <c r="S39" s="10"/>
      <c r="T39" s="10"/>
      <c r="U39" s="10" t="s">
        <v>1598</v>
      </c>
      <c r="V39" s="10" t="s">
        <v>1598</v>
      </c>
      <c r="W39" s="50">
        <f>+J39/$W$2</f>
        <v>2.6589137637128622E-5</v>
      </c>
    </row>
    <row r="40" spans="1:29">
      <c r="A40" s="10" t="s">
        <v>384</v>
      </c>
      <c r="B40" s="10" t="s">
        <v>381</v>
      </c>
      <c r="C40" s="124">
        <v>46294</v>
      </c>
      <c r="D40" s="124" t="s">
        <v>492</v>
      </c>
      <c r="E40" s="21">
        <v>1</v>
      </c>
      <c r="F40" s="10"/>
      <c r="G40" s="14">
        <v>65000000</v>
      </c>
      <c r="H40" s="14">
        <v>65000000</v>
      </c>
      <c r="I40" s="14">
        <v>65000000</v>
      </c>
      <c r="J40" s="14">
        <v>65000000</v>
      </c>
      <c r="K40" s="12">
        <v>334</v>
      </c>
      <c r="L40" s="10" t="s">
        <v>101</v>
      </c>
      <c r="M40" s="10" t="s">
        <v>102</v>
      </c>
      <c r="N40" s="124" t="s">
        <v>360</v>
      </c>
      <c r="O40" s="124" t="s">
        <v>360</v>
      </c>
      <c r="P40" s="21">
        <v>32</v>
      </c>
      <c r="Q40" s="10" t="s">
        <v>54</v>
      </c>
      <c r="R40" s="10" t="s">
        <v>28</v>
      </c>
      <c r="S40" s="10"/>
      <c r="T40" s="10"/>
      <c r="U40" s="10" t="s">
        <v>740</v>
      </c>
      <c r="V40" s="10" t="s">
        <v>740</v>
      </c>
      <c r="W40" s="50">
        <f>+J40/$W$2</f>
        <v>8.6414697320668027E-4</v>
      </c>
    </row>
    <row r="41" spans="1:29">
      <c r="A41" s="10" t="s">
        <v>1083</v>
      </c>
      <c r="B41" s="10" t="s">
        <v>381</v>
      </c>
      <c r="C41" s="124">
        <v>46295</v>
      </c>
      <c r="D41" s="124" t="s">
        <v>492</v>
      </c>
      <c r="E41" s="21">
        <v>0.99912405999999998</v>
      </c>
      <c r="F41" s="10"/>
      <c r="G41" s="14">
        <v>2097348.4</v>
      </c>
      <c r="H41" s="14">
        <v>2095511.25</v>
      </c>
      <c r="I41" s="14">
        <v>2097348.4</v>
      </c>
      <c r="J41" s="14">
        <v>2095511.25</v>
      </c>
      <c r="K41" s="12">
        <v>76510843</v>
      </c>
      <c r="L41" s="10" t="s">
        <v>101</v>
      </c>
      <c r="M41" s="10" t="s">
        <v>102</v>
      </c>
      <c r="N41" s="124" t="s">
        <v>365</v>
      </c>
      <c r="O41" s="124" t="s">
        <v>365</v>
      </c>
      <c r="P41" s="21">
        <v>32</v>
      </c>
      <c r="Q41" s="10" t="s">
        <v>54</v>
      </c>
      <c r="R41" s="10" t="s">
        <v>28</v>
      </c>
      <c r="S41" s="10"/>
      <c r="T41" s="10"/>
      <c r="U41" s="10" t="s">
        <v>1075</v>
      </c>
      <c r="V41" s="10" t="s">
        <v>1075</v>
      </c>
      <c r="W41" s="50">
        <f>+J41/$W$2</f>
        <v>2.7858918523200723E-5</v>
      </c>
    </row>
    <row r="42" spans="1:29">
      <c r="A42" s="10" t="s">
        <v>382</v>
      </c>
      <c r="B42" s="10" t="s">
        <v>381</v>
      </c>
      <c r="C42" s="124">
        <v>46295</v>
      </c>
      <c r="D42" s="124" t="s">
        <v>492</v>
      </c>
      <c r="E42" s="21">
        <v>0.99917876000000005</v>
      </c>
      <c r="F42" s="10"/>
      <c r="G42" s="14">
        <v>10000000</v>
      </c>
      <c r="H42" s="14">
        <v>9991787.5800000001</v>
      </c>
      <c r="I42" s="14">
        <v>10000000</v>
      </c>
      <c r="J42" s="14">
        <v>9991787.5800000001</v>
      </c>
      <c r="K42" s="12">
        <v>581</v>
      </c>
      <c r="L42" s="10" t="s">
        <v>101</v>
      </c>
      <c r="M42" s="10" t="s">
        <v>102</v>
      </c>
      <c r="N42" s="124" t="s">
        <v>157</v>
      </c>
      <c r="O42" s="124" t="s">
        <v>157</v>
      </c>
      <c r="P42" s="21">
        <v>30</v>
      </c>
      <c r="Q42" s="10" t="s">
        <v>54</v>
      </c>
      <c r="R42" s="10" t="s">
        <v>28</v>
      </c>
      <c r="S42" s="10"/>
      <c r="T42" s="10"/>
      <c r="U42" s="10" t="s">
        <v>645</v>
      </c>
      <c r="V42" s="10" t="s">
        <v>645</v>
      </c>
      <c r="W42" s="50">
        <f>+J42/$W$2</f>
        <v>1.3283650760278617E-4</v>
      </c>
    </row>
    <row r="43" spans="1:29">
      <c r="A43" s="10" t="s">
        <v>382</v>
      </c>
      <c r="B43" s="10" t="s">
        <v>381</v>
      </c>
      <c r="C43" s="124">
        <v>46295</v>
      </c>
      <c r="D43" s="124" t="s">
        <v>492</v>
      </c>
      <c r="E43" s="21">
        <v>0.99917876000000005</v>
      </c>
      <c r="F43" s="10"/>
      <c r="G43" s="14">
        <v>10000000</v>
      </c>
      <c r="H43" s="14">
        <v>9991787.5700000003</v>
      </c>
      <c r="I43" s="14">
        <v>10000000</v>
      </c>
      <c r="J43" s="14">
        <v>9991787.5700000003</v>
      </c>
      <c r="K43" s="12">
        <v>514</v>
      </c>
      <c r="L43" s="10" t="s">
        <v>101</v>
      </c>
      <c r="M43" s="10" t="s">
        <v>102</v>
      </c>
      <c r="N43" s="124" t="s">
        <v>307</v>
      </c>
      <c r="O43" s="124" t="s">
        <v>307</v>
      </c>
      <c r="P43" s="21">
        <v>30</v>
      </c>
      <c r="Q43" s="10" t="s">
        <v>54</v>
      </c>
      <c r="R43" s="10" t="s">
        <v>28</v>
      </c>
      <c r="S43" s="10"/>
      <c r="T43" s="10"/>
      <c r="U43" s="10" t="s">
        <v>603</v>
      </c>
      <c r="V43" s="10" t="s">
        <v>603</v>
      </c>
      <c r="W43" s="50">
        <f>+J43/$W$2</f>
        <v>1.3283650746984048E-4</v>
      </c>
    </row>
    <row r="44" spans="1:29">
      <c r="A44" s="10" t="s">
        <v>382</v>
      </c>
      <c r="B44" s="10" t="s">
        <v>381</v>
      </c>
      <c r="C44" s="124">
        <v>46295</v>
      </c>
      <c r="D44" s="124" t="s">
        <v>492</v>
      </c>
      <c r="E44" s="21">
        <v>0.99912407000000003</v>
      </c>
      <c r="F44" s="10"/>
      <c r="G44" s="14">
        <v>10000000</v>
      </c>
      <c r="H44" s="14">
        <v>9991240.6500000004</v>
      </c>
      <c r="I44" s="14">
        <v>10000000</v>
      </c>
      <c r="J44" s="14">
        <v>9991240.6500000004</v>
      </c>
      <c r="K44" s="12">
        <v>1101</v>
      </c>
      <c r="L44" s="10" t="s">
        <v>101</v>
      </c>
      <c r="M44" s="10" t="s">
        <v>102</v>
      </c>
      <c r="N44" s="124" t="s">
        <v>348</v>
      </c>
      <c r="O44" s="124" t="s">
        <v>348</v>
      </c>
      <c r="P44" s="21">
        <v>32</v>
      </c>
      <c r="Q44" s="10" t="s">
        <v>54</v>
      </c>
      <c r="R44" s="10" t="s">
        <v>28</v>
      </c>
      <c r="S44" s="10"/>
      <c r="T44" s="10"/>
      <c r="U44" s="10" t="s">
        <v>1893</v>
      </c>
      <c r="V44" s="10" t="s">
        <v>1893</v>
      </c>
      <c r="W44" s="50">
        <f>+J44/$W$2</f>
        <v>1.3282923640426224E-4</v>
      </c>
    </row>
    <row r="45" spans="1:29">
      <c r="A45" s="10" t="s">
        <v>2916</v>
      </c>
      <c r="B45" s="10" t="s">
        <v>381</v>
      </c>
      <c r="C45" s="124">
        <v>46295</v>
      </c>
      <c r="D45" s="124" t="s">
        <v>492</v>
      </c>
      <c r="E45" s="21">
        <v>0.99912409999999996</v>
      </c>
      <c r="F45" s="10"/>
      <c r="G45" s="14">
        <v>200000</v>
      </c>
      <c r="H45" s="14">
        <v>199824.82</v>
      </c>
      <c r="I45" s="14">
        <v>200000</v>
      </c>
      <c r="J45" s="14">
        <v>199824.82</v>
      </c>
      <c r="K45" s="12">
        <v>4668</v>
      </c>
      <c r="L45" s="10" t="s">
        <v>101</v>
      </c>
      <c r="M45" s="10" t="s">
        <v>102</v>
      </c>
      <c r="N45" s="124" t="s">
        <v>486</v>
      </c>
      <c r="O45" s="124" t="s">
        <v>486</v>
      </c>
      <c r="P45" s="21">
        <v>32</v>
      </c>
      <c r="Q45" s="10" t="s">
        <v>54</v>
      </c>
      <c r="R45" s="10" t="s">
        <v>28</v>
      </c>
      <c r="S45" s="10"/>
      <c r="T45" s="10"/>
      <c r="U45" s="10" t="s">
        <v>2854</v>
      </c>
      <c r="V45" s="10" t="s">
        <v>2854</v>
      </c>
      <c r="W45" s="50">
        <f>+J45/$W$2</f>
        <v>2.6565848211472262E-6</v>
      </c>
    </row>
    <row r="46" spans="1:29">
      <c r="A46" s="10" t="s">
        <v>2917</v>
      </c>
      <c r="B46" s="10" t="s">
        <v>381</v>
      </c>
      <c r="C46" s="124">
        <v>46295</v>
      </c>
      <c r="D46" s="124" t="s">
        <v>492</v>
      </c>
      <c r="E46" s="21">
        <v>0.99912407000000003</v>
      </c>
      <c r="F46" s="10"/>
      <c r="G46" s="14">
        <v>808920.03</v>
      </c>
      <c r="H46" s="14">
        <v>808211.47</v>
      </c>
      <c r="I46" s="14">
        <v>808920.03</v>
      </c>
      <c r="J46" s="14">
        <v>808211.47</v>
      </c>
      <c r="K46" s="12">
        <v>2882</v>
      </c>
      <c r="L46" s="10" t="s">
        <v>101</v>
      </c>
      <c r="M46" s="10" t="s">
        <v>102</v>
      </c>
      <c r="N46" s="124" t="s">
        <v>486</v>
      </c>
      <c r="O46" s="124" t="s">
        <v>486</v>
      </c>
      <c r="P46" s="21">
        <v>32</v>
      </c>
      <c r="Q46" s="10" t="s">
        <v>54</v>
      </c>
      <c r="R46" s="10" t="s">
        <v>28</v>
      </c>
      <c r="S46" s="10"/>
      <c r="T46" s="10"/>
      <c r="U46" s="10" t="s">
        <v>2855</v>
      </c>
      <c r="V46" s="10" t="s">
        <v>2855</v>
      </c>
      <c r="W46" s="50">
        <f>+J46/$W$2</f>
        <v>1.0744823007868025E-5</v>
      </c>
    </row>
    <row r="47" spans="1:29">
      <c r="A47" s="10" t="s">
        <v>596</v>
      </c>
      <c r="B47" s="10" t="s">
        <v>381</v>
      </c>
      <c r="C47" s="124">
        <v>46295</v>
      </c>
      <c r="D47" s="124" t="s">
        <v>492</v>
      </c>
      <c r="E47" s="21">
        <v>0.99912405999999998</v>
      </c>
      <c r="F47" s="10"/>
      <c r="G47" s="14">
        <v>30000000</v>
      </c>
      <c r="H47" s="14">
        <v>29973721.75</v>
      </c>
      <c r="I47" s="14">
        <v>30000000</v>
      </c>
      <c r="J47" s="14">
        <v>29973721.75</v>
      </c>
      <c r="K47" s="12">
        <v>29635892</v>
      </c>
      <c r="L47" s="10" t="s">
        <v>101</v>
      </c>
      <c r="M47" s="10" t="s">
        <v>102</v>
      </c>
      <c r="N47" s="124" t="s">
        <v>396</v>
      </c>
      <c r="O47" s="124" t="s">
        <v>396</v>
      </c>
      <c r="P47" s="21">
        <v>32</v>
      </c>
      <c r="Q47" s="10" t="s">
        <v>54</v>
      </c>
      <c r="R47" s="10" t="s">
        <v>28</v>
      </c>
      <c r="S47" s="10"/>
      <c r="T47" s="10"/>
      <c r="U47" s="10" t="s">
        <v>878</v>
      </c>
      <c r="V47" s="10" t="s">
        <v>878</v>
      </c>
      <c r="W47" s="50">
        <f>+J47/$W$2</f>
        <v>3.9848770655387291E-4</v>
      </c>
    </row>
    <row r="48" spans="1:29">
      <c r="A48" s="10" t="s">
        <v>2922</v>
      </c>
      <c r="B48" s="10" t="s">
        <v>381</v>
      </c>
      <c r="C48" s="124">
        <v>46295</v>
      </c>
      <c r="D48" s="124" t="s">
        <v>492</v>
      </c>
      <c r="E48" s="21">
        <v>0.99912403999999999</v>
      </c>
      <c r="F48" s="10"/>
      <c r="G48" s="14">
        <v>73770.070000000007</v>
      </c>
      <c r="H48" s="14">
        <v>73705.45</v>
      </c>
      <c r="I48" s="14">
        <v>73770.070000000007</v>
      </c>
      <c r="J48" s="14">
        <v>73705.45</v>
      </c>
      <c r="K48" s="12">
        <v>75636568</v>
      </c>
      <c r="L48" s="10" t="s">
        <v>101</v>
      </c>
      <c r="M48" s="10" t="s">
        <v>102</v>
      </c>
      <c r="N48" s="124" t="s">
        <v>486</v>
      </c>
      <c r="O48" s="124" t="s">
        <v>486</v>
      </c>
      <c r="P48" s="21">
        <v>32</v>
      </c>
      <c r="Q48" s="10" t="s">
        <v>54</v>
      </c>
      <c r="R48" s="10" t="s">
        <v>28</v>
      </c>
      <c r="S48" s="10"/>
      <c r="T48" s="10"/>
      <c r="U48" s="10" t="s">
        <v>2853</v>
      </c>
      <c r="V48" s="10" t="s">
        <v>2853</v>
      </c>
      <c r="W48" s="50">
        <f>+J48/$W$2</f>
        <v>9.7988217732825086E-7</v>
      </c>
    </row>
    <row r="49" spans="1:23">
      <c r="A49" s="10" t="s">
        <v>1427</v>
      </c>
      <c r="B49" s="10" t="s">
        <v>381</v>
      </c>
      <c r="C49" s="124">
        <v>46295</v>
      </c>
      <c r="D49" s="124" t="s">
        <v>492</v>
      </c>
      <c r="E49" s="21">
        <v>0.99923346999999996</v>
      </c>
      <c r="F49" s="10"/>
      <c r="G49" s="14">
        <v>12000000</v>
      </c>
      <c r="H49" s="14">
        <v>11990801.58</v>
      </c>
      <c r="I49" s="14">
        <v>12000000</v>
      </c>
      <c r="J49" s="14">
        <v>11990801.58</v>
      </c>
      <c r="K49" s="12">
        <v>29830739</v>
      </c>
      <c r="L49" s="10" t="s">
        <v>101</v>
      </c>
      <c r="M49" s="10" t="s">
        <v>102</v>
      </c>
      <c r="N49" s="124" t="s">
        <v>548</v>
      </c>
      <c r="O49" s="124" t="s">
        <v>548</v>
      </c>
      <c r="P49" s="21">
        <v>28</v>
      </c>
      <c r="Q49" s="10" t="s">
        <v>54</v>
      </c>
      <c r="R49" s="10" t="s">
        <v>28</v>
      </c>
      <c r="S49" s="10"/>
      <c r="T49" s="10"/>
      <c r="U49" s="10" t="s">
        <v>1396</v>
      </c>
      <c r="V49" s="10" t="s">
        <v>1396</v>
      </c>
      <c r="W49" s="50">
        <f>+J49/$W$2</f>
        <v>1.5941253679505968E-4</v>
      </c>
    </row>
    <row r="50" spans="1:23">
      <c r="A50" s="10" t="s">
        <v>334</v>
      </c>
      <c r="B50" s="10" t="s">
        <v>381</v>
      </c>
      <c r="C50" s="124">
        <v>46295</v>
      </c>
      <c r="D50" s="124" t="s">
        <v>492</v>
      </c>
      <c r="E50" s="21">
        <v>0.99912405999999998</v>
      </c>
      <c r="F50" s="10"/>
      <c r="G50" s="14">
        <v>40000000</v>
      </c>
      <c r="H50" s="14">
        <v>39964962.32</v>
      </c>
      <c r="I50" s="14">
        <v>40000000</v>
      </c>
      <c r="J50" s="14">
        <v>39964962.32</v>
      </c>
      <c r="K50" s="12">
        <v>13662792</v>
      </c>
      <c r="L50" s="10" t="s">
        <v>101</v>
      </c>
      <c r="M50" s="10" t="s">
        <v>102</v>
      </c>
      <c r="N50" s="124" t="s">
        <v>318</v>
      </c>
      <c r="O50" s="124" t="s">
        <v>318</v>
      </c>
      <c r="P50" s="21">
        <v>32</v>
      </c>
      <c r="Q50" s="10" t="s">
        <v>54</v>
      </c>
      <c r="R50" s="10" t="s">
        <v>28</v>
      </c>
      <c r="S50" s="10"/>
      <c r="T50" s="10"/>
      <c r="U50" s="10" t="s">
        <v>702</v>
      </c>
      <c r="V50" s="10" t="s">
        <v>702</v>
      </c>
      <c r="W50" s="50">
        <f>+J50/$W$2</f>
        <v>5.313169418945696E-4</v>
      </c>
    </row>
    <row r="51" spans="1:23">
      <c r="A51" s="10" t="s">
        <v>1424</v>
      </c>
      <c r="B51" s="10" t="s">
        <v>381</v>
      </c>
      <c r="C51" s="124">
        <v>46295</v>
      </c>
      <c r="D51" s="124" t="s">
        <v>492</v>
      </c>
      <c r="E51" s="21">
        <v>0.99923346000000002</v>
      </c>
      <c r="F51" s="10"/>
      <c r="G51" s="14">
        <v>19222299.34</v>
      </c>
      <c r="H51" s="14">
        <v>19207564.77</v>
      </c>
      <c r="I51" s="14">
        <v>19222299.34</v>
      </c>
      <c r="J51" s="14">
        <v>19207564.77</v>
      </c>
      <c r="K51" s="12">
        <v>10537631</v>
      </c>
      <c r="L51" s="10" t="s">
        <v>101</v>
      </c>
      <c r="M51" s="10" t="s">
        <v>102</v>
      </c>
      <c r="N51" s="124" t="s">
        <v>548</v>
      </c>
      <c r="O51" s="124" t="s">
        <v>548</v>
      </c>
      <c r="P51" s="21">
        <v>28</v>
      </c>
      <c r="Q51" s="10" t="s">
        <v>54</v>
      </c>
      <c r="R51" s="10" t="s">
        <v>28</v>
      </c>
      <c r="S51" s="10"/>
      <c r="T51" s="10"/>
      <c r="U51" s="10" t="s">
        <v>1407</v>
      </c>
      <c r="V51" s="10" t="s">
        <v>1407</v>
      </c>
      <c r="W51" s="50">
        <f>+J51/$W$2</f>
        <v>2.553562916717964E-4</v>
      </c>
    </row>
    <row r="52" spans="1:23">
      <c r="A52" s="10" t="s">
        <v>208</v>
      </c>
      <c r="B52" s="10" t="s">
        <v>381</v>
      </c>
      <c r="C52" s="124">
        <v>46295</v>
      </c>
      <c r="D52" s="124" t="s">
        <v>492</v>
      </c>
      <c r="E52" s="21">
        <v>0.99909671</v>
      </c>
      <c r="F52" s="10"/>
      <c r="G52" s="14">
        <v>2500000</v>
      </c>
      <c r="H52" s="14">
        <v>2497741.77</v>
      </c>
      <c r="I52" s="14">
        <v>2500000</v>
      </c>
      <c r="J52" s="14">
        <v>2497741.77</v>
      </c>
      <c r="K52" s="12">
        <v>1202</v>
      </c>
      <c r="L52" s="10" t="s">
        <v>101</v>
      </c>
      <c r="M52" s="10" t="s">
        <v>102</v>
      </c>
      <c r="N52" s="124" t="s">
        <v>150</v>
      </c>
      <c r="O52" s="124" t="s">
        <v>150</v>
      </c>
      <c r="P52" s="21">
        <v>33</v>
      </c>
      <c r="Q52" s="10" t="s">
        <v>54</v>
      </c>
      <c r="R52" s="10" t="s">
        <v>28</v>
      </c>
      <c r="S52" s="10"/>
      <c r="T52" s="10"/>
      <c r="U52" s="10" t="s">
        <v>605</v>
      </c>
      <c r="V52" s="10" t="s">
        <v>605</v>
      </c>
      <c r="W52" s="50">
        <f>+J52/$W$2</f>
        <v>3.320639985226763E-5</v>
      </c>
    </row>
    <row r="53" spans="1:23">
      <c r="A53" s="10" t="s">
        <v>353</v>
      </c>
      <c r="B53" s="10" t="s">
        <v>381</v>
      </c>
      <c r="C53" s="124">
        <v>46295</v>
      </c>
      <c r="D53" s="124" t="s">
        <v>492</v>
      </c>
      <c r="E53" s="21">
        <v>0.99909671</v>
      </c>
      <c r="F53" s="10"/>
      <c r="G53" s="14">
        <v>5000000</v>
      </c>
      <c r="H53" s="14">
        <v>4995483.55</v>
      </c>
      <c r="I53" s="14">
        <v>5000000</v>
      </c>
      <c r="J53" s="14">
        <v>4995483.55</v>
      </c>
      <c r="K53" s="12">
        <v>3042</v>
      </c>
      <c r="L53" s="10" t="s">
        <v>101</v>
      </c>
      <c r="M53" s="10" t="s">
        <v>102</v>
      </c>
      <c r="N53" s="124" t="s">
        <v>155</v>
      </c>
      <c r="O53" s="124" t="s">
        <v>155</v>
      </c>
      <c r="P53" s="21">
        <v>33</v>
      </c>
      <c r="Q53" s="10" t="s">
        <v>54</v>
      </c>
      <c r="R53" s="10" t="s">
        <v>28</v>
      </c>
      <c r="S53" s="10"/>
      <c r="T53" s="10"/>
      <c r="U53" s="10" t="s">
        <v>1060</v>
      </c>
      <c r="V53" s="10" t="s">
        <v>1060</v>
      </c>
      <c r="W53" s="50">
        <f>+J53/$W$2</f>
        <v>6.6412799837480956E-5</v>
      </c>
    </row>
    <row r="54" spans="1:23">
      <c r="A54" s="10" t="s">
        <v>273</v>
      </c>
      <c r="B54" s="10" t="s">
        <v>381</v>
      </c>
      <c r="C54" s="124">
        <v>46295</v>
      </c>
      <c r="D54" s="124" t="s">
        <v>492</v>
      </c>
      <c r="E54" s="21">
        <v>0.99923346999999996</v>
      </c>
      <c r="F54" s="10"/>
      <c r="G54" s="14">
        <v>9000000</v>
      </c>
      <c r="H54" s="14">
        <v>8993101.1899999995</v>
      </c>
      <c r="I54" s="14">
        <v>9000000</v>
      </c>
      <c r="J54" s="14">
        <v>8993101.1899999995</v>
      </c>
      <c r="K54" s="12">
        <v>68958373</v>
      </c>
      <c r="L54" s="10" t="s">
        <v>101</v>
      </c>
      <c r="M54" s="10" t="s">
        <v>102</v>
      </c>
      <c r="N54" s="124" t="s">
        <v>322</v>
      </c>
      <c r="O54" s="124" t="s">
        <v>322</v>
      </c>
      <c r="P54" s="21">
        <v>28</v>
      </c>
      <c r="Q54" s="10" t="s">
        <v>54</v>
      </c>
      <c r="R54" s="10" t="s">
        <v>28</v>
      </c>
      <c r="S54" s="10"/>
      <c r="T54" s="10"/>
      <c r="U54" s="10" t="s">
        <v>1585</v>
      </c>
      <c r="V54" s="10" t="s">
        <v>1585</v>
      </c>
      <c r="W54" s="50">
        <f>+J54/$W$2</f>
        <v>1.195594026627676E-4</v>
      </c>
    </row>
    <row r="55" spans="1:23">
      <c r="A55" s="10" t="s">
        <v>273</v>
      </c>
      <c r="B55" s="10" t="s">
        <v>381</v>
      </c>
      <c r="C55" s="124">
        <v>46295</v>
      </c>
      <c r="D55" s="124" t="s">
        <v>492</v>
      </c>
      <c r="E55" s="21">
        <v>0.99923346999999996</v>
      </c>
      <c r="F55" s="10"/>
      <c r="G55" s="14">
        <v>14000000</v>
      </c>
      <c r="H55" s="14">
        <v>13989268.52</v>
      </c>
      <c r="I55" s="14">
        <v>14000000</v>
      </c>
      <c r="J55" s="14">
        <v>13989268.52</v>
      </c>
      <c r="K55" s="12">
        <v>198</v>
      </c>
      <c r="L55" s="10" t="s">
        <v>101</v>
      </c>
      <c r="M55" s="10" t="s">
        <v>102</v>
      </c>
      <c r="N55" s="124" t="s">
        <v>322</v>
      </c>
      <c r="O55" s="124" t="s">
        <v>322</v>
      </c>
      <c r="P55" s="21">
        <v>28</v>
      </c>
      <c r="Q55" s="10" t="s">
        <v>54</v>
      </c>
      <c r="R55" s="10" t="s">
        <v>28</v>
      </c>
      <c r="S55" s="10"/>
      <c r="T55" s="10"/>
      <c r="U55" s="10" t="s">
        <v>1568</v>
      </c>
      <c r="V55" s="10" t="s">
        <v>1568</v>
      </c>
      <c r="W55" s="50">
        <f>+J55/$W$2</f>
        <v>1.859812930605153E-4</v>
      </c>
    </row>
    <row r="56" spans="1:23">
      <c r="A56" s="10" t="s">
        <v>1668</v>
      </c>
      <c r="B56" s="10" t="s">
        <v>381</v>
      </c>
      <c r="C56" s="124">
        <v>46295</v>
      </c>
      <c r="D56" s="124" t="s">
        <v>492</v>
      </c>
      <c r="E56" s="21">
        <v>0.99909672999999999</v>
      </c>
      <c r="F56" s="10"/>
      <c r="G56" s="14">
        <v>437235</v>
      </c>
      <c r="H56" s="14">
        <v>436840.06</v>
      </c>
      <c r="I56" s="14">
        <v>437235</v>
      </c>
      <c r="J56" s="14">
        <v>436840.06</v>
      </c>
      <c r="K56" s="12">
        <v>88187681</v>
      </c>
      <c r="L56" s="10" t="s">
        <v>101</v>
      </c>
      <c r="M56" s="10" t="s">
        <v>102</v>
      </c>
      <c r="N56" s="124" t="s">
        <v>483</v>
      </c>
      <c r="O56" s="124" t="s">
        <v>483</v>
      </c>
      <c r="P56" s="21">
        <v>33</v>
      </c>
      <c r="Q56" s="10" t="s">
        <v>54</v>
      </c>
      <c r="R56" s="10" t="s">
        <v>28</v>
      </c>
      <c r="S56" s="10"/>
      <c r="T56" s="10"/>
      <c r="U56" s="10" t="s">
        <v>2437</v>
      </c>
      <c r="V56" s="10" t="s">
        <v>2437</v>
      </c>
      <c r="W56" s="50">
        <f>+J56/$W$2</f>
        <v>5.8076002403757626E-6</v>
      </c>
    </row>
    <row r="57" spans="1:23">
      <c r="A57" s="10" t="s">
        <v>1670</v>
      </c>
      <c r="B57" s="10" t="s">
        <v>381</v>
      </c>
      <c r="C57" s="124">
        <v>46295</v>
      </c>
      <c r="D57" s="124" t="s">
        <v>492</v>
      </c>
      <c r="E57" s="21">
        <v>0.99909671</v>
      </c>
      <c r="F57" s="10"/>
      <c r="G57" s="14">
        <v>42880531.420000002</v>
      </c>
      <c r="H57" s="14">
        <v>42841797.899999999</v>
      </c>
      <c r="I57" s="14">
        <v>42880531.420000002</v>
      </c>
      <c r="J57" s="14">
        <v>42841797.899999999</v>
      </c>
      <c r="K57" s="12">
        <v>68960995</v>
      </c>
      <c r="L57" s="10" t="s">
        <v>101</v>
      </c>
      <c r="M57" s="10" t="s">
        <v>102</v>
      </c>
      <c r="N57" s="124" t="s">
        <v>163</v>
      </c>
      <c r="O57" s="124" t="s">
        <v>163</v>
      </c>
      <c r="P57" s="21">
        <v>33</v>
      </c>
      <c r="Q57" s="10" t="s">
        <v>54</v>
      </c>
      <c r="R57" s="10" t="s">
        <v>28</v>
      </c>
      <c r="S57" s="10"/>
      <c r="T57" s="10"/>
      <c r="U57" s="10" t="s">
        <v>1659</v>
      </c>
      <c r="V57" s="10" t="s">
        <v>1659</v>
      </c>
      <c r="W57" s="50">
        <f>+J57/$W$2</f>
        <v>5.6956323049257396E-4</v>
      </c>
    </row>
    <row r="58" spans="1:23">
      <c r="A58" s="10" t="s">
        <v>2129</v>
      </c>
      <c r="B58" s="10" t="s">
        <v>381</v>
      </c>
      <c r="C58" s="124">
        <v>46295</v>
      </c>
      <c r="D58" s="124" t="s">
        <v>492</v>
      </c>
      <c r="E58" s="21">
        <v>0.99915140999999996</v>
      </c>
      <c r="F58" s="10"/>
      <c r="G58" s="14">
        <v>2408000</v>
      </c>
      <c r="H58" s="14">
        <v>2405956.6</v>
      </c>
      <c r="I58" s="14">
        <v>2408000</v>
      </c>
      <c r="J58" s="14">
        <v>2405956.6</v>
      </c>
      <c r="K58" s="12">
        <v>759</v>
      </c>
      <c r="L58" s="10" t="s">
        <v>101</v>
      </c>
      <c r="M58" s="10" t="s">
        <v>102</v>
      </c>
      <c r="N58" s="124" t="s">
        <v>421</v>
      </c>
      <c r="O58" s="124" t="s">
        <v>421</v>
      </c>
      <c r="P58" s="21">
        <v>31</v>
      </c>
      <c r="Q58" s="10" t="s">
        <v>54</v>
      </c>
      <c r="R58" s="10" t="s">
        <v>28</v>
      </c>
      <c r="S58" s="10"/>
      <c r="T58" s="10"/>
      <c r="U58" s="10" t="s">
        <v>2123</v>
      </c>
      <c r="V58" s="10" t="s">
        <v>2123</v>
      </c>
      <c r="W58" s="50">
        <f>+J58/$W$2</f>
        <v>3.1986155593179008E-5</v>
      </c>
    </row>
    <row r="59" spans="1:23">
      <c r="A59" s="10" t="s">
        <v>404</v>
      </c>
      <c r="B59" s="10" t="s">
        <v>381</v>
      </c>
      <c r="C59" s="124">
        <v>46295</v>
      </c>
      <c r="D59" s="124" t="s">
        <v>492</v>
      </c>
      <c r="E59" s="21">
        <v>0.99917876000000005</v>
      </c>
      <c r="F59" s="10"/>
      <c r="G59" s="14">
        <v>50000000</v>
      </c>
      <c r="H59" s="14">
        <v>49958937.950000003</v>
      </c>
      <c r="I59" s="14">
        <v>50000000</v>
      </c>
      <c r="J59" s="14">
        <v>49958937.950000003</v>
      </c>
      <c r="K59" s="12">
        <v>787</v>
      </c>
      <c r="L59" s="10" t="s">
        <v>101</v>
      </c>
      <c r="M59" s="10" t="s">
        <v>102</v>
      </c>
      <c r="N59" s="124" t="s">
        <v>277</v>
      </c>
      <c r="O59" s="124" t="s">
        <v>277</v>
      </c>
      <c r="P59" s="21">
        <v>30</v>
      </c>
      <c r="Q59" s="10" t="s">
        <v>54</v>
      </c>
      <c r="R59" s="10" t="s">
        <v>28</v>
      </c>
      <c r="S59" s="10"/>
      <c r="T59" s="10"/>
      <c r="U59" s="10" t="s">
        <v>505</v>
      </c>
      <c r="V59" s="10" t="s">
        <v>505</v>
      </c>
      <c r="W59" s="50">
        <f>+J59/$W$2</f>
        <v>6.6418253867865933E-4</v>
      </c>
    </row>
    <row r="60" spans="1:23">
      <c r="A60" s="10" t="s">
        <v>151</v>
      </c>
      <c r="B60" s="10" t="s">
        <v>381</v>
      </c>
      <c r="C60" s="124">
        <v>46295</v>
      </c>
      <c r="D60" s="124" t="s">
        <v>492</v>
      </c>
      <c r="E60" s="21">
        <v>0.99923346000000002</v>
      </c>
      <c r="F60" s="10"/>
      <c r="G60" s="14">
        <v>35000000</v>
      </c>
      <c r="H60" s="14">
        <v>34973171.270000003</v>
      </c>
      <c r="I60" s="14">
        <v>35000000</v>
      </c>
      <c r="J60" s="14">
        <v>34973171.270000003</v>
      </c>
      <c r="K60" s="12">
        <v>3329633</v>
      </c>
      <c r="L60" s="10" t="s">
        <v>101</v>
      </c>
      <c r="M60" s="10" t="s">
        <v>102</v>
      </c>
      <c r="N60" s="124" t="s">
        <v>291</v>
      </c>
      <c r="O60" s="124" t="s">
        <v>291</v>
      </c>
      <c r="P60" s="21">
        <v>28</v>
      </c>
      <c r="Q60" s="10" t="s">
        <v>54</v>
      </c>
      <c r="R60" s="10" t="s">
        <v>28</v>
      </c>
      <c r="S60" s="10"/>
      <c r="T60" s="10"/>
      <c r="U60" s="10" t="s">
        <v>558</v>
      </c>
      <c r="V60" s="10" t="s">
        <v>558</v>
      </c>
      <c r="W60" s="50">
        <f>+J60/$W$2</f>
        <v>4.6495323225245126E-4</v>
      </c>
    </row>
    <row r="61" spans="1:23">
      <c r="A61" s="10" t="s">
        <v>272</v>
      </c>
      <c r="B61" s="10" t="s">
        <v>381</v>
      </c>
      <c r="C61" s="124">
        <v>46295</v>
      </c>
      <c r="D61" s="124" t="s">
        <v>492</v>
      </c>
      <c r="E61" s="21">
        <v>0.99926082000000005</v>
      </c>
      <c r="F61" s="10"/>
      <c r="G61" s="14">
        <v>5000000</v>
      </c>
      <c r="H61" s="14">
        <v>4996304.12</v>
      </c>
      <c r="I61" s="14">
        <v>5000000</v>
      </c>
      <c r="J61" s="14">
        <v>4996304.12</v>
      </c>
      <c r="K61" s="12">
        <v>6903287</v>
      </c>
      <c r="L61" s="10" t="s">
        <v>101</v>
      </c>
      <c r="M61" s="10" t="s">
        <v>102</v>
      </c>
      <c r="N61" s="124" t="s">
        <v>390</v>
      </c>
      <c r="O61" s="124" t="s">
        <v>390</v>
      </c>
      <c r="P61" s="21">
        <v>27</v>
      </c>
      <c r="Q61" s="10" t="s">
        <v>54</v>
      </c>
      <c r="R61" s="10" t="s">
        <v>28</v>
      </c>
      <c r="S61" s="10"/>
      <c r="T61" s="10"/>
      <c r="U61" s="10" t="s">
        <v>2027</v>
      </c>
      <c r="V61" s="10" t="s">
        <v>2027</v>
      </c>
      <c r="W61" s="50">
        <f>+J61/$W$2</f>
        <v>6.6423708961816402E-5</v>
      </c>
    </row>
    <row r="62" spans="1:23">
      <c r="A62" s="10" t="s">
        <v>272</v>
      </c>
      <c r="B62" s="10" t="s">
        <v>381</v>
      </c>
      <c r="C62" s="124">
        <v>46295</v>
      </c>
      <c r="D62" s="124" t="s">
        <v>492</v>
      </c>
      <c r="E62" s="21">
        <v>0.99931552000000001</v>
      </c>
      <c r="F62" s="10"/>
      <c r="G62" s="14">
        <v>408135</v>
      </c>
      <c r="H62" s="14">
        <v>407855.64</v>
      </c>
      <c r="I62" s="14">
        <v>408135</v>
      </c>
      <c r="J62" s="14">
        <v>407855.64</v>
      </c>
      <c r="K62" s="12">
        <v>2227</v>
      </c>
      <c r="L62" s="10" t="s">
        <v>101</v>
      </c>
      <c r="M62" s="10" t="s">
        <v>102</v>
      </c>
      <c r="N62" s="124" t="s">
        <v>165</v>
      </c>
      <c r="O62" s="124" t="s">
        <v>165</v>
      </c>
      <c r="P62" s="21">
        <v>25</v>
      </c>
      <c r="Q62" s="10" t="s">
        <v>54</v>
      </c>
      <c r="R62" s="10" t="s">
        <v>28</v>
      </c>
      <c r="S62" s="10"/>
      <c r="T62" s="10"/>
      <c r="U62" s="10" t="s">
        <v>1260</v>
      </c>
      <c r="V62" s="10" t="s">
        <v>1260</v>
      </c>
      <c r="W62" s="50">
        <f>+J62/$W$2</f>
        <v>5.422264874019591E-6</v>
      </c>
    </row>
    <row r="63" spans="1:23">
      <c r="A63" s="10" t="s">
        <v>931</v>
      </c>
      <c r="B63" s="10" t="s">
        <v>381</v>
      </c>
      <c r="C63" s="124">
        <v>46295</v>
      </c>
      <c r="D63" s="124" t="s">
        <v>492</v>
      </c>
      <c r="E63" s="21">
        <v>0.99917876000000005</v>
      </c>
      <c r="F63" s="10"/>
      <c r="G63" s="14">
        <v>830000</v>
      </c>
      <c r="H63" s="14">
        <v>829318.37</v>
      </c>
      <c r="I63" s="14">
        <v>830000</v>
      </c>
      <c r="J63" s="14">
        <v>829318.37</v>
      </c>
      <c r="K63" s="12">
        <v>90</v>
      </c>
      <c r="L63" s="10" t="s">
        <v>101</v>
      </c>
      <c r="M63" s="10" t="s">
        <v>102</v>
      </c>
      <c r="N63" s="124" t="s">
        <v>323</v>
      </c>
      <c r="O63" s="124" t="s">
        <v>323</v>
      </c>
      <c r="P63" s="21">
        <v>30</v>
      </c>
      <c r="Q63" s="10" t="s">
        <v>54</v>
      </c>
      <c r="R63" s="10" t="s">
        <v>28</v>
      </c>
      <c r="S63" s="10"/>
      <c r="T63" s="10"/>
      <c r="U63" s="10" t="s">
        <v>932</v>
      </c>
      <c r="V63" s="10" t="s">
        <v>932</v>
      </c>
      <c r="W63" s="50">
        <f>+J63/$W$2</f>
        <v>1.102543014246458E-5</v>
      </c>
    </row>
    <row r="64" spans="1:23">
      <c r="A64" s="10" t="s">
        <v>934</v>
      </c>
      <c r="B64" s="10" t="s">
        <v>381</v>
      </c>
      <c r="C64" s="124">
        <v>46295</v>
      </c>
      <c r="D64" s="124" t="s">
        <v>492</v>
      </c>
      <c r="E64" s="21">
        <v>0.99917876000000005</v>
      </c>
      <c r="F64" s="10"/>
      <c r="G64" s="14">
        <v>2500000</v>
      </c>
      <c r="H64" s="14">
        <v>2497946.9</v>
      </c>
      <c r="I64" s="14">
        <v>2500000</v>
      </c>
      <c r="J64" s="14">
        <v>2497946.9</v>
      </c>
      <c r="K64" s="12">
        <v>383</v>
      </c>
      <c r="L64" s="10" t="s">
        <v>101</v>
      </c>
      <c r="M64" s="10" t="s">
        <v>102</v>
      </c>
      <c r="N64" s="124" t="s">
        <v>323</v>
      </c>
      <c r="O64" s="124" t="s">
        <v>323</v>
      </c>
      <c r="P64" s="21">
        <v>30</v>
      </c>
      <c r="Q64" s="10" t="s">
        <v>54</v>
      </c>
      <c r="R64" s="10" t="s">
        <v>28</v>
      </c>
      <c r="S64" s="10"/>
      <c r="T64" s="10"/>
      <c r="U64" s="10" t="s">
        <v>935</v>
      </c>
      <c r="V64" s="10" t="s">
        <v>935</v>
      </c>
      <c r="W64" s="50">
        <f>+J64/$W$2</f>
        <v>3.3209126967169383E-5</v>
      </c>
    </row>
    <row r="65" spans="1:29">
      <c r="A65" s="10" t="s">
        <v>1043</v>
      </c>
      <c r="B65" s="10" t="s">
        <v>381</v>
      </c>
      <c r="C65" s="124">
        <v>46295</v>
      </c>
      <c r="D65" s="124" t="s">
        <v>492</v>
      </c>
      <c r="E65" s="21">
        <v>0.99917876000000005</v>
      </c>
      <c r="F65" s="10"/>
      <c r="G65" s="14">
        <v>2870567.11</v>
      </c>
      <c r="H65" s="14">
        <v>2868209.68</v>
      </c>
      <c r="I65" s="14">
        <v>2870567.11</v>
      </c>
      <c r="J65" s="14">
        <v>2868209.68</v>
      </c>
      <c r="K65" s="12">
        <v>107</v>
      </c>
      <c r="L65" s="10" t="s">
        <v>101</v>
      </c>
      <c r="M65" s="10" t="s">
        <v>102</v>
      </c>
      <c r="N65" s="124" t="s">
        <v>361</v>
      </c>
      <c r="O65" s="124" t="s">
        <v>361</v>
      </c>
      <c r="P65" s="21">
        <v>30</v>
      </c>
      <c r="Q65" s="10" t="s">
        <v>54</v>
      </c>
      <c r="R65" s="10" t="s">
        <v>28</v>
      </c>
      <c r="S65" s="10"/>
      <c r="T65" s="10"/>
      <c r="U65" s="10" t="s">
        <v>1041</v>
      </c>
      <c r="V65" s="10" t="s">
        <v>1041</v>
      </c>
      <c r="W65" s="50">
        <f>+J65/$W$2</f>
        <v>3.8131610976832323E-5</v>
      </c>
    </row>
    <row r="66" spans="1:29">
      <c r="A66" s="10" t="s">
        <v>1189</v>
      </c>
      <c r="B66" s="10" t="s">
        <v>381</v>
      </c>
      <c r="C66" s="124">
        <v>46295</v>
      </c>
      <c r="D66" s="124" t="s">
        <v>492</v>
      </c>
      <c r="E66" s="21">
        <v>0.99917876999999999</v>
      </c>
      <c r="F66" s="10"/>
      <c r="G66" s="14">
        <v>555886.5</v>
      </c>
      <c r="H66" s="14">
        <v>555429.99</v>
      </c>
      <c r="I66" s="14">
        <v>555886.5</v>
      </c>
      <c r="J66" s="14">
        <v>555429.99</v>
      </c>
      <c r="K66" s="12">
        <v>113284</v>
      </c>
      <c r="L66" s="10" t="s">
        <v>101</v>
      </c>
      <c r="M66" s="10" t="s">
        <v>102</v>
      </c>
      <c r="N66" s="124" t="s">
        <v>363</v>
      </c>
      <c r="O66" s="124" t="s">
        <v>363</v>
      </c>
      <c r="P66" s="21">
        <v>30</v>
      </c>
      <c r="Q66" s="10" t="s">
        <v>54</v>
      </c>
      <c r="R66" s="10" t="s">
        <v>28</v>
      </c>
      <c r="S66" s="10"/>
      <c r="T66" s="10"/>
      <c r="U66" s="10" t="s">
        <v>1172</v>
      </c>
      <c r="V66" s="10" t="s">
        <v>1172</v>
      </c>
      <c r="W66" s="50">
        <f>+J66/$W$2</f>
        <v>7.384202225949487E-6</v>
      </c>
    </row>
    <row r="67" spans="1:29">
      <c r="A67" s="10" t="s">
        <v>1115</v>
      </c>
      <c r="B67" s="10" t="s">
        <v>381</v>
      </c>
      <c r="C67" s="124">
        <v>46295</v>
      </c>
      <c r="D67" s="124" t="s">
        <v>492</v>
      </c>
      <c r="E67" s="21">
        <v>0.99917876000000005</v>
      </c>
      <c r="F67" s="10"/>
      <c r="G67" s="14">
        <v>1500000</v>
      </c>
      <c r="H67" s="14">
        <v>1498768.14</v>
      </c>
      <c r="I67" s="14">
        <v>1500000</v>
      </c>
      <c r="J67" s="14">
        <v>1498768.14</v>
      </c>
      <c r="K67" s="12">
        <v>1971</v>
      </c>
      <c r="L67" s="10" t="s">
        <v>101</v>
      </c>
      <c r="M67" s="10" t="s">
        <v>102</v>
      </c>
      <c r="N67" s="124" t="s">
        <v>362</v>
      </c>
      <c r="O67" s="124" t="s">
        <v>362</v>
      </c>
      <c r="P67" s="21">
        <v>30</v>
      </c>
      <c r="Q67" s="10" t="s">
        <v>54</v>
      </c>
      <c r="R67" s="10" t="s">
        <v>28</v>
      </c>
      <c r="S67" s="10"/>
      <c r="T67" s="10"/>
      <c r="U67" s="10" t="s">
        <v>1107</v>
      </c>
      <c r="V67" s="10" t="s">
        <v>1107</v>
      </c>
      <c r="W67" s="50">
        <f>+J67/$W$2</f>
        <v>1.9925476180301631E-5</v>
      </c>
    </row>
    <row r="68" spans="1:29">
      <c r="A68" s="10" t="s">
        <v>1431</v>
      </c>
      <c r="B68" s="10" t="s">
        <v>381</v>
      </c>
      <c r="C68" s="124">
        <v>46295</v>
      </c>
      <c r="D68" s="124" t="s">
        <v>492</v>
      </c>
      <c r="E68" s="21">
        <v>0.99923346999999996</v>
      </c>
      <c r="F68" s="10"/>
      <c r="G68" s="14">
        <v>5225717</v>
      </c>
      <c r="H68" s="14">
        <v>5221711.3099999996</v>
      </c>
      <c r="I68" s="14">
        <v>5225717</v>
      </c>
      <c r="J68" s="14">
        <v>5221711.3099999996</v>
      </c>
      <c r="K68" s="12">
        <v>3172</v>
      </c>
      <c r="L68" s="10" t="s">
        <v>101</v>
      </c>
      <c r="M68" s="10" t="s">
        <v>102</v>
      </c>
      <c r="N68" s="124" t="s">
        <v>548</v>
      </c>
      <c r="O68" s="124" t="s">
        <v>548</v>
      </c>
      <c r="P68" s="21">
        <v>28</v>
      </c>
      <c r="Q68" s="10" t="s">
        <v>54</v>
      </c>
      <c r="R68" s="10" t="s">
        <v>28</v>
      </c>
      <c r="S68" s="10"/>
      <c r="T68" s="10"/>
      <c r="U68" s="10" t="s">
        <v>1408</v>
      </c>
      <c r="V68" s="10" t="s">
        <v>1408</v>
      </c>
      <c r="W68" s="50">
        <f>+J68/$W$2</f>
        <v>6.9420400361470602E-5</v>
      </c>
    </row>
    <row r="69" spans="1:29">
      <c r="A69" s="10" t="s">
        <v>471</v>
      </c>
      <c r="B69" s="10" t="s">
        <v>381</v>
      </c>
      <c r="C69" s="124">
        <v>46295</v>
      </c>
      <c r="D69" s="124" t="s">
        <v>492</v>
      </c>
      <c r="E69" s="21">
        <v>0.99920611000000004</v>
      </c>
      <c r="F69" s="10"/>
      <c r="G69" s="14">
        <v>10000000</v>
      </c>
      <c r="H69" s="14">
        <v>9992061.1099999994</v>
      </c>
      <c r="I69" s="14">
        <v>10000000</v>
      </c>
      <c r="J69" s="14">
        <v>9992061.1099999994</v>
      </c>
      <c r="K69" s="12">
        <v>3487824</v>
      </c>
      <c r="L69" s="10" t="s">
        <v>101</v>
      </c>
      <c r="M69" s="10" t="s">
        <v>102</v>
      </c>
      <c r="N69" s="124" t="s">
        <v>276</v>
      </c>
      <c r="O69" s="124" t="s">
        <v>276</v>
      </c>
      <c r="P69" s="21">
        <v>29</v>
      </c>
      <c r="Q69" s="10" t="s">
        <v>54</v>
      </c>
      <c r="R69" s="10" t="s">
        <v>28</v>
      </c>
      <c r="S69" s="10"/>
      <c r="T69" s="10"/>
      <c r="U69" s="10" t="s">
        <v>563</v>
      </c>
      <c r="V69" s="10" t="s">
        <v>563</v>
      </c>
      <c r="W69" s="50">
        <f>+J69/$W$2</f>
        <v>1.328401440661951E-4</v>
      </c>
    </row>
    <row r="70" spans="1:29">
      <c r="A70" s="10" t="s">
        <v>577</v>
      </c>
      <c r="B70" s="10" t="s">
        <v>381</v>
      </c>
      <c r="C70" s="124">
        <v>46295</v>
      </c>
      <c r="D70" s="124" t="s">
        <v>492</v>
      </c>
      <c r="E70" s="21">
        <v>0.99909672000000005</v>
      </c>
      <c r="F70" s="10"/>
      <c r="G70" s="14">
        <v>5818733.0800000001</v>
      </c>
      <c r="H70" s="14">
        <v>5813477.1200000001</v>
      </c>
      <c r="I70" s="14">
        <v>5818733.0800000001</v>
      </c>
      <c r="J70" s="14">
        <v>5813477.1200000001</v>
      </c>
      <c r="K70" s="12">
        <v>14315661</v>
      </c>
      <c r="L70" s="10" t="s">
        <v>101</v>
      </c>
      <c r="M70" s="10" t="s">
        <v>102</v>
      </c>
      <c r="N70" s="124" t="s">
        <v>551</v>
      </c>
      <c r="O70" s="124" t="s">
        <v>551</v>
      </c>
      <c r="P70" s="21">
        <v>33</v>
      </c>
      <c r="Q70" s="10" t="s">
        <v>54</v>
      </c>
      <c r="R70" s="10" t="s">
        <v>28</v>
      </c>
      <c r="S70" s="10"/>
      <c r="T70" s="10"/>
      <c r="U70" s="10" t="s">
        <v>2201</v>
      </c>
      <c r="V70" s="10" t="s">
        <v>2201</v>
      </c>
      <c r="W70" s="50">
        <f>+J70/$W$2</f>
        <v>7.7287671646989064E-5</v>
      </c>
    </row>
    <row r="71" spans="1:29">
      <c r="A71" s="10" t="s">
        <v>1422</v>
      </c>
      <c r="B71" s="10" t="s">
        <v>381</v>
      </c>
      <c r="C71" s="124">
        <v>46295</v>
      </c>
      <c r="D71" s="124" t="s">
        <v>492</v>
      </c>
      <c r="E71" s="21">
        <v>0.99923346999999996</v>
      </c>
      <c r="F71" s="10"/>
      <c r="G71" s="14">
        <v>11902483.460000001</v>
      </c>
      <c r="H71" s="14">
        <v>11893359.789999999</v>
      </c>
      <c r="I71" s="14">
        <v>11902483.460000001</v>
      </c>
      <c r="J71" s="14">
        <v>11893359.789999999</v>
      </c>
      <c r="K71" s="12">
        <v>31834827</v>
      </c>
      <c r="L71" s="10" t="s">
        <v>101</v>
      </c>
      <c r="M71" s="10" t="s">
        <v>102</v>
      </c>
      <c r="N71" s="124" t="s">
        <v>548</v>
      </c>
      <c r="O71" s="124" t="s">
        <v>548</v>
      </c>
      <c r="P71" s="21">
        <v>28</v>
      </c>
      <c r="Q71" s="10" t="s">
        <v>54</v>
      </c>
      <c r="R71" s="10" t="s">
        <v>28</v>
      </c>
      <c r="S71" s="10"/>
      <c r="T71" s="10"/>
      <c r="U71" s="10" t="s">
        <v>1399</v>
      </c>
      <c r="V71" s="10" t="s">
        <v>1399</v>
      </c>
      <c r="W71" s="50">
        <f>+J71/$W$2</f>
        <v>1.5811709021210058E-4</v>
      </c>
      <c r="AC71" s="47"/>
    </row>
    <row r="72" spans="1:29">
      <c r="A72" s="10" t="s">
        <v>290</v>
      </c>
      <c r="B72" s="10" t="s">
        <v>381</v>
      </c>
      <c r="C72" s="124">
        <v>46295</v>
      </c>
      <c r="D72" s="124" t="s">
        <v>492</v>
      </c>
      <c r="E72" s="21">
        <v>0.99904201999999998</v>
      </c>
      <c r="F72" s="10"/>
      <c r="G72" s="14">
        <v>6000000</v>
      </c>
      <c r="H72" s="14">
        <v>5994252.0899999999</v>
      </c>
      <c r="I72" s="14">
        <v>6000000</v>
      </c>
      <c r="J72" s="14">
        <v>5994252.0899999999</v>
      </c>
      <c r="K72" s="12">
        <v>40761910</v>
      </c>
      <c r="L72" s="10" t="s">
        <v>101</v>
      </c>
      <c r="M72" s="10" t="s">
        <v>102</v>
      </c>
      <c r="N72" s="124" t="s">
        <v>326</v>
      </c>
      <c r="O72" s="124" t="s">
        <v>326</v>
      </c>
      <c r="P72" s="21">
        <v>35</v>
      </c>
      <c r="Q72" s="10" t="s">
        <v>54</v>
      </c>
      <c r="R72" s="10" t="s">
        <v>28</v>
      </c>
      <c r="S72" s="10"/>
      <c r="T72" s="10"/>
      <c r="U72" s="10" t="s">
        <v>970</v>
      </c>
      <c r="V72" s="10" t="s">
        <v>970</v>
      </c>
      <c r="W72" s="50">
        <f>+J72/$W$2</f>
        <v>7.9690996926327952E-5</v>
      </c>
    </row>
    <row r="73" spans="1:29">
      <c r="A73" s="10" t="s">
        <v>470</v>
      </c>
      <c r="B73" s="10" t="s">
        <v>381</v>
      </c>
      <c r="C73" s="124">
        <v>46295</v>
      </c>
      <c r="D73" s="124" t="s">
        <v>492</v>
      </c>
      <c r="E73" s="21">
        <v>0.99895999000000002</v>
      </c>
      <c r="F73" s="10"/>
      <c r="G73" s="14">
        <v>4500591.28</v>
      </c>
      <c r="H73" s="14">
        <v>4495910.62</v>
      </c>
      <c r="I73" s="14">
        <v>4500591.28</v>
      </c>
      <c r="J73" s="14">
        <v>4495910.62</v>
      </c>
      <c r="K73" s="12">
        <v>90000179</v>
      </c>
      <c r="L73" s="10" t="s">
        <v>101</v>
      </c>
      <c r="M73" s="10" t="s">
        <v>102</v>
      </c>
      <c r="N73" s="124" t="s">
        <v>277</v>
      </c>
      <c r="O73" s="124" t="s">
        <v>277</v>
      </c>
      <c r="P73" s="21">
        <v>38</v>
      </c>
      <c r="Q73" s="10" t="s">
        <v>54</v>
      </c>
      <c r="R73" s="10" t="s">
        <v>28</v>
      </c>
      <c r="S73" s="10"/>
      <c r="T73" s="10"/>
      <c r="U73" s="10" t="s">
        <v>538</v>
      </c>
      <c r="V73" s="10" t="s">
        <v>538</v>
      </c>
      <c r="W73" s="50">
        <f>+J73/$W$2</f>
        <v>5.9771193139704141E-5</v>
      </c>
    </row>
    <row r="74" spans="1:29">
      <c r="A74" s="10" t="s">
        <v>675</v>
      </c>
      <c r="B74" s="10" t="s">
        <v>381</v>
      </c>
      <c r="C74" s="124">
        <v>46295</v>
      </c>
      <c r="D74" s="124" t="s">
        <v>492</v>
      </c>
      <c r="E74" s="21">
        <v>0.99917876000000005</v>
      </c>
      <c r="F74" s="10"/>
      <c r="G74" s="14">
        <v>100000000</v>
      </c>
      <c r="H74" s="14">
        <v>99917875.849999994</v>
      </c>
      <c r="I74" s="14">
        <v>100000000</v>
      </c>
      <c r="J74" s="14">
        <v>99917875.849999994</v>
      </c>
      <c r="K74" s="12">
        <v>90003961</v>
      </c>
      <c r="L74" s="10" t="s">
        <v>101</v>
      </c>
      <c r="M74" s="10" t="s">
        <v>102</v>
      </c>
      <c r="N74" s="124" t="s">
        <v>321</v>
      </c>
      <c r="O74" s="124" t="s">
        <v>321</v>
      </c>
      <c r="P74" s="21">
        <v>30</v>
      </c>
      <c r="Q74" s="10" t="s">
        <v>54</v>
      </c>
      <c r="R74" s="10" t="s">
        <v>28</v>
      </c>
      <c r="S74" s="10"/>
      <c r="T74" s="10"/>
      <c r="U74" s="10" t="s">
        <v>1241</v>
      </c>
      <c r="V74" s="10" t="s">
        <v>1241</v>
      </c>
      <c r="W74" s="50">
        <f>+J74/$W$2</f>
        <v>1.32836507669259E-3</v>
      </c>
    </row>
    <row r="75" spans="1:29">
      <c r="A75" s="10" t="s">
        <v>1470</v>
      </c>
      <c r="B75" s="10" t="s">
        <v>381</v>
      </c>
      <c r="C75" s="124">
        <v>46295</v>
      </c>
      <c r="D75" s="124" t="s">
        <v>492</v>
      </c>
      <c r="E75" s="21">
        <v>0.99909671</v>
      </c>
      <c r="F75" s="10"/>
      <c r="G75" s="14">
        <v>1716831.66</v>
      </c>
      <c r="H75" s="14">
        <v>1715280.86</v>
      </c>
      <c r="I75" s="14">
        <v>1716831.66</v>
      </c>
      <c r="J75" s="14">
        <v>1715280.86</v>
      </c>
      <c r="K75" s="12">
        <v>112156</v>
      </c>
      <c r="L75" s="10" t="s">
        <v>101</v>
      </c>
      <c r="M75" s="10" t="s">
        <v>102</v>
      </c>
      <c r="N75" s="124" t="s">
        <v>397</v>
      </c>
      <c r="O75" s="124" t="s">
        <v>397</v>
      </c>
      <c r="P75" s="21">
        <v>33</v>
      </c>
      <c r="Q75" s="10" t="s">
        <v>54</v>
      </c>
      <c r="R75" s="10" t="s">
        <v>28</v>
      </c>
      <c r="S75" s="10"/>
      <c r="T75" s="10"/>
      <c r="U75" s="10" t="s">
        <v>1457</v>
      </c>
      <c r="V75" s="10" t="s">
        <v>1457</v>
      </c>
      <c r="W75" s="50">
        <f>+J75/$W$2</f>
        <v>2.2803919436436178E-5</v>
      </c>
    </row>
    <row r="76" spans="1:29">
      <c r="A76" s="10" t="s">
        <v>1470</v>
      </c>
      <c r="B76" s="10" t="s">
        <v>381</v>
      </c>
      <c r="C76" s="124">
        <v>46295</v>
      </c>
      <c r="D76" s="124" t="s">
        <v>492</v>
      </c>
      <c r="E76" s="21">
        <v>0.99909671</v>
      </c>
      <c r="F76" s="10"/>
      <c r="G76" s="14">
        <v>21884339.98</v>
      </c>
      <c r="H76" s="14">
        <v>21864572.050000001</v>
      </c>
      <c r="I76" s="14">
        <v>21884339.98</v>
      </c>
      <c r="J76" s="14">
        <v>21864572.050000001</v>
      </c>
      <c r="K76" s="12">
        <v>112097</v>
      </c>
      <c r="L76" s="10" t="s">
        <v>101</v>
      </c>
      <c r="M76" s="10" t="s">
        <v>102</v>
      </c>
      <c r="N76" s="124" t="s">
        <v>397</v>
      </c>
      <c r="O76" s="124" t="s">
        <v>397</v>
      </c>
      <c r="P76" s="21">
        <v>33</v>
      </c>
      <c r="Q76" s="10" t="s">
        <v>54</v>
      </c>
      <c r="R76" s="10" t="s">
        <v>28</v>
      </c>
      <c r="S76" s="10"/>
      <c r="T76" s="10"/>
      <c r="U76" s="10" t="s">
        <v>1458</v>
      </c>
      <c r="V76" s="10" t="s">
        <v>1458</v>
      </c>
      <c r="W76" s="50">
        <f>+J76/$W$2</f>
        <v>2.9068005780718279E-4</v>
      </c>
    </row>
    <row r="77" spans="1:29">
      <c r="A77" s="10" t="s">
        <v>730</v>
      </c>
      <c r="B77" s="10" t="s">
        <v>381</v>
      </c>
      <c r="C77" s="124">
        <v>46295</v>
      </c>
      <c r="D77" s="124" t="s">
        <v>492</v>
      </c>
      <c r="E77" s="21">
        <v>0.99912405999999998</v>
      </c>
      <c r="F77" s="10"/>
      <c r="G77" s="14">
        <v>3696365</v>
      </c>
      <c r="H77" s="14">
        <v>3693127.22</v>
      </c>
      <c r="I77" s="14">
        <v>3696365</v>
      </c>
      <c r="J77" s="14">
        <v>3693127.22</v>
      </c>
      <c r="K77" s="12">
        <v>90044889</v>
      </c>
      <c r="L77" s="10" t="s">
        <v>101</v>
      </c>
      <c r="M77" s="10" t="s">
        <v>102</v>
      </c>
      <c r="N77" s="124" t="s">
        <v>348</v>
      </c>
      <c r="O77" s="124" t="s">
        <v>348</v>
      </c>
      <c r="P77" s="21">
        <v>32</v>
      </c>
      <c r="Q77" s="10" t="s">
        <v>54</v>
      </c>
      <c r="R77" s="10" t="s">
        <v>28</v>
      </c>
      <c r="S77" s="10"/>
      <c r="T77" s="10"/>
      <c r="U77" s="10" t="s">
        <v>1887</v>
      </c>
      <c r="V77" s="10" t="s">
        <v>1887</v>
      </c>
      <c r="W77" s="50">
        <f>+J77/$W$2</f>
        <v>4.9098533982003102E-5</v>
      </c>
    </row>
    <row r="78" spans="1:29">
      <c r="A78" s="10" t="s">
        <v>382</v>
      </c>
      <c r="B78" s="10" t="s">
        <v>381</v>
      </c>
      <c r="C78" s="124">
        <v>46295</v>
      </c>
      <c r="D78" s="124" t="s">
        <v>492</v>
      </c>
      <c r="E78" s="21">
        <v>0.99917876000000005</v>
      </c>
      <c r="F78" s="10"/>
      <c r="G78" s="14">
        <v>3300000</v>
      </c>
      <c r="H78" s="14">
        <v>3297289.91</v>
      </c>
      <c r="I78" s="14">
        <v>3300000</v>
      </c>
      <c r="J78" s="14">
        <v>3297289.91</v>
      </c>
      <c r="K78" s="12">
        <v>921</v>
      </c>
      <c r="L78" s="10" t="s">
        <v>101</v>
      </c>
      <c r="M78" s="10" t="s">
        <v>102</v>
      </c>
      <c r="N78" s="124" t="s">
        <v>397</v>
      </c>
      <c r="O78" s="124" t="s">
        <v>397</v>
      </c>
      <c r="P78" s="21">
        <v>30</v>
      </c>
      <c r="Q78" s="10" t="s">
        <v>54</v>
      </c>
      <c r="R78" s="10" t="s">
        <v>28</v>
      </c>
      <c r="S78" s="10"/>
      <c r="T78" s="10"/>
      <c r="U78" s="10" t="s">
        <v>1454</v>
      </c>
      <c r="V78" s="10" t="s">
        <v>1454</v>
      </c>
      <c r="W78" s="50">
        <f>+J78/$W$2</f>
        <v>4.3836047623252725E-5</v>
      </c>
    </row>
    <row r="79" spans="1:29">
      <c r="A79" s="10" t="s">
        <v>644</v>
      </c>
      <c r="B79" s="10" t="s">
        <v>381</v>
      </c>
      <c r="C79" s="124">
        <v>46296</v>
      </c>
      <c r="D79" s="124" t="s">
        <v>492</v>
      </c>
      <c r="E79" s="21">
        <v>0.99819506000000002</v>
      </c>
      <c r="F79" s="10"/>
      <c r="G79" s="14">
        <v>500000000</v>
      </c>
      <c r="H79" s="14">
        <v>499097527.69999999</v>
      </c>
      <c r="I79" s="14">
        <v>500000000</v>
      </c>
      <c r="J79" s="14">
        <v>499097527.69999999</v>
      </c>
      <c r="K79" s="12">
        <v>162911</v>
      </c>
      <c r="L79" s="10" t="s">
        <v>101</v>
      </c>
      <c r="M79" s="10" t="s">
        <v>102</v>
      </c>
      <c r="N79" s="124" t="s">
        <v>436</v>
      </c>
      <c r="O79" s="124" t="s">
        <v>436</v>
      </c>
      <c r="P79" s="21">
        <v>33</v>
      </c>
      <c r="Q79" s="10" t="s">
        <v>54</v>
      </c>
      <c r="R79" s="10" t="s">
        <v>28</v>
      </c>
      <c r="S79" s="10"/>
      <c r="T79" s="10"/>
      <c r="U79" s="10" t="s">
        <v>1921</v>
      </c>
      <c r="V79" s="10" t="s">
        <v>1921</v>
      </c>
      <c r="W79" s="50">
        <f>+J79/$W$2</f>
        <v>6.6352864291829572E-3</v>
      </c>
    </row>
    <row r="80" spans="1:29">
      <c r="A80" s="10" t="s">
        <v>382</v>
      </c>
      <c r="B80" s="10" t="s">
        <v>381</v>
      </c>
      <c r="C80" s="124">
        <v>46296</v>
      </c>
      <c r="D80" s="124" t="s">
        <v>492</v>
      </c>
      <c r="E80" s="21">
        <v>0.99835887000000001</v>
      </c>
      <c r="F80" s="10"/>
      <c r="G80" s="14">
        <v>10000000</v>
      </c>
      <c r="H80" s="14">
        <v>9983588.6600000001</v>
      </c>
      <c r="I80" s="14">
        <v>10000000</v>
      </c>
      <c r="J80" s="14">
        <v>9983588.6600000001</v>
      </c>
      <c r="K80" s="12">
        <v>675</v>
      </c>
      <c r="L80" s="10" t="s">
        <v>101</v>
      </c>
      <c r="M80" s="10" t="s">
        <v>102</v>
      </c>
      <c r="N80" s="124" t="s">
        <v>297</v>
      </c>
      <c r="O80" s="124" t="s">
        <v>297</v>
      </c>
      <c r="P80" s="21">
        <v>30</v>
      </c>
      <c r="Q80" s="10" t="s">
        <v>54</v>
      </c>
      <c r="R80" s="10" t="s">
        <v>28</v>
      </c>
      <c r="S80" s="10"/>
      <c r="T80" s="10"/>
      <c r="U80" s="10" t="s">
        <v>727</v>
      </c>
      <c r="V80" s="10" t="s">
        <v>727</v>
      </c>
      <c r="W80" s="50">
        <f>+J80/$W$2</f>
        <v>1.3272750649660826E-4</v>
      </c>
    </row>
    <row r="81" spans="1:29">
      <c r="A81" s="10" t="s">
        <v>382</v>
      </c>
      <c r="B81" s="10" t="s">
        <v>381</v>
      </c>
      <c r="C81" s="124">
        <v>46296</v>
      </c>
      <c r="D81" s="124" t="s">
        <v>492</v>
      </c>
      <c r="E81" s="21">
        <v>0.99835885999999996</v>
      </c>
      <c r="F81" s="10"/>
      <c r="G81" s="14">
        <v>5000000</v>
      </c>
      <c r="H81" s="14">
        <v>4991794.32</v>
      </c>
      <c r="I81" s="14">
        <v>5000000</v>
      </c>
      <c r="J81" s="14">
        <v>4991794.32</v>
      </c>
      <c r="K81" s="12">
        <v>784</v>
      </c>
      <c r="L81" s="10" t="s">
        <v>101</v>
      </c>
      <c r="M81" s="10" t="s">
        <v>102</v>
      </c>
      <c r="N81" s="124" t="s">
        <v>396</v>
      </c>
      <c r="O81" s="124" t="s">
        <v>396</v>
      </c>
      <c r="P81" s="21">
        <v>30</v>
      </c>
      <c r="Q81" s="10" t="s">
        <v>54</v>
      </c>
      <c r="R81" s="10" t="s">
        <v>28</v>
      </c>
      <c r="S81" s="10"/>
      <c r="T81" s="10"/>
      <c r="U81" s="10" t="s">
        <v>892</v>
      </c>
      <c r="V81" s="10" t="s">
        <v>892</v>
      </c>
      <c r="W81" s="50">
        <f>+J81/$W$2</f>
        <v>6.6363753115358448E-5</v>
      </c>
    </row>
    <row r="82" spans="1:29">
      <c r="A82" s="10" t="s">
        <v>596</v>
      </c>
      <c r="B82" s="10" t="s">
        <v>381</v>
      </c>
      <c r="C82" s="124">
        <v>46296</v>
      </c>
      <c r="D82" s="124" t="s">
        <v>492</v>
      </c>
      <c r="E82" s="21">
        <v>0.99824964999999999</v>
      </c>
      <c r="F82" s="10"/>
      <c r="G82" s="14">
        <v>30000000</v>
      </c>
      <c r="H82" s="14">
        <v>29947489.420000002</v>
      </c>
      <c r="I82" s="14">
        <v>30000000</v>
      </c>
      <c r="J82" s="14">
        <v>29947489.420000002</v>
      </c>
      <c r="K82" s="12">
        <v>29635891</v>
      </c>
      <c r="L82" s="10" t="s">
        <v>101</v>
      </c>
      <c r="M82" s="10" t="s">
        <v>102</v>
      </c>
      <c r="N82" s="124" t="s">
        <v>396</v>
      </c>
      <c r="O82" s="124" t="s">
        <v>396</v>
      </c>
      <c r="P82" s="21">
        <v>32</v>
      </c>
      <c r="Q82" s="10" t="s">
        <v>54</v>
      </c>
      <c r="R82" s="10" t="s">
        <v>28</v>
      </c>
      <c r="S82" s="10"/>
      <c r="T82" s="10"/>
      <c r="U82" s="10" t="s">
        <v>879</v>
      </c>
      <c r="V82" s="10" t="s">
        <v>879</v>
      </c>
      <c r="W82" s="50">
        <f>+J82/$W$2</f>
        <v>3.9813895903741662E-4</v>
      </c>
    </row>
    <row r="83" spans="1:29">
      <c r="A83" s="10" t="s">
        <v>1424</v>
      </c>
      <c r="B83" s="10" t="s">
        <v>381</v>
      </c>
      <c r="C83" s="124">
        <v>46296</v>
      </c>
      <c r="D83" s="124" t="s">
        <v>492</v>
      </c>
      <c r="E83" s="21">
        <v>0.99846811000000002</v>
      </c>
      <c r="F83" s="10"/>
      <c r="G83" s="14">
        <v>19300000</v>
      </c>
      <c r="H83" s="14">
        <v>19270434.559999999</v>
      </c>
      <c r="I83" s="14">
        <v>19300000</v>
      </c>
      <c r="J83" s="14">
        <v>19270434.559999999</v>
      </c>
      <c r="K83" s="12">
        <v>10537630</v>
      </c>
      <c r="L83" s="10" t="s">
        <v>101</v>
      </c>
      <c r="M83" s="10" t="s">
        <v>102</v>
      </c>
      <c r="N83" s="124" t="s">
        <v>548</v>
      </c>
      <c r="O83" s="124" t="s">
        <v>548</v>
      </c>
      <c r="P83" s="21">
        <v>28</v>
      </c>
      <c r="Q83" s="10" t="s">
        <v>54</v>
      </c>
      <c r="R83" s="10" t="s">
        <v>28</v>
      </c>
      <c r="S83" s="10"/>
      <c r="T83" s="10"/>
      <c r="U83" s="10" t="s">
        <v>1406</v>
      </c>
      <c r="V83" s="10" t="s">
        <v>1406</v>
      </c>
      <c r="W83" s="50">
        <f>+J83/$W$2</f>
        <v>2.5619211842156008E-4</v>
      </c>
    </row>
    <row r="84" spans="1:29">
      <c r="A84" s="10" t="s">
        <v>849</v>
      </c>
      <c r="B84" s="10" t="s">
        <v>381</v>
      </c>
      <c r="C84" s="124">
        <v>46296</v>
      </c>
      <c r="D84" s="124" t="s">
        <v>492</v>
      </c>
      <c r="E84" s="21">
        <v>0.99819504999999997</v>
      </c>
      <c r="F84" s="10"/>
      <c r="G84" s="14">
        <v>15000000</v>
      </c>
      <c r="H84" s="14">
        <v>14972925.75</v>
      </c>
      <c r="I84" s="14">
        <v>15000000</v>
      </c>
      <c r="J84" s="14">
        <v>14972925.75</v>
      </c>
      <c r="K84" s="12">
        <v>2338</v>
      </c>
      <c r="L84" s="10" t="s">
        <v>101</v>
      </c>
      <c r="M84" s="10" t="s">
        <v>102</v>
      </c>
      <c r="N84" s="124" t="s">
        <v>399</v>
      </c>
      <c r="O84" s="124" t="s">
        <v>399</v>
      </c>
      <c r="P84" s="21">
        <v>33</v>
      </c>
      <c r="Q84" s="10" t="s">
        <v>54</v>
      </c>
      <c r="R84" s="10" t="s">
        <v>28</v>
      </c>
      <c r="S84" s="10"/>
      <c r="T84" s="10"/>
      <c r="U84" s="10" t="s">
        <v>846</v>
      </c>
      <c r="V84" s="10" t="s">
        <v>846</v>
      </c>
      <c r="W84" s="50">
        <f>+J84/$W$2</f>
        <v>1.9905859179862866E-4</v>
      </c>
    </row>
    <row r="85" spans="1:29">
      <c r="A85" s="10" t="s">
        <v>849</v>
      </c>
      <c r="B85" s="10" t="s">
        <v>381</v>
      </c>
      <c r="C85" s="124">
        <v>46296</v>
      </c>
      <c r="D85" s="124" t="s">
        <v>492</v>
      </c>
      <c r="E85" s="21">
        <v>0.99819504999999997</v>
      </c>
      <c r="F85" s="10"/>
      <c r="G85" s="14">
        <v>15000000</v>
      </c>
      <c r="H85" s="14">
        <v>14972925.75</v>
      </c>
      <c r="I85" s="14">
        <v>15000000</v>
      </c>
      <c r="J85" s="14">
        <v>14972925.75</v>
      </c>
      <c r="K85" s="12">
        <v>2327</v>
      </c>
      <c r="L85" s="10" t="s">
        <v>101</v>
      </c>
      <c r="M85" s="10" t="s">
        <v>102</v>
      </c>
      <c r="N85" s="124" t="s">
        <v>399</v>
      </c>
      <c r="O85" s="124" t="s">
        <v>399</v>
      </c>
      <c r="P85" s="21">
        <v>33</v>
      </c>
      <c r="Q85" s="10" t="s">
        <v>54</v>
      </c>
      <c r="R85" s="10" t="s">
        <v>28</v>
      </c>
      <c r="S85" s="10"/>
      <c r="T85" s="10"/>
      <c r="U85" s="10" t="s">
        <v>847</v>
      </c>
      <c r="V85" s="10" t="s">
        <v>847</v>
      </c>
      <c r="W85" s="50">
        <f>+J85/$W$2</f>
        <v>1.9905859179862866E-4</v>
      </c>
      <c r="AB85" s="43"/>
      <c r="AC85" s="47"/>
    </row>
    <row r="86" spans="1:29">
      <c r="A86" s="10" t="s">
        <v>2427</v>
      </c>
      <c r="B86" s="10" t="s">
        <v>381</v>
      </c>
      <c r="C86" s="124">
        <v>46296</v>
      </c>
      <c r="D86" s="124" t="s">
        <v>492</v>
      </c>
      <c r="E86" s="21">
        <v>0.99835887000000001</v>
      </c>
      <c r="F86" s="10"/>
      <c r="G86" s="14">
        <v>1852533.42</v>
      </c>
      <c r="H86" s="14">
        <v>1849493.18</v>
      </c>
      <c r="I86" s="14">
        <v>1852533.42</v>
      </c>
      <c r="J86" s="14">
        <v>1849493.18</v>
      </c>
      <c r="K86" s="12">
        <v>20521665</v>
      </c>
      <c r="L86" s="10" t="s">
        <v>101</v>
      </c>
      <c r="M86" s="10" t="s">
        <v>102</v>
      </c>
      <c r="N86" s="124" t="s">
        <v>552</v>
      </c>
      <c r="O86" s="124" t="s">
        <v>552</v>
      </c>
      <c r="P86" s="21">
        <v>30</v>
      </c>
      <c r="Q86" s="10" t="s">
        <v>54</v>
      </c>
      <c r="R86" s="10" t="s">
        <v>28</v>
      </c>
      <c r="S86" s="10"/>
      <c r="T86" s="10"/>
      <c r="U86" s="10" t="s">
        <v>2410</v>
      </c>
      <c r="V86" s="10" t="s">
        <v>2410</v>
      </c>
      <c r="W86" s="50">
        <f>+J86/$W$2</f>
        <v>2.458821436097535E-5</v>
      </c>
    </row>
    <row r="87" spans="1:29">
      <c r="A87" s="10" t="s">
        <v>494</v>
      </c>
      <c r="B87" s="10" t="s">
        <v>381</v>
      </c>
      <c r="C87" s="124">
        <v>46296</v>
      </c>
      <c r="D87" s="124" t="s">
        <v>492</v>
      </c>
      <c r="E87" s="21">
        <v>0.99863201999999995</v>
      </c>
      <c r="F87" s="10"/>
      <c r="G87" s="14">
        <v>32000000</v>
      </c>
      <c r="H87" s="14">
        <v>31956224.539999999</v>
      </c>
      <c r="I87" s="14">
        <v>32000000</v>
      </c>
      <c r="J87" s="14">
        <v>31956224.539999999</v>
      </c>
      <c r="K87" s="12">
        <v>5311</v>
      </c>
      <c r="L87" s="10" t="s">
        <v>101</v>
      </c>
      <c r="M87" s="10" t="s">
        <v>102</v>
      </c>
      <c r="N87" s="124" t="s">
        <v>326</v>
      </c>
      <c r="O87" s="124" t="s">
        <v>326</v>
      </c>
      <c r="P87" s="21">
        <v>25</v>
      </c>
      <c r="Q87" s="10" t="s">
        <v>54</v>
      </c>
      <c r="R87" s="10" t="s">
        <v>28</v>
      </c>
      <c r="S87" s="10"/>
      <c r="T87" s="10"/>
      <c r="U87" s="10" t="s">
        <v>966</v>
      </c>
      <c r="V87" s="10" t="s">
        <v>966</v>
      </c>
      <c r="W87" s="50">
        <f>+J87/$W$2</f>
        <v>4.2484422632852364E-4</v>
      </c>
    </row>
    <row r="88" spans="1:29">
      <c r="A88" s="10" t="s">
        <v>1287</v>
      </c>
      <c r="B88" s="10" t="s">
        <v>381</v>
      </c>
      <c r="C88" s="124">
        <v>46296</v>
      </c>
      <c r="D88" s="124" t="s">
        <v>492</v>
      </c>
      <c r="E88" s="21">
        <v>0.99846811000000002</v>
      </c>
      <c r="F88" s="10"/>
      <c r="G88" s="14">
        <v>62410311.859999999</v>
      </c>
      <c r="H88" s="14">
        <v>62314705.969999999</v>
      </c>
      <c r="I88" s="14">
        <v>62410311.859999999</v>
      </c>
      <c r="J88" s="14">
        <v>62314705.969999999</v>
      </c>
      <c r="K88" s="12">
        <v>40292289</v>
      </c>
      <c r="L88" s="10" t="s">
        <v>101</v>
      </c>
      <c r="M88" s="10" t="s">
        <v>102</v>
      </c>
      <c r="N88" s="124" t="s">
        <v>391</v>
      </c>
      <c r="O88" s="124" t="s">
        <v>391</v>
      </c>
      <c r="P88" s="21">
        <v>28</v>
      </c>
      <c r="Q88" s="10" t="s">
        <v>54</v>
      </c>
      <c r="R88" s="10" t="s">
        <v>28</v>
      </c>
      <c r="S88" s="10"/>
      <c r="T88" s="10"/>
      <c r="U88" s="10" t="s">
        <v>1290</v>
      </c>
      <c r="V88" s="10" t="s">
        <v>1290</v>
      </c>
      <c r="W88" s="50">
        <f>+J88/$W$2</f>
        <v>8.284471469267653E-4</v>
      </c>
    </row>
    <row r="89" spans="1:29">
      <c r="A89" s="10" t="s">
        <v>273</v>
      </c>
      <c r="B89" s="10" t="s">
        <v>381</v>
      </c>
      <c r="C89" s="124">
        <v>46296</v>
      </c>
      <c r="D89" s="124" t="s">
        <v>492</v>
      </c>
      <c r="E89" s="21">
        <v>0.99863201000000001</v>
      </c>
      <c r="F89" s="10"/>
      <c r="G89" s="14">
        <v>10000000</v>
      </c>
      <c r="H89" s="14">
        <v>9986320.1199999992</v>
      </c>
      <c r="I89" s="14">
        <v>10000000</v>
      </c>
      <c r="J89" s="14">
        <v>9986320.1199999992</v>
      </c>
      <c r="K89" s="12">
        <v>188</v>
      </c>
      <c r="L89" s="10" t="s">
        <v>101</v>
      </c>
      <c r="M89" s="10" t="s">
        <v>102</v>
      </c>
      <c r="N89" s="124" t="s">
        <v>319</v>
      </c>
      <c r="O89" s="124" t="s">
        <v>319</v>
      </c>
      <c r="P89" s="21">
        <v>25</v>
      </c>
      <c r="Q89" s="10" t="s">
        <v>54</v>
      </c>
      <c r="R89" s="10" t="s">
        <v>28</v>
      </c>
      <c r="S89" s="10"/>
      <c r="T89" s="10"/>
      <c r="U89" s="10" t="s">
        <v>990</v>
      </c>
      <c r="V89" s="10" t="s">
        <v>990</v>
      </c>
      <c r="W89" s="50">
        <f>+J89/$W$2</f>
        <v>1.3276382007955341E-4</v>
      </c>
    </row>
    <row r="90" spans="1:29">
      <c r="A90" s="10" t="s">
        <v>1937</v>
      </c>
      <c r="B90" s="10" t="s">
        <v>381</v>
      </c>
      <c r="C90" s="124">
        <v>46296</v>
      </c>
      <c r="D90" s="124" t="s">
        <v>492</v>
      </c>
      <c r="E90" s="21">
        <v>0.99819506000000002</v>
      </c>
      <c r="F90" s="10"/>
      <c r="G90" s="14">
        <v>500000000</v>
      </c>
      <c r="H90" s="14">
        <v>499097527.69999999</v>
      </c>
      <c r="I90" s="14">
        <v>500000000</v>
      </c>
      <c r="J90" s="14">
        <v>499097527.69999999</v>
      </c>
      <c r="K90" s="12">
        <v>162912</v>
      </c>
      <c r="L90" s="10" t="s">
        <v>101</v>
      </c>
      <c r="M90" s="10" t="s">
        <v>102</v>
      </c>
      <c r="N90" s="124" t="s">
        <v>436</v>
      </c>
      <c r="O90" s="124" t="s">
        <v>436</v>
      </c>
      <c r="P90" s="21">
        <v>33</v>
      </c>
      <c r="Q90" s="10" t="s">
        <v>54</v>
      </c>
      <c r="R90" s="10" t="s">
        <v>28</v>
      </c>
      <c r="S90" s="10"/>
      <c r="T90" s="10"/>
      <c r="U90" s="10" t="s">
        <v>1922</v>
      </c>
      <c r="V90" s="10" t="s">
        <v>1922</v>
      </c>
      <c r="W90" s="50">
        <f>+J90/$W$2</f>
        <v>6.6352864291829572E-3</v>
      </c>
    </row>
    <row r="91" spans="1:29">
      <c r="A91" s="10" t="s">
        <v>858</v>
      </c>
      <c r="B91" s="10" t="s">
        <v>381</v>
      </c>
      <c r="C91" s="124">
        <v>46296</v>
      </c>
      <c r="D91" s="124" t="s">
        <v>492</v>
      </c>
      <c r="E91" s="21">
        <v>0.99835885999999996</v>
      </c>
      <c r="F91" s="10"/>
      <c r="G91" s="14">
        <v>2000000</v>
      </c>
      <c r="H91" s="14">
        <v>1996717.73</v>
      </c>
      <c r="I91" s="14">
        <v>2000000</v>
      </c>
      <c r="J91" s="14">
        <v>1996717.73</v>
      </c>
      <c r="K91" s="12">
        <v>9805</v>
      </c>
      <c r="L91" s="10" t="s">
        <v>101</v>
      </c>
      <c r="M91" s="10" t="s">
        <v>102</v>
      </c>
      <c r="N91" s="124" t="s">
        <v>165</v>
      </c>
      <c r="O91" s="124" t="s">
        <v>165</v>
      </c>
      <c r="P91" s="21">
        <v>30</v>
      </c>
      <c r="Q91" s="10" t="s">
        <v>54</v>
      </c>
      <c r="R91" s="10" t="s">
        <v>28</v>
      </c>
      <c r="S91" s="10"/>
      <c r="T91" s="10"/>
      <c r="U91" s="10" t="s">
        <v>1266</v>
      </c>
      <c r="V91" s="10" t="s">
        <v>1266</v>
      </c>
      <c r="W91" s="50">
        <f>+J91/$W$2</f>
        <v>2.6545501272732515E-5</v>
      </c>
    </row>
    <row r="92" spans="1:29">
      <c r="A92" s="10" t="s">
        <v>987</v>
      </c>
      <c r="B92" s="10" t="s">
        <v>381</v>
      </c>
      <c r="C92" s="124">
        <v>46296</v>
      </c>
      <c r="D92" s="124" t="s">
        <v>492</v>
      </c>
      <c r="E92" s="21">
        <v>0.99819506000000002</v>
      </c>
      <c r="F92" s="10"/>
      <c r="G92" s="14">
        <v>12936672</v>
      </c>
      <c r="H92" s="14">
        <v>12913322.07</v>
      </c>
      <c r="I92" s="14">
        <v>12936672</v>
      </c>
      <c r="J92" s="14">
        <v>12913322.07</v>
      </c>
      <c r="K92" s="12">
        <v>99913013</v>
      </c>
      <c r="L92" s="10" t="s">
        <v>101</v>
      </c>
      <c r="M92" s="10" t="s">
        <v>102</v>
      </c>
      <c r="N92" s="124" t="s">
        <v>325</v>
      </c>
      <c r="O92" s="124" t="s">
        <v>325</v>
      </c>
      <c r="P92" s="21">
        <v>33</v>
      </c>
      <c r="Q92" s="10" t="s">
        <v>54</v>
      </c>
      <c r="R92" s="10" t="s">
        <v>28</v>
      </c>
      <c r="S92" s="10"/>
      <c r="T92" s="10"/>
      <c r="U92" s="10" t="s">
        <v>1603</v>
      </c>
      <c r="V92" s="10" t="s">
        <v>1603</v>
      </c>
      <c r="W92" s="50">
        <f>+J92/$W$2</f>
        <v>1.7167704893590035E-4</v>
      </c>
    </row>
    <row r="93" spans="1:29">
      <c r="A93" s="10" t="s">
        <v>1085</v>
      </c>
      <c r="B93" s="10" t="s">
        <v>381</v>
      </c>
      <c r="C93" s="124">
        <v>46296</v>
      </c>
      <c r="D93" s="124" t="s">
        <v>492</v>
      </c>
      <c r="E93" s="21">
        <v>0.99824964999999999</v>
      </c>
      <c r="F93" s="10"/>
      <c r="G93" s="14">
        <v>1391500</v>
      </c>
      <c r="H93" s="14">
        <v>1389064.39</v>
      </c>
      <c r="I93" s="14">
        <v>1391500</v>
      </c>
      <c r="J93" s="14">
        <v>1389064.39</v>
      </c>
      <c r="K93" s="12">
        <v>90001265</v>
      </c>
      <c r="L93" s="10" t="s">
        <v>101</v>
      </c>
      <c r="M93" s="10" t="s">
        <v>102</v>
      </c>
      <c r="N93" s="124" t="s">
        <v>365</v>
      </c>
      <c r="O93" s="124" t="s">
        <v>365</v>
      </c>
      <c r="P93" s="21">
        <v>32</v>
      </c>
      <c r="Q93" s="10" t="s">
        <v>54</v>
      </c>
      <c r="R93" s="10" t="s">
        <v>28</v>
      </c>
      <c r="S93" s="10"/>
      <c r="T93" s="10"/>
      <c r="U93" s="10" t="s">
        <v>1071</v>
      </c>
      <c r="V93" s="10" t="s">
        <v>1071</v>
      </c>
      <c r="W93" s="50">
        <f>+J93/$W$2</f>
        <v>1.8467012126272054E-5</v>
      </c>
    </row>
    <row r="94" spans="1:29">
      <c r="A94" s="10" t="s">
        <v>1431</v>
      </c>
      <c r="B94" s="10" t="s">
        <v>381</v>
      </c>
      <c r="C94" s="124">
        <v>46296</v>
      </c>
      <c r="D94" s="124" t="s">
        <v>492</v>
      </c>
      <c r="E94" s="21">
        <v>0.99846811000000002</v>
      </c>
      <c r="F94" s="10"/>
      <c r="G94" s="14">
        <v>5225717</v>
      </c>
      <c r="H94" s="14">
        <v>5217711.79</v>
      </c>
      <c r="I94" s="14">
        <v>5225717</v>
      </c>
      <c r="J94" s="14">
        <v>5217711.79</v>
      </c>
      <c r="K94" s="12">
        <v>3173</v>
      </c>
      <c r="L94" s="10" t="s">
        <v>101</v>
      </c>
      <c r="M94" s="10" t="s">
        <v>102</v>
      </c>
      <c r="N94" s="124" t="s">
        <v>548</v>
      </c>
      <c r="O94" s="124" t="s">
        <v>548</v>
      </c>
      <c r="P94" s="21">
        <v>28</v>
      </c>
      <c r="Q94" s="10" t="s">
        <v>54</v>
      </c>
      <c r="R94" s="10" t="s">
        <v>28</v>
      </c>
      <c r="S94" s="10"/>
      <c r="T94" s="10"/>
      <c r="U94" s="10" t="s">
        <v>1412</v>
      </c>
      <c r="V94" s="10" t="s">
        <v>1412</v>
      </c>
      <c r="W94" s="50">
        <f>+J94/$W$2</f>
        <v>6.9367228467589386E-5</v>
      </c>
    </row>
    <row r="95" spans="1:29">
      <c r="A95" s="10" t="s">
        <v>166</v>
      </c>
      <c r="B95" s="10" t="s">
        <v>381</v>
      </c>
      <c r="C95" s="124">
        <v>46296</v>
      </c>
      <c r="D95" s="124" t="s">
        <v>492</v>
      </c>
      <c r="E95" s="21">
        <v>0.99792214999999995</v>
      </c>
      <c r="F95" s="10"/>
      <c r="G95" s="14">
        <v>298500000</v>
      </c>
      <c r="H95" s="14">
        <v>297879762.00999999</v>
      </c>
      <c r="I95" s="14">
        <v>298500000</v>
      </c>
      <c r="J95" s="14">
        <v>297879762.00999999</v>
      </c>
      <c r="K95" s="12">
        <v>70403626</v>
      </c>
      <c r="L95" s="10" t="s">
        <v>101</v>
      </c>
      <c r="M95" s="10" t="s">
        <v>102</v>
      </c>
      <c r="N95" s="124" t="s">
        <v>325</v>
      </c>
      <c r="O95" s="124" t="s">
        <v>325</v>
      </c>
      <c r="P95" s="21">
        <v>38</v>
      </c>
      <c r="Q95" s="10" t="s">
        <v>54</v>
      </c>
      <c r="R95" s="10" t="s">
        <v>28</v>
      </c>
      <c r="S95" s="10"/>
      <c r="T95" s="10"/>
      <c r="U95" s="10" t="s">
        <v>1597</v>
      </c>
      <c r="V95" s="10" t="s">
        <v>1597</v>
      </c>
      <c r="W95" s="50">
        <f>+J95/$W$2</f>
        <v>3.9601829956995042E-3</v>
      </c>
    </row>
    <row r="96" spans="1:29">
      <c r="A96" s="10" t="s">
        <v>367</v>
      </c>
      <c r="B96" s="10" t="s">
        <v>381</v>
      </c>
      <c r="C96" s="124">
        <v>46296</v>
      </c>
      <c r="D96" s="124" t="s">
        <v>492</v>
      </c>
      <c r="E96" s="21">
        <v>0.99819504999999997</v>
      </c>
      <c r="F96" s="10"/>
      <c r="G96" s="14">
        <v>1500000000</v>
      </c>
      <c r="H96" s="14">
        <v>1497292578.3</v>
      </c>
      <c r="I96" s="14">
        <v>1500000000</v>
      </c>
      <c r="J96" s="14">
        <v>1497292578.3</v>
      </c>
      <c r="K96" s="12">
        <v>162639</v>
      </c>
      <c r="L96" s="10" t="s">
        <v>101</v>
      </c>
      <c r="M96" s="10" t="s">
        <v>102</v>
      </c>
      <c r="N96" s="124" t="s">
        <v>533</v>
      </c>
      <c r="O96" s="124" t="s">
        <v>533</v>
      </c>
      <c r="P96" s="21">
        <v>33</v>
      </c>
      <c r="Q96" s="10" t="s">
        <v>54</v>
      </c>
      <c r="R96" s="10" t="s">
        <v>28</v>
      </c>
      <c r="S96" s="10"/>
      <c r="T96" s="10"/>
      <c r="U96" s="10" t="s">
        <v>1882</v>
      </c>
      <c r="V96" s="10" t="s">
        <v>1882</v>
      </c>
      <c r="W96" s="50">
        <f>+J96/$W$2</f>
        <v>1.9905859223734942E-2</v>
      </c>
      <c r="AC96" s="47"/>
    </row>
    <row r="97" spans="1:29">
      <c r="A97" s="10" t="s">
        <v>290</v>
      </c>
      <c r="B97" s="10" t="s">
        <v>381</v>
      </c>
      <c r="C97" s="124">
        <v>46296</v>
      </c>
      <c r="D97" s="124" t="s">
        <v>492</v>
      </c>
      <c r="E97" s="21">
        <v>0.99808587000000004</v>
      </c>
      <c r="F97" s="10"/>
      <c r="G97" s="14">
        <v>1500000</v>
      </c>
      <c r="H97" s="14">
        <v>1497128.8</v>
      </c>
      <c r="I97" s="14">
        <v>1500000</v>
      </c>
      <c r="J97" s="14">
        <v>1497128.8</v>
      </c>
      <c r="K97" s="12">
        <v>40768642</v>
      </c>
      <c r="L97" s="10" t="s">
        <v>101</v>
      </c>
      <c r="M97" s="10" t="s">
        <v>102</v>
      </c>
      <c r="N97" s="124" t="s">
        <v>391</v>
      </c>
      <c r="O97" s="124" t="s">
        <v>391</v>
      </c>
      <c r="P97" s="21">
        <v>35</v>
      </c>
      <c r="Q97" s="10" t="s">
        <v>54</v>
      </c>
      <c r="R97" s="10" t="s">
        <v>28</v>
      </c>
      <c r="S97" s="10"/>
      <c r="T97" s="10"/>
      <c r="U97" s="10" t="s">
        <v>1295</v>
      </c>
      <c r="V97" s="10" t="s">
        <v>1295</v>
      </c>
      <c r="W97" s="50">
        <f>+J97/$W$2</f>
        <v>1.9903681861854606E-5</v>
      </c>
    </row>
    <row r="98" spans="1:29">
      <c r="A98" s="10" t="s">
        <v>465</v>
      </c>
      <c r="B98" s="10" t="s">
        <v>381</v>
      </c>
      <c r="C98" s="124">
        <v>46296</v>
      </c>
      <c r="D98" s="124" t="s">
        <v>492</v>
      </c>
      <c r="E98" s="21">
        <v>0.99824966000000004</v>
      </c>
      <c r="F98" s="10"/>
      <c r="G98" s="14">
        <v>10000000</v>
      </c>
      <c r="H98" s="14">
        <v>9982496.6099999994</v>
      </c>
      <c r="I98" s="14">
        <v>10000000</v>
      </c>
      <c r="J98" s="14">
        <v>9982496.6099999994</v>
      </c>
      <c r="K98" s="12">
        <v>14422561</v>
      </c>
      <c r="L98" s="10" t="s">
        <v>101</v>
      </c>
      <c r="M98" s="10" t="s">
        <v>102</v>
      </c>
      <c r="N98" s="124" t="s">
        <v>164</v>
      </c>
      <c r="O98" s="124" t="s">
        <v>164</v>
      </c>
      <c r="P98" s="21">
        <v>32</v>
      </c>
      <c r="Q98" s="10" t="s">
        <v>54</v>
      </c>
      <c r="R98" s="10" t="s">
        <v>28</v>
      </c>
      <c r="S98" s="10"/>
      <c r="T98" s="10"/>
      <c r="U98" s="10" t="s">
        <v>1975</v>
      </c>
      <c r="V98" s="10" t="s">
        <v>1975</v>
      </c>
      <c r="W98" s="50">
        <f>+J98/$W$2</f>
        <v>1.3271298816272995E-4</v>
      </c>
    </row>
    <row r="99" spans="1:29">
      <c r="A99" s="10" t="s">
        <v>675</v>
      </c>
      <c r="B99" s="10" t="s">
        <v>381</v>
      </c>
      <c r="C99" s="124">
        <v>46296</v>
      </c>
      <c r="D99" s="124" t="s">
        <v>492</v>
      </c>
      <c r="E99" s="21">
        <v>0.99835885999999996</v>
      </c>
      <c r="F99" s="10"/>
      <c r="G99" s="14">
        <v>100000000</v>
      </c>
      <c r="H99" s="14">
        <v>99835886.200000003</v>
      </c>
      <c r="I99" s="14">
        <v>100000000</v>
      </c>
      <c r="J99" s="14">
        <v>99835886.200000003</v>
      </c>
      <c r="K99" s="12">
        <v>90003962</v>
      </c>
      <c r="L99" s="10" t="s">
        <v>101</v>
      </c>
      <c r="M99" s="10" t="s">
        <v>102</v>
      </c>
      <c r="N99" s="124" t="s">
        <v>321</v>
      </c>
      <c r="O99" s="124" t="s">
        <v>321</v>
      </c>
      <c r="P99" s="21">
        <v>30</v>
      </c>
      <c r="Q99" s="10" t="s">
        <v>54</v>
      </c>
      <c r="R99" s="10" t="s">
        <v>28</v>
      </c>
      <c r="S99" s="10"/>
      <c r="T99" s="10"/>
      <c r="U99" s="10" t="s">
        <v>1239</v>
      </c>
      <c r="V99" s="10" t="s">
        <v>1239</v>
      </c>
      <c r="W99" s="50">
        <f>+J99/$W$2</f>
        <v>1.327275059648255E-3</v>
      </c>
      <c r="AC99" s="47"/>
    </row>
    <row r="100" spans="1:29">
      <c r="A100" s="10" t="s">
        <v>382</v>
      </c>
      <c r="B100" s="10" t="s">
        <v>381</v>
      </c>
      <c r="C100" s="124">
        <v>46296</v>
      </c>
      <c r="D100" s="124" t="s">
        <v>492</v>
      </c>
      <c r="E100" s="21">
        <v>0.99824966000000004</v>
      </c>
      <c r="F100" s="10"/>
      <c r="G100" s="14">
        <v>2000000</v>
      </c>
      <c r="H100" s="14">
        <v>1996499.32</v>
      </c>
      <c r="I100" s="14">
        <v>2000000</v>
      </c>
      <c r="J100" s="14">
        <v>1996499.32</v>
      </c>
      <c r="K100" s="12">
        <v>1007</v>
      </c>
      <c r="L100" s="10" t="s">
        <v>101</v>
      </c>
      <c r="M100" s="10" t="s">
        <v>102</v>
      </c>
      <c r="N100" s="124" t="s">
        <v>325</v>
      </c>
      <c r="O100" s="124" t="s">
        <v>325</v>
      </c>
      <c r="P100" s="21">
        <v>32</v>
      </c>
      <c r="Q100" s="10" t="s">
        <v>54</v>
      </c>
      <c r="R100" s="10" t="s">
        <v>28</v>
      </c>
      <c r="S100" s="10"/>
      <c r="T100" s="10"/>
      <c r="U100" s="10" t="s">
        <v>1599</v>
      </c>
      <c r="V100" s="10" t="s">
        <v>1599</v>
      </c>
      <c r="W100" s="50">
        <f>+J100/$W$2</f>
        <v>2.6542597605956851E-5</v>
      </c>
    </row>
    <row r="101" spans="1:29">
      <c r="A101" s="10" t="s">
        <v>382</v>
      </c>
      <c r="B101" s="10" t="s">
        <v>381</v>
      </c>
      <c r="C101" s="124">
        <v>46296</v>
      </c>
      <c r="D101" s="124" t="s">
        <v>492</v>
      </c>
      <c r="E101" s="21">
        <v>0.99835887000000001</v>
      </c>
      <c r="F101" s="10"/>
      <c r="G101" s="14">
        <v>2500000</v>
      </c>
      <c r="H101" s="14">
        <v>2495897.1800000002</v>
      </c>
      <c r="I101" s="14">
        <v>2500000</v>
      </c>
      <c r="J101" s="14">
        <v>2495897.1800000002</v>
      </c>
      <c r="K101" s="12">
        <v>902</v>
      </c>
      <c r="L101" s="10" t="s">
        <v>101</v>
      </c>
      <c r="M101" s="10" t="s">
        <v>102</v>
      </c>
      <c r="N101" s="124" t="s">
        <v>349</v>
      </c>
      <c r="O101" s="124" t="s">
        <v>349</v>
      </c>
      <c r="P101" s="21">
        <v>30</v>
      </c>
      <c r="Q101" s="10" t="s">
        <v>54</v>
      </c>
      <c r="R101" s="10" t="s">
        <v>28</v>
      </c>
      <c r="S101" s="10"/>
      <c r="T101" s="10"/>
      <c r="U101" s="10" t="s">
        <v>1338</v>
      </c>
      <c r="V101" s="10" t="s">
        <v>1338</v>
      </c>
      <c r="W101" s="50">
        <f>+J101/$W$2</f>
        <v>3.3181876823570598E-5</v>
      </c>
    </row>
    <row r="102" spans="1:29">
      <c r="A102" s="10" t="s">
        <v>382</v>
      </c>
      <c r="B102" s="10" t="s">
        <v>381</v>
      </c>
      <c r="C102" s="124">
        <v>46296</v>
      </c>
      <c r="D102" s="124" t="s">
        <v>492</v>
      </c>
      <c r="E102" s="21">
        <v>0.99835887000000001</v>
      </c>
      <c r="F102" s="10"/>
      <c r="G102" s="14">
        <v>2500000</v>
      </c>
      <c r="H102" s="14">
        <v>2495897.1800000002</v>
      </c>
      <c r="I102" s="14">
        <v>2500000</v>
      </c>
      <c r="J102" s="14">
        <v>2495897.1800000002</v>
      </c>
      <c r="K102" s="12">
        <v>911</v>
      </c>
      <c r="L102" s="10" t="s">
        <v>101</v>
      </c>
      <c r="M102" s="10" t="s">
        <v>102</v>
      </c>
      <c r="N102" s="124" t="s">
        <v>548</v>
      </c>
      <c r="O102" s="124" t="s">
        <v>548</v>
      </c>
      <c r="P102" s="21">
        <v>30</v>
      </c>
      <c r="Q102" s="10" t="s">
        <v>54</v>
      </c>
      <c r="R102" s="10" t="s">
        <v>28</v>
      </c>
      <c r="S102" s="10"/>
      <c r="T102" s="10"/>
      <c r="U102" s="10" t="s">
        <v>1365</v>
      </c>
      <c r="V102" s="10" t="s">
        <v>1365</v>
      </c>
      <c r="W102" s="50">
        <f>+J102/$W$2</f>
        <v>3.3181876823570598E-5</v>
      </c>
    </row>
    <row r="103" spans="1:29">
      <c r="A103" s="10" t="s">
        <v>382</v>
      </c>
      <c r="B103" s="10" t="s">
        <v>381</v>
      </c>
      <c r="C103" s="124">
        <v>46297</v>
      </c>
      <c r="D103" s="124" t="s">
        <v>492</v>
      </c>
      <c r="E103" s="21">
        <v>0.99754030999999999</v>
      </c>
      <c r="F103" s="10"/>
      <c r="G103" s="14">
        <v>10000000</v>
      </c>
      <c r="H103" s="14">
        <v>9975403.1500000004</v>
      </c>
      <c r="I103" s="14">
        <v>10000000</v>
      </c>
      <c r="J103" s="14">
        <v>9975403.1500000004</v>
      </c>
      <c r="K103" s="12">
        <v>571</v>
      </c>
      <c r="L103" s="10" t="s">
        <v>101</v>
      </c>
      <c r="M103" s="10" t="s">
        <v>102</v>
      </c>
      <c r="N103" s="124" t="s">
        <v>306</v>
      </c>
      <c r="O103" s="124" t="s">
        <v>306</v>
      </c>
      <c r="P103" s="21">
        <v>30</v>
      </c>
      <c r="Q103" s="10" t="s">
        <v>54</v>
      </c>
      <c r="R103" s="10" t="s">
        <v>28</v>
      </c>
      <c r="S103" s="10"/>
      <c r="T103" s="10"/>
      <c r="U103" s="10" t="s">
        <v>624</v>
      </c>
      <c r="V103" s="10" t="s">
        <v>624</v>
      </c>
      <c r="W103" s="50">
        <f>+J103/$W$2</f>
        <v>1.3261868367059823E-4</v>
      </c>
    </row>
    <row r="104" spans="1:29">
      <c r="A104" s="10" t="s">
        <v>382</v>
      </c>
      <c r="B104" s="10" t="s">
        <v>381</v>
      </c>
      <c r="C104" s="124">
        <v>46297</v>
      </c>
      <c r="D104" s="124" t="s">
        <v>492</v>
      </c>
      <c r="E104" s="21">
        <v>0.99754030999999999</v>
      </c>
      <c r="F104" s="10"/>
      <c r="G104" s="14">
        <v>5000000</v>
      </c>
      <c r="H104" s="14">
        <v>4987701.57</v>
      </c>
      <c r="I104" s="14">
        <v>5000000</v>
      </c>
      <c r="J104" s="14">
        <v>4987701.57</v>
      </c>
      <c r="K104" s="12">
        <v>785</v>
      </c>
      <c r="L104" s="10" t="s">
        <v>101</v>
      </c>
      <c r="M104" s="10" t="s">
        <v>102</v>
      </c>
      <c r="N104" s="124" t="s">
        <v>396</v>
      </c>
      <c r="O104" s="124" t="s">
        <v>396</v>
      </c>
      <c r="P104" s="21">
        <v>30</v>
      </c>
      <c r="Q104" s="10" t="s">
        <v>54</v>
      </c>
      <c r="R104" s="10" t="s">
        <v>28</v>
      </c>
      <c r="S104" s="10"/>
      <c r="T104" s="10"/>
      <c r="U104" s="10" t="s">
        <v>893</v>
      </c>
      <c r="V104" s="10" t="s">
        <v>893</v>
      </c>
      <c r="W104" s="50">
        <f>+J104/$W$2</f>
        <v>6.6309341768826271E-5</v>
      </c>
    </row>
    <row r="105" spans="1:29">
      <c r="A105" s="10" t="s">
        <v>596</v>
      </c>
      <c r="B105" s="10" t="s">
        <v>381</v>
      </c>
      <c r="C105" s="124">
        <v>46297</v>
      </c>
      <c r="D105" s="124" t="s">
        <v>492</v>
      </c>
      <c r="E105" s="21">
        <v>0.99737675999999997</v>
      </c>
      <c r="F105" s="10"/>
      <c r="G105" s="14">
        <v>33683512.119999997</v>
      </c>
      <c r="H105" s="14">
        <v>33595152.299999997</v>
      </c>
      <c r="I105" s="14">
        <v>33683512.119999997</v>
      </c>
      <c r="J105" s="14">
        <v>33595152.299999997</v>
      </c>
      <c r="K105" s="12">
        <v>29635893</v>
      </c>
      <c r="L105" s="10" t="s">
        <v>101</v>
      </c>
      <c r="M105" s="10" t="s">
        <v>102</v>
      </c>
      <c r="N105" s="124" t="s">
        <v>396</v>
      </c>
      <c r="O105" s="124" t="s">
        <v>396</v>
      </c>
      <c r="P105" s="21">
        <v>32</v>
      </c>
      <c r="Q105" s="10" t="s">
        <v>54</v>
      </c>
      <c r="R105" s="10" t="s">
        <v>28</v>
      </c>
      <c r="S105" s="10"/>
      <c r="T105" s="10"/>
      <c r="U105" s="10" t="s">
        <v>880</v>
      </c>
      <c r="V105" s="10" t="s">
        <v>880</v>
      </c>
      <c r="W105" s="50">
        <f>+J105/$W$2</f>
        <v>4.4663306422249905E-4</v>
      </c>
    </row>
    <row r="106" spans="1:29">
      <c r="A106" s="10" t="s">
        <v>1424</v>
      </c>
      <c r="B106" s="10" t="s">
        <v>381</v>
      </c>
      <c r="C106" s="124">
        <v>46297</v>
      </c>
      <c r="D106" s="124" t="s">
        <v>492</v>
      </c>
      <c r="E106" s="21">
        <v>0.99770391999999997</v>
      </c>
      <c r="F106" s="10"/>
      <c r="G106" s="14">
        <v>19300000</v>
      </c>
      <c r="H106" s="14">
        <v>19255685.699999999</v>
      </c>
      <c r="I106" s="14">
        <v>19300000</v>
      </c>
      <c r="J106" s="14">
        <v>19255685.699999999</v>
      </c>
      <c r="K106" s="12">
        <v>10537629</v>
      </c>
      <c r="L106" s="10" t="s">
        <v>101</v>
      </c>
      <c r="M106" s="10" t="s">
        <v>102</v>
      </c>
      <c r="N106" s="124" t="s">
        <v>548</v>
      </c>
      <c r="O106" s="124" t="s">
        <v>548</v>
      </c>
      <c r="P106" s="21">
        <v>28</v>
      </c>
      <c r="Q106" s="10" t="s">
        <v>54</v>
      </c>
      <c r="R106" s="10" t="s">
        <v>28</v>
      </c>
      <c r="S106" s="10"/>
      <c r="T106" s="10"/>
      <c r="U106" s="10" t="s">
        <v>1402</v>
      </c>
      <c r="V106" s="10" t="s">
        <v>1402</v>
      </c>
      <c r="W106" s="50">
        <f>+J106/$W$2</f>
        <v>2.5599603868729472E-4</v>
      </c>
    </row>
    <row r="107" spans="1:29">
      <c r="A107" s="10" t="s">
        <v>716</v>
      </c>
      <c r="B107" s="10" t="s">
        <v>381</v>
      </c>
      <c r="C107" s="124">
        <v>46297</v>
      </c>
      <c r="D107" s="124" t="s">
        <v>492</v>
      </c>
      <c r="E107" s="21">
        <v>0.99737677000000002</v>
      </c>
      <c r="F107" s="10"/>
      <c r="G107" s="14">
        <v>21607710.25</v>
      </c>
      <c r="H107" s="14">
        <v>21551028.170000002</v>
      </c>
      <c r="I107" s="14">
        <v>21607710.25</v>
      </c>
      <c r="J107" s="14">
        <v>21551028.170000002</v>
      </c>
      <c r="K107" s="12">
        <v>8292025</v>
      </c>
      <c r="L107" s="10" t="s">
        <v>101</v>
      </c>
      <c r="M107" s="10" t="s">
        <v>102</v>
      </c>
      <c r="N107" s="124" t="s">
        <v>365</v>
      </c>
      <c r="O107" s="124" t="s">
        <v>365</v>
      </c>
      <c r="P107" s="21">
        <v>32</v>
      </c>
      <c r="Q107" s="10" t="s">
        <v>54</v>
      </c>
      <c r="R107" s="10" t="s">
        <v>28</v>
      </c>
      <c r="S107" s="10"/>
      <c r="T107" s="10"/>
      <c r="U107" s="10" t="s">
        <v>1073</v>
      </c>
      <c r="V107" s="10" t="s">
        <v>1073</v>
      </c>
      <c r="W107" s="50">
        <f>+J107/$W$2</f>
        <v>2.8651162711688314E-4</v>
      </c>
      <c r="AC107" s="47"/>
    </row>
    <row r="108" spans="1:29">
      <c r="A108" s="10" t="s">
        <v>353</v>
      </c>
      <c r="B108" s="10" t="s">
        <v>381</v>
      </c>
      <c r="C108" s="124">
        <v>46297</v>
      </c>
      <c r="D108" s="124" t="s">
        <v>492</v>
      </c>
      <c r="E108" s="21">
        <v>0.99729500999999998</v>
      </c>
      <c r="F108" s="10"/>
      <c r="G108" s="14">
        <v>5000000</v>
      </c>
      <c r="H108" s="14">
        <v>4986475.04</v>
      </c>
      <c r="I108" s="14">
        <v>5000000</v>
      </c>
      <c r="J108" s="14">
        <v>4986475.04</v>
      </c>
      <c r="K108" s="12">
        <v>3041</v>
      </c>
      <c r="L108" s="10" t="s">
        <v>101</v>
      </c>
      <c r="M108" s="10" t="s">
        <v>102</v>
      </c>
      <c r="N108" s="124" t="s">
        <v>155</v>
      </c>
      <c r="O108" s="124" t="s">
        <v>155</v>
      </c>
      <c r="P108" s="21">
        <v>33</v>
      </c>
      <c r="Q108" s="10" t="s">
        <v>54</v>
      </c>
      <c r="R108" s="10" t="s">
        <v>28</v>
      </c>
      <c r="S108" s="10"/>
      <c r="T108" s="10"/>
      <c r="U108" s="10" t="s">
        <v>1061</v>
      </c>
      <c r="V108" s="10" t="s">
        <v>1061</v>
      </c>
      <c r="W108" s="50">
        <f>+J108/$W$2</f>
        <v>6.6293035581333233E-5</v>
      </c>
    </row>
    <row r="109" spans="1:29">
      <c r="A109" s="10" t="s">
        <v>273</v>
      </c>
      <c r="B109" s="10" t="s">
        <v>381</v>
      </c>
      <c r="C109" s="124">
        <v>46297</v>
      </c>
      <c r="D109" s="124" t="s">
        <v>492</v>
      </c>
      <c r="E109" s="21">
        <v>0.99786757999999998</v>
      </c>
      <c r="F109" s="10"/>
      <c r="G109" s="14">
        <v>10000000</v>
      </c>
      <c r="H109" s="14">
        <v>9978675.8000000007</v>
      </c>
      <c r="I109" s="14">
        <v>10000000</v>
      </c>
      <c r="J109" s="14">
        <v>9978675.8000000007</v>
      </c>
      <c r="K109" s="12">
        <v>9621091</v>
      </c>
      <c r="L109" s="10" t="s">
        <v>101</v>
      </c>
      <c r="M109" s="10" t="s">
        <v>102</v>
      </c>
      <c r="N109" s="124" t="s">
        <v>319</v>
      </c>
      <c r="O109" s="124" t="s">
        <v>319</v>
      </c>
      <c r="P109" s="21">
        <v>26</v>
      </c>
      <c r="Q109" s="10" t="s">
        <v>54</v>
      </c>
      <c r="R109" s="10" t="s">
        <v>28</v>
      </c>
      <c r="S109" s="10"/>
      <c r="T109" s="10"/>
      <c r="U109" s="10" t="s">
        <v>1010</v>
      </c>
      <c r="V109" s="10" t="s">
        <v>1010</v>
      </c>
      <c r="W109" s="50">
        <f>+J109/$W$2</f>
        <v>1.3266219214124229E-4</v>
      </c>
    </row>
    <row r="110" spans="1:29">
      <c r="A110" s="10" t="s">
        <v>2920</v>
      </c>
      <c r="B110" s="10" t="s">
        <v>381</v>
      </c>
      <c r="C110" s="124">
        <v>46297</v>
      </c>
      <c r="D110" s="124" t="s">
        <v>492</v>
      </c>
      <c r="E110" s="21">
        <v>0.99737677000000002</v>
      </c>
      <c r="F110" s="10"/>
      <c r="G110" s="14">
        <v>1852832.7</v>
      </c>
      <c r="H110" s="14">
        <v>1847972.3</v>
      </c>
      <c r="I110" s="14">
        <v>1852832.7</v>
      </c>
      <c r="J110" s="14">
        <v>1847972.3</v>
      </c>
      <c r="K110" s="12">
        <v>3655</v>
      </c>
      <c r="L110" s="10" t="s">
        <v>101</v>
      </c>
      <c r="M110" s="10" t="s">
        <v>102</v>
      </c>
      <c r="N110" s="124" t="s">
        <v>486</v>
      </c>
      <c r="O110" s="124" t="s">
        <v>486</v>
      </c>
      <c r="P110" s="21">
        <v>32</v>
      </c>
      <c r="Q110" s="10" t="s">
        <v>54</v>
      </c>
      <c r="R110" s="10" t="s">
        <v>28</v>
      </c>
      <c r="S110" s="10"/>
      <c r="T110" s="10"/>
      <c r="U110" s="10" t="s">
        <v>2852</v>
      </c>
      <c r="V110" s="10" t="s">
        <v>2852</v>
      </c>
      <c r="W110" s="50">
        <f>+J110/$W$2</f>
        <v>2.4567994917150575E-5</v>
      </c>
    </row>
    <row r="111" spans="1:29">
      <c r="A111" s="10" t="s">
        <v>1522</v>
      </c>
      <c r="B111" s="10" t="s">
        <v>381</v>
      </c>
      <c r="C111" s="124">
        <v>46297</v>
      </c>
      <c r="D111" s="124" t="s">
        <v>492</v>
      </c>
      <c r="E111" s="21">
        <v>0.99745854</v>
      </c>
      <c r="F111" s="10"/>
      <c r="G111" s="14">
        <v>41429083</v>
      </c>
      <c r="H111" s="14">
        <v>41323792.509999998</v>
      </c>
      <c r="I111" s="14">
        <v>41429083</v>
      </c>
      <c r="J111" s="14">
        <v>41323792.509999998</v>
      </c>
      <c r="K111" s="12">
        <v>3870371</v>
      </c>
      <c r="L111" s="10" t="s">
        <v>101</v>
      </c>
      <c r="M111" s="10" t="s">
        <v>102</v>
      </c>
      <c r="N111" s="124" t="s">
        <v>436</v>
      </c>
      <c r="O111" s="124" t="s">
        <v>436</v>
      </c>
      <c r="P111" s="21">
        <v>31</v>
      </c>
      <c r="Q111" s="10" t="s">
        <v>54</v>
      </c>
      <c r="R111" s="10" t="s">
        <v>28</v>
      </c>
      <c r="S111" s="10"/>
      <c r="T111" s="10"/>
      <c r="U111" s="10" t="s">
        <v>1924</v>
      </c>
      <c r="V111" s="10" t="s">
        <v>1924</v>
      </c>
      <c r="W111" s="50">
        <f>+J111/$W$2</f>
        <v>5.4938200336826742E-4</v>
      </c>
    </row>
    <row r="112" spans="1:29">
      <c r="A112" s="10" t="s">
        <v>1915</v>
      </c>
      <c r="B112" s="10" t="s">
        <v>381</v>
      </c>
      <c r="C112" s="124">
        <v>46297</v>
      </c>
      <c r="D112" s="124" t="s">
        <v>492</v>
      </c>
      <c r="E112" s="21">
        <v>0.99729502000000003</v>
      </c>
      <c r="F112" s="10"/>
      <c r="G112" s="14">
        <v>23000000</v>
      </c>
      <c r="H112" s="14">
        <v>22937785.449999999</v>
      </c>
      <c r="I112" s="14">
        <v>23000000</v>
      </c>
      <c r="J112" s="14">
        <v>22937785.449999999</v>
      </c>
      <c r="K112" s="12">
        <v>173</v>
      </c>
      <c r="L112" s="10" t="s">
        <v>101</v>
      </c>
      <c r="M112" s="10" t="s">
        <v>102</v>
      </c>
      <c r="N112" s="124" t="s">
        <v>348</v>
      </c>
      <c r="O112" s="124" t="s">
        <v>348</v>
      </c>
      <c r="P112" s="21">
        <v>33</v>
      </c>
      <c r="Q112" s="10" t="s">
        <v>54</v>
      </c>
      <c r="R112" s="10" t="s">
        <v>28</v>
      </c>
      <c r="S112" s="10"/>
      <c r="T112" s="10"/>
      <c r="U112" s="10" t="s">
        <v>1889</v>
      </c>
      <c r="V112" s="10" t="s">
        <v>1889</v>
      </c>
      <c r="W112" s="50">
        <f>+J112/$W$2</f>
        <v>3.0494796721048815E-4</v>
      </c>
    </row>
    <row r="113" spans="1:23">
      <c r="A113" s="10" t="s">
        <v>2240</v>
      </c>
      <c r="B113" s="10" t="s">
        <v>381</v>
      </c>
      <c r="C113" s="124">
        <v>46297</v>
      </c>
      <c r="D113" s="124" t="s">
        <v>492</v>
      </c>
      <c r="E113" s="21">
        <v>0.99745854</v>
      </c>
      <c r="F113" s="10"/>
      <c r="G113" s="14">
        <v>889795.53</v>
      </c>
      <c r="H113" s="14">
        <v>887534.15</v>
      </c>
      <c r="I113" s="14">
        <v>889795.53</v>
      </c>
      <c r="J113" s="14">
        <v>887534.15</v>
      </c>
      <c r="K113" s="12">
        <v>1877</v>
      </c>
      <c r="L113" s="10" t="s">
        <v>101</v>
      </c>
      <c r="M113" s="10" t="s">
        <v>102</v>
      </c>
      <c r="N113" s="124" t="s">
        <v>551</v>
      </c>
      <c r="O113" s="124" t="s">
        <v>551</v>
      </c>
      <c r="P113" s="21">
        <v>31</v>
      </c>
      <c r="Q113" s="10" t="s">
        <v>54</v>
      </c>
      <c r="R113" s="10" t="s">
        <v>28</v>
      </c>
      <c r="S113" s="10"/>
      <c r="T113" s="10"/>
      <c r="U113" s="10" t="s">
        <v>2193</v>
      </c>
      <c r="V113" s="10" t="s">
        <v>2193</v>
      </c>
      <c r="W113" s="50">
        <f>+J113/$W$2</f>
        <v>1.1799383836000981E-5</v>
      </c>
    </row>
    <row r="114" spans="1:23">
      <c r="A114" s="10" t="s">
        <v>272</v>
      </c>
      <c r="B114" s="10" t="s">
        <v>381</v>
      </c>
      <c r="C114" s="124">
        <v>46297</v>
      </c>
      <c r="D114" s="124" t="s">
        <v>492</v>
      </c>
      <c r="E114" s="21">
        <v>0.99794941999999998</v>
      </c>
      <c r="F114" s="10"/>
      <c r="G114" s="14">
        <v>1073337.5</v>
      </c>
      <c r="H114" s="14">
        <v>1071136.54</v>
      </c>
      <c r="I114" s="14">
        <v>1073337.5</v>
      </c>
      <c r="J114" s="14">
        <v>1071136.54</v>
      </c>
      <c r="K114" s="12">
        <v>396</v>
      </c>
      <c r="L114" s="10" t="s">
        <v>101</v>
      </c>
      <c r="M114" s="10" t="s">
        <v>102</v>
      </c>
      <c r="N114" s="124" t="s">
        <v>165</v>
      </c>
      <c r="O114" s="124" t="s">
        <v>165</v>
      </c>
      <c r="P114" s="21">
        <v>25</v>
      </c>
      <c r="Q114" s="10" t="s">
        <v>54</v>
      </c>
      <c r="R114" s="10" t="s">
        <v>28</v>
      </c>
      <c r="S114" s="10"/>
      <c r="T114" s="10"/>
      <c r="U114" s="10" t="s">
        <v>1261</v>
      </c>
      <c r="V114" s="10" t="s">
        <v>1261</v>
      </c>
      <c r="W114" s="50">
        <f>+J114/$W$2</f>
        <v>1.4240298445108866E-5</v>
      </c>
    </row>
    <row r="115" spans="1:23">
      <c r="A115" s="10" t="s">
        <v>261</v>
      </c>
      <c r="B115" s="10" t="s">
        <v>381</v>
      </c>
      <c r="C115" s="124">
        <v>46297</v>
      </c>
      <c r="D115" s="124" t="s">
        <v>492</v>
      </c>
      <c r="E115" s="21">
        <v>0.99745852999999995</v>
      </c>
      <c r="F115" s="10"/>
      <c r="G115" s="14">
        <v>16500000</v>
      </c>
      <c r="H115" s="14">
        <v>16458065.810000001</v>
      </c>
      <c r="I115" s="14">
        <v>16500000</v>
      </c>
      <c r="J115" s="14">
        <v>16458065.810000001</v>
      </c>
      <c r="K115" s="12">
        <v>28675</v>
      </c>
      <c r="L115" s="10" t="s">
        <v>101</v>
      </c>
      <c r="M115" s="10" t="s">
        <v>102</v>
      </c>
      <c r="N115" s="124" t="s">
        <v>311</v>
      </c>
      <c r="O115" s="124" t="s">
        <v>311</v>
      </c>
      <c r="P115" s="21">
        <v>31</v>
      </c>
      <c r="Q115" s="10" t="s">
        <v>54</v>
      </c>
      <c r="R115" s="10" t="s">
        <v>28</v>
      </c>
      <c r="S115" s="10"/>
      <c r="T115" s="10"/>
      <c r="U115" s="10" t="s">
        <v>555</v>
      </c>
      <c r="V115" s="10" t="s">
        <v>555</v>
      </c>
      <c r="W115" s="50">
        <f>+J115/$W$2</f>
        <v>2.1880288853150541E-4</v>
      </c>
    </row>
    <row r="116" spans="1:23">
      <c r="A116" s="10" t="s">
        <v>273</v>
      </c>
      <c r="B116" s="10" t="s">
        <v>381</v>
      </c>
      <c r="C116" s="124">
        <v>46297</v>
      </c>
      <c r="D116" s="124" t="s">
        <v>492</v>
      </c>
      <c r="E116" s="21">
        <v>0.99778573999999998</v>
      </c>
      <c r="F116" s="10"/>
      <c r="G116" s="14">
        <v>24500000</v>
      </c>
      <c r="H116" s="14">
        <v>24445750.559999999</v>
      </c>
      <c r="I116" s="14">
        <v>24500000</v>
      </c>
      <c r="J116" s="14">
        <v>24445750.559999999</v>
      </c>
      <c r="K116" s="12">
        <v>34218</v>
      </c>
      <c r="L116" s="10" t="s">
        <v>101</v>
      </c>
      <c r="M116" s="10" t="s">
        <v>102</v>
      </c>
      <c r="N116" s="124" t="s">
        <v>395</v>
      </c>
      <c r="O116" s="124" t="s">
        <v>395</v>
      </c>
      <c r="P116" s="21">
        <v>27</v>
      </c>
      <c r="Q116" s="10" t="s">
        <v>54</v>
      </c>
      <c r="R116" s="10" t="s">
        <v>28</v>
      </c>
      <c r="S116" s="10"/>
      <c r="T116" s="10"/>
      <c r="U116" s="10" t="s">
        <v>826</v>
      </c>
      <c r="V116" s="10" t="s">
        <v>826</v>
      </c>
      <c r="W116" s="50">
        <f>+J116/$W$2</f>
        <v>3.2499571314137702E-4</v>
      </c>
    </row>
    <row r="117" spans="1:23">
      <c r="A117" s="10" t="s">
        <v>1115</v>
      </c>
      <c r="B117" s="10" t="s">
        <v>381</v>
      </c>
      <c r="C117" s="124">
        <v>46297</v>
      </c>
      <c r="D117" s="124" t="s">
        <v>492</v>
      </c>
      <c r="E117" s="21">
        <v>0.99754032999999998</v>
      </c>
      <c r="F117" s="10"/>
      <c r="G117" s="14">
        <v>1500000</v>
      </c>
      <c r="H117" s="14">
        <v>1496310.49</v>
      </c>
      <c r="I117" s="14">
        <v>1500000</v>
      </c>
      <c r="J117" s="14">
        <v>1496310.49</v>
      </c>
      <c r="K117" s="12">
        <v>1972</v>
      </c>
      <c r="L117" s="10" t="s">
        <v>101</v>
      </c>
      <c r="M117" s="10" t="s">
        <v>102</v>
      </c>
      <c r="N117" s="124" t="s">
        <v>362</v>
      </c>
      <c r="O117" s="124" t="s">
        <v>362</v>
      </c>
      <c r="P117" s="21">
        <v>30</v>
      </c>
      <c r="Q117" s="10" t="s">
        <v>54</v>
      </c>
      <c r="R117" s="10" t="s">
        <v>28</v>
      </c>
      <c r="S117" s="10"/>
      <c r="T117" s="10"/>
      <c r="U117" s="10" t="s">
        <v>1108</v>
      </c>
      <c r="V117" s="10" t="s">
        <v>1108</v>
      </c>
      <c r="W117" s="50">
        <f>+J117/$W$2</f>
        <v>1.9892802783244687E-5</v>
      </c>
    </row>
    <row r="118" spans="1:23">
      <c r="A118" s="10" t="s">
        <v>1117</v>
      </c>
      <c r="B118" s="10" t="s">
        <v>381</v>
      </c>
      <c r="C118" s="124">
        <v>46297</v>
      </c>
      <c r="D118" s="124" t="s">
        <v>492</v>
      </c>
      <c r="E118" s="21">
        <v>0.99729502000000003</v>
      </c>
      <c r="F118" s="10"/>
      <c r="G118" s="14">
        <v>11504835.23</v>
      </c>
      <c r="H118" s="14">
        <v>11473714.869999999</v>
      </c>
      <c r="I118" s="14">
        <v>11504835.23</v>
      </c>
      <c r="J118" s="14">
        <v>11473714.869999999</v>
      </c>
      <c r="K118" s="12">
        <v>10061748</v>
      </c>
      <c r="L118" s="10" t="s">
        <v>101</v>
      </c>
      <c r="M118" s="10" t="s">
        <v>102</v>
      </c>
      <c r="N118" s="124" t="s">
        <v>362</v>
      </c>
      <c r="O118" s="124" t="s">
        <v>362</v>
      </c>
      <c r="P118" s="21">
        <v>33</v>
      </c>
      <c r="Q118" s="10" t="s">
        <v>54</v>
      </c>
      <c r="R118" s="10" t="s">
        <v>28</v>
      </c>
      <c r="S118" s="10"/>
      <c r="T118" s="10"/>
      <c r="U118" s="10" t="s">
        <v>1109</v>
      </c>
      <c r="V118" s="10" t="s">
        <v>1109</v>
      </c>
      <c r="W118" s="50">
        <f>+J118/$W$2</f>
        <v>1.5253809194379966E-4</v>
      </c>
    </row>
    <row r="119" spans="1:23">
      <c r="A119" s="10" t="s">
        <v>1119</v>
      </c>
      <c r="B119" s="10" t="s">
        <v>381</v>
      </c>
      <c r="C119" s="124">
        <v>46297</v>
      </c>
      <c r="D119" s="124" t="s">
        <v>492</v>
      </c>
      <c r="E119" s="21">
        <v>0.99729502000000003</v>
      </c>
      <c r="F119" s="10"/>
      <c r="G119" s="14">
        <v>2113037.46</v>
      </c>
      <c r="H119" s="14">
        <v>2107321.73</v>
      </c>
      <c r="I119" s="14">
        <v>2113037.46</v>
      </c>
      <c r="J119" s="14">
        <v>2107321.73</v>
      </c>
      <c r="K119" s="12">
        <v>10226062</v>
      </c>
      <c r="L119" s="10" t="s">
        <v>101</v>
      </c>
      <c r="M119" s="10" t="s">
        <v>102</v>
      </c>
      <c r="N119" s="124" t="s">
        <v>362</v>
      </c>
      <c r="O119" s="124" t="s">
        <v>362</v>
      </c>
      <c r="P119" s="21">
        <v>33</v>
      </c>
      <c r="Q119" s="10" t="s">
        <v>54</v>
      </c>
      <c r="R119" s="10" t="s">
        <v>28</v>
      </c>
      <c r="S119" s="10"/>
      <c r="T119" s="10"/>
      <c r="U119" s="10" t="s">
        <v>1112</v>
      </c>
      <c r="V119" s="10" t="s">
        <v>1112</v>
      </c>
      <c r="W119" s="50">
        <f>+J119/$W$2</f>
        <v>2.8015933762341E-5</v>
      </c>
    </row>
    <row r="120" spans="1:23">
      <c r="A120" s="10" t="s">
        <v>1277</v>
      </c>
      <c r="B120" s="10" t="s">
        <v>381</v>
      </c>
      <c r="C120" s="124">
        <v>46297</v>
      </c>
      <c r="D120" s="124" t="s">
        <v>492</v>
      </c>
      <c r="E120" s="21">
        <v>0.99754032999999998</v>
      </c>
      <c r="F120" s="10"/>
      <c r="G120" s="14">
        <v>4957748.6399999997</v>
      </c>
      <c r="H120" s="14">
        <v>4945554.1900000004</v>
      </c>
      <c r="I120" s="14">
        <v>4957748.6399999997</v>
      </c>
      <c r="J120" s="14">
        <v>4945554.1900000004</v>
      </c>
      <c r="K120" s="12">
        <v>68735170</v>
      </c>
      <c r="L120" s="10" t="s">
        <v>101</v>
      </c>
      <c r="M120" s="10" t="s">
        <v>102</v>
      </c>
      <c r="N120" s="124" t="s">
        <v>165</v>
      </c>
      <c r="O120" s="124" t="s">
        <v>165</v>
      </c>
      <c r="P120" s="21">
        <v>30</v>
      </c>
      <c r="Q120" s="10" t="s">
        <v>54</v>
      </c>
      <c r="R120" s="10" t="s">
        <v>28</v>
      </c>
      <c r="S120" s="10"/>
      <c r="T120" s="10"/>
      <c r="U120" s="10" t="s">
        <v>1270</v>
      </c>
      <c r="V120" s="10" t="s">
        <v>1270</v>
      </c>
      <c r="W120" s="50">
        <f>+J120/$W$2</f>
        <v>6.5749010524894091E-5</v>
      </c>
    </row>
    <row r="121" spans="1:23">
      <c r="A121" s="10" t="s">
        <v>1433</v>
      </c>
      <c r="B121" s="10" t="s">
        <v>381</v>
      </c>
      <c r="C121" s="124">
        <v>46297</v>
      </c>
      <c r="D121" s="124" t="s">
        <v>492</v>
      </c>
      <c r="E121" s="21">
        <v>0.99770391999999997</v>
      </c>
      <c r="F121" s="10"/>
      <c r="G121" s="14">
        <v>5437493</v>
      </c>
      <c r="H121" s="14">
        <v>5425008.0899999999</v>
      </c>
      <c r="I121" s="14">
        <v>5437493</v>
      </c>
      <c r="J121" s="14">
        <v>5425008.0899999999</v>
      </c>
      <c r="K121" s="12">
        <v>68347513</v>
      </c>
      <c r="L121" s="10" t="s">
        <v>101</v>
      </c>
      <c r="M121" s="10" t="s">
        <v>102</v>
      </c>
      <c r="N121" s="124" t="s">
        <v>548</v>
      </c>
      <c r="O121" s="124" t="s">
        <v>548</v>
      </c>
      <c r="P121" s="21">
        <v>28</v>
      </c>
      <c r="Q121" s="10" t="s">
        <v>54</v>
      </c>
      <c r="R121" s="10" t="s">
        <v>28</v>
      </c>
      <c r="S121" s="10"/>
      <c r="T121" s="10"/>
      <c r="U121" s="10" t="s">
        <v>1420</v>
      </c>
      <c r="V121" s="10" t="s">
        <v>1420</v>
      </c>
      <c r="W121" s="50">
        <f>+J121/$W$2</f>
        <v>7.2123143393773134E-5</v>
      </c>
    </row>
    <row r="122" spans="1:23">
      <c r="A122" s="10" t="s">
        <v>471</v>
      </c>
      <c r="B122" s="10" t="s">
        <v>381</v>
      </c>
      <c r="C122" s="124">
        <v>46297</v>
      </c>
      <c r="D122" s="124" t="s">
        <v>492</v>
      </c>
      <c r="E122" s="21">
        <v>0.99786757000000004</v>
      </c>
      <c r="F122" s="10"/>
      <c r="G122" s="14">
        <v>9000000</v>
      </c>
      <c r="H122" s="14">
        <v>8980808.1600000001</v>
      </c>
      <c r="I122" s="14">
        <v>9000000</v>
      </c>
      <c r="J122" s="14">
        <v>8980808.1600000001</v>
      </c>
      <c r="K122" s="12">
        <v>3487870</v>
      </c>
      <c r="L122" s="10" t="s">
        <v>101</v>
      </c>
      <c r="M122" s="10" t="s">
        <v>102</v>
      </c>
      <c r="N122" s="124" t="s">
        <v>270</v>
      </c>
      <c r="O122" s="124" t="s">
        <v>270</v>
      </c>
      <c r="P122" s="21">
        <v>26</v>
      </c>
      <c r="Q122" s="10" t="s">
        <v>54</v>
      </c>
      <c r="R122" s="10" t="s">
        <v>28</v>
      </c>
      <c r="S122" s="10"/>
      <c r="T122" s="10"/>
      <c r="U122" s="10" t="s">
        <v>617</v>
      </c>
      <c r="V122" s="10" t="s">
        <v>617</v>
      </c>
      <c r="W122" s="50">
        <f>+J122/$W$2</f>
        <v>1.1939597212944394E-4</v>
      </c>
    </row>
    <row r="123" spans="1:23">
      <c r="A123" s="10" t="s">
        <v>471</v>
      </c>
      <c r="B123" s="10" t="s">
        <v>381</v>
      </c>
      <c r="C123" s="124">
        <v>46297</v>
      </c>
      <c r="D123" s="124" t="s">
        <v>492</v>
      </c>
      <c r="E123" s="21">
        <v>0.99786757000000004</v>
      </c>
      <c r="F123" s="10"/>
      <c r="G123" s="14">
        <v>9000000</v>
      </c>
      <c r="H123" s="14">
        <v>8980808.1600000001</v>
      </c>
      <c r="I123" s="14">
        <v>9000000</v>
      </c>
      <c r="J123" s="14">
        <v>8980808.1600000001</v>
      </c>
      <c r="K123" s="12">
        <v>3385280</v>
      </c>
      <c r="L123" s="10" t="s">
        <v>101</v>
      </c>
      <c r="M123" s="10" t="s">
        <v>102</v>
      </c>
      <c r="N123" s="124" t="s">
        <v>270</v>
      </c>
      <c r="O123" s="124" t="s">
        <v>270</v>
      </c>
      <c r="P123" s="21">
        <v>26</v>
      </c>
      <c r="Q123" s="10" t="s">
        <v>54</v>
      </c>
      <c r="R123" s="10" t="s">
        <v>28</v>
      </c>
      <c r="S123" s="10"/>
      <c r="T123" s="10"/>
      <c r="U123" s="10" t="s">
        <v>618</v>
      </c>
      <c r="V123" s="10" t="s">
        <v>618</v>
      </c>
      <c r="W123" s="50">
        <f>+J123/$W$2</f>
        <v>1.1939597212944394E-4</v>
      </c>
    </row>
    <row r="124" spans="1:23">
      <c r="A124" s="10" t="s">
        <v>471</v>
      </c>
      <c r="B124" s="10" t="s">
        <v>381</v>
      </c>
      <c r="C124" s="124">
        <v>46297</v>
      </c>
      <c r="D124" s="124" t="s">
        <v>492</v>
      </c>
      <c r="E124" s="21">
        <v>0.99762211000000001</v>
      </c>
      <c r="F124" s="10"/>
      <c r="G124" s="14">
        <v>10000000</v>
      </c>
      <c r="H124" s="14">
        <v>9976221.1099999994</v>
      </c>
      <c r="I124" s="14">
        <v>10000000</v>
      </c>
      <c r="J124" s="14">
        <v>9976221.1099999994</v>
      </c>
      <c r="K124" s="12">
        <v>3487825</v>
      </c>
      <c r="L124" s="10" t="s">
        <v>101</v>
      </c>
      <c r="M124" s="10" t="s">
        <v>102</v>
      </c>
      <c r="N124" s="124" t="s">
        <v>276</v>
      </c>
      <c r="O124" s="124" t="s">
        <v>276</v>
      </c>
      <c r="P124" s="21">
        <v>29</v>
      </c>
      <c r="Q124" s="10" t="s">
        <v>54</v>
      </c>
      <c r="R124" s="10" t="s">
        <v>28</v>
      </c>
      <c r="S124" s="10"/>
      <c r="T124" s="10"/>
      <c r="U124" s="10" t="s">
        <v>564</v>
      </c>
      <c r="V124" s="10" t="s">
        <v>564</v>
      </c>
      <c r="W124" s="50">
        <f>+J124/$W$2</f>
        <v>1.3262955809610903E-4</v>
      </c>
    </row>
    <row r="125" spans="1:23">
      <c r="A125" s="10" t="s">
        <v>1727</v>
      </c>
      <c r="B125" s="10" t="s">
        <v>381</v>
      </c>
      <c r="C125" s="124">
        <v>46297</v>
      </c>
      <c r="D125" s="124" t="s">
        <v>492</v>
      </c>
      <c r="E125" s="21">
        <v>0.99696817000000004</v>
      </c>
      <c r="F125" s="10"/>
      <c r="G125" s="14">
        <v>9033526.6500000004</v>
      </c>
      <c r="H125" s="14">
        <v>9006138.5</v>
      </c>
      <c r="I125" s="14">
        <v>9033526.6500000004</v>
      </c>
      <c r="J125" s="14">
        <v>9006138.5</v>
      </c>
      <c r="K125" s="12">
        <v>68</v>
      </c>
      <c r="L125" s="10" t="s">
        <v>101</v>
      </c>
      <c r="M125" s="10" t="s">
        <v>102</v>
      </c>
      <c r="N125" s="124" t="s">
        <v>420</v>
      </c>
      <c r="O125" s="124" t="s">
        <v>420</v>
      </c>
      <c r="P125" s="21">
        <v>37</v>
      </c>
      <c r="Q125" s="10" t="s">
        <v>54</v>
      </c>
      <c r="R125" s="10" t="s">
        <v>28</v>
      </c>
      <c r="S125" s="10"/>
      <c r="T125" s="10"/>
      <c r="U125" s="10" t="s">
        <v>2643</v>
      </c>
      <c r="V125" s="10" t="s">
        <v>2643</v>
      </c>
      <c r="W125" s="50">
        <f>+J125/$W$2</f>
        <v>1.1973272807777156E-4</v>
      </c>
    </row>
    <row r="126" spans="1:23">
      <c r="A126" s="10" t="s">
        <v>1727</v>
      </c>
      <c r="B126" s="10" t="s">
        <v>381</v>
      </c>
      <c r="C126" s="124">
        <v>46297</v>
      </c>
      <c r="D126" s="124" t="s">
        <v>492</v>
      </c>
      <c r="E126" s="21">
        <v>0.99696823999999995</v>
      </c>
      <c r="F126" s="10"/>
      <c r="G126" s="14">
        <v>65767192.159999996</v>
      </c>
      <c r="H126" s="14">
        <v>65567801.530000001</v>
      </c>
      <c r="I126" s="14">
        <v>65767192.159999996</v>
      </c>
      <c r="J126" s="14">
        <v>65567801.530000001</v>
      </c>
      <c r="K126" s="12">
        <v>24698</v>
      </c>
      <c r="L126" s="10" t="s">
        <v>101</v>
      </c>
      <c r="M126" s="10" t="s">
        <v>102</v>
      </c>
      <c r="N126" s="124" t="s">
        <v>677</v>
      </c>
      <c r="O126" s="124" t="s">
        <v>677</v>
      </c>
      <c r="P126" s="21">
        <v>37</v>
      </c>
      <c r="Q126" s="10" t="s">
        <v>54</v>
      </c>
      <c r="R126" s="10" t="s">
        <v>28</v>
      </c>
      <c r="S126" s="10"/>
      <c r="T126" s="10"/>
      <c r="U126" s="10" t="s">
        <v>3336</v>
      </c>
      <c r="V126" s="10" t="s">
        <v>3336</v>
      </c>
      <c r="W126" s="50">
        <f>+J126/$W$2</f>
        <v>8.7169564972255139E-4</v>
      </c>
    </row>
    <row r="127" spans="1:23">
      <c r="A127" s="10" t="s">
        <v>317</v>
      </c>
      <c r="B127" s="10" t="s">
        <v>381</v>
      </c>
      <c r="C127" s="124">
        <v>46297</v>
      </c>
      <c r="D127" s="124" t="s">
        <v>492</v>
      </c>
      <c r="E127" s="21">
        <v>0.99737677000000002</v>
      </c>
      <c r="F127" s="10"/>
      <c r="G127" s="14">
        <v>200000000</v>
      </c>
      <c r="H127" s="14">
        <v>199475354.72</v>
      </c>
      <c r="I127" s="14">
        <v>200000000</v>
      </c>
      <c r="J127" s="14">
        <v>199475354.72</v>
      </c>
      <c r="K127" s="12">
        <v>9779580</v>
      </c>
      <c r="L127" s="10" t="s">
        <v>101</v>
      </c>
      <c r="M127" s="10" t="s">
        <v>102</v>
      </c>
      <c r="N127" s="124" t="s">
        <v>417</v>
      </c>
      <c r="O127" s="124" t="s">
        <v>417</v>
      </c>
      <c r="P127" s="21">
        <v>32</v>
      </c>
      <c r="Q127" s="10" t="s">
        <v>54</v>
      </c>
      <c r="R127" s="10" t="s">
        <v>28</v>
      </c>
      <c r="S127" s="10"/>
      <c r="T127" s="10"/>
      <c r="U127" s="10" t="s">
        <v>1683</v>
      </c>
      <c r="V127" s="10" t="s">
        <v>1683</v>
      </c>
      <c r="W127" s="50">
        <f>+J127/$W$2</f>
        <v>2.6519388309325675E-3</v>
      </c>
    </row>
    <row r="128" spans="1:23">
      <c r="A128" s="10" t="s">
        <v>317</v>
      </c>
      <c r="B128" s="10" t="s">
        <v>381</v>
      </c>
      <c r="C128" s="124">
        <v>46297</v>
      </c>
      <c r="D128" s="124" t="s">
        <v>492</v>
      </c>
      <c r="E128" s="21">
        <v>0.99754032000000004</v>
      </c>
      <c r="F128" s="10"/>
      <c r="G128" s="14">
        <v>100000000</v>
      </c>
      <c r="H128" s="14">
        <v>99754032.010000005</v>
      </c>
      <c r="I128" s="14">
        <v>100000000</v>
      </c>
      <c r="J128" s="14">
        <v>99754032.010000005</v>
      </c>
      <c r="K128" s="12">
        <v>9779575</v>
      </c>
      <c r="L128" s="10" t="s">
        <v>101</v>
      </c>
      <c r="M128" s="10" t="s">
        <v>102</v>
      </c>
      <c r="N128" s="124" t="s">
        <v>364</v>
      </c>
      <c r="O128" s="124" t="s">
        <v>364</v>
      </c>
      <c r="P128" s="21">
        <v>30</v>
      </c>
      <c r="Q128" s="10" t="s">
        <v>54</v>
      </c>
      <c r="R128" s="10" t="s">
        <v>28</v>
      </c>
      <c r="S128" s="10"/>
      <c r="T128" s="10"/>
      <c r="U128" s="10" t="s">
        <v>1144</v>
      </c>
      <c r="V128" s="10" t="s">
        <v>1144</v>
      </c>
      <c r="W128" s="50">
        <f>+J128/$W$2</f>
        <v>1.3261868434862123E-3</v>
      </c>
    </row>
    <row r="129" spans="1:29">
      <c r="A129" s="10" t="s">
        <v>317</v>
      </c>
      <c r="B129" s="10" t="s">
        <v>381</v>
      </c>
      <c r="C129" s="124">
        <v>46297</v>
      </c>
      <c r="D129" s="124" t="s">
        <v>492</v>
      </c>
      <c r="E129" s="21">
        <v>0.99754032000000004</v>
      </c>
      <c r="F129" s="10"/>
      <c r="G129" s="14">
        <v>100000000</v>
      </c>
      <c r="H129" s="14">
        <v>99754032.010000005</v>
      </c>
      <c r="I129" s="14">
        <v>100000000</v>
      </c>
      <c r="J129" s="14">
        <v>99754032.010000005</v>
      </c>
      <c r="K129" s="12">
        <v>9779576</v>
      </c>
      <c r="L129" s="10" t="s">
        <v>101</v>
      </c>
      <c r="M129" s="10" t="s">
        <v>102</v>
      </c>
      <c r="N129" s="124" t="s">
        <v>364</v>
      </c>
      <c r="O129" s="124" t="s">
        <v>364</v>
      </c>
      <c r="P129" s="21">
        <v>30</v>
      </c>
      <c r="Q129" s="10" t="s">
        <v>54</v>
      </c>
      <c r="R129" s="10" t="s">
        <v>28</v>
      </c>
      <c r="S129" s="10"/>
      <c r="T129" s="10"/>
      <c r="U129" s="10" t="s">
        <v>1145</v>
      </c>
      <c r="V129" s="10" t="s">
        <v>1145</v>
      </c>
      <c r="W129" s="50">
        <f>+J129/$W$2</f>
        <v>1.3261868434862123E-3</v>
      </c>
    </row>
    <row r="130" spans="1:29">
      <c r="A130" s="10" t="s">
        <v>317</v>
      </c>
      <c r="B130" s="10" t="s">
        <v>381</v>
      </c>
      <c r="C130" s="124">
        <v>46297</v>
      </c>
      <c r="D130" s="124" t="s">
        <v>492</v>
      </c>
      <c r="E130" s="21">
        <v>0.99754032000000004</v>
      </c>
      <c r="F130" s="10"/>
      <c r="G130" s="14">
        <v>100000000</v>
      </c>
      <c r="H130" s="14">
        <v>99754032.010000005</v>
      </c>
      <c r="I130" s="14">
        <v>100000000</v>
      </c>
      <c r="J130" s="14">
        <v>99754032.010000005</v>
      </c>
      <c r="K130" s="12">
        <v>9779578</v>
      </c>
      <c r="L130" s="10" t="s">
        <v>101</v>
      </c>
      <c r="M130" s="10" t="s">
        <v>102</v>
      </c>
      <c r="N130" s="124" t="s">
        <v>364</v>
      </c>
      <c r="O130" s="124" t="s">
        <v>364</v>
      </c>
      <c r="P130" s="21">
        <v>30</v>
      </c>
      <c r="Q130" s="10" t="s">
        <v>54</v>
      </c>
      <c r="R130" s="10" t="s">
        <v>28</v>
      </c>
      <c r="S130" s="10"/>
      <c r="T130" s="10"/>
      <c r="U130" s="10" t="s">
        <v>1146</v>
      </c>
      <c r="V130" s="10" t="s">
        <v>1146</v>
      </c>
      <c r="W130" s="50">
        <f>+J130/$W$2</f>
        <v>1.3261868434862123E-3</v>
      </c>
    </row>
    <row r="131" spans="1:29">
      <c r="A131" s="10" t="s">
        <v>317</v>
      </c>
      <c r="B131" s="10" t="s">
        <v>381</v>
      </c>
      <c r="C131" s="124">
        <v>46297</v>
      </c>
      <c r="D131" s="124" t="s">
        <v>492</v>
      </c>
      <c r="E131" s="21">
        <v>0.99754032000000004</v>
      </c>
      <c r="F131" s="10"/>
      <c r="G131" s="14">
        <v>100000000</v>
      </c>
      <c r="H131" s="14">
        <v>99754032.010000005</v>
      </c>
      <c r="I131" s="14">
        <v>100000000</v>
      </c>
      <c r="J131" s="14">
        <v>99754032.010000005</v>
      </c>
      <c r="K131" s="12">
        <v>9779577</v>
      </c>
      <c r="L131" s="10" t="s">
        <v>101</v>
      </c>
      <c r="M131" s="10" t="s">
        <v>102</v>
      </c>
      <c r="N131" s="124" t="s">
        <v>364</v>
      </c>
      <c r="O131" s="124" t="s">
        <v>364</v>
      </c>
      <c r="P131" s="21">
        <v>30</v>
      </c>
      <c r="Q131" s="10" t="s">
        <v>54</v>
      </c>
      <c r="R131" s="10" t="s">
        <v>28</v>
      </c>
      <c r="S131" s="10"/>
      <c r="T131" s="10"/>
      <c r="U131" s="10" t="s">
        <v>1147</v>
      </c>
      <c r="V131" s="10" t="s">
        <v>1147</v>
      </c>
      <c r="W131" s="50">
        <f>+J131/$W$2</f>
        <v>1.3261868434862123E-3</v>
      </c>
    </row>
    <row r="132" spans="1:29">
      <c r="A132" s="10" t="s">
        <v>317</v>
      </c>
      <c r="B132" s="10" t="s">
        <v>381</v>
      </c>
      <c r="C132" s="124">
        <v>46297</v>
      </c>
      <c r="D132" s="124" t="s">
        <v>492</v>
      </c>
      <c r="E132" s="21">
        <v>0.99754032000000004</v>
      </c>
      <c r="F132" s="10"/>
      <c r="G132" s="14">
        <v>100000000</v>
      </c>
      <c r="H132" s="14">
        <v>99754032.010000005</v>
      </c>
      <c r="I132" s="14">
        <v>100000000</v>
      </c>
      <c r="J132" s="14">
        <v>99754032.010000005</v>
      </c>
      <c r="K132" s="12">
        <v>9779579</v>
      </c>
      <c r="L132" s="10" t="s">
        <v>101</v>
      </c>
      <c r="M132" s="10" t="s">
        <v>102</v>
      </c>
      <c r="N132" s="124" t="s">
        <v>364</v>
      </c>
      <c r="O132" s="124" t="s">
        <v>364</v>
      </c>
      <c r="P132" s="21">
        <v>30</v>
      </c>
      <c r="Q132" s="10" t="s">
        <v>54</v>
      </c>
      <c r="R132" s="10" t="s">
        <v>28</v>
      </c>
      <c r="S132" s="10"/>
      <c r="T132" s="10"/>
      <c r="U132" s="10" t="s">
        <v>1148</v>
      </c>
      <c r="V132" s="10" t="s">
        <v>1148</v>
      </c>
      <c r="W132" s="50">
        <f>+J132/$W$2</f>
        <v>1.3261868434862123E-3</v>
      </c>
    </row>
    <row r="133" spans="1:29">
      <c r="A133" s="10" t="s">
        <v>317</v>
      </c>
      <c r="B133" s="10" t="s">
        <v>381</v>
      </c>
      <c r="C133" s="124">
        <v>46297</v>
      </c>
      <c r="D133" s="124" t="s">
        <v>492</v>
      </c>
      <c r="E133" s="21">
        <v>0.99754030999999999</v>
      </c>
      <c r="F133" s="10"/>
      <c r="G133" s="14">
        <v>100000000</v>
      </c>
      <c r="H133" s="14">
        <v>99754031.489999995</v>
      </c>
      <c r="I133" s="14">
        <v>100000000</v>
      </c>
      <c r="J133" s="14">
        <v>99754031.489999995</v>
      </c>
      <c r="K133" s="12">
        <v>6676</v>
      </c>
      <c r="L133" s="10" t="s">
        <v>101</v>
      </c>
      <c r="M133" s="10" t="s">
        <v>102</v>
      </c>
      <c r="N133" s="124" t="s">
        <v>324</v>
      </c>
      <c r="O133" s="124" t="s">
        <v>324</v>
      </c>
      <c r="P133" s="21">
        <v>30</v>
      </c>
      <c r="Q133" s="10" t="s">
        <v>54</v>
      </c>
      <c r="R133" s="10" t="s">
        <v>28</v>
      </c>
      <c r="S133" s="10"/>
      <c r="T133" s="10"/>
      <c r="U133" s="10" t="s">
        <v>718</v>
      </c>
      <c r="V133" s="10" t="s">
        <v>718</v>
      </c>
      <c r="W133" s="50">
        <f>+J133/$W$2</f>
        <v>1.3261868365730364E-3</v>
      </c>
    </row>
    <row r="134" spans="1:29">
      <c r="A134" s="10" t="s">
        <v>166</v>
      </c>
      <c r="B134" s="10" t="s">
        <v>381</v>
      </c>
      <c r="C134" s="124">
        <v>46297</v>
      </c>
      <c r="D134" s="124" t="s">
        <v>492</v>
      </c>
      <c r="E134" s="21">
        <v>0.99713154999999998</v>
      </c>
      <c r="F134" s="10"/>
      <c r="G134" s="14">
        <v>250000000</v>
      </c>
      <c r="H134" s="14">
        <v>249282887.22999999</v>
      </c>
      <c r="I134" s="14">
        <v>250000000</v>
      </c>
      <c r="J134" s="14">
        <v>249282887.22999999</v>
      </c>
      <c r="K134" s="12">
        <v>70400474</v>
      </c>
      <c r="L134" s="10" t="s">
        <v>101</v>
      </c>
      <c r="M134" s="10" t="s">
        <v>102</v>
      </c>
      <c r="N134" s="124" t="s">
        <v>548</v>
      </c>
      <c r="O134" s="124" t="s">
        <v>548</v>
      </c>
      <c r="P134" s="21">
        <v>35</v>
      </c>
      <c r="Q134" s="10" t="s">
        <v>54</v>
      </c>
      <c r="R134" s="10" t="s">
        <v>28</v>
      </c>
      <c r="S134" s="10"/>
      <c r="T134" s="10"/>
      <c r="U134" s="10" t="s">
        <v>1371</v>
      </c>
      <c r="V134" s="10" t="s">
        <v>1371</v>
      </c>
      <c r="W134" s="50">
        <f>+J134/$W$2</f>
        <v>3.3141084995696414E-3</v>
      </c>
    </row>
    <row r="135" spans="1:29">
      <c r="A135" s="10" t="s">
        <v>665</v>
      </c>
      <c r="B135" s="10" t="s">
        <v>381</v>
      </c>
      <c r="C135" s="124">
        <v>46297</v>
      </c>
      <c r="D135" s="124" t="s">
        <v>492</v>
      </c>
      <c r="E135" s="21">
        <v>0.99729500999999998</v>
      </c>
      <c r="F135" s="10"/>
      <c r="G135" s="14">
        <v>3772034.12</v>
      </c>
      <c r="H135" s="14">
        <v>3761830.82</v>
      </c>
      <c r="I135" s="14">
        <v>3772034.12</v>
      </c>
      <c r="J135" s="14">
        <v>3761830.82</v>
      </c>
      <c r="K135" s="12">
        <v>638</v>
      </c>
      <c r="L135" s="10" t="s">
        <v>101</v>
      </c>
      <c r="M135" s="10" t="s">
        <v>102</v>
      </c>
      <c r="N135" s="124" t="s">
        <v>157</v>
      </c>
      <c r="O135" s="124" t="s">
        <v>157</v>
      </c>
      <c r="P135" s="21">
        <v>33</v>
      </c>
      <c r="Q135" s="10" t="s">
        <v>54</v>
      </c>
      <c r="R135" s="10" t="s">
        <v>28</v>
      </c>
      <c r="S135" s="10"/>
      <c r="T135" s="10"/>
      <c r="U135" s="10" t="s">
        <v>658</v>
      </c>
      <c r="V135" s="10" t="s">
        <v>658</v>
      </c>
      <c r="W135" s="50">
        <f>+J135/$W$2</f>
        <v>5.0011918720286214E-5</v>
      </c>
    </row>
    <row r="136" spans="1:29">
      <c r="A136" s="10" t="s">
        <v>2130</v>
      </c>
      <c r="B136" s="10" t="s">
        <v>381</v>
      </c>
      <c r="C136" s="124">
        <v>46297</v>
      </c>
      <c r="D136" s="124" t="s">
        <v>492</v>
      </c>
      <c r="E136" s="21">
        <v>0.99745852999999995</v>
      </c>
      <c r="F136" s="10"/>
      <c r="G136" s="14">
        <v>50544541.340000004</v>
      </c>
      <c r="H136" s="14">
        <v>50416084.009999998</v>
      </c>
      <c r="I136" s="14">
        <v>50544541.340000004</v>
      </c>
      <c r="J136" s="14">
        <v>50416084.009999998</v>
      </c>
      <c r="K136" s="12">
        <v>70667889</v>
      </c>
      <c r="L136" s="10" t="s">
        <v>101</v>
      </c>
      <c r="M136" s="10" t="s">
        <v>102</v>
      </c>
      <c r="N136" s="124" t="s">
        <v>421</v>
      </c>
      <c r="O136" s="124" t="s">
        <v>421</v>
      </c>
      <c r="P136" s="21">
        <v>31</v>
      </c>
      <c r="Q136" s="10" t="s">
        <v>54</v>
      </c>
      <c r="R136" s="10" t="s">
        <v>28</v>
      </c>
      <c r="S136" s="10"/>
      <c r="T136" s="10"/>
      <c r="U136" s="10" t="s">
        <v>2095</v>
      </c>
      <c r="V136" s="10" t="s">
        <v>2095</v>
      </c>
      <c r="W136" s="50">
        <f>+J136/$W$2</f>
        <v>6.7026009843346472E-4</v>
      </c>
    </row>
    <row r="137" spans="1:29">
      <c r="A137" s="10" t="s">
        <v>290</v>
      </c>
      <c r="B137" s="10" t="s">
        <v>381</v>
      </c>
      <c r="C137" s="124">
        <v>46297</v>
      </c>
      <c r="D137" s="124" t="s">
        <v>492</v>
      </c>
      <c r="E137" s="21">
        <v>0.99713154000000004</v>
      </c>
      <c r="F137" s="10"/>
      <c r="G137" s="14">
        <v>6500000</v>
      </c>
      <c r="H137" s="14">
        <v>6481355.0300000003</v>
      </c>
      <c r="I137" s="14">
        <v>6500000</v>
      </c>
      <c r="J137" s="14">
        <v>6481355.0300000003</v>
      </c>
      <c r="K137" s="12">
        <v>40761904</v>
      </c>
      <c r="L137" s="10" t="s">
        <v>101</v>
      </c>
      <c r="M137" s="10" t="s">
        <v>102</v>
      </c>
      <c r="N137" s="124" t="s">
        <v>365</v>
      </c>
      <c r="O137" s="124" t="s">
        <v>365</v>
      </c>
      <c r="P137" s="21">
        <v>35</v>
      </c>
      <c r="Q137" s="10" t="s">
        <v>54</v>
      </c>
      <c r="R137" s="10" t="s">
        <v>28</v>
      </c>
      <c r="S137" s="10"/>
      <c r="T137" s="10"/>
      <c r="U137" s="10" t="s">
        <v>1066</v>
      </c>
      <c r="V137" s="10" t="s">
        <v>1066</v>
      </c>
      <c r="W137" s="50">
        <f>+J137/$W$2</f>
        <v>8.6166820483882958E-5</v>
      </c>
    </row>
    <row r="138" spans="1:29">
      <c r="A138" s="10" t="s">
        <v>392</v>
      </c>
      <c r="B138" s="10" t="s">
        <v>381</v>
      </c>
      <c r="C138" s="124">
        <v>46297</v>
      </c>
      <c r="D138" s="124" t="s">
        <v>492</v>
      </c>
      <c r="E138" s="21">
        <v>0.99729500999999998</v>
      </c>
      <c r="F138" s="10"/>
      <c r="G138" s="14">
        <v>2000000</v>
      </c>
      <c r="H138" s="14">
        <v>1994590.03</v>
      </c>
      <c r="I138" s="14">
        <v>2000000</v>
      </c>
      <c r="J138" s="14">
        <v>1994590.03</v>
      </c>
      <c r="K138" s="12">
        <v>41</v>
      </c>
      <c r="L138" s="10" t="s">
        <v>101</v>
      </c>
      <c r="M138" s="10" t="s">
        <v>102</v>
      </c>
      <c r="N138" s="124" t="s">
        <v>476</v>
      </c>
      <c r="O138" s="124" t="s">
        <v>476</v>
      </c>
      <c r="P138" s="21">
        <v>33</v>
      </c>
      <c r="Q138" s="10" t="s">
        <v>54</v>
      </c>
      <c r="R138" s="10" t="s">
        <v>28</v>
      </c>
      <c r="S138" s="10"/>
      <c r="T138" s="10"/>
      <c r="U138" s="10" t="s">
        <v>1515</v>
      </c>
      <c r="V138" s="10" t="s">
        <v>1515</v>
      </c>
      <c r="W138" s="50">
        <f>+J138/$W$2</f>
        <v>2.6517214418657255E-5</v>
      </c>
    </row>
    <row r="139" spans="1:29">
      <c r="A139" s="10" t="s">
        <v>465</v>
      </c>
      <c r="B139" s="10" t="s">
        <v>381</v>
      </c>
      <c r="C139" s="124">
        <v>46297</v>
      </c>
      <c r="D139" s="124" t="s">
        <v>492</v>
      </c>
      <c r="E139" s="21">
        <v>0.99745854</v>
      </c>
      <c r="F139" s="10"/>
      <c r="G139" s="14">
        <v>10000000</v>
      </c>
      <c r="H139" s="14">
        <v>9974585.4100000001</v>
      </c>
      <c r="I139" s="14">
        <v>10000000</v>
      </c>
      <c r="J139" s="14">
        <v>9974585.4100000001</v>
      </c>
      <c r="K139" s="12">
        <v>14004256</v>
      </c>
      <c r="L139" s="10" t="s">
        <v>101</v>
      </c>
      <c r="M139" s="10" t="s">
        <v>102</v>
      </c>
      <c r="N139" s="124" t="s">
        <v>321</v>
      </c>
      <c r="O139" s="124" t="s">
        <v>321</v>
      </c>
      <c r="P139" s="21">
        <v>31</v>
      </c>
      <c r="Q139" s="10" t="s">
        <v>54</v>
      </c>
      <c r="R139" s="10" t="s">
        <v>28</v>
      </c>
      <c r="S139" s="10"/>
      <c r="T139" s="10"/>
      <c r="U139" s="10" t="s">
        <v>1236</v>
      </c>
      <c r="V139" s="10" t="s">
        <v>1236</v>
      </c>
      <c r="W139" s="50">
        <f>+J139/$W$2</f>
        <v>1.3260781216989251E-4</v>
      </c>
    </row>
    <row r="140" spans="1:29">
      <c r="A140" s="10" t="s">
        <v>471</v>
      </c>
      <c r="B140" s="10" t="s">
        <v>381</v>
      </c>
      <c r="C140" s="124">
        <v>46297</v>
      </c>
      <c r="D140" s="124" t="s">
        <v>492</v>
      </c>
      <c r="E140" s="21">
        <v>0.99729500999999998</v>
      </c>
      <c r="F140" s="10"/>
      <c r="G140" s="14">
        <v>21387500</v>
      </c>
      <c r="H140" s="14">
        <v>21329647.09</v>
      </c>
      <c r="I140" s="14">
        <v>21387500</v>
      </c>
      <c r="J140" s="14">
        <v>21329647.09</v>
      </c>
      <c r="K140" s="12">
        <v>3233105</v>
      </c>
      <c r="L140" s="10" t="s">
        <v>101</v>
      </c>
      <c r="M140" s="10" t="s">
        <v>102</v>
      </c>
      <c r="N140" s="124" t="s">
        <v>329</v>
      </c>
      <c r="O140" s="124" t="s">
        <v>329</v>
      </c>
      <c r="P140" s="21">
        <v>33</v>
      </c>
      <c r="Q140" s="10" t="s">
        <v>54</v>
      </c>
      <c r="R140" s="10" t="s">
        <v>28</v>
      </c>
      <c r="S140" s="10"/>
      <c r="T140" s="10"/>
      <c r="U140" s="10" t="s">
        <v>473</v>
      </c>
      <c r="V140" s="10" t="s">
        <v>473</v>
      </c>
      <c r="W140" s="50">
        <f>+J140/$W$2</f>
        <v>2.8356846111369502E-4</v>
      </c>
      <c r="AC140" s="47"/>
    </row>
    <row r="141" spans="1:29">
      <c r="A141" s="10" t="s">
        <v>675</v>
      </c>
      <c r="B141" s="10" t="s">
        <v>381</v>
      </c>
      <c r="C141" s="124">
        <v>46297</v>
      </c>
      <c r="D141" s="124" t="s">
        <v>492</v>
      </c>
      <c r="E141" s="21">
        <v>0.99754030999999999</v>
      </c>
      <c r="F141" s="10"/>
      <c r="G141" s="14">
        <v>100000000</v>
      </c>
      <c r="H141" s="14">
        <v>99754031.400000006</v>
      </c>
      <c r="I141" s="14">
        <v>100000000</v>
      </c>
      <c r="J141" s="14">
        <v>99754031.400000006</v>
      </c>
      <c r="K141" s="12">
        <v>90003950</v>
      </c>
      <c r="L141" s="10" t="s">
        <v>101</v>
      </c>
      <c r="M141" s="10" t="s">
        <v>102</v>
      </c>
      <c r="N141" s="124" t="s">
        <v>363</v>
      </c>
      <c r="O141" s="124" t="s">
        <v>363</v>
      </c>
      <c r="P141" s="21">
        <v>30</v>
      </c>
      <c r="Q141" s="10" t="s">
        <v>54</v>
      </c>
      <c r="R141" s="10" t="s">
        <v>28</v>
      </c>
      <c r="S141" s="10"/>
      <c r="T141" s="10"/>
      <c r="U141" s="10" t="s">
        <v>1175</v>
      </c>
      <c r="V141" s="10" t="s">
        <v>1175</v>
      </c>
      <c r="W141" s="50">
        <f>+J141/$W$2</f>
        <v>1.3261868353765254E-3</v>
      </c>
    </row>
    <row r="142" spans="1:29">
      <c r="A142" s="10" t="s">
        <v>675</v>
      </c>
      <c r="B142" s="10" t="s">
        <v>381</v>
      </c>
      <c r="C142" s="124">
        <v>46297</v>
      </c>
      <c r="D142" s="124" t="s">
        <v>492</v>
      </c>
      <c r="E142" s="21">
        <v>0.99754032000000004</v>
      </c>
      <c r="F142" s="10"/>
      <c r="G142" s="14">
        <v>100000000</v>
      </c>
      <c r="H142" s="14">
        <v>99754032.200000003</v>
      </c>
      <c r="I142" s="14">
        <v>100000000</v>
      </c>
      <c r="J142" s="14">
        <v>99754032.200000003</v>
      </c>
      <c r="K142" s="12">
        <v>90003963</v>
      </c>
      <c r="L142" s="10" t="s">
        <v>101</v>
      </c>
      <c r="M142" s="10" t="s">
        <v>102</v>
      </c>
      <c r="N142" s="124" t="s">
        <v>321</v>
      </c>
      <c r="O142" s="124" t="s">
        <v>321</v>
      </c>
      <c r="P142" s="21">
        <v>30</v>
      </c>
      <c r="Q142" s="10" t="s">
        <v>54</v>
      </c>
      <c r="R142" s="10" t="s">
        <v>28</v>
      </c>
      <c r="S142" s="10"/>
      <c r="T142" s="10"/>
      <c r="U142" s="10" t="s">
        <v>1240</v>
      </c>
      <c r="V142" s="10" t="s">
        <v>1240</v>
      </c>
      <c r="W142" s="50">
        <f>+J142/$W$2</f>
        <v>1.3261868460121803E-3</v>
      </c>
    </row>
    <row r="143" spans="1:29">
      <c r="A143" s="10" t="s">
        <v>427</v>
      </c>
      <c r="B143" s="10" t="s">
        <v>381</v>
      </c>
      <c r="C143" s="124">
        <v>46297</v>
      </c>
      <c r="D143" s="124" t="s">
        <v>492</v>
      </c>
      <c r="E143" s="21">
        <v>0.99770391000000003</v>
      </c>
      <c r="F143" s="10"/>
      <c r="G143" s="14">
        <v>15000000</v>
      </c>
      <c r="H143" s="14">
        <v>14965558.720000001</v>
      </c>
      <c r="I143" s="14">
        <v>15000000</v>
      </c>
      <c r="J143" s="14">
        <v>14965558.720000001</v>
      </c>
      <c r="K143" s="12">
        <v>360568</v>
      </c>
      <c r="L143" s="10" t="s">
        <v>101</v>
      </c>
      <c r="M143" s="10" t="s">
        <v>102</v>
      </c>
      <c r="N143" s="124" t="s">
        <v>295</v>
      </c>
      <c r="O143" s="124" t="s">
        <v>295</v>
      </c>
      <c r="P143" s="21">
        <v>28</v>
      </c>
      <c r="Q143" s="10" t="s">
        <v>54</v>
      </c>
      <c r="R143" s="10" t="s">
        <v>28</v>
      </c>
      <c r="S143" s="10"/>
      <c r="T143" s="10"/>
      <c r="U143" s="10" t="s">
        <v>493</v>
      </c>
      <c r="V143" s="10" t="s">
        <v>493</v>
      </c>
      <c r="W143" s="50">
        <f>+J143/$W$2</f>
        <v>1.9896065031130525E-4</v>
      </c>
    </row>
    <row r="144" spans="1:29">
      <c r="A144" s="10" t="s">
        <v>382</v>
      </c>
      <c r="B144" s="10" t="s">
        <v>381</v>
      </c>
      <c r="C144" s="124">
        <v>46297</v>
      </c>
      <c r="D144" s="124" t="s">
        <v>492</v>
      </c>
      <c r="E144" s="21">
        <v>0.99754032000000004</v>
      </c>
      <c r="F144" s="10"/>
      <c r="G144" s="14">
        <v>2500000</v>
      </c>
      <c r="H144" s="14">
        <v>2493850.81</v>
      </c>
      <c r="I144" s="14">
        <v>2500000</v>
      </c>
      <c r="J144" s="14">
        <v>2493850.81</v>
      </c>
      <c r="K144" s="12">
        <v>903</v>
      </c>
      <c r="L144" s="10" t="s">
        <v>101</v>
      </c>
      <c r="M144" s="10" t="s">
        <v>102</v>
      </c>
      <c r="N144" s="124" t="s">
        <v>349</v>
      </c>
      <c r="O144" s="124" t="s">
        <v>349</v>
      </c>
      <c r="P144" s="21">
        <v>30</v>
      </c>
      <c r="Q144" s="10" t="s">
        <v>54</v>
      </c>
      <c r="R144" s="10" t="s">
        <v>28</v>
      </c>
      <c r="S144" s="10"/>
      <c r="T144" s="10"/>
      <c r="U144" s="10" t="s">
        <v>1339</v>
      </c>
      <c r="V144" s="10" t="s">
        <v>1339</v>
      </c>
      <c r="W144" s="50">
        <f>+J144/$W$2</f>
        <v>3.3154671216777351E-5</v>
      </c>
    </row>
    <row r="145" spans="1:23">
      <c r="A145" s="10" t="s">
        <v>382</v>
      </c>
      <c r="B145" s="10" t="s">
        <v>381</v>
      </c>
      <c r="C145" s="124">
        <v>46297</v>
      </c>
      <c r="D145" s="124" t="s">
        <v>492</v>
      </c>
      <c r="E145" s="21">
        <v>0.99754032000000004</v>
      </c>
      <c r="F145" s="10"/>
      <c r="G145" s="14">
        <v>2500000</v>
      </c>
      <c r="H145" s="14">
        <v>2493850.7999999998</v>
      </c>
      <c r="I145" s="14">
        <v>2500000</v>
      </c>
      <c r="J145" s="14">
        <v>2493850.7999999998</v>
      </c>
      <c r="K145" s="12">
        <v>912</v>
      </c>
      <c r="L145" s="10" t="s">
        <v>101</v>
      </c>
      <c r="M145" s="10" t="s">
        <v>102</v>
      </c>
      <c r="N145" s="124" t="s">
        <v>548</v>
      </c>
      <c r="O145" s="124" t="s">
        <v>548</v>
      </c>
      <c r="P145" s="21">
        <v>30</v>
      </c>
      <c r="Q145" s="10" t="s">
        <v>54</v>
      </c>
      <c r="R145" s="10" t="s">
        <v>28</v>
      </c>
      <c r="S145" s="10"/>
      <c r="T145" s="10"/>
      <c r="U145" s="10" t="s">
        <v>1363</v>
      </c>
      <c r="V145" s="10" t="s">
        <v>1363</v>
      </c>
      <c r="W145" s="50">
        <f>+J145/$W$2</f>
        <v>3.3154671083831661E-5</v>
      </c>
    </row>
    <row r="146" spans="1:23">
      <c r="A146" s="10" t="s">
        <v>386</v>
      </c>
      <c r="B146" s="10" t="s">
        <v>381</v>
      </c>
      <c r="C146" s="124">
        <v>46297</v>
      </c>
      <c r="D146" s="124" t="s">
        <v>492</v>
      </c>
      <c r="E146" s="21">
        <v>0.99688644999999998</v>
      </c>
      <c r="F146" s="10"/>
      <c r="G146" s="14">
        <v>1082000000</v>
      </c>
      <c r="H146" s="14">
        <v>1078631139.01</v>
      </c>
      <c r="I146" s="14">
        <v>1082000000</v>
      </c>
      <c r="J146" s="14">
        <v>1078631139.01</v>
      </c>
      <c r="K146" s="12">
        <v>70219559</v>
      </c>
      <c r="L146" s="10" t="s">
        <v>101</v>
      </c>
      <c r="M146" s="10" t="s">
        <v>102</v>
      </c>
      <c r="N146" s="124" t="s">
        <v>321</v>
      </c>
      <c r="O146" s="124" t="s">
        <v>321</v>
      </c>
      <c r="P146" s="21">
        <v>38</v>
      </c>
      <c r="Q146" s="10" t="s">
        <v>54</v>
      </c>
      <c r="R146" s="10" t="s">
        <v>28</v>
      </c>
      <c r="S146" s="10"/>
      <c r="T146" s="10"/>
      <c r="U146" s="10" t="s">
        <v>1234</v>
      </c>
      <c r="V146" s="10" t="s">
        <v>1234</v>
      </c>
      <c r="W146" s="50">
        <f>+J146/$W$2</f>
        <v>1.4339935907414853E-2</v>
      </c>
    </row>
    <row r="147" spans="1:23">
      <c r="A147" s="10" t="s">
        <v>386</v>
      </c>
      <c r="B147" s="10" t="s">
        <v>381</v>
      </c>
      <c r="C147" s="124">
        <v>46297</v>
      </c>
      <c r="D147" s="124" t="s">
        <v>492</v>
      </c>
      <c r="E147" s="21">
        <v>0.99688644999999998</v>
      </c>
      <c r="F147" s="10"/>
      <c r="G147" s="14">
        <v>100000000</v>
      </c>
      <c r="H147" s="14">
        <v>99688645.010000005</v>
      </c>
      <c r="I147" s="14">
        <v>100000000</v>
      </c>
      <c r="J147" s="14">
        <v>99688645.010000005</v>
      </c>
      <c r="K147" s="12">
        <v>70219560</v>
      </c>
      <c r="L147" s="10" t="s">
        <v>101</v>
      </c>
      <c r="M147" s="10" t="s">
        <v>102</v>
      </c>
      <c r="N147" s="124" t="s">
        <v>321</v>
      </c>
      <c r="O147" s="124" t="s">
        <v>321</v>
      </c>
      <c r="P147" s="21">
        <v>38</v>
      </c>
      <c r="Q147" s="10" t="s">
        <v>54</v>
      </c>
      <c r="R147" s="10" t="s">
        <v>28</v>
      </c>
      <c r="S147" s="10"/>
      <c r="T147" s="10"/>
      <c r="U147" s="10" t="s">
        <v>1235</v>
      </c>
      <c r="V147" s="10" t="s">
        <v>1235</v>
      </c>
      <c r="W147" s="50">
        <f>+J147/$W$2</f>
        <v>1.3253175515148727E-3</v>
      </c>
    </row>
    <row r="148" spans="1:23">
      <c r="A148" s="10" t="s">
        <v>675</v>
      </c>
      <c r="B148" s="10" t="s">
        <v>381</v>
      </c>
      <c r="C148" s="124">
        <v>46300</v>
      </c>
      <c r="D148" s="124" t="s">
        <v>492</v>
      </c>
      <c r="E148" s="21">
        <v>0.99509270000000005</v>
      </c>
      <c r="F148" s="10"/>
      <c r="G148" s="14">
        <v>100000000</v>
      </c>
      <c r="H148" s="14">
        <v>99509270.329999998</v>
      </c>
      <c r="I148" s="14">
        <v>100000000</v>
      </c>
      <c r="J148" s="14">
        <v>99509270.329999998</v>
      </c>
      <c r="K148" s="12">
        <v>90003951</v>
      </c>
      <c r="L148" s="10" t="s">
        <v>101</v>
      </c>
      <c r="M148" s="10" t="s">
        <v>102</v>
      </c>
      <c r="N148" s="124" t="s">
        <v>363</v>
      </c>
      <c r="O148" s="124" t="s">
        <v>363</v>
      </c>
      <c r="P148" s="21">
        <v>30</v>
      </c>
      <c r="Q148" s="10" t="s">
        <v>54</v>
      </c>
      <c r="R148" s="10" t="s">
        <v>28</v>
      </c>
      <c r="S148" s="10"/>
      <c r="T148" s="10"/>
      <c r="U148" s="10" t="s">
        <v>1173</v>
      </c>
      <c r="V148" s="10" t="s">
        <v>1173</v>
      </c>
      <c r="W148" s="50">
        <f>+J148/$W$2</f>
        <v>1.3229328424873047E-3</v>
      </c>
    </row>
    <row r="149" spans="1:23">
      <c r="A149" s="10" t="s">
        <v>382</v>
      </c>
      <c r="B149" s="10" t="s">
        <v>381</v>
      </c>
      <c r="C149" s="124">
        <v>46300</v>
      </c>
      <c r="D149" s="124" t="s">
        <v>492</v>
      </c>
      <c r="E149" s="21">
        <v>0.99476726999999998</v>
      </c>
      <c r="F149" s="10"/>
      <c r="G149" s="14">
        <v>4000000</v>
      </c>
      <c r="H149" s="14">
        <v>3979069.06</v>
      </c>
      <c r="I149" s="14">
        <v>4000000</v>
      </c>
      <c r="J149" s="14">
        <v>3979069.06</v>
      </c>
      <c r="K149" s="12">
        <v>1141</v>
      </c>
      <c r="L149" s="10" t="s">
        <v>101</v>
      </c>
      <c r="M149" s="10" t="s">
        <v>102</v>
      </c>
      <c r="N149" s="124" t="s">
        <v>421</v>
      </c>
      <c r="O149" s="124" t="s">
        <v>421</v>
      </c>
      <c r="P149" s="21">
        <v>32</v>
      </c>
      <c r="Q149" s="10" t="s">
        <v>54</v>
      </c>
      <c r="R149" s="10" t="s">
        <v>28</v>
      </c>
      <c r="S149" s="10"/>
      <c r="T149" s="10"/>
      <c r="U149" s="10" t="s">
        <v>2110</v>
      </c>
      <c r="V149" s="10" t="s">
        <v>2110</v>
      </c>
      <c r="W149" s="50">
        <f>+J149/$W$2</f>
        <v>5.2900007451990005E-5</v>
      </c>
    </row>
    <row r="150" spans="1:23">
      <c r="A150" s="10" t="s">
        <v>382</v>
      </c>
      <c r="B150" s="10" t="s">
        <v>381</v>
      </c>
      <c r="C150" s="124">
        <v>46300</v>
      </c>
      <c r="D150" s="124" t="s">
        <v>492</v>
      </c>
      <c r="E150" s="21">
        <v>0.99509272000000004</v>
      </c>
      <c r="F150" s="10"/>
      <c r="G150" s="14">
        <v>5000000</v>
      </c>
      <c r="H150" s="14">
        <v>4975463.62</v>
      </c>
      <c r="I150" s="14">
        <v>5000000</v>
      </c>
      <c r="J150" s="14">
        <v>4975463.62</v>
      </c>
      <c r="K150" s="12">
        <v>1214</v>
      </c>
      <c r="L150" s="10" t="s">
        <v>101</v>
      </c>
      <c r="M150" s="10" t="s">
        <v>102</v>
      </c>
      <c r="N150" s="124" t="s">
        <v>552</v>
      </c>
      <c r="O150" s="124" t="s">
        <v>552</v>
      </c>
      <c r="P150" s="21">
        <v>30</v>
      </c>
      <c r="Q150" s="10" t="s">
        <v>54</v>
      </c>
      <c r="R150" s="10" t="s">
        <v>28</v>
      </c>
      <c r="S150" s="10"/>
      <c r="T150" s="10"/>
      <c r="U150" s="10" t="s">
        <v>2355</v>
      </c>
      <c r="V150" s="10" t="s">
        <v>2355</v>
      </c>
      <c r="W150" s="50">
        <f>+J150/$W$2</f>
        <v>6.6146643500353115E-5</v>
      </c>
    </row>
    <row r="151" spans="1:23">
      <c r="A151" s="10" t="s">
        <v>382</v>
      </c>
      <c r="B151" s="10" t="s">
        <v>381</v>
      </c>
      <c r="C151" s="124">
        <v>46300</v>
      </c>
      <c r="D151" s="124" t="s">
        <v>492</v>
      </c>
      <c r="E151" s="21">
        <v>0.99509274999999997</v>
      </c>
      <c r="F151" s="10"/>
      <c r="G151" s="14">
        <v>5000000</v>
      </c>
      <c r="H151" s="14">
        <v>4975463.7699999996</v>
      </c>
      <c r="I151" s="14">
        <v>5000000</v>
      </c>
      <c r="J151" s="14">
        <v>4975463.7699999996</v>
      </c>
      <c r="K151" s="12">
        <v>1200</v>
      </c>
      <c r="L151" s="10" t="s">
        <v>101</v>
      </c>
      <c r="M151" s="10" t="s">
        <v>102</v>
      </c>
      <c r="N151" s="124" t="s">
        <v>536</v>
      </c>
      <c r="O151" s="124" t="s">
        <v>536</v>
      </c>
      <c r="P151" s="21">
        <v>30</v>
      </c>
      <c r="Q151" s="10" t="s">
        <v>54</v>
      </c>
      <c r="R151" s="10" t="s">
        <v>28</v>
      </c>
      <c r="S151" s="10"/>
      <c r="T151" s="10"/>
      <c r="U151" s="10" t="s">
        <v>2295</v>
      </c>
      <c r="V151" s="10" t="s">
        <v>2295</v>
      </c>
      <c r="W151" s="50">
        <f>+J151/$W$2</f>
        <v>6.6146645494538436E-5</v>
      </c>
    </row>
    <row r="152" spans="1:23">
      <c r="A152" s="10" t="s">
        <v>382</v>
      </c>
      <c r="B152" s="10" t="s">
        <v>381</v>
      </c>
      <c r="C152" s="124">
        <v>46300</v>
      </c>
      <c r="D152" s="124" t="s">
        <v>492</v>
      </c>
      <c r="E152" s="21">
        <v>0.99509270000000005</v>
      </c>
      <c r="F152" s="10"/>
      <c r="G152" s="14">
        <v>5000000</v>
      </c>
      <c r="H152" s="14">
        <v>4975463.49</v>
      </c>
      <c r="I152" s="14">
        <v>5000000</v>
      </c>
      <c r="J152" s="14">
        <v>4975463.49</v>
      </c>
      <c r="K152" s="12">
        <v>788</v>
      </c>
      <c r="L152" s="10" t="s">
        <v>101</v>
      </c>
      <c r="M152" s="10" t="s">
        <v>102</v>
      </c>
      <c r="N152" s="124" t="s">
        <v>396</v>
      </c>
      <c r="O152" s="124" t="s">
        <v>396</v>
      </c>
      <c r="P152" s="21">
        <v>30</v>
      </c>
      <c r="Q152" s="10" t="s">
        <v>54</v>
      </c>
      <c r="R152" s="10" t="s">
        <v>28</v>
      </c>
      <c r="S152" s="10"/>
      <c r="T152" s="10"/>
      <c r="U152" s="10" t="s">
        <v>886</v>
      </c>
      <c r="V152" s="10" t="s">
        <v>886</v>
      </c>
      <c r="W152" s="50">
        <f>+J152/$W$2</f>
        <v>6.6146641772059174E-5</v>
      </c>
    </row>
    <row r="153" spans="1:23">
      <c r="A153" s="10" t="s">
        <v>3453</v>
      </c>
      <c r="B153" s="10" t="s">
        <v>381</v>
      </c>
      <c r="C153" s="124">
        <v>46300</v>
      </c>
      <c r="D153" s="124" t="s">
        <v>492</v>
      </c>
      <c r="E153" s="21">
        <v>0.99460466999999997</v>
      </c>
      <c r="F153" s="10"/>
      <c r="G153" s="14">
        <v>1000000</v>
      </c>
      <c r="H153" s="14">
        <v>994604.67</v>
      </c>
      <c r="I153" s="14">
        <v>1000000</v>
      </c>
      <c r="J153" s="14">
        <v>994604.67</v>
      </c>
      <c r="K153" s="12">
        <v>17352220</v>
      </c>
      <c r="L153" s="10" t="s">
        <v>101</v>
      </c>
      <c r="M153" s="10" t="s">
        <v>102</v>
      </c>
      <c r="N153" s="124" t="s">
        <v>531</v>
      </c>
      <c r="O153" s="124" t="s">
        <v>531</v>
      </c>
      <c r="P153" s="21">
        <v>33</v>
      </c>
      <c r="Q153" s="10" t="s">
        <v>54</v>
      </c>
      <c r="R153" s="10" t="s">
        <v>28</v>
      </c>
      <c r="S153" s="10"/>
      <c r="T153" s="10"/>
      <c r="U153" s="10" t="s">
        <v>3441</v>
      </c>
      <c r="V153" s="10" t="s">
        <v>3441</v>
      </c>
      <c r="W153" s="50">
        <f>+J153/$W$2</f>
        <v>1.3222840232580447E-5</v>
      </c>
    </row>
    <row r="154" spans="1:23">
      <c r="A154" s="10" t="s">
        <v>1426</v>
      </c>
      <c r="B154" s="10" t="s">
        <v>381</v>
      </c>
      <c r="C154" s="124">
        <v>46300</v>
      </c>
      <c r="D154" s="124" t="s">
        <v>492</v>
      </c>
      <c r="E154" s="21">
        <v>0.99541837</v>
      </c>
      <c r="F154" s="10"/>
      <c r="G154" s="14">
        <v>7523782.9100000001</v>
      </c>
      <c r="H154" s="14">
        <v>7489311.7000000002</v>
      </c>
      <c r="I154" s="14">
        <v>7523782.9100000001</v>
      </c>
      <c r="J154" s="14">
        <v>7489311.7000000002</v>
      </c>
      <c r="K154" s="12">
        <v>3215694</v>
      </c>
      <c r="L154" s="10" t="s">
        <v>101</v>
      </c>
      <c r="M154" s="10" t="s">
        <v>102</v>
      </c>
      <c r="N154" s="124" t="s">
        <v>548</v>
      </c>
      <c r="O154" s="124" t="s">
        <v>548</v>
      </c>
      <c r="P154" s="21">
        <v>28</v>
      </c>
      <c r="Q154" s="10" t="s">
        <v>54</v>
      </c>
      <c r="R154" s="10" t="s">
        <v>28</v>
      </c>
      <c r="S154" s="10"/>
      <c r="T154" s="10"/>
      <c r="U154" s="10" t="s">
        <v>1418</v>
      </c>
      <c r="V154" s="10" t="s">
        <v>1418</v>
      </c>
      <c r="W154" s="50">
        <f>+J154/$W$2</f>
        <v>9.9567169799328885E-5</v>
      </c>
    </row>
    <row r="155" spans="1:23">
      <c r="A155" s="10" t="s">
        <v>2422</v>
      </c>
      <c r="B155" s="10" t="s">
        <v>381</v>
      </c>
      <c r="C155" s="124">
        <v>46300</v>
      </c>
      <c r="D155" s="124" t="s">
        <v>492</v>
      </c>
      <c r="E155" s="21">
        <v>0.99509272000000004</v>
      </c>
      <c r="F155" s="10"/>
      <c r="G155" s="14">
        <v>2500000</v>
      </c>
      <c r="H155" s="14">
        <v>2487731.81</v>
      </c>
      <c r="I155" s="14">
        <v>2500000</v>
      </c>
      <c r="J155" s="14">
        <v>2487731.81</v>
      </c>
      <c r="K155" s="12">
        <v>2256</v>
      </c>
      <c r="L155" s="10" t="s">
        <v>101</v>
      </c>
      <c r="M155" s="10" t="s">
        <v>102</v>
      </c>
      <c r="N155" s="124" t="s">
        <v>552</v>
      </c>
      <c r="O155" s="124" t="s">
        <v>552</v>
      </c>
      <c r="P155" s="21">
        <v>30</v>
      </c>
      <c r="Q155" s="10" t="s">
        <v>54</v>
      </c>
      <c r="R155" s="10" t="s">
        <v>28</v>
      </c>
      <c r="S155" s="10"/>
      <c r="T155" s="10"/>
      <c r="U155" s="10" t="s">
        <v>2378</v>
      </c>
      <c r="V155" s="10" t="s">
        <v>2378</v>
      </c>
      <c r="W155" s="50">
        <f>+J155/$W$2</f>
        <v>3.3073321750176557E-5</v>
      </c>
    </row>
    <row r="156" spans="1:23">
      <c r="A156" s="10" t="s">
        <v>1243</v>
      </c>
      <c r="B156" s="10" t="s">
        <v>381</v>
      </c>
      <c r="C156" s="124">
        <v>46300</v>
      </c>
      <c r="D156" s="124" t="s">
        <v>492</v>
      </c>
      <c r="E156" s="21">
        <v>0.99476728000000003</v>
      </c>
      <c r="F156" s="10"/>
      <c r="G156" s="14">
        <v>1016376</v>
      </c>
      <c r="H156" s="14">
        <v>1011057.59</v>
      </c>
      <c r="I156" s="14">
        <v>1016376</v>
      </c>
      <c r="J156" s="14">
        <v>1011057.59</v>
      </c>
      <c r="K156" s="12">
        <v>68280012</v>
      </c>
      <c r="L156" s="10" t="s">
        <v>101</v>
      </c>
      <c r="M156" s="10" t="s">
        <v>102</v>
      </c>
      <c r="N156" s="124" t="s">
        <v>321</v>
      </c>
      <c r="O156" s="124" t="s">
        <v>321</v>
      </c>
      <c r="P156" s="21">
        <v>32</v>
      </c>
      <c r="Q156" s="10" t="s">
        <v>54</v>
      </c>
      <c r="R156" s="10" t="s">
        <v>28</v>
      </c>
      <c r="S156" s="10"/>
      <c r="T156" s="10"/>
      <c r="U156" s="10" t="s">
        <v>1233</v>
      </c>
      <c r="V156" s="10" t="s">
        <v>1233</v>
      </c>
      <c r="W156" s="50">
        <f>+J156/$W$2</f>
        <v>1.344157470978678E-5</v>
      </c>
    </row>
    <row r="157" spans="1:23">
      <c r="A157" s="10" t="s">
        <v>273</v>
      </c>
      <c r="B157" s="10" t="s">
        <v>381</v>
      </c>
      <c r="C157" s="124">
        <v>46300</v>
      </c>
      <c r="D157" s="124" t="s">
        <v>492</v>
      </c>
      <c r="E157" s="21">
        <v>0.99590725000000002</v>
      </c>
      <c r="F157" s="10"/>
      <c r="G157" s="14">
        <v>8650000</v>
      </c>
      <c r="H157" s="14">
        <v>8614597.6999999993</v>
      </c>
      <c r="I157" s="14">
        <v>8650000</v>
      </c>
      <c r="J157" s="14">
        <v>8614597.6999999993</v>
      </c>
      <c r="K157" s="12">
        <v>34383</v>
      </c>
      <c r="L157" s="10" t="s">
        <v>101</v>
      </c>
      <c r="M157" s="10" t="s">
        <v>102</v>
      </c>
      <c r="N157" s="124" t="s">
        <v>361</v>
      </c>
      <c r="O157" s="124" t="s">
        <v>361</v>
      </c>
      <c r="P157" s="21">
        <v>25</v>
      </c>
      <c r="Q157" s="10" t="s">
        <v>54</v>
      </c>
      <c r="R157" s="10" t="s">
        <v>28</v>
      </c>
      <c r="S157" s="10"/>
      <c r="T157" s="10"/>
      <c r="U157" s="10" t="s">
        <v>1032</v>
      </c>
      <c r="V157" s="10" t="s">
        <v>1032</v>
      </c>
      <c r="W157" s="50">
        <f>+J157/$W$2</f>
        <v>1.1452736196689582E-4</v>
      </c>
    </row>
    <row r="158" spans="1:23">
      <c r="A158" s="10" t="s">
        <v>2128</v>
      </c>
      <c r="B158" s="10" t="s">
        <v>381</v>
      </c>
      <c r="C158" s="124">
        <v>46300</v>
      </c>
      <c r="D158" s="124" t="s">
        <v>492</v>
      </c>
      <c r="E158" s="21">
        <v>0.99492996</v>
      </c>
      <c r="F158" s="10"/>
      <c r="G158" s="14">
        <v>5000000</v>
      </c>
      <c r="H158" s="14">
        <v>4974649.8</v>
      </c>
      <c r="I158" s="14">
        <v>5000000</v>
      </c>
      <c r="J158" s="14">
        <v>4974649.8</v>
      </c>
      <c r="K158" s="12">
        <v>69492641</v>
      </c>
      <c r="L158" s="10" t="s">
        <v>101</v>
      </c>
      <c r="M158" s="10" t="s">
        <v>102</v>
      </c>
      <c r="N158" s="124" t="s">
        <v>421</v>
      </c>
      <c r="O158" s="124" t="s">
        <v>421</v>
      </c>
      <c r="P158" s="21">
        <v>31</v>
      </c>
      <c r="Q158" s="10" t="s">
        <v>54</v>
      </c>
      <c r="R158" s="10" t="s">
        <v>28</v>
      </c>
      <c r="S158" s="10"/>
      <c r="T158" s="10"/>
      <c r="U158" s="10" t="s">
        <v>2120</v>
      </c>
      <c r="V158" s="10" t="s">
        <v>2120</v>
      </c>
      <c r="W158" s="50">
        <f>+J158/$W$2</f>
        <v>6.613582411435719E-5</v>
      </c>
    </row>
    <row r="159" spans="1:23">
      <c r="A159" s="10" t="s">
        <v>719</v>
      </c>
      <c r="B159" s="10" t="s">
        <v>381</v>
      </c>
      <c r="C159" s="124">
        <v>46300</v>
      </c>
      <c r="D159" s="124" t="s">
        <v>492</v>
      </c>
      <c r="E159" s="21">
        <v>0.99509272999999998</v>
      </c>
      <c r="F159" s="10"/>
      <c r="G159" s="14">
        <v>2700000</v>
      </c>
      <c r="H159" s="14">
        <v>2686750.36</v>
      </c>
      <c r="I159" s="14">
        <v>2700000</v>
      </c>
      <c r="J159" s="14">
        <v>2686750.36</v>
      </c>
      <c r="K159" s="12">
        <v>6904</v>
      </c>
      <c r="L159" s="10" t="s">
        <v>101</v>
      </c>
      <c r="M159" s="10" t="s">
        <v>102</v>
      </c>
      <c r="N159" s="124" t="s">
        <v>552</v>
      </c>
      <c r="O159" s="124" t="s">
        <v>552</v>
      </c>
      <c r="P159" s="21">
        <v>30</v>
      </c>
      <c r="Q159" s="10" t="s">
        <v>54</v>
      </c>
      <c r="R159" s="10" t="s">
        <v>28</v>
      </c>
      <c r="S159" s="10"/>
      <c r="T159" s="10"/>
      <c r="U159" s="10" t="s">
        <v>2386</v>
      </c>
      <c r="V159" s="10" t="s">
        <v>2386</v>
      </c>
      <c r="W159" s="50">
        <f>+J159/$W$2</f>
        <v>3.5719187559322438E-5</v>
      </c>
    </row>
    <row r="160" spans="1:23">
      <c r="A160" s="10" t="s">
        <v>3271</v>
      </c>
      <c r="B160" s="10" t="s">
        <v>381</v>
      </c>
      <c r="C160" s="124">
        <v>46300</v>
      </c>
      <c r="D160" s="124" t="s">
        <v>492</v>
      </c>
      <c r="E160" s="21">
        <v>0.99460473000000005</v>
      </c>
      <c r="F160" s="10"/>
      <c r="G160" s="14">
        <v>1123403.5</v>
      </c>
      <c r="H160" s="14">
        <v>1117342.43</v>
      </c>
      <c r="I160" s="14">
        <v>1123403.5</v>
      </c>
      <c r="J160" s="14">
        <v>1117342.43</v>
      </c>
      <c r="K160" s="12">
        <v>69775642</v>
      </c>
      <c r="L160" s="10" t="s">
        <v>101</v>
      </c>
      <c r="M160" s="10" t="s">
        <v>102</v>
      </c>
      <c r="N160" s="124" t="s">
        <v>472</v>
      </c>
      <c r="O160" s="124" t="s">
        <v>472</v>
      </c>
      <c r="P160" s="21">
        <v>33</v>
      </c>
      <c r="Q160" s="10" t="s">
        <v>54</v>
      </c>
      <c r="R160" s="10" t="s">
        <v>28</v>
      </c>
      <c r="S160" s="10"/>
      <c r="T160" s="10"/>
      <c r="U160" s="10" t="s">
        <v>3257</v>
      </c>
      <c r="V160" s="10" t="s">
        <v>3257</v>
      </c>
      <c r="W160" s="50">
        <f>+J160/$W$2</f>
        <v>1.4854585829536876E-5</v>
      </c>
    </row>
    <row r="161" spans="1:23">
      <c r="A161" s="10" t="s">
        <v>1430</v>
      </c>
      <c r="B161" s="10" t="s">
        <v>381</v>
      </c>
      <c r="C161" s="124">
        <v>46300</v>
      </c>
      <c r="D161" s="124" t="s">
        <v>492</v>
      </c>
      <c r="E161" s="21">
        <v>0.99476728999999997</v>
      </c>
      <c r="F161" s="10"/>
      <c r="G161" s="14">
        <v>6000000</v>
      </c>
      <c r="H161" s="14">
        <v>5968603.7199999997</v>
      </c>
      <c r="I161" s="14">
        <v>6000000</v>
      </c>
      <c r="J161" s="14">
        <v>5968603.7199999997</v>
      </c>
      <c r="K161" s="12">
        <v>90001649</v>
      </c>
      <c r="L161" s="10" t="s">
        <v>101</v>
      </c>
      <c r="M161" s="10" t="s">
        <v>102</v>
      </c>
      <c r="N161" s="124" t="s">
        <v>398</v>
      </c>
      <c r="O161" s="124" t="s">
        <v>398</v>
      </c>
      <c r="P161" s="21">
        <v>32</v>
      </c>
      <c r="Q161" s="10" t="s">
        <v>54</v>
      </c>
      <c r="R161" s="10" t="s">
        <v>28</v>
      </c>
      <c r="S161" s="10"/>
      <c r="T161" s="10"/>
      <c r="U161" s="10" t="s">
        <v>1790</v>
      </c>
      <c r="V161" s="10" t="s">
        <v>1790</v>
      </c>
      <c r="W161" s="50">
        <f>+J161/$W$2</f>
        <v>7.9350012906278955E-5</v>
      </c>
    </row>
    <row r="162" spans="1:23">
      <c r="A162" s="10" t="s">
        <v>1431</v>
      </c>
      <c r="B162" s="10" t="s">
        <v>381</v>
      </c>
      <c r="C162" s="124">
        <v>46300</v>
      </c>
      <c r="D162" s="124" t="s">
        <v>492</v>
      </c>
      <c r="E162" s="21">
        <v>0.99476728999999997</v>
      </c>
      <c r="F162" s="10"/>
      <c r="G162" s="14">
        <v>5444206</v>
      </c>
      <c r="H162" s="14">
        <v>5415718.0300000003</v>
      </c>
      <c r="I162" s="14">
        <v>5444206</v>
      </c>
      <c r="J162" s="14">
        <v>5415718.0300000003</v>
      </c>
      <c r="K162" s="12">
        <v>3438</v>
      </c>
      <c r="L162" s="10" t="s">
        <v>101</v>
      </c>
      <c r="M162" s="10" t="s">
        <v>102</v>
      </c>
      <c r="N162" s="124" t="s">
        <v>398</v>
      </c>
      <c r="O162" s="124" t="s">
        <v>398</v>
      </c>
      <c r="P162" s="21">
        <v>32</v>
      </c>
      <c r="Q162" s="10" t="s">
        <v>54</v>
      </c>
      <c r="R162" s="10" t="s">
        <v>28</v>
      </c>
      <c r="S162" s="10"/>
      <c r="T162" s="10"/>
      <c r="U162" s="10" t="s">
        <v>1781</v>
      </c>
      <c r="V162" s="10" t="s">
        <v>1781</v>
      </c>
      <c r="W162" s="50">
        <f>+J162/$W$2</f>
        <v>7.1999636051774549E-5</v>
      </c>
    </row>
    <row r="163" spans="1:23">
      <c r="A163" s="10" t="s">
        <v>1727</v>
      </c>
      <c r="B163" s="10" t="s">
        <v>381</v>
      </c>
      <c r="C163" s="124">
        <v>46300</v>
      </c>
      <c r="D163" s="124" t="s">
        <v>492</v>
      </c>
      <c r="E163" s="21">
        <v>0.99444204000000003</v>
      </c>
      <c r="F163" s="10"/>
      <c r="G163" s="14">
        <v>11233238.84</v>
      </c>
      <c r="H163" s="14">
        <v>11170804.9</v>
      </c>
      <c r="I163" s="14">
        <v>11233238.84</v>
      </c>
      <c r="J163" s="14">
        <v>11170804.9</v>
      </c>
      <c r="K163" s="12">
        <v>91</v>
      </c>
      <c r="L163" s="10" t="s">
        <v>101</v>
      </c>
      <c r="M163" s="10" t="s">
        <v>102</v>
      </c>
      <c r="N163" s="124" t="s">
        <v>475</v>
      </c>
      <c r="O163" s="124" t="s">
        <v>475</v>
      </c>
      <c r="P163" s="21">
        <v>34</v>
      </c>
      <c r="Q163" s="10" t="s">
        <v>54</v>
      </c>
      <c r="R163" s="10" t="s">
        <v>28</v>
      </c>
      <c r="S163" s="10"/>
      <c r="T163" s="10"/>
      <c r="U163" s="10" t="s">
        <v>2334</v>
      </c>
      <c r="V163" s="10" t="s">
        <v>2334</v>
      </c>
      <c r="W163" s="50">
        <f>+J163/$W$2</f>
        <v>1.4851103450180543E-4</v>
      </c>
    </row>
    <row r="164" spans="1:23">
      <c r="A164" s="10" t="s">
        <v>1727</v>
      </c>
      <c r="B164" s="10" t="s">
        <v>381</v>
      </c>
      <c r="C164" s="124">
        <v>46300</v>
      </c>
      <c r="D164" s="124" t="s">
        <v>492</v>
      </c>
      <c r="E164" s="21">
        <v>0.99444204000000003</v>
      </c>
      <c r="F164" s="10"/>
      <c r="G164" s="14">
        <v>11233238.84</v>
      </c>
      <c r="H164" s="14">
        <v>11170804.9</v>
      </c>
      <c r="I164" s="14">
        <v>11233238.84</v>
      </c>
      <c r="J164" s="14">
        <v>11170804.9</v>
      </c>
      <c r="K164" s="12">
        <v>92</v>
      </c>
      <c r="L164" s="10" t="s">
        <v>101</v>
      </c>
      <c r="M164" s="10" t="s">
        <v>102</v>
      </c>
      <c r="N164" s="124" t="s">
        <v>475</v>
      </c>
      <c r="O164" s="124" t="s">
        <v>475</v>
      </c>
      <c r="P164" s="21">
        <v>34</v>
      </c>
      <c r="Q164" s="10" t="s">
        <v>54</v>
      </c>
      <c r="R164" s="10" t="s">
        <v>28</v>
      </c>
      <c r="S164" s="10"/>
      <c r="T164" s="10"/>
      <c r="U164" s="10" t="s">
        <v>2335</v>
      </c>
      <c r="V164" s="10" t="s">
        <v>2335</v>
      </c>
      <c r="W164" s="50">
        <f>+J164/$W$2</f>
        <v>1.4851103450180543E-4</v>
      </c>
    </row>
    <row r="165" spans="1:23">
      <c r="A165" s="10" t="s">
        <v>1727</v>
      </c>
      <c r="B165" s="10" t="s">
        <v>381</v>
      </c>
      <c r="C165" s="124">
        <v>46300</v>
      </c>
      <c r="D165" s="124" t="s">
        <v>492</v>
      </c>
      <c r="E165" s="21">
        <v>0.99444202999999998</v>
      </c>
      <c r="F165" s="10"/>
      <c r="G165" s="14">
        <v>10657519.18</v>
      </c>
      <c r="H165" s="14">
        <v>10598285.060000001</v>
      </c>
      <c r="I165" s="14">
        <v>10657519.18</v>
      </c>
      <c r="J165" s="14">
        <v>10598285.060000001</v>
      </c>
      <c r="K165" s="12">
        <v>93</v>
      </c>
      <c r="L165" s="10" t="s">
        <v>101</v>
      </c>
      <c r="M165" s="10" t="s">
        <v>102</v>
      </c>
      <c r="N165" s="124" t="s">
        <v>475</v>
      </c>
      <c r="O165" s="124" t="s">
        <v>475</v>
      </c>
      <c r="P165" s="21">
        <v>34</v>
      </c>
      <c r="Q165" s="10" t="s">
        <v>54</v>
      </c>
      <c r="R165" s="10" t="s">
        <v>28</v>
      </c>
      <c r="S165" s="10"/>
      <c r="T165" s="10"/>
      <c r="U165" s="10" t="s">
        <v>2336</v>
      </c>
      <c r="V165" s="10" t="s">
        <v>2336</v>
      </c>
      <c r="W165" s="50">
        <f>+J165/$W$2</f>
        <v>1.4089963008893201E-4</v>
      </c>
    </row>
    <row r="166" spans="1:23">
      <c r="A166" s="10" t="s">
        <v>1727</v>
      </c>
      <c r="B166" s="10" t="s">
        <v>381</v>
      </c>
      <c r="C166" s="124">
        <v>46300</v>
      </c>
      <c r="D166" s="124" t="s">
        <v>492</v>
      </c>
      <c r="E166" s="21">
        <v>0.99395467000000004</v>
      </c>
      <c r="F166" s="10"/>
      <c r="G166" s="14">
        <v>7054622.8799999999</v>
      </c>
      <c r="H166" s="14">
        <v>7011975.3600000003</v>
      </c>
      <c r="I166" s="14">
        <v>7054622.8799999999</v>
      </c>
      <c r="J166" s="14">
        <v>7011975.3600000003</v>
      </c>
      <c r="K166" s="12">
        <v>69</v>
      </c>
      <c r="L166" s="10" t="s">
        <v>101</v>
      </c>
      <c r="M166" s="10" t="s">
        <v>102</v>
      </c>
      <c r="N166" s="124" t="s">
        <v>420</v>
      </c>
      <c r="O166" s="124" t="s">
        <v>420</v>
      </c>
      <c r="P166" s="21">
        <v>37</v>
      </c>
      <c r="Q166" s="10" t="s">
        <v>54</v>
      </c>
      <c r="R166" s="10" t="s">
        <v>28</v>
      </c>
      <c r="S166" s="10"/>
      <c r="T166" s="10"/>
      <c r="U166" s="10" t="s">
        <v>2644</v>
      </c>
      <c r="V166" s="10" t="s">
        <v>2644</v>
      </c>
      <c r="W166" s="50">
        <f>+J166/$W$2</f>
        <v>9.3221188977597264E-5</v>
      </c>
    </row>
    <row r="167" spans="1:23">
      <c r="A167" s="10" t="s">
        <v>540</v>
      </c>
      <c r="B167" s="10" t="s">
        <v>381</v>
      </c>
      <c r="C167" s="124">
        <v>46300</v>
      </c>
      <c r="D167" s="124" t="s">
        <v>492</v>
      </c>
      <c r="E167" s="21">
        <v>0.99379220000000001</v>
      </c>
      <c r="F167" s="10"/>
      <c r="G167" s="14">
        <v>6500236.5700000003</v>
      </c>
      <c r="H167" s="14">
        <v>6459884.4299999997</v>
      </c>
      <c r="I167" s="14">
        <v>6500236.5700000003</v>
      </c>
      <c r="J167" s="14">
        <v>6459884.4299999997</v>
      </c>
      <c r="K167" s="12">
        <v>90000580</v>
      </c>
      <c r="L167" s="10" t="s">
        <v>101</v>
      </c>
      <c r="M167" s="10" t="s">
        <v>102</v>
      </c>
      <c r="N167" s="124" t="s">
        <v>298</v>
      </c>
      <c r="O167" s="124" t="s">
        <v>298</v>
      </c>
      <c r="P167" s="21">
        <v>38</v>
      </c>
      <c r="Q167" s="10" t="s">
        <v>54</v>
      </c>
      <c r="R167" s="10" t="s">
        <v>28</v>
      </c>
      <c r="S167" s="10"/>
      <c r="T167" s="10"/>
      <c r="U167" s="10" t="s">
        <v>549</v>
      </c>
      <c r="V167" s="10" t="s">
        <v>549</v>
      </c>
      <c r="W167" s="50">
        <f>+J167/$W$2</f>
        <v>8.5881378114607089E-5</v>
      </c>
    </row>
    <row r="168" spans="1:23">
      <c r="A168" s="10" t="s">
        <v>463</v>
      </c>
      <c r="B168" s="10" t="s">
        <v>381</v>
      </c>
      <c r="C168" s="124">
        <v>46300</v>
      </c>
      <c r="D168" s="124" t="s">
        <v>492</v>
      </c>
      <c r="E168" s="21">
        <v>0.99346760999999995</v>
      </c>
      <c r="F168" s="10"/>
      <c r="G168" s="14">
        <v>7203888</v>
      </c>
      <c r="H168" s="14">
        <v>7156829.4100000001</v>
      </c>
      <c r="I168" s="14">
        <v>7203888</v>
      </c>
      <c r="J168" s="14">
        <v>7156829.4100000001</v>
      </c>
      <c r="K168" s="12">
        <v>66329827</v>
      </c>
      <c r="L168" s="10" t="s">
        <v>101</v>
      </c>
      <c r="M168" s="10" t="s">
        <v>102</v>
      </c>
      <c r="N168" s="124" t="s">
        <v>301</v>
      </c>
      <c r="O168" s="124" t="s">
        <v>301</v>
      </c>
      <c r="P168" s="21">
        <v>40</v>
      </c>
      <c r="Q168" s="10" t="s">
        <v>54</v>
      </c>
      <c r="R168" s="10" t="s">
        <v>28</v>
      </c>
      <c r="S168" s="10"/>
      <c r="T168" s="10"/>
      <c r="U168" s="10" t="s">
        <v>440</v>
      </c>
      <c r="V168" s="10" t="s">
        <v>440</v>
      </c>
      <c r="W168" s="50">
        <f>+J168/$W$2</f>
        <v>9.5146961113970027E-5</v>
      </c>
    </row>
    <row r="169" spans="1:23">
      <c r="A169" s="10" t="s">
        <v>465</v>
      </c>
      <c r="B169" s="10" t="s">
        <v>381</v>
      </c>
      <c r="C169" s="124">
        <v>46300</v>
      </c>
      <c r="D169" s="124" t="s">
        <v>492</v>
      </c>
      <c r="E169" s="21">
        <v>0.99476728999999997</v>
      </c>
      <c r="F169" s="10"/>
      <c r="G169" s="14">
        <v>10000000</v>
      </c>
      <c r="H169" s="14">
        <v>9947672.9100000001</v>
      </c>
      <c r="I169" s="14">
        <v>10000000</v>
      </c>
      <c r="J169" s="14">
        <v>9947672.9100000001</v>
      </c>
      <c r="K169" s="12">
        <v>14422562</v>
      </c>
      <c r="L169" s="10" t="s">
        <v>101</v>
      </c>
      <c r="M169" s="10" t="s">
        <v>102</v>
      </c>
      <c r="N169" s="124" t="s">
        <v>164</v>
      </c>
      <c r="O169" s="124" t="s">
        <v>164</v>
      </c>
      <c r="P169" s="21">
        <v>32</v>
      </c>
      <c r="Q169" s="10" t="s">
        <v>54</v>
      </c>
      <c r="R169" s="10" t="s">
        <v>28</v>
      </c>
      <c r="S169" s="10"/>
      <c r="T169" s="10"/>
      <c r="U169" s="10" t="s">
        <v>1971</v>
      </c>
      <c r="V169" s="10" t="s">
        <v>1971</v>
      </c>
      <c r="W169" s="50">
        <f>+J169/$W$2</f>
        <v>1.322500220865629E-4</v>
      </c>
    </row>
    <row r="170" spans="1:23">
      <c r="A170" s="10" t="s">
        <v>124</v>
      </c>
      <c r="B170" s="10" t="s">
        <v>125</v>
      </c>
      <c r="C170" s="124">
        <v>46300</v>
      </c>
      <c r="D170" s="124" t="s">
        <v>492</v>
      </c>
      <c r="E170" s="21">
        <v>0.998359</v>
      </c>
      <c r="F170" s="10" t="s">
        <v>3573</v>
      </c>
      <c r="G170" s="14">
        <v>70000</v>
      </c>
      <c r="H170" s="14">
        <v>69885.13</v>
      </c>
      <c r="I170" s="14">
        <v>106677883.08</v>
      </c>
      <c r="J170" s="14">
        <v>106502824.68000001</v>
      </c>
      <c r="K170" s="12">
        <v>163087</v>
      </c>
      <c r="L170" s="10" t="s">
        <v>101</v>
      </c>
      <c r="M170" s="10" t="s">
        <v>102</v>
      </c>
      <c r="N170" s="124" t="s">
        <v>436</v>
      </c>
      <c r="O170" s="124" t="s">
        <v>436</v>
      </c>
      <c r="P170" s="21">
        <v>10</v>
      </c>
      <c r="Q170" s="10" t="s">
        <v>54</v>
      </c>
      <c r="R170" s="10" t="s">
        <v>28</v>
      </c>
      <c r="S170" s="10"/>
      <c r="T170" s="10"/>
      <c r="U170" s="10" t="s">
        <v>1935</v>
      </c>
      <c r="V170" s="10" t="s">
        <v>1935</v>
      </c>
      <c r="W170" s="50">
        <f>+J170/$W$2</f>
        <v>1.4159091320797496E-3</v>
      </c>
    </row>
    <row r="171" spans="1:23">
      <c r="A171" s="10" t="s">
        <v>544</v>
      </c>
      <c r="B171" s="10" t="s">
        <v>125</v>
      </c>
      <c r="C171" s="124">
        <v>46300</v>
      </c>
      <c r="D171" s="124" t="s">
        <v>492</v>
      </c>
      <c r="E171" s="21">
        <v>0.99868659999999998</v>
      </c>
      <c r="F171" s="10" t="s">
        <v>3573</v>
      </c>
      <c r="G171" s="14">
        <v>188100</v>
      </c>
      <c r="H171" s="14">
        <v>187852.95</v>
      </c>
      <c r="I171" s="14">
        <v>286658711.54000002</v>
      </c>
      <c r="J171" s="14">
        <v>286282214.81999999</v>
      </c>
      <c r="K171" s="12">
        <v>160721</v>
      </c>
      <c r="L171" s="10" t="s">
        <v>101</v>
      </c>
      <c r="M171" s="10" t="s">
        <v>102</v>
      </c>
      <c r="N171" s="124" t="s">
        <v>414</v>
      </c>
      <c r="O171" s="124" t="s">
        <v>414</v>
      </c>
      <c r="P171" s="21">
        <v>8</v>
      </c>
      <c r="Q171" s="10" t="s">
        <v>54</v>
      </c>
      <c r="R171" s="10" t="s">
        <v>28</v>
      </c>
      <c r="S171" s="10"/>
      <c r="T171" s="10"/>
      <c r="U171" s="10" t="s">
        <v>1502</v>
      </c>
      <c r="V171" s="10" t="s">
        <v>1502</v>
      </c>
      <c r="W171" s="50">
        <f>+J171/$W$2</f>
        <v>3.8059986064555018E-3</v>
      </c>
    </row>
    <row r="172" spans="1:23">
      <c r="A172" s="10" t="s">
        <v>544</v>
      </c>
      <c r="B172" s="10" t="s">
        <v>125</v>
      </c>
      <c r="C172" s="124">
        <v>46300</v>
      </c>
      <c r="D172" s="124" t="s">
        <v>492</v>
      </c>
      <c r="E172" s="21">
        <v>0.99885060000000003</v>
      </c>
      <c r="F172" s="10" t="s">
        <v>3573</v>
      </c>
      <c r="G172" s="14">
        <v>50000</v>
      </c>
      <c r="H172" s="14">
        <v>49942.53</v>
      </c>
      <c r="I172" s="14">
        <v>76198487.920000002</v>
      </c>
      <c r="J172" s="14">
        <v>76110905.379999995</v>
      </c>
      <c r="K172" s="12">
        <v>150093</v>
      </c>
      <c r="L172" s="10" t="s">
        <v>101</v>
      </c>
      <c r="M172" s="10" t="s">
        <v>102</v>
      </c>
      <c r="N172" s="124" t="s">
        <v>350</v>
      </c>
      <c r="O172" s="124" t="s">
        <v>350</v>
      </c>
      <c r="P172" s="21">
        <v>7</v>
      </c>
      <c r="Q172" s="10" t="s">
        <v>54</v>
      </c>
      <c r="R172" s="10" t="s">
        <v>28</v>
      </c>
      <c r="S172" s="10"/>
      <c r="T172" s="10"/>
      <c r="U172" s="10" t="s">
        <v>600</v>
      </c>
      <c r="V172" s="10" t="s">
        <v>600</v>
      </c>
      <c r="W172" s="50">
        <f>+J172/$W$2</f>
        <v>1.0118616694176467E-3</v>
      </c>
    </row>
    <row r="173" spans="1:23">
      <c r="A173" s="10" t="s">
        <v>544</v>
      </c>
      <c r="B173" s="10" t="s">
        <v>125</v>
      </c>
      <c r="C173" s="124">
        <v>46300</v>
      </c>
      <c r="D173" s="124" t="s">
        <v>492</v>
      </c>
      <c r="E173" s="21">
        <v>0.99852280000000004</v>
      </c>
      <c r="F173" s="10" t="s">
        <v>3573</v>
      </c>
      <c r="G173" s="14">
        <v>25000</v>
      </c>
      <c r="H173" s="14">
        <v>24963.07</v>
      </c>
      <c r="I173" s="14">
        <v>38099243.960000001</v>
      </c>
      <c r="J173" s="14">
        <v>38042963.759999998</v>
      </c>
      <c r="K173" s="12">
        <v>150614</v>
      </c>
      <c r="L173" s="10" t="s">
        <v>101</v>
      </c>
      <c r="M173" s="10" t="s">
        <v>102</v>
      </c>
      <c r="N173" s="124" t="s">
        <v>150</v>
      </c>
      <c r="O173" s="124" t="s">
        <v>150</v>
      </c>
      <c r="P173" s="21">
        <v>9</v>
      </c>
      <c r="Q173" s="10" t="s">
        <v>54</v>
      </c>
      <c r="R173" s="10" t="s">
        <v>28</v>
      </c>
      <c r="S173" s="10"/>
      <c r="T173" s="10"/>
      <c r="U173" s="10" t="s">
        <v>606</v>
      </c>
      <c r="V173" s="10" t="s">
        <v>606</v>
      </c>
      <c r="W173" s="50">
        <f>+J173/$W$2</f>
        <v>5.0576479976946812E-4</v>
      </c>
    </row>
    <row r="174" spans="1:23">
      <c r="A174" s="10" t="s">
        <v>382</v>
      </c>
      <c r="B174" s="10" t="s">
        <v>381</v>
      </c>
      <c r="C174" s="124">
        <v>46300</v>
      </c>
      <c r="D174" s="124" t="s">
        <v>492</v>
      </c>
      <c r="E174" s="21">
        <v>0.99476728999999997</v>
      </c>
      <c r="F174" s="10"/>
      <c r="G174" s="14">
        <v>3000000</v>
      </c>
      <c r="H174" s="14">
        <v>2984301.87</v>
      </c>
      <c r="I174" s="14">
        <v>3000000</v>
      </c>
      <c r="J174" s="14">
        <v>2984301.87</v>
      </c>
      <c r="K174" s="12">
        <v>1034</v>
      </c>
      <c r="L174" s="10" t="s">
        <v>101</v>
      </c>
      <c r="M174" s="10" t="s">
        <v>102</v>
      </c>
      <c r="N174" s="124" t="s">
        <v>398</v>
      </c>
      <c r="O174" s="124" t="s">
        <v>398</v>
      </c>
      <c r="P174" s="21">
        <v>32</v>
      </c>
      <c r="Q174" s="10" t="s">
        <v>54</v>
      </c>
      <c r="R174" s="10" t="s">
        <v>28</v>
      </c>
      <c r="S174" s="10"/>
      <c r="T174" s="10"/>
      <c r="U174" s="10" t="s">
        <v>1764</v>
      </c>
      <c r="V174" s="10" t="s">
        <v>1764</v>
      </c>
      <c r="W174" s="50">
        <f>+J174/$W$2</f>
        <v>3.9675006586085168E-5</v>
      </c>
    </row>
    <row r="175" spans="1:23">
      <c r="A175" s="10" t="s">
        <v>382</v>
      </c>
      <c r="B175" s="10" t="s">
        <v>381</v>
      </c>
      <c r="C175" s="124">
        <v>46300</v>
      </c>
      <c r="D175" s="124" t="s">
        <v>492</v>
      </c>
      <c r="E175" s="21">
        <v>0.99476726000000004</v>
      </c>
      <c r="F175" s="10"/>
      <c r="G175" s="14">
        <v>2000000</v>
      </c>
      <c r="H175" s="14">
        <v>1989534.51</v>
      </c>
      <c r="I175" s="14">
        <v>2000000</v>
      </c>
      <c r="J175" s="14">
        <v>1989534.51</v>
      </c>
      <c r="K175" s="12">
        <v>1081</v>
      </c>
      <c r="L175" s="10" t="s">
        <v>101</v>
      </c>
      <c r="M175" s="10" t="s">
        <v>102</v>
      </c>
      <c r="N175" s="124" t="s">
        <v>432</v>
      </c>
      <c r="O175" s="124" t="s">
        <v>432</v>
      </c>
      <c r="P175" s="21">
        <v>32</v>
      </c>
      <c r="Q175" s="10" t="s">
        <v>54</v>
      </c>
      <c r="R175" s="10" t="s">
        <v>28</v>
      </c>
      <c r="S175" s="10"/>
      <c r="T175" s="10"/>
      <c r="U175" s="10" t="s">
        <v>1832</v>
      </c>
      <c r="V175" s="10" t="s">
        <v>1832</v>
      </c>
      <c r="W175" s="50">
        <f>+J175/$W$2</f>
        <v>2.6450003460103625E-5</v>
      </c>
    </row>
    <row r="176" spans="1:23">
      <c r="A176" s="10" t="s">
        <v>382</v>
      </c>
      <c r="B176" s="10" t="s">
        <v>381</v>
      </c>
      <c r="C176" s="124">
        <v>46300</v>
      </c>
      <c r="D176" s="124" t="s">
        <v>492</v>
      </c>
      <c r="E176" s="21">
        <v>0.99509272000000004</v>
      </c>
      <c r="F176" s="10"/>
      <c r="G176" s="14">
        <v>3300000</v>
      </c>
      <c r="H176" s="14">
        <v>3283805.99</v>
      </c>
      <c r="I176" s="14">
        <v>3300000</v>
      </c>
      <c r="J176" s="14">
        <v>3283805.99</v>
      </c>
      <c r="K176" s="12">
        <v>922</v>
      </c>
      <c r="L176" s="10" t="s">
        <v>101</v>
      </c>
      <c r="M176" s="10" t="s">
        <v>102</v>
      </c>
      <c r="N176" s="124" t="s">
        <v>397</v>
      </c>
      <c r="O176" s="124" t="s">
        <v>397</v>
      </c>
      <c r="P176" s="21">
        <v>30</v>
      </c>
      <c r="Q176" s="10" t="s">
        <v>54</v>
      </c>
      <c r="R176" s="10" t="s">
        <v>28</v>
      </c>
      <c r="S176" s="10"/>
      <c r="T176" s="10"/>
      <c r="U176" s="10" t="s">
        <v>1448</v>
      </c>
      <c r="V176" s="10" t="s">
        <v>1448</v>
      </c>
      <c r="W176" s="50">
        <f>+J176/$W$2</f>
        <v>4.3656784720868713E-5</v>
      </c>
    </row>
    <row r="177" spans="1:29">
      <c r="A177" s="10" t="s">
        <v>382</v>
      </c>
      <c r="B177" s="10" t="s">
        <v>381</v>
      </c>
      <c r="C177" s="124">
        <v>46300</v>
      </c>
      <c r="D177" s="124" t="s">
        <v>492</v>
      </c>
      <c r="E177" s="21">
        <v>0.99509272000000004</v>
      </c>
      <c r="F177" s="10"/>
      <c r="G177" s="14">
        <v>2500000</v>
      </c>
      <c r="H177" s="14">
        <v>2487731.79</v>
      </c>
      <c r="I177" s="14">
        <v>2500000</v>
      </c>
      <c r="J177" s="14">
        <v>2487731.79</v>
      </c>
      <c r="K177" s="12">
        <v>904</v>
      </c>
      <c r="L177" s="10" t="s">
        <v>101</v>
      </c>
      <c r="M177" s="10" t="s">
        <v>102</v>
      </c>
      <c r="N177" s="124" t="s">
        <v>349</v>
      </c>
      <c r="O177" s="124" t="s">
        <v>349</v>
      </c>
      <c r="P177" s="21">
        <v>30</v>
      </c>
      <c r="Q177" s="10" t="s">
        <v>54</v>
      </c>
      <c r="R177" s="10" t="s">
        <v>28</v>
      </c>
      <c r="S177" s="10"/>
      <c r="T177" s="10"/>
      <c r="U177" s="10" t="s">
        <v>1333</v>
      </c>
      <c r="V177" s="10" t="s">
        <v>1333</v>
      </c>
      <c r="W177" s="50">
        <f>+J177/$W$2</f>
        <v>3.3073321484285183E-5</v>
      </c>
    </row>
    <row r="178" spans="1:29">
      <c r="A178" s="10" t="s">
        <v>477</v>
      </c>
      <c r="B178" s="10" t="s">
        <v>381</v>
      </c>
      <c r="C178" s="124">
        <v>46301</v>
      </c>
      <c r="D178" s="124" t="s">
        <v>492</v>
      </c>
      <c r="E178" s="21">
        <v>0.99541837</v>
      </c>
      <c r="F178" s="10"/>
      <c r="G178" s="14">
        <v>5000000</v>
      </c>
      <c r="H178" s="14">
        <v>4977091.84</v>
      </c>
      <c r="I178" s="14">
        <v>5000000</v>
      </c>
      <c r="J178" s="14">
        <v>4977091.84</v>
      </c>
      <c r="K178" s="12">
        <v>16831529</v>
      </c>
      <c r="L178" s="10" t="s">
        <v>101</v>
      </c>
      <c r="M178" s="10" t="s">
        <v>102</v>
      </c>
      <c r="N178" s="124" t="s">
        <v>155</v>
      </c>
      <c r="O178" s="124" t="s">
        <v>155</v>
      </c>
      <c r="P178" s="21">
        <v>24</v>
      </c>
      <c r="Q178" s="10" t="s">
        <v>54</v>
      </c>
      <c r="R178" s="10" t="s">
        <v>28</v>
      </c>
      <c r="S178" s="10"/>
      <c r="T178" s="10"/>
      <c r="U178" s="10" t="s">
        <v>1046</v>
      </c>
      <c r="V178" s="10" t="s">
        <v>1046</v>
      </c>
      <c r="W178" s="50">
        <f>+J178/$W$2</f>
        <v>6.6168289983194867E-5</v>
      </c>
    </row>
    <row r="179" spans="1:29">
      <c r="A179" s="10" t="s">
        <v>2416</v>
      </c>
      <c r="B179" s="10" t="s">
        <v>381</v>
      </c>
      <c r="C179" s="124">
        <v>46301</v>
      </c>
      <c r="D179" s="124" t="s">
        <v>492</v>
      </c>
      <c r="E179" s="21">
        <v>0.99427949999999998</v>
      </c>
      <c r="F179" s="10"/>
      <c r="G179" s="14">
        <v>5577023.0199999996</v>
      </c>
      <c r="H179" s="14">
        <v>5545119.6600000001</v>
      </c>
      <c r="I179" s="14">
        <v>5577023.0199999996</v>
      </c>
      <c r="J179" s="14">
        <v>5545119.6600000001</v>
      </c>
      <c r="K179" s="12">
        <v>90017209</v>
      </c>
      <c r="L179" s="10" t="s">
        <v>101</v>
      </c>
      <c r="M179" s="10" t="s">
        <v>102</v>
      </c>
      <c r="N179" s="124" t="s">
        <v>552</v>
      </c>
      <c r="O179" s="124" t="s">
        <v>552</v>
      </c>
      <c r="P179" s="21">
        <v>30</v>
      </c>
      <c r="Q179" s="10" t="s">
        <v>54</v>
      </c>
      <c r="R179" s="10" t="s">
        <v>28</v>
      </c>
      <c r="S179" s="10"/>
      <c r="T179" s="10"/>
      <c r="U179" s="10" t="s">
        <v>2404</v>
      </c>
      <c r="V179" s="10" t="s">
        <v>2404</v>
      </c>
      <c r="W179" s="50">
        <f>+J179/$W$2</f>
        <v>7.3719974927043938E-5</v>
      </c>
      <c r="AC179" s="47"/>
    </row>
    <row r="180" spans="1:29">
      <c r="A180" s="10" t="s">
        <v>675</v>
      </c>
      <c r="B180" s="10" t="s">
        <v>381</v>
      </c>
      <c r="C180" s="124">
        <v>46301</v>
      </c>
      <c r="D180" s="124" t="s">
        <v>492</v>
      </c>
      <c r="E180" s="21">
        <v>0.99427949000000004</v>
      </c>
      <c r="F180" s="10"/>
      <c r="G180" s="14">
        <v>100000000</v>
      </c>
      <c r="H180" s="14">
        <v>99427949.069999993</v>
      </c>
      <c r="I180" s="14">
        <v>100000000</v>
      </c>
      <c r="J180" s="14">
        <v>99427949.069999993</v>
      </c>
      <c r="K180" s="12">
        <v>90003952</v>
      </c>
      <c r="L180" s="10" t="s">
        <v>101</v>
      </c>
      <c r="M180" s="10" t="s">
        <v>102</v>
      </c>
      <c r="N180" s="124" t="s">
        <v>363</v>
      </c>
      <c r="O180" s="124" t="s">
        <v>363</v>
      </c>
      <c r="P180" s="21">
        <v>30</v>
      </c>
      <c r="Q180" s="10" t="s">
        <v>54</v>
      </c>
      <c r="R180" s="10" t="s">
        <v>28</v>
      </c>
      <c r="S180" s="10"/>
      <c r="T180" s="10"/>
      <c r="U180" s="10" t="s">
        <v>1174</v>
      </c>
      <c r="V180" s="10" t="s">
        <v>1174</v>
      </c>
      <c r="W180" s="50">
        <f>+J180/$W$2</f>
        <v>1.3218517113998223E-3</v>
      </c>
    </row>
    <row r="181" spans="1:29">
      <c r="A181" s="10" t="s">
        <v>1190</v>
      </c>
      <c r="B181" s="10" t="s">
        <v>1191</v>
      </c>
      <c r="C181" s="124">
        <v>46301</v>
      </c>
      <c r="D181" s="124" t="s">
        <v>492</v>
      </c>
      <c r="E181" s="21">
        <v>0.99713138999999995</v>
      </c>
      <c r="F181" s="10" t="s">
        <v>3464</v>
      </c>
      <c r="G181" s="14">
        <v>6619.93</v>
      </c>
      <c r="H181" s="14">
        <v>6600.94</v>
      </c>
      <c r="I181" s="14">
        <v>10227791.710000001</v>
      </c>
      <c r="J181" s="14">
        <v>10198452.16</v>
      </c>
      <c r="K181" s="12">
        <v>65</v>
      </c>
      <c r="L181" s="10" t="s">
        <v>101</v>
      </c>
      <c r="M181" s="10" t="s">
        <v>102</v>
      </c>
      <c r="N181" s="124" t="s">
        <v>422</v>
      </c>
      <c r="O181" s="124" t="s">
        <v>422</v>
      </c>
      <c r="P181" s="21">
        <v>15</v>
      </c>
      <c r="Q181" s="10" t="s">
        <v>54</v>
      </c>
      <c r="R181" s="10" t="s">
        <v>28</v>
      </c>
      <c r="S181" s="10"/>
      <c r="T181" s="10"/>
      <c r="U181" s="10" t="s">
        <v>2769</v>
      </c>
      <c r="V181" s="10" t="s">
        <v>2769</v>
      </c>
      <c r="W181" s="50">
        <f>+J181/$W$2</f>
        <v>1.3558402408395587E-4</v>
      </c>
    </row>
    <row r="182" spans="1:29">
      <c r="A182" s="10" t="s">
        <v>382</v>
      </c>
      <c r="B182" s="10" t="s">
        <v>381</v>
      </c>
      <c r="C182" s="124">
        <v>46301</v>
      </c>
      <c r="D182" s="124" t="s">
        <v>492</v>
      </c>
      <c r="E182" s="21">
        <v>0.99390051000000001</v>
      </c>
      <c r="F182" s="10"/>
      <c r="G182" s="14">
        <v>4000000</v>
      </c>
      <c r="H182" s="14">
        <v>3975602.05</v>
      </c>
      <c r="I182" s="14">
        <v>4000000</v>
      </c>
      <c r="J182" s="14">
        <v>3975602.05</v>
      </c>
      <c r="K182" s="12">
        <v>1144</v>
      </c>
      <c r="L182" s="10" t="s">
        <v>101</v>
      </c>
      <c r="M182" s="10" t="s">
        <v>102</v>
      </c>
      <c r="N182" s="124" t="s">
        <v>421</v>
      </c>
      <c r="O182" s="124" t="s">
        <v>421</v>
      </c>
      <c r="P182" s="21">
        <v>32</v>
      </c>
      <c r="Q182" s="10" t="s">
        <v>54</v>
      </c>
      <c r="R182" s="10" t="s">
        <v>28</v>
      </c>
      <c r="S182" s="10"/>
      <c r="T182" s="10"/>
      <c r="U182" s="10" t="s">
        <v>2111</v>
      </c>
      <c r="V182" s="10" t="s">
        <v>2111</v>
      </c>
      <c r="W182" s="50">
        <f>+J182/$W$2</f>
        <v>5.2853915048950352E-5</v>
      </c>
    </row>
    <row r="183" spans="1:29">
      <c r="A183" s="10" t="s">
        <v>382</v>
      </c>
      <c r="B183" s="10" t="s">
        <v>381</v>
      </c>
      <c r="C183" s="124">
        <v>46301</v>
      </c>
      <c r="D183" s="124" t="s">
        <v>492</v>
      </c>
      <c r="E183" s="21">
        <v>0.99427949999999998</v>
      </c>
      <c r="F183" s="10"/>
      <c r="G183" s="14">
        <v>5000000</v>
      </c>
      <c r="H183" s="14">
        <v>4971397.51</v>
      </c>
      <c r="I183" s="14">
        <v>5000000</v>
      </c>
      <c r="J183" s="14">
        <v>4971397.51</v>
      </c>
      <c r="K183" s="12">
        <v>1215</v>
      </c>
      <c r="L183" s="10" t="s">
        <v>101</v>
      </c>
      <c r="M183" s="10" t="s">
        <v>102</v>
      </c>
      <c r="N183" s="124" t="s">
        <v>552</v>
      </c>
      <c r="O183" s="124" t="s">
        <v>552</v>
      </c>
      <c r="P183" s="21">
        <v>30</v>
      </c>
      <c r="Q183" s="10" t="s">
        <v>54</v>
      </c>
      <c r="R183" s="10" t="s">
        <v>28</v>
      </c>
      <c r="S183" s="10"/>
      <c r="T183" s="10"/>
      <c r="U183" s="10" t="s">
        <v>2356</v>
      </c>
      <c r="V183" s="10" t="s">
        <v>2356</v>
      </c>
      <c r="W183" s="50">
        <f>+J183/$W$2</f>
        <v>6.6092586321134253E-5</v>
      </c>
    </row>
    <row r="184" spans="1:29">
      <c r="A184" s="10" t="s">
        <v>382</v>
      </c>
      <c r="B184" s="10" t="s">
        <v>381</v>
      </c>
      <c r="C184" s="124">
        <v>46301</v>
      </c>
      <c r="D184" s="124" t="s">
        <v>492</v>
      </c>
      <c r="E184" s="21">
        <v>0.99427958000000005</v>
      </c>
      <c r="F184" s="10"/>
      <c r="G184" s="14">
        <v>5000000</v>
      </c>
      <c r="H184" s="14">
        <v>4971397.9000000004</v>
      </c>
      <c r="I184" s="14">
        <v>5000000</v>
      </c>
      <c r="J184" s="14">
        <v>4971397.9000000004</v>
      </c>
      <c r="K184" s="12">
        <v>1221</v>
      </c>
      <c r="L184" s="10" t="s">
        <v>101</v>
      </c>
      <c r="M184" s="10" t="s">
        <v>102</v>
      </c>
      <c r="N184" s="124" t="s">
        <v>483</v>
      </c>
      <c r="O184" s="124" t="s">
        <v>483</v>
      </c>
      <c r="P184" s="21">
        <v>30</v>
      </c>
      <c r="Q184" s="10" t="s">
        <v>54</v>
      </c>
      <c r="R184" s="10" t="s">
        <v>28</v>
      </c>
      <c r="S184" s="10"/>
      <c r="T184" s="10"/>
      <c r="U184" s="10" t="s">
        <v>2444</v>
      </c>
      <c r="V184" s="10" t="s">
        <v>2444</v>
      </c>
      <c r="W184" s="50">
        <f>+J184/$W$2</f>
        <v>6.60925915060161E-5</v>
      </c>
    </row>
    <row r="185" spans="1:29">
      <c r="A185" s="10" t="s">
        <v>382</v>
      </c>
      <c r="B185" s="10" t="s">
        <v>381</v>
      </c>
      <c r="C185" s="124">
        <v>46301</v>
      </c>
      <c r="D185" s="124" t="s">
        <v>492</v>
      </c>
      <c r="E185" s="21">
        <v>0.99427953999999996</v>
      </c>
      <c r="F185" s="10"/>
      <c r="G185" s="14">
        <v>5000000</v>
      </c>
      <c r="H185" s="14">
        <v>4971397.7</v>
      </c>
      <c r="I185" s="14">
        <v>5000000</v>
      </c>
      <c r="J185" s="14">
        <v>4971397.7</v>
      </c>
      <c r="K185" s="12">
        <v>1225</v>
      </c>
      <c r="L185" s="10" t="s">
        <v>101</v>
      </c>
      <c r="M185" s="10" t="s">
        <v>102</v>
      </c>
      <c r="N185" s="124" t="s">
        <v>420</v>
      </c>
      <c r="O185" s="124" t="s">
        <v>420</v>
      </c>
      <c r="P185" s="21">
        <v>30</v>
      </c>
      <c r="Q185" s="10" t="s">
        <v>54</v>
      </c>
      <c r="R185" s="10" t="s">
        <v>28</v>
      </c>
      <c r="S185" s="10"/>
      <c r="T185" s="10"/>
      <c r="U185" s="10" t="s">
        <v>2651</v>
      </c>
      <c r="V185" s="10" t="s">
        <v>2651</v>
      </c>
      <c r="W185" s="50">
        <f>+J185/$W$2</f>
        <v>6.6092588847102335E-5</v>
      </c>
    </row>
    <row r="186" spans="1:29">
      <c r="A186" s="10" t="s">
        <v>382</v>
      </c>
      <c r="B186" s="10" t="s">
        <v>381</v>
      </c>
      <c r="C186" s="124">
        <v>46301</v>
      </c>
      <c r="D186" s="124" t="s">
        <v>492</v>
      </c>
      <c r="E186" s="21">
        <v>0.99390047000000004</v>
      </c>
      <c r="F186" s="10"/>
      <c r="G186" s="14">
        <v>3000000</v>
      </c>
      <c r="H186" s="14">
        <v>2981701.42</v>
      </c>
      <c r="I186" s="14">
        <v>3000000</v>
      </c>
      <c r="J186" s="14">
        <v>2981701.42</v>
      </c>
      <c r="K186" s="12">
        <v>1035</v>
      </c>
      <c r="L186" s="10" t="s">
        <v>101</v>
      </c>
      <c r="M186" s="10" t="s">
        <v>102</v>
      </c>
      <c r="N186" s="124" t="s">
        <v>398</v>
      </c>
      <c r="O186" s="124" t="s">
        <v>398</v>
      </c>
      <c r="P186" s="21">
        <v>32</v>
      </c>
      <c r="Q186" s="10" t="s">
        <v>54</v>
      </c>
      <c r="R186" s="10" t="s">
        <v>28</v>
      </c>
      <c r="S186" s="10"/>
      <c r="T186" s="10"/>
      <c r="U186" s="10" t="s">
        <v>1732</v>
      </c>
      <c r="V186" s="10" t="s">
        <v>1732</v>
      </c>
      <c r="W186" s="50">
        <f>+J186/$W$2</f>
        <v>3.9640434724600929E-5</v>
      </c>
    </row>
    <row r="187" spans="1:29">
      <c r="A187" s="10" t="s">
        <v>180</v>
      </c>
      <c r="B187" s="10" t="s">
        <v>381</v>
      </c>
      <c r="C187" s="124">
        <v>46301</v>
      </c>
      <c r="D187" s="124" t="s">
        <v>492</v>
      </c>
      <c r="E187" s="21">
        <v>0.99465882999999999</v>
      </c>
      <c r="F187" s="10"/>
      <c r="G187" s="14">
        <v>8584260.9900000002</v>
      </c>
      <c r="H187" s="14">
        <v>8538411</v>
      </c>
      <c r="I187" s="14">
        <v>8584260.9900000002</v>
      </c>
      <c r="J187" s="14">
        <v>8538411</v>
      </c>
      <c r="K187" s="12">
        <v>629236</v>
      </c>
      <c r="L187" s="10" t="s">
        <v>101</v>
      </c>
      <c r="M187" s="10" t="s">
        <v>102</v>
      </c>
      <c r="N187" s="124" t="s">
        <v>548</v>
      </c>
      <c r="O187" s="124" t="s">
        <v>548</v>
      </c>
      <c r="P187" s="21">
        <v>28</v>
      </c>
      <c r="Q187" s="10" t="s">
        <v>54</v>
      </c>
      <c r="R187" s="10" t="s">
        <v>28</v>
      </c>
      <c r="S187" s="10"/>
      <c r="T187" s="10"/>
      <c r="U187" s="10" t="s">
        <v>1382</v>
      </c>
      <c r="V187" s="10" t="s">
        <v>1382</v>
      </c>
      <c r="W187" s="50">
        <f>+J187/$W$2</f>
        <v>1.1351449264068652E-4</v>
      </c>
    </row>
    <row r="188" spans="1:29">
      <c r="A188" s="10" t="s">
        <v>180</v>
      </c>
      <c r="B188" s="10" t="s">
        <v>381</v>
      </c>
      <c r="C188" s="124">
        <v>46301</v>
      </c>
      <c r="D188" s="124" t="s">
        <v>492</v>
      </c>
      <c r="E188" s="21">
        <v>0.99465882999999999</v>
      </c>
      <c r="F188" s="10"/>
      <c r="G188" s="14">
        <v>8584260.9900000002</v>
      </c>
      <c r="H188" s="14">
        <v>8538411</v>
      </c>
      <c r="I188" s="14">
        <v>8584260.9900000002</v>
      </c>
      <c r="J188" s="14">
        <v>8538411</v>
      </c>
      <c r="K188" s="12">
        <v>629242</v>
      </c>
      <c r="L188" s="10" t="s">
        <v>101</v>
      </c>
      <c r="M188" s="10" t="s">
        <v>102</v>
      </c>
      <c r="N188" s="124" t="s">
        <v>548</v>
      </c>
      <c r="O188" s="124" t="s">
        <v>548</v>
      </c>
      <c r="P188" s="21">
        <v>28</v>
      </c>
      <c r="Q188" s="10" t="s">
        <v>54</v>
      </c>
      <c r="R188" s="10" t="s">
        <v>28</v>
      </c>
      <c r="S188" s="10"/>
      <c r="T188" s="10"/>
      <c r="U188" s="10" t="s">
        <v>1383</v>
      </c>
      <c r="V188" s="10" t="s">
        <v>1383</v>
      </c>
      <c r="W188" s="50">
        <f>+J188/$W$2</f>
        <v>1.1351449264068652E-4</v>
      </c>
    </row>
    <row r="189" spans="1:29">
      <c r="A189" s="10" t="s">
        <v>180</v>
      </c>
      <c r="B189" s="10" t="s">
        <v>381</v>
      </c>
      <c r="C189" s="124">
        <v>46301</v>
      </c>
      <c r="D189" s="124" t="s">
        <v>492</v>
      </c>
      <c r="E189" s="21">
        <v>0.99465882999999999</v>
      </c>
      <c r="F189" s="10"/>
      <c r="G189" s="14">
        <v>8584260.9900000002</v>
      </c>
      <c r="H189" s="14">
        <v>8538411</v>
      </c>
      <c r="I189" s="14">
        <v>8584260.9900000002</v>
      </c>
      <c r="J189" s="14">
        <v>8538411</v>
      </c>
      <c r="K189" s="12">
        <v>629234</v>
      </c>
      <c r="L189" s="10" t="s">
        <v>101</v>
      </c>
      <c r="M189" s="10" t="s">
        <v>102</v>
      </c>
      <c r="N189" s="124" t="s">
        <v>548</v>
      </c>
      <c r="O189" s="124" t="s">
        <v>548</v>
      </c>
      <c r="P189" s="21">
        <v>28</v>
      </c>
      <c r="Q189" s="10" t="s">
        <v>54</v>
      </c>
      <c r="R189" s="10" t="s">
        <v>28</v>
      </c>
      <c r="S189" s="10"/>
      <c r="T189" s="10"/>
      <c r="U189" s="10" t="s">
        <v>1394</v>
      </c>
      <c r="V189" s="10" t="s">
        <v>1394</v>
      </c>
      <c r="W189" s="50">
        <f>+J189/$W$2</f>
        <v>1.1351449264068652E-4</v>
      </c>
      <c r="AC189" s="47"/>
    </row>
    <row r="190" spans="1:29">
      <c r="A190" s="10" t="s">
        <v>3349</v>
      </c>
      <c r="B190" s="10" t="s">
        <v>381</v>
      </c>
      <c r="C190" s="124">
        <v>46301</v>
      </c>
      <c r="D190" s="124" t="s">
        <v>492</v>
      </c>
      <c r="E190" s="21">
        <v>0.99371116999999998</v>
      </c>
      <c r="F190" s="10"/>
      <c r="G190" s="14">
        <v>34382424.25</v>
      </c>
      <c r="H190" s="14">
        <v>34166199.020000003</v>
      </c>
      <c r="I190" s="14">
        <v>34382424.25</v>
      </c>
      <c r="J190" s="14">
        <v>34166199.020000003</v>
      </c>
      <c r="K190" s="12">
        <v>90022563</v>
      </c>
      <c r="L190" s="10" t="s">
        <v>101</v>
      </c>
      <c r="M190" s="10" t="s">
        <v>102</v>
      </c>
      <c r="N190" s="124" t="s">
        <v>677</v>
      </c>
      <c r="O190" s="124" t="s">
        <v>677</v>
      </c>
      <c r="P190" s="21">
        <v>33</v>
      </c>
      <c r="Q190" s="10" t="s">
        <v>54</v>
      </c>
      <c r="R190" s="10" t="s">
        <v>28</v>
      </c>
      <c r="S190" s="10"/>
      <c r="T190" s="10"/>
      <c r="U190" s="10" t="s">
        <v>3311</v>
      </c>
      <c r="V190" s="10" t="s">
        <v>3311</v>
      </c>
      <c r="W190" s="50">
        <f>+J190/$W$2</f>
        <v>4.5422488414015457E-4</v>
      </c>
    </row>
    <row r="191" spans="1:29">
      <c r="A191" s="10" t="s">
        <v>2423</v>
      </c>
      <c r="B191" s="10" t="s">
        <v>381</v>
      </c>
      <c r="C191" s="124">
        <v>46301</v>
      </c>
      <c r="D191" s="124" t="s">
        <v>492</v>
      </c>
      <c r="E191" s="21">
        <v>0.99427949999999998</v>
      </c>
      <c r="F191" s="10"/>
      <c r="G191" s="14">
        <v>6150126.3399999999</v>
      </c>
      <c r="H191" s="14">
        <v>6114944.5499999998</v>
      </c>
      <c r="I191" s="14">
        <v>6150126.3399999999</v>
      </c>
      <c r="J191" s="14">
        <v>6114944.5499999998</v>
      </c>
      <c r="K191" s="12">
        <v>57</v>
      </c>
      <c r="L191" s="10" t="s">
        <v>101</v>
      </c>
      <c r="M191" s="10" t="s">
        <v>102</v>
      </c>
      <c r="N191" s="124" t="s">
        <v>552</v>
      </c>
      <c r="O191" s="124" t="s">
        <v>552</v>
      </c>
      <c r="P191" s="21">
        <v>30</v>
      </c>
      <c r="Q191" s="10" t="s">
        <v>54</v>
      </c>
      <c r="R191" s="10" t="s">
        <v>28</v>
      </c>
      <c r="S191" s="10"/>
      <c r="T191" s="10"/>
      <c r="U191" s="10" t="s">
        <v>2379</v>
      </c>
      <c r="V191" s="10" t="s">
        <v>2379</v>
      </c>
      <c r="W191" s="50">
        <f>+J191/$W$2</f>
        <v>8.129555114167978E-5</v>
      </c>
    </row>
    <row r="192" spans="1:29">
      <c r="A192" s="10" t="s">
        <v>494</v>
      </c>
      <c r="B192" s="10" t="s">
        <v>381</v>
      </c>
      <c r="C192" s="124">
        <v>46301</v>
      </c>
      <c r="D192" s="124" t="s">
        <v>492</v>
      </c>
      <c r="E192" s="21">
        <v>0.99541837</v>
      </c>
      <c r="F192" s="10"/>
      <c r="G192" s="14">
        <v>2500000</v>
      </c>
      <c r="H192" s="14">
        <v>2488545.92</v>
      </c>
      <c r="I192" s="14">
        <v>2500000</v>
      </c>
      <c r="J192" s="14">
        <v>2488545.92</v>
      </c>
      <c r="K192" s="12">
        <v>16821015</v>
      </c>
      <c r="L192" s="10" t="s">
        <v>101</v>
      </c>
      <c r="M192" s="10" t="s">
        <v>102</v>
      </c>
      <c r="N192" s="124" t="s">
        <v>319</v>
      </c>
      <c r="O192" s="124" t="s">
        <v>319</v>
      </c>
      <c r="P192" s="21">
        <v>24</v>
      </c>
      <c r="Q192" s="10" t="s">
        <v>54</v>
      </c>
      <c r="R192" s="10" t="s">
        <v>28</v>
      </c>
      <c r="S192" s="10"/>
      <c r="T192" s="10"/>
      <c r="U192" s="10" t="s">
        <v>1001</v>
      </c>
      <c r="V192" s="10" t="s">
        <v>1001</v>
      </c>
      <c r="W192" s="50">
        <f>+J192/$W$2</f>
        <v>3.3084144991597434E-5</v>
      </c>
    </row>
    <row r="193" spans="1:29">
      <c r="A193" s="10" t="s">
        <v>353</v>
      </c>
      <c r="B193" s="10" t="s">
        <v>381</v>
      </c>
      <c r="C193" s="124">
        <v>46301</v>
      </c>
      <c r="D193" s="124" t="s">
        <v>492</v>
      </c>
      <c r="E193" s="21">
        <v>0.99371105999999998</v>
      </c>
      <c r="F193" s="10"/>
      <c r="G193" s="14">
        <v>5000000</v>
      </c>
      <c r="H193" s="14">
        <v>4968555.3099999996</v>
      </c>
      <c r="I193" s="14">
        <v>5000000</v>
      </c>
      <c r="J193" s="14">
        <v>4968555.3099999996</v>
      </c>
      <c r="K193" s="12">
        <v>3040</v>
      </c>
      <c r="L193" s="10" t="s">
        <v>101</v>
      </c>
      <c r="M193" s="10" t="s">
        <v>102</v>
      </c>
      <c r="N193" s="124" t="s">
        <v>155</v>
      </c>
      <c r="O193" s="124" t="s">
        <v>155</v>
      </c>
      <c r="P193" s="21">
        <v>33</v>
      </c>
      <c r="Q193" s="10" t="s">
        <v>54</v>
      </c>
      <c r="R193" s="10" t="s">
        <v>28</v>
      </c>
      <c r="S193" s="10"/>
      <c r="T193" s="10"/>
      <c r="U193" s="10" t="s">
        <v>1058</v>
      </c>
      <c r="V193" s="10" t="s">
        <v>1058</v>
      </c>
      <c r="W193" s="50">
        <f>+J193/$W$2</f>
        <v>6.6054800497638135E-5</v>
      </c>
    </row>
    <row r="194" spans="1:29">
      <c r="A194" s="10" t="s">
        <v>273</v>
      </c>
      <c r="B194" s="10" t="s">
        <v>381</v>
      </c>
      <c r="C194" s="124">
        <v>46301</v>
      </c>
      <c r="D194" s="124" t="s">
        <v>492</v>
      </c>
      <c r="E194" s="21">
        <v>0.99522836999999997</v>
      </c>
      <c r="F194" s="10"/>
      <c r="G194" s="14">
        <v>25000000</v>
      </c>
      <c r="H194" s="14">
        <v>24880709.359999999</v>
      </c>
      <c r="I194" s="14">
        <v>25000000</v>
      </c>
      <c r="J194" s="14">
        <v>24880709.359999999</v>
      </c>
      <c r="K194" s="12">
        <v>68393694</v>
      </c>
      <c r="L194" s="10" t="s">
        <v>101</v>
      </c>
      <c r="M194" s="10" t="s">
        <v>102</v>
      </c>
      <c r="N194" s="124" t="s">
        <v>319</v>
      </c>
      <c r="O194" s="124" t="s">
        <v>319</v>
      </c>
      <c r="P194" s="21">
        <v>25</v>
      </c>
      <c r="Q194" s="10" t="s">
        <v>54</v>
      </c>
      <c r="R194" s="10" t="s">
        <v>28</v>
      </c>
      <c r="S194" s="10"/>
      <c r="T194" s="10"/>
      <c r="U194" s="10" t="s">
        <v>1013</v>
      </c>
      <c r="V194" s="10" t="s">
        <v>1013</v>
      </c>
      <c r="W194" s="50">
        <f>+J194/$W$2</f>
        <v>3.3077830284121721E-4</v>
      </c>
    </row>
    <row r="195" spans="1:29">
      <c r="A195" s="10" t="s">
        <v>2087</v>
      </c>
      <c r="B195" s="10" t="s">
        <v>381</v>
      </c>
      <c r="C195" s="124">
        <v>46301</v>
      </c>
      <c r="D195" s="124" t="s">
        <v>492</v>
      </c>
      <c r="E195" s="21">
        <v>0.99408996999999999</v>
      </c>
      <c r="F195" s="10"/>
      <c r="G195" s="14">
        <v>8523310</v>
      </c>
      <c r="H195" s="14">
        <v>8472937.0199999996</v>
      </c>
      <c r="I195" s="14">
        <v>8523310</v>
      </c>
      <c r="J195" s="14">
        <v>8472937.0199999996</v>
      </c>
      <c r="K195" s="12">
        <v>13680132</v>
      </c>
      <c r="L195" s="10" t="s">
        <v>101</v>
      </c>
      <c r="M195" s="10" t="s">
        <v>102</v>
      </c>
      <c r="N195" s="124" t="s">
        <v>390</v>
      </c>
      <c r="O195" s="124" t="s">
        <v>390</v>
      </c>
      <c r="P195" s="21">
        <v>31</v>
      </c>
      <c r="Q195" s="10" t="s">
        <v>54</v>
      </c>
      <c r="R195" s="10" t="s">
        <v>28</v>
      </c>
      <c r="S195" s="10"/>
      <c r="T195" s="10"/>
      <c r="U195" s="10" t="s">
        <v>2070</v>
      </c>
      <c r="V195" s="10" t="s">
        <v>2070</v>
      </c>
      <c r="W195" s="50">
        <f>+J195/$W$2</f>
        <v>1.1264404430775121E-4</v>
      </c>
    </row>
    <row r="196" spans="1:29">
      <c r="A196" s="10" t="s">
        <v>135</v>
      </c>
      <c r="B196" s="10" t="s">
        <v>381</v>
      </c>
      <c r="C196" s="124">
        <v>46301</v>
      </c>
      <c r="D196" s="124" t="s">
        <v>492</v>
      </c>
      <c r="E196" s="21">
        <v>0.99314325000000003</v>
      </c>
      <c r="F196" s="10"/>
      <c r="G196" s="14">
        <v>100000000</v>
      </c>
      <c r="H196" s="14">
        <v>99314324.849999994</v>
      </c>
      <c r="I196" s="14">
        <v>100000000</v>
      </c>
      <c r="J196" s="14">
        <v>99314324.849999994</v>
      </c>
      <c r="K196" s="12">
        <v>8439</v>
      </c>
      <c r="L196" s="10" t="s">
        <v>101</v>
      </c>
      <c r="M196" s="10" t="s">
        <v>102</v>
      </c>
      <c r="N196" s="124" t="s">
        <v>333</v>
      </c>
      <c r="O196" s="124" t="s">
        <v>333</v>
      </c>
      <c r="P196" s="21">
        <v>36</v>
      </c>
      <c r="Q196" s="10" t="s">
        <v>54</v>
      </c>
      <c r="R196" s="10" t="s">
        <v>28</v>
      </c>
      <c r="S196" s="10"/>
      <c r="T196" s="10"/>
      <c r="U196" s="10" t="s">
        <v>780</v>
      </c>
      <c r="V196" s="10" t="s">
        <v>780</v>
      </c>
      <c r="W196" s="50">
        <f>+J196/$W$2</f>
        <v>1.3203411263875767E-3</v>
      </c>
    </row>
    <row r="197" spans="1:29">
      <c r="A197" s="10" t="s">
        <v>273</v>
      </c>
      <c r="B197" s="10" t="s">
        <v>381</v>
      </c>
      <c r="C197" s="124">
        <v>46301</v>
      </c>
      <c r="D197" s="124" t="s">
        <v>492</v>
      </c>
      <c r="E197" s="21">
        <v>0.99484859000000003</v>
      </c>
      <c r="F197" s="10"/>
      <c r="G197" s="14">
        <v>10000000</v>
      </c>
      <c r="H197" s="14">
        <v>9948485.9399999995</v>
      </c>
      <c r="I197" s="14">
        <v>10000000</v>
      </c>
      <c r="J197" s="14">
        <v>9948485.9399999995</v>
      </c>
      <c r="K197" s="12">
        <v>2009</v>
      </c>
      <c r="L197" s="10" t="s">
        <v>101</v>
      </c>
      <c r="M197" s="10" t="s">
        <v>102</v>
      </c>
      <c r="N197" s="124" t="s">
        <v>395</v>
      </c>
      <c r="O197" s="124" t="s">
        <v>395</v>
      </c>
      <c r="P197" s="21">
        <v>27</v>
      </c>
      <c r="Q197" s="10" t="s">
        <v>54</v>
      </c>
      <c r="R197" s="10" t="s">
        <v>28</v>
      </c>
      <c r="S197" s="10"/>
      <c r="T197" s="10"/>
      <c r="U197" s="10" t="s">
        <v>838</v>
      </c>
      <c r="V197" s="10" t="s">
        <v>838</v>
      </c>
      <c r="W197" s="50">
        <f>+J197/$W$2</f>
        <v>1.3226083096984945E-4</v>
      </c>
      <c r="AC197" s="47"/>
    </row>
    <row r="198" spans="1:29">
      <c r="A198" s="10" t="s">
        <v>803</v>
      </c>
      <c r="B198" s="10" t="s">
        <v>381</v>
      </c>
      <c r="C198" s="124">
        <v>46301</v>
      </c>
      <c r="D198" s="124" t="s">
        <v>492</v>
      </c>
      <c r="E198" s="21">
        <v>0.99427951000000003</v>
      </c>
      <c r="F198" s="10"/>
      <c r="G198" s="14">
        <v>15000000</v>
      </c>
      <c r="H198" s="14">
        <v>14914192.59</v>
      </c>
      <c r="I198" s="14">
        <v>15000000</v>
      </c>
      <c r="J198" s="14">
        <v>14914192.59</v>
      </c>
      <c r="K198" s="12">
        <v>728</v>
      </c>
      <c r="L198" s="10" t="s">
        <v>101</v>
      </c>
      <c r="M198" s="10" t="s">
        <v>102</v>
      </c>
      <c r="N198" s="124" t="s">
        <v>394</v>
      </c>
      <c r="O198" s="124" t="s">
        <v>394</v>
      </c>
      <c r="P198" s="21">
        <v>30</v>
      </c>
      <c r="Q198" s="10" t="s">
        <v>54</v>
      </c>
      <c r="R198" s="10" t="s">
        <v>28</v>
      </c>
      <c r="S198" s="10"/>
      <c r="T198" s="10"/>
      <c r="U198" s="10" t="s">
        <v>804</v>
      </c>
      <c r="V198" s="10" t="s">
        <v>804</v>
      </c>
      <c r="W198" s="50">
        <f>+J198/$W$2</f>
        <v>1.982777597610769E-4</v>
      </c>
    </row>
    <row r="199" spans="1:29">
      <c r="A199" s="10" t="s">
        <v>2921</v>
      </c>
      <c r="B199" s="10" t="s">
        <v>381</v>
      </c>
      <c r="C199" s="124">
        <v>46301</v>
      </c>
      <c r="D199" s="124" t="s">
        <v>492</v>
      </c>
      <c r="E199" s="21">
        <v>0.99390045000000005</v>
      </c>
      <c r="F199" s="10"/>
      <c r="G199" s="14">
        <v>14395515.539999999</v>
      </c>
      <c r="H199" s="14">
        <v>14307709.43</v>
      </c>
      <c r="I199" s="14">
        <v>14395515.539999999</v>
      </c>
      <c r="J199" s="14">
        <v>14307709.43</v>
      </c>
      <c r="K199" s="12">
        <v>358</v>
      </c>
      <c r="L199" s="10" t="s">
        <v>101</v>
      </c>
      <c r="M199" s="10" t="s">
        <v>102</v>
      </c>
      <c r="N199" s="124" t="s">
        <v>486</v>
      </c>
      <c r="O199" s="124" t="s">
        <v>486</v>
      </c>
      <c r="P199" s="21">
        <v>32</v>
      </c>
      <c r="Q199" s="10" t="s">
        <v>54</v>
      </c>
      <c r="R199" s="10" t="s">
        <v>28</v>
      </c>
      <c r="S199" s="10"/>
      <c r="T199" s="10"/>
      <c r="U199" s="10" t="s">
        <v>2889</v>
      </c>
      <c r="V199" s="10" t="s">
        <v>2889</v>
      </c>
      <c r="W199" s="50">
        <f>+J199/$W$2</f>
        <v>1.9021482765315656E-4</v>
      </c>
    </row>
    <row r="200" spans="1:29">
      <c r="A200" s="10" t="s">
        <v>2921</v>
      </c>
      <c r="B200" s="10" t="s">
        <v>381</v>
      </c>
      <c r="C200" s="124">
        <v>46301</v>
      </c>
      <c r="D200" s="124" t="s">
        <v>492</v>
      </c>
      <c r="E200" s="21">
        <v>0.99390045000000005</v>
      </c>
      <c r="F200" s="10"/>
      <c r="G200" s="14">
        <v>15898472.42</v>
      </c>
      <c r="H200" s="14">
        <v>15801498.970000001</v>
      </c>
      <c r="I200" s="14">
        <v>15898472.42</v>
      </c>
      <c r="J200" s="14">
        <v>15801498.970000001</v>
      </c>
      <c r="K200" s="12">
        <v>364</v>
      </c>
      <c r="L200" s="10" t="s">
        <v>101</v>
      </c>
      <c r="M200" s="10" t="s">
        <v>102</v>
      </c>
      <c r="N200" s="124" t="s">
        <v>486</v>
      </c>
      <c r="O200" s="124" t="s">
        <v>486</v>
      </c>
      <c r="P200" s="21">
        <v>32</v>
      </c>
      <c r="Q200" s="10" t="s">
        <v>54</v>
      </c>
      <c r="R200" s="10" t="s">
        <v>28</v>
      </c>
      <c r="S200" s="10"/>
      <c r="T200" s="10"/>
      <c r="U200" s="10" t="s">
        <v>2890</v>
      </c>
      <c r="V200" s="10" t="s">
        <v>2890</v>
      </c>
      <c r="W200" s="50">
        <f>+J200/$W$2</f>
        <v>2.1007411549313809E-4</v>
      </c>
    </row>
    <row r="201" spans="1:29">
      <c r="A201" s="10" t="s">
        <v>2921</v>
      </c>
      <c r="B201" s="10" t="s">
        <v>381</v>
      </c>
      <c r="C201" s="124">
        <v>46301</v>
      </c>
      <c r="D201" s="124" t="s">
        <v>492</v>
      </c>
      <c r="E201" s="21">
        <v>0.99390045000000005</v>
      </c>
      <c r="F201" s="10"/>
      <c r="G201" s="14">
        <v>15898472.42</v>
      </c>
      <c r="H201" s="14">
        <v>15801498.970000001</v>
      </c>
      <c r="I201" s="14">
        <v>15898472.42</v>
      </c>
      <c r="J201" s="14">
        <v>15801498.970000001</v>
      </c>
      <c r="K201" s="12">
        <v>361</v>
      </c>
      <c r="L201" s="10" t="s">
        <v>101</v>
      </c>
      <c r="M201" s="10" t="s">
        <v>102</v>
      </c>
      <c r="N201" s="124" t="s">
        <v>486</v>
      </c>
      <c r="O201" s="124" t="s">
        <v>486</v>
      </c>
      <c r="P201" s="21">
        <v>32</v>
      </c>
      <c r="Q201" s="10" t="s">
        <v>54</v>
      </c>
      <c r="R201" s="10" t="s">
        <v>28</v>
      </c>
      <c r="S201" s="10"/>
      <c r="T201" s="10"/>
      <c r="U201" s="10" t="s">
        <v>2891</v>
      </c>
      <c r="V201" s="10" t="s">
        <v>2891</v>
      </c>
      <c r="W201" s="50">
        <f>+J201/$W$2</f>
        <v>2.1007411549313809E-4</v>
      </c>
    </row>
    <row r="202" spans="1:29">
      <c r="A202" s="10" t="s">
        <v>2921</v>
      </c>
      <c r="B202" s="10" t="s">
        <v>381</v>
      </c>
      <c r="C202" s="124">
        <v>46301</v>
      </c>
      <c r="D202" s="124" t="s">
        <v>492</v>
      </c>
      <c r="E202" s="21">
        <v>0.99390045000000005</v>
      </c>
      <c r="F202" s="10"/>
      <c r="G202" s="14">
        <v>15898472.42</v>
      </c>
      <c r="H202" s="14">
        <v>15801498.970000001</v>
      </c>
      <c r="I202" s="14">
        <v>15898472.42</v>
      </c>
      <c r="J202" s="14">
        <v>15801498.970000001</v>
      </c>
      <c r="K202" s="12">
        <v>363</v>
      </c>
      <c r="L202" s="10" t="s">
        <v>101</v>
      </c>
      <c r="M202" s="10" t="s">
        <v>102</v>
      </c>
      <c r="N202" s="124" t="s">
        <v>486</v>
      </c>
      <c r="O202" s="124" t="s">
        <v>486</v>
      </c>
      <c r="P202" s="21">
        <v>32</v>
      </c>
      <c r="Q202" s="10" t="s">
        <v>54</v>
      </c>
      <c r="R202" s="10" t="s">
        <v>28</v>
      </c>
      <c r="S202" s="10"/>
      <c r="T202" s="10"/>
      <c r="U202" s="10" t="s">
        <v>2892</v>
      </c>
      <c r="V202" s="10" t="s">
        <v>2892</v>
      </c>
      <c r="W202" s="50">
        <f>+J202/$W$2</f>
        <v>2.1007411549313809E-4</v>
      </c>
    </row>
    <row r="203" spans="1:29">
      <c r="A203" s="10" t="s">
        <v>2921</v>
      </c>
      <c r="B203" s="10" t="s">
        <v>381</v>
      </c>
      <c r="C203" s="124">
        <v>46301</v>
      </c>
      <c r="D203" s="124" t="s">
        <v>492</v>
      </c>
      <c r="E203" s="21">
        <v>0.99390045000000005</v>
      </c>
      <c r="F203" s="10"/>
      <c r="G203" s="14">
        <v>15898472.42</v>
      </c>
      <c r="H203" s="14">
        <v>15801498.970000001</v>
      </c>
      <c r="I203" s="14">
        <v>15898472.42</v>
      </c>
      <c r="J203" s="14">
        <v>15801498.970000001</v>
      </c>
      <c r="K203" s="12">
        <v>360</v>
      </c>
      <c r="L203" s="10" t="s">
        <v>101</v>
      </c>
      <c r="M203" s="10" t="s">
        <v>102</v>
      </c>
      <c r="N203" s="124" t="s">
        <v>486</v>
      </c>
      <c r="O203" s="124" t="s">
        <v>486</v>
      </c>
      <c r="P203" s="21">
        <v>32</v>
      </c>
      <c r="Q203" s="10" t="s">
        <v>54</v>
      </c>
      <c r="R203" s="10" t="s">
        <v>28</v>
      </c>
      <c r="S203" s="10"/>
      <c r="T203" s="10"/>
      <c r="U203" s="10" t="s">
        <v>2893</v>
      </c>
      <c r="V203" s="10" t="s">
        <v>2893</v>
      </c>
      <c r="W203" s="50">
        <f>+J203/$W$2</f>
        <v>2.1007411549313809E-4</v>
      </c>
    </row>
    <row r="204" spans="1:29">
      <c r="A204" s="10" t="s">
        <v>2921</v>
      </c>
      <c r="B204" s="10" t="s">
        <v>381</v>
      </c>
      <c r="C204" s="124">
        <v>46301</v>
      </c>
      <c r="D204" s="124" t="s">
        <v>492</v>
      </c>
      <c r="E204" s="21">
        <v>0.99390045000000005</v>
      </c>
      <c r="F204" s="10"/>
      <c r="G204" s="14">
        <v>15898472.42</v>
      </c>
      <c r="H204" s="14">
        <v>15801498.970000001</v>
      </c>
      <c r="I204" s="14">
        <v>15898472.42</v>
      </c>
      <c r="J204" s="14">
        <v>15801498.970000001</v>
      </c>
      <c r="K204" s="12">
        <v>362</v>
      </c>
      <c r="L204" s="10" t="s">
        <v>101</v>
      </c>
      <c r="M204" s="10" t="s">
        <v>102</v>
      </c>
      <c r="N204" s="124" t="s">
        <v>486</v>
      </c>
      <c r="O204" s="124" t="s">
        <v>486</v>
      </c>
      <c r="P204" s="21">
        <v>32</v>
      </c>
      <c r="Q204" s="10" t="s">
        <v>54</v>
      </c>
      <c r="R204" s="10" t="s">
        <v>28</v>
      </c>
      <c r="S204" s="10"/>
      <c r="T204" s="10"/>
      <c r="U204" s="10" t="s">
        <v>2894</v>
      </c>
      <c r="V204" s="10" t="s">
        <v>2894</v>
      </c>
      <c r="W204" s="50">
        <f>+J204/$W$2</f>
        <v>2.1007411549313809E-4</v>
      </c>
    </row>
    <row r="205" spans="1:29">
      <c r="A205" s="10" t="s">
        <v>2921</v>
      </c>
      <c r="B205" s="10" t="s">
        <v>381</v>
      </c>
      <c r="C205" s="124">
        <v>46301</v>
      </c>
      <c r="D205" s="124" t="s">
        <v>492</v>
      </c>
      <c r="E205" s="21">
        <v>0.99390045000000005</v>
      </c>
      <c r="F205" s="10"/>
      <c r="G205" s="14">
        <v>11589977.25</v>
      </c>
      <c r="H205" s="14">
        <v>11519283.66</v>
      </c>
      <c r="I205" s="14">
        <v>11589977.25</v>
      </c>
      <c r="J205" s="14">
        <v>11519283.66</v>
      </c>
      <c r="K205" s="12">
        <v>366</v>
      </c>
      <c r="L205" s="10" t="s">
        <v>101</v>
      </c>
      <c r="M205" s="10" t="s">
        <v>102</v>
      </c>
      <c r="N205" s="124" t="s">
        <v>486</v>
      </c>
      <c r="O205" s="124" t="s">
        <v>486</v>
      </c>
      <c r="P205" s="21">
        <v>32</v>
      </c>
      <c r="Q205" s="10" t="s">
        <v>54</v>
      </c>
      <c r="R205" s="10" t="s">
        <v>28</v>
      </c>
      <c r="S205" s="10"/>
      <c r="T205" s="10"/>
      <c r="U205" s="10" t="s">
        <v>2895</v>
      </c>
      <c r="V205" s="10" t="s">
        <v>2895</v>
      </c>
      <c r="W205" s="50">
        <f>+J205/$W$2</f>
        <v>1.5314390935843337E-4</v>
      </c>
    </row>
    <row r="206" spans="1:29">
      <c r="A206" s="10" t="s">
        <v>901</v>
      </c>
      <c r="B206" s="10" t="s">
        <v>381</v>
      </c>
      <c r="C206" s="124">
        <v>46301</v>
      </c>
      <c r="D206" s="124" t="s">
        <v>492</v>
      </c>
      <c r="E206" s="21">
        <v>0.99390047000000004</v>
      </c>
      <c r="F206" s="10"/>
      <c r="G206" s="14">
        <v>1588021.51</v>
      </c>
      <c r="H206" s="14">
        <v>1578335.32</v>
      </c>
      <c r="I206" s="14">
        <v>1588021.51</v>
      </c>
      <c r="J206" s="14">
        <v>1578335.32</v>
      </c>
      <c r="K206" s="12">
        <v>535</v>
      </c>
      <c r="L206" s="10" t="s">
        <v>101</v>
      </c>
      <c r="M206" s="10" t="s">
        <v>102</v>
      </c>
      <c r="N206" s="124" t="s">
        <v>396</v>
      </c>
      <c r="O206" s="124" t="s">
        <v>396</v>
      </c>
      <c r="P206" s="21">
        <v>32</v>
      </c>
      <c r="Q206" s="10" t="s">
        <v>54</v>
      </c>
      <c r="R206" s="10" t="s">
        <v>28</v>
      </c>
      <c r="S206" s="10"/>
      <c r="T206" s="10"/>
      <c r="U206" s="10" t="s">
        <v>875</v>
      </c>
      <c r="V206" s="10" t="s">
        <v>875</v>
      </c>
      <c r="W206" s="50">
        <f>+J206/$W$2</f>
        <v>2.0983287530510725E-5</v>
      </c>
    </row>
    <row r="207" spans="1:29">
      <c r="A207" s="10" t="s">
        <v>934</v>
      </c>
      <c r="B207" s="10" t="s">
        <v>381</v>
      </c>
      <c r="C207" s="124">
        <v>46301</v>
      </c>
      <c r="D207" s="124" t="s">
        <v>492</v>
      </c>
      <c r="E207" s="21">
        <v>0.99427949999999998</v>
      </c>
      <c r="F207" s="10"/>
      <c r="G207" s="14">
        <v>2584602.4700000002</v>
      </c>
      <c r="H207" s="14">
        <v>2569817.2400000002</v>
      </c>
      <c r="I207" s="14">
        <v>2584602.4700000002</v>
      </c>
      <c r="J207" s="14">
        <v>2569817.2400000002</v>
      </c>
      <c r="K207" s="12">
        <v>384</v>
      </c>
      <c r="L207" s="10" t="s">
        <v>101</v>
      </c>
      <c r="M207" s="10" t="s">
        <v>102</v>
      </c>
      <c r="N207" s="124" t="s">
        <v>323</v>
      </c>
      <c r="O207" s="124" t="s">
        <v>323</v>
      </c>
      <c r="P207" s="21">
        <v>30</v>
      </c>
      <c r="Q207" s="10" t="s">
        <v>54</v>
      </c>
      <c r="R207" s="10" t="s">
        <v>28</v>
      </c>
      <c r="S207" s="10"/>
      <c r="T207" s="10"/>
      <c r="U207" s="10" t="s">
        <v>936</v>
      </c>
      <c r="V207" s="10" t="s">
        <v>936</v>
      </c>
      <c r="W207" s="50">
        <f>+J207/$W$2</f>
        <v>3.4164612148313003E-5</v>
      </c>
    </row>
    <row r="208" spans="1:29">
      <c r="A208" s="10" t="s">
        <v>1431</v>
      </c>
      <c r="B208" s="10" t="s">
        <v>381</v>
      </c>
      <c r="C208" s="124">
        <v>46301</v>
      </c>
      <c r="D208" s="124" t="s">
        <v>492</v>
      </c>
      <c r="E208" s="21">
        <v>0.99390047999999998</v>
      </c>
      <c r="F208" s="10"/>
      <c r="G208" s="14">
        <v>5444206</v>
      </c>
      <c r="H208" s="14">
        <v>5410998.9299999997</v>
      </c>
      <c r="I208" s="14">
        <v>5444206</v>
      </c>
      <c r="J208" s="14">
        <v>5410998.9299999997</v>
      </c>
      <c r="K208" s="12">
        <v>3439</v>
      </c>
      <c r="L208" s="10" t="s">
        <v>101</v>
      </c>
      <c r="M208" s="10" t="s">
        <v>102</v>
      </c>
      <c r="N208" s="124" t="s">
        <v>398</v>
      </c>
      <c r="O208" s="124" t="s">
        <v>398</v>
      </c>
      <c r="P208" s="21">
        <v>32</v>
      </c>
      <c r="Q208" s="10" t="s">
        <v>54</v>
      </c>
      <c r="R208" s="10" t="s">
        <v>28</v>
      </c>
      <c r="S208" s="10"/>
      <c r="T208" s="10"/>
      <c r="U208" s="10" t="s">
        <v>1782</v>
      </c>
      <c r="V208" s="10" t="s">
        <v>1782</v>
      </c>
      <c r="W208" s="50">
        <f>+J208/$W$2</f>
        <v>7.1936897652062853E-5</v>
      </c>
    </row>
    <row r="209" spans="1:29">
      <c r="A209" s="10" t="s">
        <v>385</v>
      </c>
      <c r="B209" s="10" t="s">
        <v>381</v>
      </c>
      <c r="C209" s="124">
        <v>46301</v>
      </c>
      <c r="D209" s="124" t="s">
        <v>492</v>
      </c>
      <c r="E209" s="21">
        <v>0.99371103999999999</v>
      </c>
      <c r="F209" s="10"/>
      <c r="G209" s="14">
        <v>12500000</v>
      </c>
      <c r="H209" s="14">
        <v>12421387.98</v>
      </c>
      <c r="I209" s="14">
        <v>12500000</v>
      </c>
      <c r="J209" s="14">
        <v>12421387.98</v>
      </c>
      <c r="K209" s="12">
        <v>1362</v>
      </c>
      <c r="L209" s="10" t="s">
        <v>101</v>
      </c>
      <c r="M209" s="10" t="s">
        <v>102</v>
      </c>
      <c r="N209" s="124" t="s">
        <v>351</v>
      </c>
      <c r="O209" s="124" t="s">
        <v>351</v>
      </c>
      <c r="P209" s="21">
        <v>33</v>
      </c>
      <c r="Q209" s="10" t="s">
        <v>54</v>
      </c>
      <c r="R209" s="10" t="s">
        <v>28</v>
      </c>
      <c r="S209" s="10"/>
      <c r="T209" s="10"/>
      <c r="U209" s="10" t="s">
        <v>609</v>
      </c>
      <c r="V209" s="10" t="s">
        <v>609</v>
      </c>
      <c r="W209" s="50">
        <f>+J209/$W$2</f>
        <v>1.6513699732219754E-4</v>
      </c>
    </row>
    <row r="210" spans="1:29">
      <c r="A210" s="10" t="s">
        <v>290</v>
      </c>
      <c r="B210" s="10" t="s">
        <v>381</v>
      </c>
      <c r="C210" s="124">
        <v>46301</v>
      </c>
      <c r="D210" s="124" t="s">
        <v>492</v>
      </c>
      <c r="E210" s="21">
        <v>0.99333245000000003</v>
      </c>
      <c r="F210" s="10"/>
      <c r="G210" s="14">
        <v>6000000</v>
      </c>
      <c r="H210" s="14">
        <v>5959994.6799999997</v>
      </c>
      <c r="I210" s="14">
        <v>6000000</v>
      </c>
      <c r="J210" s="14">
        <v>5959994.6799999997</v>
      </c>
      <c r="K210" s="12">
        <v>40761920</v>
      </c>
      <c r="L210" s="10" t="s">
        <v>101</v>
      </c>
      <c r="M210" s="10" t="s">
        <v>102</v>
      </c>
      <c r="N210" s="124" t="s">
        <v>361</v>
      </c>
      <c r="O210" s="124" t="s">
        <v>361</v>
      </c>
      <c r="P210" s="21">
        <v>35</v>
      </c>
      <c r="Q210" s="10" t="s">
        <v>54</v>
      </c>
      <c r="R210" s="10" t="s">
        <v>28</v>
      </c>
      <c r="S210" s="10"/>
      <c r="T210" s="10"/>
      <c r="U210" s="10" t="s">
        <v>1040</v>
      </c>
      <c r="V210" s="10" t="s">
        <v>1040</v>
      </c>
      <c r="W210" s="50">
        <f>+J210/$W$2</f>
        <v>7.9235559431537183E-5</v>
      </c>
    </row>
    <row r="211" spans="1:29">
      <c r="A211" s="10" t="s">
        <v>290</v>
      </c>
      <c r="B211" s="10" t="s">
        <v>381</v>
      </c>
      <c r="C211" s="124">
        <v>46301</v>
      </c>
      <c r="D211" s="124" t="s">
        <v>492</v>
      </c>
      <c r="E211" s="21">
        <v>0.99333243999999998</v>
      </c>
      <c r="F211" s="10"/>
      <c r="G211" s="14">
        <v>4765832.3099999996</v>
      </c>
      <c r="H211" s="14">
        <v>4734055.8600000003</v>
      </c>
      <c r="I211" s="14">
        <v>4765832.3099999996</v>
      </c>
      <c r="J211" s="14">
        <v>4734055.8600000003</v>
      </c>
      <c r="K211" s="12">
        <v>40768614</v>
      </c>
      <c r="L211" s="10" t="s">
        <v>101</v>
      </c>
      <c r="M211" s="10" t="s">
        <v>102</v>
      </c>
      <c r="N211" s="124" t="s">
        <v>403</v>
      </c>
      <c r="O211" s="124" t="s">
        <v>403</v>
      </c>
      <c r="P211" s="21">
        <v>35</v>
      </c>
      <c r="Q211" s="10" t="s">
        <v>54</v>
      </c>
      <c r="R211" s="10" t="s">
        <v>28</v>
      </c>
      <c r="S211" s="10"/>
      <c r="T211" s="10"/>
      <c r="U211" s="10" t="s">
        <v>1246</v>
      </c>
      <c r="V211" s="10" t="s">
        <v>1246</v>
      </c>
      <c r="W211" s="50">
        <f>+J211/$W$2</f>
        <v>6.2937231421697666E-5</v>
      </c>
    </row>
    <row r="212" spans="1:29">
      <c r="A212" s="10" t="s">
        <v>717</v>
      </c>
      <c r="B212" s="10" t="s">
        <v>381</v>
      </c>
      <c r="C212" s="124">
        <v>46301</v>
      </c>
      <c r="D212" s="124" t="s">
        <v>492</v>
      </c>
      <c r="E212" s="21">
        <v>0.99352174000000004</v>
      </c>
      <c r="F212" s="10"/>
      <c r="G212" s="14">
        <v>5150760.3</v>
      </c>
      <c r="H212" s="14">
        <v>5117392.32</v>
      </c>
      <c r="I212" s="14">
        <v>5150760.3</v>
      </c>
      <c r="J212" s="14">
        <v>5117392.32</v>
      </c>
      <c r="K212" s="12">
        <v>1324</v>
      </c>
      <c r="L212" s="10" t="s">
        <v>101</v>
      </c>
      <c r="M212" s="10" t="s">
        <v>102</v>
      </c>
      <c r="N212" s="124" t="s">
        <v>432</v>
      </c>
      <c r="O212" s="124" t="s">
        <v>432</v>
      </c>
      <c r="P212" s="21">
        <v>34</v>
      </c>
      <c r="Q212" s="10" t="s">
        <v>54</v>
      </c>
      <c r="R212" s="10" t="s">
        <v>28</v>
      </c>
      <c r="S212" s="10"/>
      <c r="T212" s="10"/>
      <c r="U212" s="10" t="s">
        <v>1822</v>
      </c>
      <c r="V212" s="10" t="s">
        <v>1822</v>
      </c>
      <c r="W212" s="50">
        <f>+J212/$W$2</f>
        <v>6.8033524369832485E-5</v>
      </c>
    </row>
    <row r="213" spans="1:29">
      <c r="A213" s="10" t="s">
        <v>1939</v>
      </c>
      <c r="B213" s="10" t="s">
        <v>1191</v>
      </c>
      <c r="C213" s="124">
        <v>46301</v>
      </c>
      <c r="D213" s="124" t="s">
        <v>492</v>
      </c>
      <c r="E213" s="21">
        <v>0.99770539000000003</v>
      </c>
      <c r="F213" s="10" t="s">
        <v>3464</v>
      </c>
      <c r="G213" s="14">
        <v>4105.28</v>
      </c>
      <c r="H213" s="14">
        <v>4095.86</v>
      </c>
      <c r="I213" s="14">
        <v>6342657.5099999998</v>
      </c>
      <c r="J213" s="14">
        <v>6328103.6100000003</v>
      </c>
      <c r="K213" s="12">
        <v>70</v>
      </c>
      <c r="L213" s="10" t="s">
        <v>101</v>
      </c>
      <c r="M213" s="10" t="s">
        <v>102</v>
      </c>
      <c r="N213" s="124" t="s">
        <v>436</v>
      </c>
      <c r="O213" s="124" t="s">
        <v>436</v>
      </c>
      <c r="P213" s="21">
        <v>12</v>
      </c>
      <c r="Q213" s="10" t="s">
        <v>54</v>
      </c>
      <c r="R213" s="10" t="s">
        <v>28</v>
      </c>
      <c r="S213" s="10"/>
      <c r="T213" s="10"/>
      <c r="U213" s="10" t="s">
        <v>1936</v>
      </c>
      <c r="V213" s="10" t="s">
        <v>1936</v>
      </c>
      <c r="W213" s="50">
        <f>+J213/$W$2</f>
        <v>8.4129408934150262E-5</v>
      </c>
      <c r="AC213" s="47"/>
    </row>
    <row r="214" spans="1:29">
      <c r="A214" s="10" t="s">
        <v>427</v>
      </c>
      <c r="B214" s="10" t="s">
        <v>381</v>
      </c>
      <c r="C214" s="124">
        <v>46301</v>
      </c>
      <c r="D214" s="124" t="s">
        <v>492</v>
      </c>
      <c r="E214" s="21">
        <v>0.99465882000000005</v>
      </c>
      <c r="F214" s="10"/>
      <c r="G214" s="14">
        <v>2500000</v>
      </c>
      <c r="H214" s="14">
        <v>2486647.06</v>
      </c>
      <c r="I214" s="14">
        <v>2500000</v>
      </c>
      <c r="J214" s="14">
        <v>2486647.06</v>
      </c>
      <c r="K214" s="12">
        <v>90031811</v>
      </c>
      <c r="L214" s="10" t="s">
        <v>101</v>
      </c>
      <c r="M214" s="10" t="s">
        <v>102</v>
      </c>
      <c r="N214" s="124" t="s">
        <v>277</v>
      </c>
      <c r="O214" s="124" t="s">
        <v>277</v>
      </c>
      <c r="P214" s="21">
        <v>28</v>
      </c>
      <c r="Q214" s="10" t="s">
        <v>54</v>
      </c>
      <c r="R214" s="10" t="s">
        <v>28</v>
      </c>
      <c r="S214" s="10"/>
      <c r="T214" s="10"/>
      <c r="U214" s="10" t="s">
        <v>507</v>
      </c>
      <c r="V214" s="10" t="s">
        <v>507</v>
      </c>
      <c r="W214" s="50">
        <f>+J214/$W$2</f>
        <v>3.305890046665062E-5</v>
      </c>
    </row>
    <row r="215" spans="1:29">
      <c r="A215" s="10" t="s">
        <v>427</v>
      </c>
      <c r="B215" s="10" t="s">
        <v>381</v>
      </c>
      <c r="C215" s="124">
        <v>46301</v>
      </c>
      <c r="D215" s="124" t="s">
        <v>492</v>
      </c>
      <c r="E215" s="21">
        <v>0.99465882999999999</v>
      </c>
      <c r="F215" s="10"/>
      <c r="G215" s="14">
        <v>25000000</v>
      </c>
      <c r="H215" s="14">
        <v>24866470.739999998</v>
      </c>
      <c r="I215" s="14">
        <v>25000000</v>
      </c>
      <c r="J215" s="14">
        <v>24866470.739999998</v>
      </c>
      <c r="K215" s="12">
        <v>360569</v>
      </c>
      <c r="L215" s="10" t="s">
        <v>101</v>
      </c>
      <c r="M215" s="10" t="s">
        <v>102</v>
      </c>
      <c r="N215" s="124" t="s">
        <v>295</v>
      </c>
      <c r="O215" s="124" t="s">
        <v>295</v>
      </c>
      <c r="P215" s="21">
        <v>28</v>
      </c>
      <c r="Q215" s="10" t="s">
        <v>54</v>
      </c>
      <c r="R215" s="10" t="s">
        <v>28</v>
      </c>
      <c r="S215" s="10"/>
      <c r="T215" s="10"/>
      <c r="U215" s="10" t="s">
        <v>479</v>
      </c>
      <c r="V215" s="10" t="s">
        <v>479</v>
      </c>
      <c r="W215" s="50">
        <f>+J215/$W$2</f>
        <v>3.3058900652774579E-4</v>
      </c>
    </row>
    <row r="216" spans="1:29">
      <c r="A216" s="10" t="s">
        <v>303</v>
      </c>
      <c r="B216" s="10" t="s">
        <v>381</v>
      </c>
      <c r="C216" s="124">
        <v>46301</v>
      </c>
      <c r="D216" s="124" t="s">
        <v>492</v>
      </c>
      <c r="E216" s="21">
        <v>0.99579854999999995</v>
      </c>
      <c r="F216" s="10"/>
      <c r="G216" s="14">
        <v>13000000</v>
      </c>
      <c r="H216" s="14">
        <v>12945381.16</v>
      </c>
      <c r="I216" s="14">
        <v>13000000</v>
      </c>
      <c r="J216" s="14">
        <v>12945381.16</v>
      </c>
      <c r="K216" s="12">
        <v>34113</v>
      </c>
      <c r="L216" s="10" t="s">
        <v>101</v>
      </c>
      <c r="M216" s="10" t="s">
        <v>102</v>
      </c>
      <c r="N216" s="124" t="s">
        <v>156</v>
      </c>
      <c r="O216" s="124" t="s">
        <v>156</v>
      </c>
      <c r="P216" s="21">
        <v>22</v>
      </c>
      <c r="Q216" s="10" t="s">
        <v>54</v>
      </c>
      <c r="R216" s="10" t="s">
        <v>28</v>
      </c>
      <c r="S216" s="10"/>
      <c r="T216" s="10"/>
      <c r="U216" s="10" t="s">
        <v>748</v>
      </c>
      <c r="V216" s="10" t="s">
        <v>748</v>
      </c>
      <c r="W216" s="50">
        <f>+J216/$W$2</f>
        <v>1.7210326071416589E-4</v>
      </c>
      <c r="AC216" s="47"/>
    </row>
    <row r="217" spans="1:29">
      <c r="A217" s="10" t="s">
        <v>382</v>
      </c>
      <c r="B217" s="10" t="s">
        <v>381</v>
      </c>
      <c r="C217" s="124">
        <v>46301</v>
      </c>
      <c r="D217" s="124" t="s">
        <v>492</v>
      </c>
      <c r="E217" s="21">
        <v>0.99390049000000003</v>
      </c>
      <c r="F217" s="10"/>
      <c r="G217" s="14">
        <v>2000000</v>
      </c>
      <c r="H217" s="14">
        <v>1987800.98</v>
      </c>
      <c r="I217" s="14">
        <v>2000000</v>
      </c>
      <c r="J217" s="14">
        <v>1987800.98</v>
      </c>
      <c r="K217" s="12">
        <v>1067</v>
      </c>
      <c r="L217" s="10" t="s">
        <v>101</v>
      </c>
      <c r="M217" s="10" t="s">
        <v>102</v>
      </c>
      <c r="N217" s="124" t="s">
        <v>432</v>
      </c>
      <c r="O217" s="124" t="s">
        <v>432</v>
      </c>
      <c r="P217" s="21">
        <v>32</v>
      </c>
      <c r="Q217" s="10" t="s">
        <v>54</v>
      </c>
      <c r="R217" s="10" t="s">
        <v>28</v>
      </c>
      <c r="S217" s="10"/>
      <c r="T217" s="10"/>
      <c r="U217" s="10" t="s">
        <v>1837</v>
      </c>
      <c r="V217" s="10" t="s">
        <v>1837</v>
      </c>
      <c r="W217" s="50">
        <f>+J217/$W$2</f>
        <v>2.642695692621958E-5</v>
      </c>
      <c r="AC217" s="47"/>
    </row>
    <row r="218" spans="1:29">
      <c r="A218" s="10" t="s">
        <v>386</v>
      </c>
      <c r="B218" s="10" t="s">
        <v>381</v>
      </c>
      <c r="C218" s="124">
        <v>46301</v>
      </c>
      <c r="D218" s="124" t="s">
        <v>492</v>
      </c>
      <c r="E218" s="21">
        <v>0.99276507000000003</v>
      </c>
      <c r="F218" s="10"/>
      <c r="G218" s="14">
        <v>20000000</v>
      </c>
      <c r="H218" s="14">
        <v>19855301.48</v>
      </c>
      <c r="I218" s="14">
        <v>20000000</v>
      </c>
      <c r="J218" s="14">
        <v>19855301.48</v>
      </c>
      <c r="K218" s="12">
        <v>70219564</v>
      </c>
      <c r="L218" s="10" t="s">
        <v>101</v>
      </c>
      <c r="M218" s="10" t="s">
        <v>102</v>
      </c>
      <c r="N218" s="124" t="s">
        <v>403</v>
      </c>
      <c r="O218" s="124" t="s">
        <v>403</v>
      </c>
      <c r="P218" s="21">
        <v>38</v>
      </c>
      <c r="Q218" s="10" t="s">
        <v>54</v>
      </c>
      <c r="R218" s="10" t="s">
        <v>28</v>
      </c>
      <c r="S218" s="10"/>
      <c r="T218" s="10"/>
      <c r="U218" s="10" t="s">
        <v>1250</v>
      </c>
      <c r="V218" s="10" t="s">
        <v>1250</v>
      </c>
      <c r="W218" s="50">
        <f>+J218/$W$2</f>
        <v>2.6396767193920186E-4</v>
      </c>
    </row>
    <row r="219" spans="1:29">
      <c r="A219" s="10" t="s">
        <v>386</v>
      </c>
      <c r="B219" s="10" t="s">
        <v>381</v>
      </c>
      <c r="C219" s="124">
        <v>46301</v>
      </c>
      <c r="D219" s="124" t="s">
        <v>492</v>
      </c>
      <c r="E219" s="21">
        <v>0.99276507000000003</v>
      </c>
      <c r="F219" s="10"/>
      <c r="G219" s="14">
        <v>20000000</v>
      </c>
      <c r="H219" s="14">
        <v>19855301.48</v>
      </c>
      <c r="I219" s="14">
        <v>20000000</v>
      </c>
      <c r="J219" s="14">
        <v>19855301.48</v>
      </c>
      <c r="K219" s="12">
        <v>70219565</v>
      </c>
      <c r="L219" s="10" t="s">
        <v>101</v>
      </c>
      <c r="M219" s="10" t="s">
        <v>102</v>
      </c>
      <c r="N219" s="124" t="s">
        <v>403</v>
      </c>
      <c r="O219" s="124" t="s">
        <v>403</v>
      </c>
      <c r="P219" s="21">
        <v>38</v>
      </c>
      <c r="Q219" s="10" t="s">
        <v>54</v>
      </c>
      <c r="R219" s="10" t="s">
        <v>28</v>
      </c>
      <c r="S219" s="10"/>
      <c r="T219" s="10"/>
      <c r="U219" s="10" t="s">
        <v>1251</v>
      </c>
      <c r="V219" s="10" t="s">
        <v>1251</v>
      </c>
      <c r="W219" s="50">
        <f>+J219/$W$2</f>
        <v>2.6396767193920186E-4</v>
      </c>
    </row>
    <row r="220" spans="1:29">
      <c r="A220" s="10" t="s">
        <v>904</v>
      </c>
      <c r="B220" s="10" t="s">
        <v>381</v>
      </c>
      <c r="C220" s="124">
        <v>46302</v>
      </c>
      <c r="D220" s="124" t="s">
        <v>492</v>
      </c>
      <c r="E220" s="21">
        <v>0.99303516999999997</v>
      </c>
      <c r="F220" s="10"/>
      <c r="G220" s="14">
        <v>3216984.09</v>
      </c>
      <c r="H220" s="14">
        <v>3194578.35</v>
      </c>
      <c r="I220" s="14">
        <v>3216984.09</v>
      </c>
      <c r="J220" s="14">
        <v>3194578.35</v>
      </c>
      <c r="K220" s="12">
        <v>98</v>
      </c>
      <c r="L220" s="10" t="s">
        <v>101</v>
      </c>
      <c r="M220" s="10" t="s">
        <v>102</v>
      </c>
      <c r="N220" s="124" t="s">
        <v>396</v>
      </c>
      <c r="O220" s="124" t="s">
        <v>396</v>
      </c>
      <c r="P220" s="21">
        <v>32</v>
      </c>
      <c r="Q220" s="10" t="s">
        <v>54</v>
      </c>
      <c r="R220" s="10" t="s">
        <v>28</v>
      </c>
      <c r="S220" s="10"/>
      <c r="T220" s="10"/>
      <c r="U220" s="10" t="s">
        <v>877</v>
      </c>
      <c r="V220" s="10" t="s">
        <v>877</v>
      </c>
      <c r="W220" s="50">
        <f>+J220/$W$2</f>
        <v>4.2470541720370627E-5</v>
      </c>
    </row>
    <row r="221" spans="1:29">
      <c r="A221" s="10" t="s">
        <v>382</v>
      </c>
      <c r="B221" s="10" t="s">
        <v>381</v>
      </c>
      <c r="C221" s="124">
        <v>46302</v>
      </c>
      <c r="D221" s="124" t="s">
        <v>492</v>
      </c>
      <c r="E221" s="21">
        <v>0.99303520000000001</v>
      </c>
      <c r="F221" s="10"/>
      <c r="G221" s="14">
        <v>4000000</v>
      </c>
      <c r="H221" s="14">
        <v>3972140.81</v>
      </c>
      <c r="I221" s="14">
        <v>4000000</v>
      </c>
      <c r="J221" s="14">
        <v>3972140.81</v>
      </c>
      <c r="K221" s="12">
        <v>1145</v>
      </c>
      <c r="L221" s="10" t="s">
        <v>101</v>
      </c>
      <c r="M221" s="10" t="s">
        <v>102</v>
      </c>
      <c r="N221" s="124" t="s">
        <v>421</v>
      </c>
      <c r="O221" s="124" t="s">
        <v>421</v>
      </c>
      <c r="P221" s="21">
        <v>32</v>
      </c>
      <c r="Q221" s="10" t="s">
        <v>54</v>
      </c>
      <c r="R221" s="10" t="s">
        <v>28</v>
      </c>
      <c r="S221" s="10"/>
      <c r="T221" s="10"/>
      <c r="U221" s="10" t="s">
        <v>2112</v>
      </c>
      <c r="V221" s="10" t="s">
        <v>2112</v>
      </c>
      <c r="W221" s="50">
        <f>+J221/$W$2</f>
        <v>5.2807899355572787E-5</v>
      </c>
      <c r="AC221" s="47"/>
    </row>
    <row r="222" spans="1:29">
      <c r="A222" s="10" t="s">
        <v>382</v>
      </c>
      <c r="B222" s="10" t="s">
        <v>381</v>
      </c>
      <c r="C222" s="124">
        <v>46302</v>
      </c>
      <c r="D222" s="124" t="s">
        <v>492</v>
      </c>
      <c r="E222" s="21">
        <v>0.99346769000000001</v>
      </c>
      <c r="F222" s="10"/>
      <c r="G222" s="14">
        <v>5000000</v>
      </c>
      <c r="H222" s="14">
        <v>4967338.45</v>
      </c>
      <c r="I222" s="14">
        <v>5000000</v>
      </c>
      <c r="J222" s="14">
        <v>4967338.45</v>
      </c>
      <c r="K222" s="12">
        <v>1216</v>
      </c>
      <c r="L222" s="10" t="s">
        <v>101</v>
      </c>
      <c r="M222" s="10" t="s">
        <v>102</v>
      </c>
      <c r="N222" s="124" t="s">
        <v>552</v>
      </c>
      <c r="O222" s="124" t="s">
        <v>552</v>
      </c>
      <c r="P222" s="21">
        <v>30</v>
      </c>
      <c r="Q222" s="10" t="s">
        <v>54</v>
      </c>
      <c r="R222" s="10" t="s">
        <v>28</v>
      </c>
      <c r="S222" s="10"/>
      <c r="T222" s="10"/>
      <c r="U222" s="10" t="s">
        <v>2357</v>
      </c>
      <c r="V222" s="10" t="s">
        <v>2357</v>
      </c>
      <c r="W222" s="50">
        <f>+J222/$W$2</f>
        <v>6.6038622868625581E-5</v>
      </c>
    </row>
    <row r="223" spans="1:29">
      <c r="A223" s="10" t="s">
        <v>382</v>
      </c>
      <c r="B223" s="10" t="s">
        <v>381</v>
      </c>
      <c r="C223" s="124">
        <v>46302</v>
      </c>
      <c r="D223" s="124" t="s">
        <v>492</v>
      </c>
      <c r="E223" s="21">
        <v>0.99346762</v>
      </c>
      <c r="F223" s="10"/>
      <c r="G223" s="14">
        <v>5000000</v>
      </c>
      <c r="H223" s="14">
        <v>4967338.08</v>
      </c>
      <c r="I223" s="14">
        <v>5000000</v>
      </c>
      <c r="J223" s="14">
        <v>4967338.08</v>
      </c>
      <c r="K223" s="12">
        <v>1195</v>
      </c>
      <c r="L223" s="10" t="s">
        <v>101</v>
      </c>
      <c r="M223" s="10" t="s">
        <v>102</v>
      </c>
      <c r="N223" s="124" t="s">
        <v>431</v>
      </c>
      <c r="O223" s="124" t="s">
        <v>431</v>
      </c>
      <c r="P223" s="21">
        <v>30</v>
      </c>
      <c r="Q223" s="10" t="s">
        <v>54</v>
      </c>
      <c r="R223" s="10" t="s">
        <v>28</v>
      </c>
      <c r="S223" s="10"/>
      <c r="T223" s="10"/>
      <c r="U223" s="10" t="s">
        <v>2263</v>
      </c>
      <c r="V223" s="10" t="s">
        <v>2263</v>
      </c>
      <c r="W223" s="50">
        <f>+J223/$W$2</f>
        <v>6.6038617949635113E-5</v>
      </c>
    </row>
    <row r="224" spans="1:29">
      <c r="A224" s="10" t="s">
        <v>382</v>
      </c>
      <c r="B224" s="10" t="s">
        <v>381</v>
      </c>
      <c r="C224" s="124">
        <v>46302</v>
      </c>
      <c r="D224" s="124" t="s">
        <v>492</v>
      </c>
      <c r="E224" s="21">
        <v>0.99346767999999996</v>
      </c>
      <c r="F224" s="10"/>
      <c r="G224" s="14">
        <v>5000000</v>
      </c>
      <c r="H224" s="14">
        <v>4967338.42</v>
      </c>
      <c r="I224" s="14">
        <v>5000000</v>
      </c>
      <c r="J224" s="14">
        <v>4967338.42</v>
      </c>
      <c r="K224" s="12">
        <v>1222</v>
      </c>
      <c r="L224" s="10" t="s">
        <v>101</v>
      </c>
      <c r="M224" s="10" t="s">
        <v>102</v>
      </c>
      <c r="N224" s="124" t="s">
        <v>483</v>
      </c>
      <c r="O224" s="124" t="s">
        <v>483</v>
      </c>
      <c r="P224" s="21">
        <v>30</v>
      </c>
      <c r="Q224" s="10" t="s">
        <v>54</v>
      </c>
      <c r="R224" s="10" t="s">
        <v>28</v>
      </c>
      <c r="S224" s="10"/>
      <c r="T224" s="10"/>
      <c r="U224" s="10" t="s">
        <v>2446</v>
      </c>
      <c r="V224" s="10" t="s">
        <v>2446</v>
      </c>
      <c r="W224" s="50">
        <f>+J224/$W$2</f>
        <v>6.6038622469788517E-5</v>
      </c>
    </row>
    <row r="225" spans="1:30">
      <c r="A225" s="10" t="s">
        <v>3346</v>
      </c>
      <c r="B225" s="10" t="s">
        <v>381</v>
      </c>
      <c r="C225" s="124">
        <v>46302</v>
      </c>
      <c r="D225" s="124" t="s">
        <v>492</v>
      </c>
      <c r="E225" s="21">
        <v>0.99346769000000001</v>
      </c>
      <c r="F225" s="10"/>
      <c r="G225" s="14">
        <v>3000000</v>
      </c>
      <c r="H225" s="14">
        <v>2980403.07</v>
      </c>
      <c r="I225" s="14">
        <v>3000000</v>
      </c>
      <c r="J225" s="14">
        <v>2980403.07</v>
      </c>
      <c r="K225" s="12">
        <v>2661</v>
      </c>
      <c r="L225" s="10" t="s">
        <v>101</v>
      </c>
      <c r="M225" s="10" t="s">
        <v>102</v>
      </c>
      <c r="N225" s="124" t="s">
        <v>677</v>
      </c>
      <c r="O225" s="124" t="s">
        <v>677</v>
      </c>
      <c r="P225" s="21">
        <v>30</v>
      </c>
      <c r="Q225" s="10" t="s">
        <v>54</v>
      </c>
      <c r="R225" s="10" t="s">
        <v>28</v>
      </c>
      <c r="S225" s="10"/>
      <c r="T225" s="10"/>
      <c r="U225" s="10" t="s">
        <v>3305</v>
      </c>
      <c r="V225" s="10" t="s">
        <v>3305</v>
      </c>
      <c r="W225" s="50">
        <f>+J225/$W$2</f>
        <v>3.9623173721175347E-5</v>
      </c>
    </row>
    <row r="226" spans="1:30">
      <c r="A226" s="10" t="s">
        <v>1673</v>
      </c>
      <c r="B226" s="10" t="s">
        <v>381</v>
      </c>
      <c r="C226" s="124">
        <v>46302</v>
      </c>
      <c r="D226" s="124" t="s">
        <v>492</v>
      </c>
      <c r="E226" s="21">
        <v>0.99281909000000002</v>
      </c>
      <c r="F226" s="10"/>
      <c r="G226" s="14">
        <v>56057920.039999999</v>
      </c>
      <c r="H226" s="14">
        <v>55655373.310000002</v>
      </c>
      <c r="I226" s="14">
        <v>56057920.039999999</v>
      </c>
      <c r="J226" s="14">
        <v>55655373.310000002</v>
      </c>
      <c r="K226" s="12">
        <v>13510</v>
      </c>
      <c r="L226" s="10" t="s">
        <v>101</v>
      </c>
      <c r="M226" s="10" t="s">
        <v>102</v>
      </c>
      <c r="N226" s="124" t="s">
        <v>163</v>
      </c>
      <c r="O226" s="124" t="s">
        <v>163</v>
      </c>
      <c r="P226" s="21">
        <v>33</v>
      </c>
      <c r="Q226" s="10" t="s">
        <v>54</v>
      </c>
      <c r="R226" s="10" t="s">
        <v>28</v>
      </c>
      <c r="S226" s="10"/>
      <c r="T226" s="10"/>
      <c r="U226" s="10" t="s">
        <v>1661</v>
      </c>
      <c r="V226" s="10" t="s">
        <v>1661</v>
      </c>
      <c r="W226" s="50">
        <f>+J226/$W$2</f>
        <v>7.3991419059268241E-4</v>
      </c>
    </row>
    <row r="227" spans="1:30">
      <c r="A227" s="10" t="s">
        <v>180</v>
      </c>
      <c r="B227" s="10" t="s">
        <v>381</v>
      </c>
      <c r="C227" s="124">
        <v>46302</v>
      </c>
      <c r="D227" s="124" t="s">
        <v>492</v>
      </c>
      <c r="E227" s="21">
        <v>0.99390045000000005</v>
      </c>
      <c r="F227" s="10"/>
      <c r="G227" s="14">
        <v>10524359.310000001</v>
      </c>
      <c r="H227" s="14">
        <v>10460165.460000001</v>
      </c>
      <c r="I227" s="14">
        <v>10524359.310000001</v>
      </c>
      <c r="J227" s="14">
        <v>10460165.460000001</v>
      </c>
      <c r="K227" s="12">
        <v>646229</v>
      </c>
      <c r="L227" s="10" t="s">
        <v>101</v>
      </c>
      <c r="M227" s="10" t="s">
        <v>102</v>
      </c>
      <c r="N227" s="124" t="s">
        <v>548</v>
      </c>
      <c r="O227" s="124" t="s">
        <v>548</v>
      </c>
      <c r="P227" s="21">
        <v>28</v>
      </c>
      <c r="Q227" s="10" t="s">
        <v>54</v>
      </c>
      <c r="R227" s="10" t="s">
        <v>28</v>
      </c>
      <c r="S227" s="10"/>
      <c r="T227" s="10"/>
      <c r="U227" s="10" t="s">
        <v>1390</v>
      </c>
      <c r="V227" s="10" t="s">
        <v>1390</v>
      </c>
      <c r="W227" s="50">
        <f>+J227/$W$2</f>
        <v>1.3906338956153942E-4</v>
      </c>
      <c r="AA227" s="10"/>
      <c r="AB227" s="10"/>
      <c r="AC227" s="17"/>
      <c r="AD227" s="13"/>
    </row>
    <row r="228" spans="1:30">
      <c r="A228" s="10" t="s">
        <v>1424</v>
      </c>
      <c r="B228" s="10" t="s">
        <v>381</v>
      </c>
      <c r="C228" s="124">
        <v>46302</v>
      </c>
      <c r="D228" s="124" t="s">
        <v>492</v>
      </c>
      <c r="E228" s="21">
        <v>0.99390045000000005</v>
      </c>
      <c r="F228" s="10"/>
      <c r="G228" s="14">
        <v>9778370.3499999996</v>
      </c>
      <c r="H228" s="14">
        <v>9718726.6999999993</v>
      </c>
      <c r="I228" s="14">
        <v>9778370.3499999996</v>
      </c>
      <c r="J228" s="14">
        <v>9718726.6999999993</v>
      </c>
      <c r="K228" s="12">
        <v>10537627</v>
      </c>
      <c r="L228" s="10" t="s">
        <v>101</v>
      </c>
      <c r="M228" s="10" t="s">
        <v>102</v>
      </c>
      <c r="N228" s="124" t="s">
        <v>548</v>
      </c>
      <c r="O228" s="124" t="s">
        <v>548</v>
      </c>
      <c r="P228" s="21">
        <v>28</v>
      </c>
      <c r="Q228" s="10" t="s">
        <v>54</v>
      </c>
      <c r="R228" s="10" t="s">
        <v>28</v>
      </c>
      <c r="S228" s="10"/>
      <c r="T228" s="10"/>
      <c r="U228" s="10" t="s">
        <v>1405</v>
      </c>
      <c r="V228" s="10" t="s">
        <v>1405</v>
      </c>
      <c r="W228" s="50">
        <f>+J228/$W$2</f>
        <v>1.2920628094196843E-4</v>
      </c>
    </row>
    <row r="229" spans="1:30">
      <c r="A229" s="10" t="s">
        <v>2598</v>
      </c>
      <c r="B229" s="10" t="s">
        <v>381</v>
      </c>
      <c r="C229" s="124">
        <v>46302</v>
      </c>
      <c r="D229" s="124" t="s">
        <v>492</v>
      </c>
      <c r="E229" s="21">
        <v>0.99281918000000002</v>
      </c>
      <c r="F229" s="10"/>
      <c r="G229" s="14">
        <v>6917978.2800000003</v>
      </c>
      <c r="H229" s="14">
        <v>6868301.5099999998</v>
      </c>
      <c r="I229" s="14">
        <v>6917978.2800000003</v>
      </c>
      <c r="J229" s="14">
        <v>6868301.5099999998</v>
      </c>
      <c r="K229" s="12">
        <v>13757759</v>
      </c>
      <c r="L229" s="10" t="s">
        <v>101</v>
      </c>
      <c r="M229" s="10" t="s">
        <v>102</v>
      </c>
      <c r="N229" s="124" t="s">
        <v>423</v>
      </c>
      <c r="O229" s="124" t="s">
        <v>423</v>
      </c>
      <c r="P229" s="21">
        <v>33</v>
      </c>
      <c r="Q229" s="10" t="s">
        <v>54</v>
      </c>
      <c r="R229" s="10" t="s">
        <v>28</v>
      </c>
      <c r="S229" s="10"/>
      <c r="T229" s="10"/>
      <c r="U229" s="10" t="s">
        <v>2506</v>
      </c>
      <c r="V229" s="10" t="s">
        <v>2506</v>
      </c>
      <c r="W229" s="50">
        <f>+J229/$W$2</f>
        <v>9.1311107091344168E-5</v>
      </c>
    </row>
    <row r="230" spans="1:30">
      <c r="A230" s="10" t="s">
        <v>2246</v>
      </c>
      <c r="B230" s="10" t="s">
        <v>381</v>
      </c>
      <c r="C230" s="124">
        <v>46302</v>
      </c>
      <c r="D230" s="124" t="s">
        <v>492</v>
      </c>
      <c r="E230" s="21">
        <v>0.99281912999999999</v>
      </c>
      <c r="F230" s="10"/>
      <c r="G230" s="14">
        <v>10000000</v>
      </c>
      <c r="H230" s="14">
        <v>9928191.3100000005</v>
      </c>
      <c r="I230" s="14">
        <v>10000000</v>
      </c>
      <c r="J230" s="14">
        <v>9928191.3100000005</v>
      </c>
      <c r="K230" s="12">
        <v>233</v>
      </c>
      <c r="L230" s="10" t="s">
        <v>101</v>
      </c>
      <c r="M230" s="10" t="s">
        <v>102</v>
      </c>
      <c r="N230" s="124" t="s">
        <v>551</v>
      </c>
      <c r="O230" s="124" t="s">
        <v>551</v>
      </c>
      <c r="P230" s="21">
        <v>33</v>
      </c>
      <c r="Q230" s="10" t="s">
        <v>54</v>
      </c>
      <c r="R230" s="10" t="s">
        <v>28</v>
      </c>
      <c r="S230" s="10"/>
      <c r="T230" s="10"/>
      <c r="U230" s="10" t="s">
        <v>2222</v>
      </c>
      <c r="V230" s="10" t="s">
        <v>2222</v>
      </c>
      <c r="W230" s="50">
        <f>+J230/$W$2</f>
        <v>1.3199102261466717E-4</v>
      </c>
    </row>
    <row r="231" spans="1:30">
      <c r="A231" s="10" t="s">
        <v>2428</v>
      </c>
      <c r="B231" s="10" t="s">
        <v>381</v>
      </c>
      <c r="C231" s="124">
        <v>46302</v>
      </c>
      <c r="D231" s="124" t="s">
        <v>492</v>
      </c>
      <c r="E231" s="21">
        <v>0.99346769999999995</v>
      </c>
      <c r="F231" s="10"/>
      <c r="G231" s="14">
        <v>1238104.32</v>
      </c>
      <c r="H231" s="14">
        <v>1230016.6499999999</v>
      </c>
      <c r="I231" s="14">
        <v>1238104.32</v>
      </c>
      <c r="J231" s="14">
        <v>1230016.6499999999</v>
      </c>
      <c r="K231" s="12">
        <v>3636</v>
      </c>
      <c r="L231" s="10" t="s">
        <v>101</v>
      </c>
      <c r="M231" s="10" t="s">
        <v>102</v>
      </c>
      <c r="N231" s="124" t="s">
        <v>552</v>
      </c>
      <c r="O231" s="124" t="s">
        <v>552</v>
      </c>
      <c r="P231" s="21">
        <v>30</v>
      </c>
      <c r="Q231" s="10" t="s">
        <v>54</v>
      </c>
      <c r="R231" s="10" t="s">
        <v>28</v>
      </c>
      <c r="S231" s="10"/>
      <c r="T231" s="10"/>
      <c r="U231" s="10" t="s">
        <v>2412</v>
      </c>
      <c r="V231" s="10" t="s">
        <v>2412</v>
      </c>
      <c r="W231" s="50">
        <f>+J231/$W$2</f>
        <v>1.6352541001404931E-5</v>
      </c>
    </row>
    <row r="232" spans="1:30">
      <c r="A232" s="10" t="s">
        <v>494</v>
      </c>
      <c r="B232" s="10" t="s">
        <v>381</v>
      </c>
      <c r="C232" s="124">
        <v>46302</v>
      </c>
      <c r="D232" s="124" t="s">
        <v>492</v>
      </c>
      <c r="E232" s="21">
        <v>0.99476726000000004</v>
      </c>
      <c r="F232" s="10"/>
      <c r="G232" s="14">
        <v>6250000</v>
      </c>
      <c r="H232" s="14">
        <v>6217295.4000000004</v>
      </c>
      <c r="I232" s="14">
        <v>6250000</v>
      </c>
      <c r="J232" s="14">
        <v>6217295.4000000004</v>
      </c>
      <c r="K232" s="12">
        <v>50459992</v>
      </c>
      <c r="L232" s="10" t="s">
        <v>101</v>
      </c>
      <c r="M232" s="10" t="s">
        <v>102</v>
      </c>
      <c r="N232" s="124" t="s">
        <v>319</v>
      </c>
      <c r="O232" s="124" t="s">
        <v>319</v>
      </c>
      <c r="P232" s="21">
        <v>24</v>
      </c>
      <c r="Q232" s="10" t="s">
        <v>54</v>
      </c>
      <c r="R232" s="10" t="s">
        <v>28</v>
      </c>
      <c r="S232" s="10"/>
      <c r="T232" s="10"/>
      <c r="U232" s="10" t="s">
        <v>992</v>
      </c>
      <c r="V232" s="10" t="s">
        <v>992</v>
      </c>
      <c r="W232" s="50">
        <f>+J232/$W$2</f>
        <v>8.2656261560643332E-5</v>
      </c>
      <c r="AC232" s="47"/>
    </row>
    <row r="233" spans="1:30">
      <c r="A233" s="10" t="s">
        <v>389</v>
      </c>
      <c r="B233" s="10" t="s">
        <v>381</v>
      </c>
      <c r="C233" s="124">
        <v>46302</v>
      </c>
      <c r="D233" s="124" t="s">
        <v>492</v>
      </c>
      <c r="E233" s="21">
        <v>0.99303516999999997</v>
      </c>
      <c r="F233" s="10"/>
      <c r="G233" s="14">
        <v>14479899.689999999</v>
      </c>
      <c r="H233" s="14">
        <v>14379049.67</v>
      </c>
      <c r="I233" s="14">
        <v>14479899.689999999</v>
      </c>
      <c r="J233" s="14">
        <v>14379049.67</v>
      </c>
      <c r="K233" s="12">
        <v>9933008</v>
      </c>
      <c r="L233" s="10" t="s">
        <v>101</v>
      </c>
      <c r="M233" s="10" t="s">
        <v>102</v>
      </c>
      <c r="N233" s="124" t="s">
        <v>318</v>
      </c>
      <c r="O233" s="124" t="s">
        <v>318</v>
      </c>
      <c r="P233" s="21">
        <v>32</v>
      </c>
      <c r="Q233" s="10" t="s">
        <v>54</v>
      </c>
      <c r="R233" s="10" t="s">
        <v>28</v>
      </c>
      <c r="S233" s="10"/>
      <c r="T233" s="10"/>
      <c r="U233" s="10" t="s">
        <v>705</v>
      </c>
      <c r="V233" s="10" t="s">
        <v>705</v>
      </c>
      <c r="W233" s="50">
        <f>+J233/$W$2</f>
        <v>1.9116326538336944E-4</v>
      </c>
    </row>
    <row r="234" spans="1:30">
      <c r="A234" s="10" t="s">
        <v>273</v>
      </c>
      <c r="B234" s="10" t="s">
        <v>381</v>
      </c>
      <c r="C234" s="124">
        <v>46302</v>
      </c>
      <c r="D234" s="124" t="s">
        <v>492</v>
      </c>
      <c r="E234" s="21">
        <v>0.99455042000000005</v>
      </c>
      <c r="F234" s="10"/>
      <c r="G234" s="14">
        <v>8650000</v>
      </c>
      <c r="H234" s="14">
        <v>8602861.1099999994</v>
      </c>
      <c r="I234" s="14">
        <v>8650000</v>
      </c>
      <c r="J234" s="14">
        <v>8602861.1099999994</v>
      </c>
      <c r="K234" s="12">
        <v>34384</v>
      </c>
      <c r="L234" s="10" t="s">
        <v>101</v>
      </c>
      <c r="M234" s="10" t="s">
        <v>102</v>
      </c>
      <c r="N234" s="124" t="s">
        <v>361</v>
      </c>
      <c r="O234" s="124" t="s">
        <v>361</v>
      </c>
      <c r="P234" s="21">
        <v>25</v>
      </c>
      <c r="Q234" s="10" t="s">
        <v>54</v>
      </c>
      <c r="R234" s="10" t="s">
        <v>28</v>
      </c>
      <c r="S234" s="10"/>
      <c r="T234" s="10"/>
      <c r="U234" s="10" t="s">
        <v>1031</v>
      </c>
      <c r="V234" s="10" t="s">
        <v>1031</v>
      </c>
      <c r="W234" s="50">
        <f>+J234/$W$2</f>
        <v>1.1437132906344555E-4</v>
      </c>
    </row>
    <row r="235" spans="1:30">
      <c r="A235" s="10" t="s">
        <v>273</v>
      </c>
      <c r="B235" s="10" t="s">
        <v>381</v>
      </c>
      <c r="C235" s="124">
        <v>46302</v>
      </c>
      <c r="D235" s="124" t="s">
        <v>492</v>
      </c>
      <c r="E235" s="21">
        <v>0.99411700999999997</v>
      </c>
      <c r="F235" s="10"/>
      <c r="G235" s="14">
        <v>15000000</v>
      </c>
      <c r="H235" s="14">
        <v>14911755.199999999</v>
      </c>
      <c r="I235" s="14">
        <v>15000000</v>
      </c>
      <c r="J235" s="14">
        <v>14911755.199999999</v>
      </c>
      <c r="K235" s="12">
        <v>11338649</v>
      </c>
      <c r="L235" s="10" t="s">
        <v>101</v>
      </c>
      <c r="M235" s="10" t="s">
        <v>102</v>
      </c>
      <c r="N235" s="124" t="s">
        <v>326</v>
      </c>
      <c r="O235" s="124" t="s">
        <v>326</v>
      </c>
      <c r="P235" s="21">
        <v>27</v>
      </c>
      <c r="Q235" s="10" t="s">
        <v>54</v>
      </c>
      <c r="R235" s="10" t="s">
        <v>28</v>
      </c>
      <c r="S235" s="10"/>
      <c r="T235" s="10"/>
      <c r="U235" s="10" t="s">
        <v>973</v>
      </c>
      <c r="V235" s="10" t="s">
        <v>973</v>
      </c>
      <c r="W235" s="50">
        <f>+J235/$W$2</f>
        <v>1.9824535571198422E-4</v>
      </c>
    </row>
    <row r="236" spans="1:30">
      <c r="A236" s="10" t="s">
        <v>186</v>
      </c>
      <c r="B236" s="10" t="s">
        <v>381</v>
      </c>
      <c r="C236" s="124">
        <v>46302</v>
      </c>
      <c r="D236" s="124" t="s">
        <v>492</v>
      </c>
      <c r="E236" s="21">
        <v>0.99238720000000002</v>
      </c>
      <c r="F236" s="10"/>
      <c r="G236" s="14">
        <v>10000000</v>
      </c>
      <c r="H236" s="14">
        <v>9923871.9900000002</v>
      </c>
      <c r="I236" s="14">
        <v>10000000</v>
      </c>
      <c r="J236" s="14">
        <v>9923871.9900000002</v>
      </c>
      <c r="K236" s="12">
        <v>16835551</v>
      </c>
      <c r="L236" s="10" t="s">
        <v>101</v>
      </c>
      <c r="M236" s="10" t="s">
        <v>102</v>
      </c>
      <c r="N236" s="124" t="s">
        <v>391</v>
      </c>
      <c r="O236" s="124" t="s">
        <v>391</v>
      </c>
      <c r="P236" s="21">
        <v>35</v>
      </c>
      <c r="Q236" s="10" t="s">
        <v>54</v>
      </c>
      <c r="R236" s="10" t="s">
        <v>28</v>
      </c>
      <c r="S236" s="10"/>
      <c r="T236" s="10"/>
      <c r="U236" s="10" t="s">
        <v>1284</v>
      </c>
      <c r="V236" s="10" t="s">
        <v>1284</v>
      </c>
      <c r="W236" s="50">
        <f>+J236/$W$2</f>
        <v>1.3193359911767776E-4</v>
      </c>
    </row>
    <row r="237" spans="1:30">
      <c r="A237" s="10" t="s">
        <v>1604</v>
      </c>
      <c r="B237" s="10" t="s">
        <v>381</v>
      </c>
      <c r="C237" s="124">
        <v>46302</v>
      </c>
      <c r="D237" s="124" t="s">
        <v>492</v>
      </c>
      <c r="E237" s="21">
        <v>0.99303516999999997</v>
      </c>
      <c r="F237" s="10"/>
      <c r="G237" s="14">
        <v>104500000</v>
      </c>
      <c r="H237" s="14">
        <v>103772174.84</v>
      </c>
      <c r="I237" s="14">
        <v>104500000</v>
      </c>
      <c r="J237" s="14">
        <v>103772174.84</v>
      </c>
      <c r="K237" s="12">
        <v>323</v>
      </c>
      <c r="L237" s="10" t="s">
        <v>101</v>
      </c>
      <c r="M237" s="10" t="s">
        <v>102</v>
      </c>
      <c r="N237" s="124" t="s">
        <v>325</v>
      </c>
      <c r="O237" s="124" t="s">
        <v>325</v>
      </c>
      <c r="P237" s="21">
        <v>32</v>
      </c>
      <c r="Q237" s="10" t="s">
        <v>54</v>
      </c>
      <c r="R237" s="10" t="s">
        <v>28</v>
      </c>
      <c r="S237" s="10"/>
      <c r="T237" s="10"/>
      <c r="U237" s="10" t="s">
        <v>1595</v>
      </c>
      <c r="V237" s="10" t="s">
        <v>1595</v>
      </c>
      <c r="W237" s="50">
        <f>+J237/$W$2</f>
        <v>1.3796063198624681E-3</v>
      </c>
    </row>
    <row r="238" spans="1:30">
      <c r="A238" s="10" t="s">
        <v>1668</v>
      </c>
      <c r="B238" s="10" t="s">
        <v>381</v>
      </c>
      <c r="C238" s="124">
        <v>46302</v>
      </c>
      <c r="D238" s="124" t="s">
        <v>492</v>
      </c>
      <c r="E238" s="21">
        <v>0.99281916999999997</v>
      </c>
      <c r="F238" s="10"/>
      <c r="G238" s="14">
        <v>970000</v>
      </c>
      <c r="H238" s="14">
        <v>963034.59</v>
      </c>
      <c r="I238" s="14">
        <v>970000</v>
      </c>
      <c r="J238" s="14">
        <v>963034.59</v>
      </c>
      <c r="K238" s="12">
        <v>88188002</v>
      </c>
      <c r="L238" s="10" t="s">
        <v>101</v>
      </c>
      <c r="M238" s="10" t="s">
        <v>102</v>
      </c>
      <c r="N238" s="124" t="s">
        <v>434</v>
      </c>
      <c r="O238" s="124" t="s">
        <v>434</v>
      </c>
      <c r="P238" s="21">
        <v>33</v>
      </c>
      <c r="Q238" s="10" t="s">
        <v>54</v>
      </c>
      <c r="R238" s="10" t="s">
        <v>28</v>
      </c>
      <c r="S238" s="10"/>
      <c r="T238" s="10"/>
      <c r="U238" s="10" t="s">
        <v>2960</v>
      </c>
      <c r="V238" s="10" t="s">
        <v>2960</v>
      </c>
      <c r="W238" s="50">
        <f>+J238/$W$2</f>
        <v>1.2803129631412866E-5</v>
      </c>
    </row>
    <row r="239" spans="1:30">
      <c r="A239" s="10" t="s">
        <v>1812</v>
      </c>
      <c r="B239" s="10" t="s">
        <v>381</v>
      </c>
      <c r="C239" s="124">
        <v>46302</v>
      </c>
      <c r="D239" s="124" t="s">
        <v>492</v>
      </c>
      <c r="E239" s="21">
        <v>0.99303516000000003</v>
      </c>
      <c r="F239" s="10"/>
      <c r="G239" s="14">
        <v>5084000</v>
      </c>
      <c r="H239" s="14">
        <v>5048590.7699999996</v>
      </c>
      <c r="I239" s="14">
        <v>5084000</v>
      </c>
      <c r="J239" s="14">
        <v>5048590.7699999996</v>
      </c>
      <c r="K239" s="12">
        <v>69012951</v>
      </c>
      <c r="L239" s="10" t="s">
        <v>101</v>
      </c>
      <c r="M239" s="10" t="s">
        <v>102</v>
      </c>
      <c r="N239" s="124" t="s">
        <v>398</v>
      </c>
      <c r="O239" s="124" t="s">
        <v>398</v>
      </c>
      <c r="P239" s="21">
        <v>32</v>
      </c>
      <c r="Q239" s="10" t="s">
        <v>54</v>
      </c>
      <c r="R239" s="10" t="s">
        <v>28</v>
      </c>
      <c r="S239" s="10"/>
      <c r="T239" s="10"/>
      <c r="U239" s="10" t="s">
        <v>1768</v>
      </c>
      <c r="V239" s="10" t="s">
        <v>1768</v>
      </c>
      <c r="W239" s="50">
        <f>+J239/$W$2</f>
        <v>6.7118837428533585E-5</v>
      </c>
    </row>
    <row r="240" spans="1:30">
      <c r="A240" s="10" t="s">
        <v>1813</v>
      </c>
      <c r="B240" s="10" t="s">
        <v>381</v>
      </c>
      <c r="C240" s="124">
        <v>46302</v>
      </c>
      <c r="D240" s="124" t="s">
        <v>492</v>
      </c>
      <c r="E240" s="21">
        <v>0.99303516000000003</v>
      </c>
      <c r="F240" s="10"/>
      <c r="G240" s="14">
        <v>7000000</v>
      </c>
      <c r="H240" s="14">
        <v>6951246.1500000004</v>
      </c>
      <c r="I240" s="14">
        <v>7000000</v>
      </c>
      <c r="J240" s="14">
        <v>6951246.1500000004</v>
      </c>
      <c r="K240" s="12">
        <v>10604194</v>
      </c>
      <c r="L240" s="10" t="s">
        <v>101</v>
      </c>
      <c r="M240" s="10" t="s">
        <v>102</v>
      </c>
      <c r="N240" s="124" t="s">
        <v>398</v>
      </c>
      <c r="O240" s="124" t="s">
        <v>398</v>
      </c>
      <c r="P240" s="21">
        <v>32</v>
      </c>
      <c r="Q240" s="10" t="s">
        <v>54</v>
      </c>
      <c r="R240" s="10" t="s">
        <v>28</v>
      </c>
      <c r="S240" s="10"/>
      <c r="T240" s="10"/>
      <c r="U240" s="10" t="s">
        <v>1770</v>
      </c>
      <c r="V240" s="10" t="s">
        <v>1770</v>
      </c>
      <c r="W240" s="50">
        <f>+J240/$W$2</f>
        <v>9.241382031595523E-5</v>
      </c>
    </row>
    <row r="241" spans="1:23">
      <c r="A241" s="10" t="s">
        <v>1816</v>
      </c>
      <c r="B241" s="10" t="s">
        <v>381</v>
      </c>
      <c r="C241" s="124">
        <v>46302</v>
      </c>
      <c r="D241" s="124" t="s">
        <v>492</v>
      </c>
      <c r="E241" s="21">
        <v>0.99303516000000003</v>
      </c>
      <c r="F241" s="10"/>
      <c r="G241" s="14">
        <v>12000000</v>
      </c>
      <c r="H241" s="14">
        <v>11916421.960000001</v>
      </c>
      <c r="I241" s="14">
        <v>12000000</v>
      </c>
      <c r="J241" s="14">
        <v>11916421.960000001</v>
      </c>
      <c r="K241" s="12">
        <v>68962213</v>
      </c>
      <c r="L241" s="10" t="s">
        <v>101</v>
      </c>
      <c r="M241" s="10" t="s">
        <v>102</v>
      </c>
      <c r="N241" s="124" t="s">
        <v>398</v>
      </c>
      <c r="O241" s="124" t="s">
        <v>398</v>
      </c>
      <c r="P241" s="21">
        <v>32</v>
      </c>
      <c r="Q241" s="10" t="s">
        <v>54</v>
      </c>
      <c r="R241" s="10" t="s">
        <v>28</v>
      </c>
      <c r="S241" s="10"/>
      <c r="T241" s="10"/>
      <c r="U241" s="10" t="s">
        <v>1796</v>
      </c>
      <c r="V241" s="10" t="s">
        <v>1796</v>
      </c>
      <c r="W241" s="50">
        <f>+J241/$W$2</f>
        <v>1.5842369181827103E-4</v>
      </c>
    </row>
    <row r="242" spans="1:23">
      <c r="A242" s="10" t="s">
        <v>1938</v>
      </c>
      <c r="B242" s="10" t="s">
        <v>381</v>
      </c>
      <c r="C242" s="124">
        <v>46302</v>
      </c>
      <c r="D242" s="124" t="s">
        <v>492</v>
      </c>
      <c r="E242" s="21">
        <v>0.99325138999999996</v>
      </c>
      <c r="F242" s="10"/>
      <c r="G242" s="14">
        <v>7500000</v>
      </c>
      <c r="H242" s="14">
        <v>7449385.4299999997</v>
      </c>
      <c r="I242" s="14">
        <v>7500000</v>
      </c>
      <c r="J242" s="14">
        <v>7449385.4299999997</v>
      </c>
      <c r="K242" s="12">
        <v>3722</v>
      </c>
      <c r="L242" s="10" t="s">
        <v>101</v>
      </c>
      <c r="M242" s="10" t="s">
        <v>102</v>
      </c>
      <c r="N242" s="124" t="s">
        <v>436</v>
      </c>
      <c r="O242" s="124" t="s">
        <v>436</v>
      </c>
      <c r="P242" s="21">
        <v>31</v>
      </c>
      <c r="Q242" s="10" t="s">
        <v>54</v>
      </c>
      <c r="R242" s="10" t="s">
        <v>28</v>
      </c>
      <c r="S242" s="10"/>
      <c r="T242" s="10"/>
      <c r="U242" s="10" t="s">
        <v>1926</v>
      </c>
      <c r="V242" s="10" t="s">
        <v>1926</v>
      </c>
      <c r="W242" s="50">
        <f>+J242/$W$2</f>
        <v>9.9036367255145286E-5</v>
      </c>
    </row>
    <row r="243" spans="1:23">
      <c r="A243" s="10" t="s">
        <v>2019</v>
      </c>
      <c r="B243" s="10" t="s">
        <v>381</v>
      </c>
      <c r="C243" s="124">
        <v>46302</v>
      </c>
      <c r="D243" s="124" t="s">
        <v>492</v>
      </c>
      <c r="E243" s="21">
        <v>0.99303516000000003</v>
      </c>
      <c r="F243" s="10"/>
      <c r="G243" s="14">
        <v>9915945.7599999998</v>
      </c>
      <c r="H243" s="14">
        <v>9846882.7899999991</v>
      </c>
      <c r="I243" s="14">
        <v>9915945.7599999998</v>
      </c>
      <c r="J243" s="14">
        <v>9846882.7899999991</v>
      </c>
      <c r="K243" s="12">
        <v>69407771</v>
      </c>
      <c r="L243" s="10" t="s">
        <v>101</v>
      </c>
      <c r="M243" s="10" t="s">
        <v>102</v>
      </c>
      <c r="N243" s="124" t="s">
        <v>164</v>
      </c>
      <c r="O243" s="124" t="s">
        <v>164</v>
      </c>
      <c r="P243" s="21">
        <v>32</v>
      </c>
      <c r="Q243" s="10" t="s">
        <v>54</v>
      </c>
      <c r="R243" s="10" t="s">
        <v>28</v>
      </c>
      <c r="S243" s="10"/>
      <c r="T243" s="10"/>
      <c r="U243" s="10" t="s">
        <v>1987</v>
      </c>
      <c r="V243" s="10" t="s">
        <v>1987</v>
      </c>
      <c r="W243" s="50">
        <f>+J243/$W$2</f>
        <v>1.3091006089999154E-4</v>
      </c>
    </row>
    <row r="244" spans="1:23">
      <c r="A244" s="10" t="s">
        <v>2086</v>
      </c>
      <c r="B244" s="10" t="s">
        <v>381</v>
      </c>
      <c r="C244" s="124">
        <v>46302</v>
      </c>
      <c r="D244" s="124" t="s">
        <v>492</v>
      </c>
      <c r="E244" s="21">
        <v>0.99325136999999997</v>
      </c>
      <c r="F244" s="10"/>
      <c r="G244" s="14">
        <v>1598248</v>
      </c>
      <c r="H244" s="14">
        <v>1587462.01</v>
      </c>
      <c r="I244" s="14">
        <v>1598248</v>
      </c>
      <c r="J244" s="14">
        <v>1587462.01</v>
      </c>
      <c r="K244" s="12">
        <v>11999345</v>
      </c>
      <c r="L244" s="10" t="s">
        <v>101</v>
      </c>
      <c r="M244" s="10" t="s">
        <v>102</v>
      </c>
      <c r="N244" s="124" t="s">
        <v>390</v>
      </c>
      <c r="O244" s="124" t="s">
        <v>390</v>
      </c>
      <c r="P244" s="21">
        <v>31</v>
      </c>
      <c r="Q244" s="10" t="s">
        <v>54</v>
      </c>
      <c r="R244" s="10" t="s">
        <v>28</v>
      </c>
      <c r="S244" s="10"/>
      <c r="T244" s="10"/>
      <c r="U244" s="10" t="s">
        <v>2069</v>
      </c>
      <c r="V244" s="10" t="s">
        <v>2069</v>
      </c>
      <c r="W244" s="50">
        <f>+J244/$W$2</f>
        <v>2.1104622938801426E-5</v>
      </c>
    </row>
    <row r="245" spans="1:23">
      <c r="A245" s="10" t="s">
        <v>2164</v>
      </c>
      <c r="B245" s="10" t="s">
        <v>381</v>
      </c>
      <c r="C245" s="124">
        <v>46302</v>
      </c>
      <c r="D245" s="124" t="s">
        <v>492</v>
      </c>
      <c r="E245" s="21">
        <v>0.99303522</v>
      </c>
      <c r="F245" s="10"/>
      <c r="G245" s="14">
        <v>13000000</v>
      </c>
      <c r="H245" s="14">
        <v>12909457.91</v>
      </c>
      <c r="I245" s="14">
        <v>13000000</v>
      </c>
      <c r="J245" s="14">
        <v>12909457.91</v>
      </c>
      <c r="K245" s="12">
        <v>1305</v>
      </c>
      <c r="L245" s="10" t="s">
        <v>101</v>
      </c>
      <c r="M245" s="10" t="s">
        <v>102</v>
      </c>
      <c r="N245" s="124" t="s">
        <v>416</v>
      </c>
      <c r="O245" s="124" t="s">
        <v>416</v>
      </c>
      <c r="P245" s="21">
        <v>32</v>
      </c>
      <c r="Q245" s="10" t="s">
        <v>54</v>
      </c>
      <c r="R245" s="10" t="s">
        <v>28</v>
      </c>
      <c r="S245" s="10"/>
      <c r="T245" s="10"/>
      <c r="U245" s="10" t="s">
        <v>2140</v>
      </c>
      <c r="V245" s="10" t="s">
        <v>2140</v>
      </c>
      <c r="W245" s="50">
        <f>+J245/$W$2</f>
        <v>1.716256765948544E-4</v>
      </c>
    </row>
    <row r="246" spans="1:23">
      <c r="A246" s="10" t="s">
        <v>2244</v>
      </c>
      <c r="B246" s="10" t="s">
        <v>381</v>
      </c>
      <c r="C246" s="124">
        <v>46302</v>
      </c>
      <c r="D246" s="124" t="s">
        <v>492</v>
      </c>
      <c r="E246" s="21">
        <v>0.99325138999999996</v>
      </c>
      <c r="F246" s="10"/>
      <c r="G246" s="14">
        <v>1756706.4</v>
      </c>
      <c r="H246" s="14">
        <v>1744851.08</v>
      </c>
      <c r="I246" s="14">
        <v>1756706.4</v>
      </c>
      <c r="J246" s="14">
        <v>1744851.08</v>
      </c>
      <c r="K246" s="12">
        <v>500</v>
      </c>
      <c r="L246" s="10" t="s">
        <v>101</v>
      </c>
      <c r="M246" s="10" t="s">
        <v>102</v>
      </c>
      <c r="N246" s="124" t="s">
        <v>551</v>
      </c>
      <c r="O246" s="124" t="s">
        <v>551</v>
      </c>
      <c r="P246" s="21">
        <v>31</v>
      </c>
      <c r="Q246" s="10" t="s">
        <v>54</v>
      </c>
      <c r="R246" s="10" t="s">
        <v>28</v>
      </c>
      <c r="S246" s="10"/>
      <c r="T246" s="10"/>
      <c r="U246" s="10" t="s">
        <v>2199</v>
      </c>
      <c r="V246" s="10" t="s">
        <v>2199</v>
      </c>
      <c r="W246" s="50">
        <f>+J246/$W$2</f>
        <v>2.3197042761206263E-5</v>
      </c>
    </row>
    <row r="247" spans="1:23">
      <c r="A247" s="10" t="s">
        <v>2415</v>
      </c>
      <c r="B247" s="10" t="s">
        <v>381</v>
      </c>
      <c r="C247" s="124">
        <v>46302</v>
      </c>
      <c r="D247" s="124" t="s">
        <v>492</v>
      </c>
      <c r="E247" s="21">
        <v>0.99346769999999995</v>
      </c>
      <c r="F247" s="10"/>
      <c r="G247" s="14">
        <v>673493.39</v>
      </c>
      <c r="H247" s="14">
        <v>669093.93000000005</v>
      </c>
      <c r="I247" s="14">
        <v>673493.39</v>
      </c>
      <c r="J247" s="14">
        <v>669093.93000000005</v>
      </c>
      <c r="K247" s="12">
        <v>8756</v>
      </c>
      <c r="L247" s="10" t="s">
        <v>101</v>
      </c>
      <c r="M247" s="10" t="s">
        <v>102</v>
      </c>
      <c r="N247" s="124" t="s">
        <v>552</v>
      </c>
      <c r="O247" s="124" t="s">
        <v>552</v>
      </c>
      <c r="P247" s="21">
        <v>30</v>
      </c>
      <c r="Q247" s="10" t="s">
        <v>54</v>
      </c>
      <c r="R247" s="10" t="s">
        <v>28</v>
      </c>
      <c r="S247" s="10"/>
      <c r="T247" s="10"/>
      <c r="U247" s="10" t="s">
        <v>2400</v>
      </c>
      <c r="V247" s="10" t="s">
        <v>2400</v>
      </c>
      <c r="W247" s="50">
        <f>+J247/$W$2</f>
        <v>8.8953152984686527E-6</v>
      </c>
    </row>
    <row r="248" spans="1:23">
      <c r="A248" s="10" t="s">
        <v>273</v>
      </c>
      <c r="B248" s="10" t="s">
        <v>381</v>
      </c>
      <c r="C248" s="124">
        <v>46302</v>
      </c>
      <c r="D248" s="124" t="s">
        <v>492</v>
      </c>
      <c r="E248" s="21">
        <v>0.99411702000000002</v>
      </c>
      <c r="F248" s="10"/>
      <c r="G248" s="14">
        <v>1650000</v>
      </c>
      <c r="H248" s="14">
        <v>1640293.09</v>
      </c>
      <c r="I248" s="14">
        <v>1650000</v>
      </c>
      <c r="J248" s="14">
        <v>1640293.09</v>
      </c>
      <c r="K248" s="12">
        <v>583</v>
      </c>
      <c r="L248" s="10" t="s">
        <v>101</v>
      </c>
      <c r="M248" s="10" t="s">
        <v>102</v>
      </c>
      <c r="N248" s="124" t="s">
        <v>395</v>
      </c>
      <c r="O248" s="124" t="s">
        <v>395</v>
      </c>
      <c r="P248" s="21">
        <v>27</v>
      </c>
      <c r="Q248" s="10" t="s">
        <v>54</v>
      </c>
      <c r="R248" s="10" t="s">
        <v>28</v>
      </c>
      <c r="S248" s="10"/>
      <c r="T248" s="10"/>
      <c r="U248" s="10" t="s">
        <v>832</v>
      </c>
      <c r="V248" s="10" t="s">
        <v>832</v>
      </c>
      <c r="W248" s="50">
        <f>+J248/$W$2</f>
        <v>2.1806989367620505E-5</v>
      </c>
    </row>
    <row r="249" spans="1:23">
      <c r="A249" s="10" t="s">
        <v>902</v>
      </c>
      <c r="B249" s="10" t="s">
        <v>381</v>
      </c>
      <c r="C249" s="124">
        <v>46302</v>
      </c>
      <c r="D249" s="124" t="s">
        <v>492</v>
      </c>
      <c r="E249" s="21">
        <v>0.99281907999999996</v>
      </c>
      <c r="F249" s="10"/>
      <c r="G249" s="14">
        <v>10044547.85</v>
      </c>
      <c r="H249" s="14">
        <v>9972418.75</v>
      </c>
      <c r="I249" s="14">
        <v>10044547.85</v>
      </c>
      <c r="J249" s="14">
        <v>9972418.75</v>
      </c>
      <c r="K249" s="12">
        <v>38</v>
      </c>
      <c r="L249" s="10" t="s">
        <v>101</v>
      </c>
      <c r="M249" s="10" t="s">
        <v>102</v>
      </c>
      <c r="N249" s="124" t="s">
        <v>397</v>
      </c>
      <c r="O249" s="124" t="s">
        <v>397</v>
      </c>
      <c r="P249" s="21">
        <v>33</v>
      </c>
      <c r="Q249" s="10" t="s">
        <v>54</v>
      </c>
      <c r="R249" s="10" t="s">
        <v>28</v>
      </c>
      <c r="S249" s="10"/>
      <c r="T249" s="10"/>
      <c r="U249" s="10" t="s">
        <v>1456</v>
      </c>
      <c r="V249" s="10" t="s">
        <v>1456</v>
      </c>
      <c r="W249" s="50">
        <f>+J249/$W$2</f>
        <v>1.325790073594161E-4</v>
      </c>
    </row>
    <row r="250" spans="1:23">
      <c r="A250" s="10" t="s">
        <v>1189</v>
      </c>
      <c r="B250" s="10" t="s">
        <v>381</v>
      </c>
      <c r="C250" s="124">
        <v>46302</v>
      </c>
      <c r="D250" s="124" t="s">
        <v>492</v>
      </c>
      <c r="E250" s="21">
        <v>0.99346763999999999</v>
      </c>
      <c r="F250" s="10"/>
      <c r="G250" s="14">
        <v>262422.81</v>
      </c>
      <c r="H250" s="14">
        <v>260708.57</v>
      </c>
      <c r="I250" s="14">
        <v>262422.81</v>
      </c>
      <c r="J250" s="14">
        <v>260708.57</v>
      </c>
      <c r="K250" s="12">
        <v>30093658</v>
      </c>
      <c r="L250" s="10" t="s">
        <v>101</v>
      </c>
      <c r="M250" s="10" t="s">
        <v>102</v>
      </c>
      <c r="N250" s="124" t="s">
        <v>165</v>
      </c>
      <c r="O250" s="124" t="s">
        <v>165</v>
      </c>
      <c r="P250" s="21">
        <v>30</v>
      </c>
      <c r="Q250" s="10" t="s">
        <v>54</v>
      </c>
      <c r="R250" s="10" t="s">
        <v>28</v>
      </c>
      <c r="S250" s="10"/>
      <c r="T250" s="10"/>
      <c r="U250" s="10" t="s">
        <v>1273</v>
      </c>
      <c r="V250" s="10" t="s">
        <v>1273</v>
      </c>
      <c r="W250" s="50">
        <f>+J250/$W$2</f>
        <v>3.4660080254544913E-6</v>
      </c>
    </row>
    <row r="251" spans="1:23">
      <c r="A251" s="10" t="s">
        <v>1291</v>
      </c>
      <c r="B251" s="10" t="s">
        <v>381</v>
      </c>
      <c r="C251" s="124">
        <v>46302</v>
      </c>
      <c r="D251" s="124" t="s">
        <v>492</v>
      </c>
      <c r="E251" s="21">
        <v>0.99520123999999999</v>
      </c>
      <c r="F251" s="10"/>
      <c r="G251" s="14">
        <v>5200000</v>
      </c>
      <c r="H251" s="14">
        <v>5175046.45</v>
      </c>
      <c r="I251" s="14">
        <v>5200000</v>
      </c>
      <c r="J251" s="14">
        <v>5175046.45</v>
      </c>
      <c r="K251" s="12">
        <v>2</v>
      </c>
      <c r="L251" s="10" t="s">
        <v>101</v>
      </c>
      <c r="M251" s="10" t="s">
        <v>102</v>
      </c>
      <c r="N251" s="124" t="s">
        <v>391</v>
      </c>
      <c r="O251" s="124" t="s">
        <v>391</v>
      </c>
      <c r="P251" s="21">
        <v>22</v>
      </c>
      <c r="Q251" s="10" t="s">
        <v>54</v>
      </c>
      <c r="R251" s="10" t="s">
        <v>28</v>
      </c>
      <c r="S251" s="10"/>
      <c r="T251" s="10"/>
      <c r="U251" s="10" t="s">
        <v>1292</v>
      </c>
      <c r="V251" s="10" t="s">
        <v>1292</v>
      </c>
      <c r="W251" s="50">
        <f>+J251/$W$2</f>
        <v>6.8800011168791944E-5</v>
      </c>
    </row>
    <row r="252" spans="1:23">
      <c r="A252" s="10" t="s">
        <v>1430</v>
      </c>
      <c r="B252" s="10" t="s">
        <v>381</v>
      </c>
      <c r="C252" s="124">
        <v>46302</v>
      </c>
      <c r="D252" s="124" t="s">
        <v>492</v>
      </c>
      <c r="E252" s="21">
        <v>0.99303516000000003</v>
      </c>
      <c r="F252" s="10"/>
      <c r="G252" s="14">
        <v>6000000</v>
      </c>
      <c r="H252" s="14">
        <v>5958210.9699999997</v>
      </c>
      <c r="I252" s="14">
        <v>6000000</v>
      </c>
      <c r="J252" s="14">
        <v>5958210.9699999997</v>
      </c>
      <c r="K252" s="12">
        <v>90001650</v>
      </c>
      <c r="L252" s="10" t="s">
        <v>101</v>
      </c>
      <c r="M252" s="10" t="s">
        <v>102</v>
      </c>
      <c r="N252" s="124" t="s">
        <v>398</v>
      </c>
      <c r="O252" s="124" t="s">
        <v>398</v>
      </c>
      <c r="P252" s="21">
        <v>32</v>
      </c>
      <c r="Q252" s="10" t="s">
        <v>54</v>
      </c>
      <c r="R252" s="10" t="s">
        <v>28</v>
      </c>
      <c r="S252" s="10"/>
      <c r="T252" s="10"/>
      <c r="U252" s="10" t="s">
        <v>1791</v>
      </c>
      <c r="V252" s="10" t="s">
        <v>1791</v>
      </c>
      <c r="W252" s="50">
        <f>+J252/$W$2</f>
        <v>7.9211845776189818E-5</v>
      </c>
    </row>
    <row r="253" spans="1:23">
      <c r="A253" s="10" t="s">
        <v>1431</v>
      </c>
      <c r="B253" s="10" t="s">
        <v>381</v>
      </c>
      <c r="C253" s="124">
        <v>46302</v>
      </c>
      <c r="D253" s="124" t="s">
        <v>492</v>
      </c>
      <c r="E253" s="21">
        <v>0.99303516000000003</v>
      </c>
      <c r="F253" s="10"/>
      <c r="G253" s="14">
        <v>5444206</v>
      </c>
      <c r="H253" s="14">
        <v>5406288</v>
      </c>
      <c r="I253" s="14">
        <v>5444206</v>
      </c>
      <c r="J253" s="14">
        <v>5406288</v>
      </c>
      <c r="K253" s="12">
        <v>3440</v>
      </c>
      <c r="L253" s="10" t="s">
        <v>101</v>
      </c>
      <c r="M253" s="10" t="s">
        <v>102</v>
      </c>
      <c r="N253" s="124" t="s">
        <v>398</v>
      </c>
      <c r="O253" s="124" t="s">
        <v>398</v>
      </c>
      <c r="P253" s="21">
        <v>32</v>
      </c>
      <c r="Q253" s="10" t="s">
        <v>54</v>
      </c>
      <c r="R253" s="10" t="s">
        <v>28</v>
      </c>
      <c r="S253" s="10"/>
      <c r="T253" s="10"/>
      <c r="U253" s="10" t="s">
        <v>1783</v>
      </c>
      <c r="V253" s="10" t="s">
        <v>1783</v>
      </c>
      <c r="W253" s="50">
        <f>+J253/$W$2</f>
        <v>7.1874267868978419E-5</v>
      </c>
    </row>
    <row r="254" spans="1:23">
      <c r="A254" s="10" t="s">
        <v>688</v>
      </c>
      <c r="B254" s="10" t="s">
        <v>381</v>
      </c>
      <c r="C254" s="124">
        <v>46302</v>
      </c>
      <c r="D254" s="124" t="s">
        <v>492</v>
      </c>
      <c r="E254" s="21">
        <v>0.99174004000000004</v>
      </c>
      <c r="F254" s="10"/>
      <c r="G254" s="14">
        <v>25000000</v>
      </c>
      <c r="H254" s="14">
        <v>24793500.93</v>
      </c>
      <c r="I254" s="14">
        <v>25000000</v>
      </c>
      <c r="J254" s="14">
        <v>24793500.93</v>
      </c>
      <c r="K254" s="12">
        <v>70393026</v>
      </c>
      <c r="L254" s="10" t="s">
        <v>101</v>
      </c>
      <c r="M254" s="10" t="s">
        <v>102</v>
      </c>
      <c r="N254" s="124" t="s">
        <v>403</v>
      </c>
      <c r="O254" s="124" t="s">
        <v>403</v>
      </c>
      <c r="P254" s="21">
        <v>38</v>
      </c>
      <c r="Q254" s="10" t="s">
        <v>54</v>
      </c>
      <c r="R254" s="10" t="s">
        <v>28</v>
      </c>
      <c r="S254" s="10"/>
      <c r="T254" s="10"/>
      <c r="U254" s="10" t="s">
        <v>1249</v>
      </c>
      <c r="V254" s="10" t="s">
        <v>1249</v>
      </c>
      <c r="W254" s="50">
        <f>+J254/$W$2</f>
        <v>3.2961890436702327E-4</v>
      </c>
    </row>
    <row r="255" spans="1:23">
      <c r="A255" s="10" t="s">
        <v>132</v>
      </c>
      <c r="B255" s="10" t="s">
        <v>381</v>
      </c>
      <c r="C255" s="124">
        <v>46302</v>
      </c>
      <c r="D255" s="124" t="s">
        <v>492</v>
      </c>
      <c r="E255" s="21">
        <v>0.99260307999999997</v>
      </c>
      <c r="F255" s="10"/>
      <c r="G255" s="14">
        <v>100000000</v>
      </c>
      <c r="H255" s="14">
        <v>99260308.120000005</v>
      </c>
      <c r="I255" s="14">
        <v>100000000</v>
      </c>
      <c r="J255" s="14">
        <v>99260308.120000005</v>
      </c>
      <c r="K255" s="12">
        <v>853</v>
      </c>
      <c r="L255" s="10" t="s">
        <v>101</v>
      </c>
      <c r="M255" s="10" t="s">
        <v>102</v>
      </c>
      <c r="N255" s="124" t="s">
        <v>398</v>
      </c>
      <c r="O255" s="124" t="s">
        <v>398</v>
      </c>
      <c r="P255" s="21">
        <v>34</v>
      </c>
      <c r="Q255" s="10" t="s">
        <v>54</v>
      </c>
      <c r="R255" s="10" t="s">
        <v>28</v>
      </c>
      <c r="S255" s="10"/>
      <c r="T255" s="10"/>
      <c r="U255" s="10" t="s">
        <v>1729</v>
      </c>
      <c r="V255" s="10" t="s">
        <v>1729</v>
      </c>
      <c r="W255" s="50">
        <f>+J255/$W$2</f>
        <v>1.319622997253238E-3</v>
      </c>
    </row>
    <row r="256" spans="1:23">
      <c r="A256" s="10" t="s">
        <v>290</v>
      </c>
      <c r="B256" s="10" t="s">
        <v>381</v>
      </c>
      <c r="C256" s="124">
        <v>46302</v>
      </c>
      <c r="D256" s="124" t="s">
        <v>492</v>
      </c>
      <c r="E256" s="21">
        <v>0.99260309000000002</v>
      </c>
      <c r="F256" s="10"/>
      <c r="G256" s="14">
        <v>4300000</v>
      </c>
      <c r="H256" s="14">
        <v>4268193.29</v>
      </c>
      <c r="I256" s="14">
        <v>4300000</v>
      </c>
      <c r="J256" s="14">
        <v>4268193.29</v>
      </c>
      <c r="K256" s="12">
        <v>40768561</v>
      </c>
      <c r="L256" s="10" t="s">
        <v>101</v>
      </c>
      <c r="M256" s="10" t="s">
        <v>102</v>
      </c>
      <c r="N256" s="124" t="s">
        <v>366</v>
      </c>
      <c r="O256" s="124" t="s">
        <v>366</v>
      </c>
      <c r="P256" s="21">
        <v>34</v>
      </c>
      <c r="Q256" s="10" t="s">
        <v>54</v>
      </c>
      <c r="R256" s="10" t="s">
        <v>28</v>
      </c>
      <c r="S256" s="10"/>
      <c r="T256" s="10"/>
      <c r="U256" s="10" t="s">
        <v>1153</v>
      </c>
      <c r="V256" s="10" t="s">
        <v>1153</v>
      </c>
      <c r="W256" s="50">
        <f>+J256/$W$2</f>
        <v>5.6743789424839424E-5</v>
      </c>
    </row>
    <row r="257" spans="1:29">
      <c r="A257" s="10" t="s">
        <v>290</v>
      </c>
      <c r="B257" s="10" t="s">
        <v>381</v>
      </c>
      <c r="C257" s="124">
        <v>46302</v>
      </c>
      <c r="D257" s="124" t="s">
        <v>492</v>
      </c>
      <c r="E257" s="21">
        <v>0.99238716999999999</v>
      </c>
      <c r="F257" s="10"/>
      <c r="G257" s="14">
        <v>4750000</v>
      </c>
      <c r="H257" s="14">
        <v>4713839.08</v>
      </c>
      <c r="I257" s="14">
        <v>4750000</v>
      </c>
      <c r="J257" s="14">
        <v>4713839.08</v>
      </c>
      <c r="K257" s="12">
        <v>40768615</v>
      </c>
      <c r="L257" s="10" t="s">
        <v>101</v>
      </c>
      <c r="M257" s="10" t="s">
        <v>102</v>
      </c>
      <c r="N257" s="124" t="s">
        <v>403</v>
      </c>
      <c r="O257" s="124" t="s">
        <v>403</v>
      </c>
      <c r="P257" s="21">
        <v>35</v>
      </c>
      <c r="Q257" s="10" t="s">
        <v>54</v>
      </c>
      <c r="R257" s="10" t="s">
        <v>28</v>
      </c>
      <c r="S257" s="10"/>
      <c r="T257" s="10"/>
      <c r="U257" s="10" t="s">
        <v>1247</v>
      </c>
      <c r="V257" s="10" t="s">
        <v>1247</v>
      </c>
      <c r="W257" s="50">
        <f>+J257/$W$2</f>
        <v>6.2668458048697879E-5</v>
      </c>
      <c r="AC257" s="47"/>
    </row>
    <row r="258" spans="1:29">
      <c r="A258" s="10" t="s">
        <v>222</v>
      </c>
      <c r="B258" s="10" t="s">
        <v>381</v>
      </c>
      <c r="C258" s="124">
        <v>46302</v>
      </c>
      <c r="D258" s="124" t="s">
        <v>492</v>
      </c>
      <c r="E258" s="21">
        <v>0.99281907000000003</v>
      </c>
      <c r="F258" s="10"/>
      <c r="G258" s="14">
        <v>30000000</v>
      </c>
      <c r="H258" s="14">
        <v>29784572.23</v>
      </c>
      <c r="I258" s="14">
        <v>30000000</v>
      </c>
      <c r="J258" s="14">
        <v>29784572.23</v>
      </c>
      <c r="K258" s="12">
        <v>475882</v>
      </c>
      <c r="L258" s="10" t="s">
        <v>101</v>
      </c>
      <c r="M258" s="10" t="s">
        <v>102</v>
      </c>
      <c r="N258" s="124" t="s">
        <v>349</v>
      </c>
      <c r="O258" s="124" t="s">
        <v>349</v>
      </c>
      <c r="P258" s="21">
        <v>33</v>
      </c>
      <c r="Q258" s="10" t="s">
        <v>54</v>
      </c>
      <c r="R258" s="10" t="s">
        <v>28</v>
      </c>
      <c r="S258" s="10"/>
      <c r="T258" s="10"/>
      <c r="U258" s="10" t="s">
        <v>1355</v>
      </c>
      <c r="V258" s="10" t="s">
        <v>1355</v>
      </c>
      <c r="W258" s="50">
        <f>+J258/$W$2</f>
        <v>3.9597304524323449E-4</v>
      </c>
      <c r="AC258" s="47"/>
    </row>
    <row r="259" spans="1:29">
      <c r="A259" s="10" t="s">
        <v>463</v>
      </c>
      <c r="B259" s="10" t="s">
        <v>381</v>
      </c>
      <c r="C259" s="124">
        <v>46302</v>
      </c>
      <c r="D259" s="124" t="s">
        <v>492</v>
      </c>
      <c r="E259" s="21">
        <v>0.99130907999999995</v>
      </c>
      <c r="F259" s="10"/>
      <c r="G259" s="14">
        <v>7203888</v>
      </c>
      <c r="H259" s="14">
        <v>7141279.5999999996</v>
      </c>
      <c r="I259" s="14">
        <v>7203888</v>
      </c>
      <c r="J259" s="14">
        <v>7141279.5999999996</v>
      </c>
      <c r="K259" s="12">
        <v>66329877</v>
      </c>
      <c r="L259" s="10" t="s">
        <v>101</v>
      </c>
      <c r="M259" s="10" t="s">
        <v>102</v>
      </c>
      <c r="N259" s="124" t="s">
        <v>301</v>
      </c>
      <c r="O259" s="124" t="s">
        <v>301</v>
      </c>
      <c r="P259" s="21">
        <v>40</v>
      </c>
      <c r="Q259" s="10" t="s">
        <v>54</v>
      </c>
      <c r="R259" s="10" t="s">
        <v>28</v>
      </c>
      <c r="S259" s="10"/>
      <c r="T259" s="10"/>
      <c r="U259" s="10" t="s">
        <v>442</v>
      </c>
      <c r="V259" s="10" t="s">
        <v>442</v>
      </c>
      <c r="W259" s="50">
        <f>+J259/$W$2</f>
        <v>9.4940233094809414E-5</v>
      </c>
    </row>
    <row r="260" spans="1:29">
      <c r="A260" s="10" t="s">
        <v>463</v>
      </c>
      <c r="B260" s="10" t="s">
        <v>381</v>
      </c>
      <c r="C260" s="124">
        <v>46302</v>
      </c>
      <c r="D260" s="124" t="s">
        <v>492</v>
      </c>
      <c r="E260" s="21">
        <v>0.99130907999999995</v>
      </c>
      <c r="F260" s="10"/>
      <c r="G260" s="14">
        <v>7900000</v>
      </c>
      <c r="H260" s="14">
        <v>7831341.7400000002</v>
      </c>
      <c r="I260" s="14">
        <v>7900000</v>
      </c>
      <c r="J260" s="14">
        <v>7831341.7400000002</v>
      </c>
      <c r="K260" s="12">
        <v>877</v>
      </c>
      <c r="L260" s="10" t="s">
        <v>101</v>
      </c>
      <c r="M260" s="10" t="s">
        <v>102</v>
      </c>
      <c r="N260" s="124" t="s">
        <v>301</v>
      </c>
      <c r="O260" s="124" t="s">
        <v>301</v>
      </c>
      <c r="P260" s="21">
        <v>40</v>
      </c>
      <c r="Q260" s="10" t="s">
        <v>54</v>
      </c>
      <c r="R260" s="10" t="s">
        <v>28</v>
      </c>
      <c r="S260" s="10"/>
      <c r="T260" s="10"/>
      <c r="U260" s="10" t="s">
        <v>444</v>
      </c>
      <c r="V260" s="10" t="s">
        <v>444</v>
      </c>
      <c r="W260" s="50">
        <f>+J260/$W$2</f>
        <v>1.0411431170412518E-4</v>
      </c>
    </row>
    <row r="261" spans="1:29">
      <c r="A261" s="10" t="s">
        <v>222</v>
      </c>
      <c r="B261" s="10" t="s">
        <v>381</v>
      </c>
      <c r="C261" s="124">
        <v>46302</v>
      </c>
      <c r="D261" s="124" t="s">
        <v>492</v>
      </c>
      <c r="E261" s="21">
        <v>0.99281907999999996</v>
      </c>
      <c r="F261" s="10"/>
      <c r="G261" s="14">
        <v>25000000</v>
      </c>
      <c r="H261" s="14">
        <v>24820477.039999999</v>
      </c>
      <c r="I261" s="14">
        <v>25000000</v>
      </c>
      <c r="J261" s="14">
        <v>24820477.039999999</v>
      </c>
      <c r="K261" s="12">
        <v>1233892</v>
      </c>
      <c r="L261" s="10" t="s">
        <v>101</v>
      </c>
      <c r="M261" s="10" t="s">
        <v>102</v>
      </c>
      <c r="N261" s="124" t="s">
        <v>306</v>
      </c>
      <c r="O261" s="124" t="s">
        <v>306</v>
      </c>
      <c r="P261" s="21">
        <v>33</v>
      </c>
      <c r="Q261" s="10" t="s">
        <v>54</v>
      </c>
      <c r="R261" s="10" t="s">
        <v>28</v>
      </c>
      <c r="S261" s="10"/>
      <c r="T261" s="10"/>
      <c r="U261" s="10" t="s">
        <v>625</v>
      </c>
      <c r="V261" s="10" t="s">
        <v>625</v>
      </c>
      <c r="W261" s="50">
        <f>+J261/$W$2</f>
        <v>3.2997754011787541E-4</v>
      </c>
    </row>
    <row r="262" spans="1:29">
      <c r="A262" s="10" t="s">
        <v>1086</v>
      </c>
      <c r="B262" s="10" t="s">
        <v>381</v>
      </c>
      <c r="C262" s="124">
        <v>46302</v>
      </c>
      <c r="D262" s="124" t="s">
        <v>492</v>
      </c>
      <c r="E262" s="21">
        <v>0.99281918999999996</v>
      </c>
      <c r="F262" s="10"/>
      <c r="G262" s="14">
        <v>443866.08</v>
      </c>
      <c r="H262" s="14">
        <v>440678.76</v>
      </c>
      <c r="I262" s="14">
        <v>443866.08</v>
      </c>
      <c r="J262" s="14">
        <v>440678.76</v>
      </c>
      <c r="K262" s="12">
        <v>10568415</v>
      </c>
      <c r="L262" s="10" t="s">
        <v>101</v>
      </c>
      <c r="M262" s="10" t="s">
        <v>102</v>
      </c>
      <c r="N262" s="124" t="s">
        <v>423</v>
      </c>
      <c r="O262" s="124" t="s">
        <v>423</v>
      </c>
      <c r="P262" s="21">
        <v>33</v>
      </c>
      <c r="Q262" s="10" t="s">
        <v>54</v>
      </c>
      <c r="R262" s="10" t="s">
        <v>28</v>
      </c>
      <c r="S262" s="10"/>
      <c r="T262" s="10"/>
      <c r="U262" s="10" t="s">
        <v>2499</v>
      </c>
      <c r="V262" s="10" t="s">
        <v>2499</v>
      </c>
      <c r="W262" s="50">
        <f>+J262/$W$2</f>
        <v>5.8586341016995857E-6</v>
      </c>
    </row>
    <row r="263" spans="1:29">
      <c r="A263" s="10" t="s">
        <v>675</v>
      </c>
      <c r="B263" s="10" t="s">
        <v>381</v>
      </c>
      <c r="C263" s="124">
        <v>46302</v>
      </c>
      <c r="D263" s="124" t="s">
        <v>492</v>
      </c>
      <c r="E263" s="21">
        <v>0.99346763000000005</v>
      </c>
      <c r="F263" s="10"/>
      <c r="G263" s="14">
        <v>100000000</v>
      </c>
      <c r="H263" s="14">
        <v>99346762.75</v>
      </c>
      <c r="I263" s="14">
        <v>100000000</v>
      </c>
      <c r="J263" s="14">
        <v>99346762.75</v>
      </c>
      <c r="K263" s="12">
        <v>90003979</v>
      </c>
      <c r="L263" s="10" t="s">
        <v>101</v>
      </c>
      <c r="M263" s="10" t="s">
        <v>102</v>
      </c>
      <c r="N263" s="124" t="s">
        <v>165</v>
      </c>
      <c r="O263" s="124" t="s">
        <v>165</v>
      </c>
      <c r="P263" s="21">
        <v>30</v>
      </c>
      <c r="Q263" s="10" t="s">
        <v>54</v>
      </c>
      <c r="R263" s="10" t="s">
        <v>28</v>
      </c>
      <c r="S263" s="10"/>
      <c r="T263" s="10"/>
      <c r="U263" s="10" t="s">
        <v>1274</v>
      </c>
      <c r="V263" s="10" t="s">
        <v>1274</v>
      </c>
      <c r="W263" s="50">
        <f>+J263/$W$2</f>
        <v>1.3207723742814565E-3</v>
      </c>
    </row>
    <row r="264" spans="1:29">
      <c r="A264" s="10" t="s">
        <v>730</v>
      </c>
      <c r="B264" s="10" t="s">
        <v>381</v>
      </c>
      <c r="C264" s="124">
        <v>46302</v>
      </c>
      <c r="D264" s="124" t="s">
        <v>492</v>
      </c>
      <c r="E264" s="21">
        <v>0.99303514999999998</v>
      </c>
      <c r="F264" s="10"/>
      <c r="G264" s="14">
        <v>5935576</v>
      </c>
      <c r="H264" s="14">
        <v>5894235.6200000001</v>
      </c>
      <c r="I264" s="14">
        <v>5935576</v>
      </c>
      <c r="J264" s="14">
        <v>5894235.6200000001</v>
      </c>
      <c r="K264" s="12">
        <v>90044891</v>
      </c>
      <c r="L264" s="10" t="s">
        <v>101</v>
      </c>
      <c r="M264" s="10" t="s">
        <v>102</v>
      </c>
      <c r="N264" s="124" t="s">
        <v>348</v>
      </c>
      <c r="O264" s="124" t="s">
        <v>348</v>
      </c>
      <c r="P264" s="21">
        <v>32</v>
      </c>
      <c r="Q264" s="10" t="s">
        <v>54</v>
      </c>
      <c r="R264" s="10" t="s">
        <v>28</v>
      </c>
      <c r="S264" s="10"/>
      <c r="T264" s="10"/>
      <c r="U264" s="10" t="s">
        <v>1886</v>
      </c>
      <c r="V264" s="10" t="s">
        <v>1886</v>
      </c>
      <c r="W264" s="50">
        <f>+J264/$W$2</f>
        <v>7.8361321082923084E-5</v>
      </c>
    </row>
    <row r="265" spans="1:29">
      <c r="A265" s="10" t="s">
        <v>427</v>
      </c>
      <c r="B265" s="10" t="s">
        <v>381</v>
      </c>
      <c r="C265" s="124">
        <v>46302</v>
      </c>
      <c r="D265" s="124" t="s">
        <v>492</v>
      </c>
      <c r="E265" s="21">
        <v>0.99390045999999999</v>
      </c>
      <c r="F265" s="10"/>
      <c r="G265" s="14">
        <v>2500000</v>
      </c>
      <c r="H265" s="14">
        <v>2484751.15</v>
      </c>
      <c r="I265" s="14">
        <v>2500000</v>
      </c>
      <c r="J265" s="14">
        <v>2484751.15</v>
      </c>
      <c r="K265" s="12">
        <v>90031812</v>
      </c>
      <c r="L265" s="10" t="s">
        <v>101</v>
      </c>
      <c r="M265" s="10" t="s">
        <v>102</v>
      </c>
      <c r="N265" s="124" t="s">
        <v>277</v>
      </c>
      <c r="O265" s="124" t="s">
        <v>277</v>
      </c>
      <c r="P265" s="21">
        <v>28</v>
      </c>
      <c r="Q265" s="10" t="s">
        <v>54</v>
      </c>
      <c r="R265" s="10" t="s">
        <v>28</v>
      </c>
      <c r="S265" s="10"/>
      <c r="T265" s="10"/>
      <c r="U265" s="10" t="s">
        <v>508</v>
      </c>
      <c r="V265" s="10" t="s">
        <v>508</v>
      </c>
      <c r="W265" s="50">
        <f>+J265/$W$2</f>
        <v>3.3033695160681813E-5</v>
      </c>
    </row>
    <row r="266" spans="1:29">
      <c r="A266" s="10" t="s">
        <v>382</v>
      </c>
      <c r="B266" s="10" t="s">
        <v>381</v>
      </c>
      <c r="C266" s="124">
        <v>46302</v>
      </c>
      <c r="D266" s="124" t="s">
        <v>492</v>
      </c>
      <c r="E266" s="21">
        <v>0.99303518000000002</v>
      </c>
      <c r="F266" s="10"/>
      <c r="G266" s="14">
        <v>2000000</v>
      </c>
      <c r="H266" s="14">
        <v>1986070.36</v>
      </c>
      <c r="I266" s="14">
        <v>2000000</v>
      </c>
      <c r="J266" s="14">
        <v>1986070.36</v>
      </c>
      <c r="K266" s="12">
        <v>1068</v>
      </c>
      <c r="L266" s="10" t="s">
        <v>101</v>
      </c>
      <c r="M266" s="10" t="s">
        <v>102</v>
      </c>
      <c r="N266" s="124" t="s">
        <v>432</v>
      </c>
      <c r="O266" s="124" t="s">
        <v>432</v>
      </c>
      <c r="P266" s="21">
        <v>32</v>
      </c>
      <c r="Q266" s="10" t="s">
        <v>54</v>
      </c>
      <c r="R266" s="10" t="s">
        <v>28</v>
      </c>
      <c r="S266" s="10"/>
      <c r="T266" s="10"/>
      <c r="U266" s="10" t="s">
        <v>1831</v>
      </c>
      <c r="V266" s="10" t="s">
        <v>1831</v>
      </c>
      <c r="W266" s="50">
        <f>+J266/$W$2</f>
        <v>2.6403949079530797E-5</v>
      </c>
    </row>
    <row r="267" spans="1:29">
      <c r="A267" s="10" t="s">
        <v>382</v>
      </c>
      <c r="B267" s="10" t="s">
        <v>381</v>
      </c>
      <c r="C267" s="124">
        <v>46302</v>
      </c>
      <c r="D267" s="124" t="s">
        <v>492</v>
      </c>
      <c r="E267" s="21">
        <v>0.99346763000000005</v>
      </c>
      <c r="F267" s="10"/>
      <c r="G267" s="14">
        <v>3300000</v>
      </c>
      <c r="H267" s="14">
        <v>3278443.18</v>
      </c>
      <c r="I267" s="14">
        <v>3300000</v>
      </c>
      <c r="J267" s="14">
        <v>3278443.18</v>
      </c>
      <c r="K267" s="12">
        <v>923</v>
      </c>
      <c r="L267" s="10" t="s">
        <v>101</v>
      </c>
      <c r="M267" s="10" t="s">
        <v>102</v>
      </c>
      <c r="N267" s="124" t="s">
        <v>397</v>
      </c>
      <c r="O267" s="124" t="s">
        <v>397</v>
      </c>
      <c r="P267" s="21">
        <v>30</v>
      </c>
      <c r="Q267" s="10" t="s">
        <v>54</v>
      </c>
      <c r="R267" s="10" t="s">
        <v>28</v>
      </c>
      <c r="S267" s="10"/>
      <c r="T267" s="10"/>
      <c r="U267" s="10" t="s">
        <v>1449</v>
      </c>
      <c r="V267" s="10" t="s">
        <v>1449</v>
      </c>
      <c r="W267" s="50">
        <f>+J267/$W$2</f>
        <v>4.3585488474262826E-5</v>
      </c>
    </row>
    <row r="268" spans="1:29">
      <c r="A268" s="10" t="s">
        <v>384</v>
      </c>
      <c r="B268" s="10" t="s">
        <v>381</v>
      </c>
      <c r="C268" s="124">
        <v>46302</v>
      </c>
      <c r="D268" s="124" t="s">
        <v>492</v>
      </c>
      <c r="E268" s="21">
        <v>0.99346763000000005</v>
      </c>
      <c r="F268" s="10"/>
      <c r="G268" s="14">
        <v>75000000</v>
      </c>
      <c r="H268" s="14">
        <v>74510072.060000002</v>
      </c>
      <c r="I268" s="14">
        <v>75000000</v>
      </c>
      <c r="J268" s="14">
        <v>74510072.060000002</v>
      </c>
      <c r="K268" s="12">
        <v>340</v>
      </c>
      <c r="L268" s="10" t="s">
        <v>101</v>
      </c>
      <c r="M268" s="10" t="s">
        <v>102</v>
      </c>
      <c r="N268" s="124" t="s">
        <v>165</v>
      </c>
      <c r="O268" s="124" t="s">
        <v>165</v>
      </c>
      <c r="P268" s="21">
        <v>30</v>
      </c>
      <c r="Q268" s="10" t="s">
        <v>54</v>
      </c>
      <c r="R268" s="10" t="s">
        <v>28</v>
      </c>
      <c r="S268" s="10"/>
      <c r="T268" s="10"/>
      <c r="U268" s="10" t="s">
        <v>1272</v>
      </c>
      <c r="V268" s="10" t="s">
        <v>1272</v>
      </c>
      <c r="W268" s="50">
        <f>+J268/$W$2</f>
        <v>9.9057928067785585E-4</v>
      </c>
    </row>
    <row r="269" spans="1:29">
      <c r="A269" s="10" t="s">
        <v>3510</v>
      </c>
      <c r="B269" s="10" t="s">
        <v>381</v>
      </c>
      <c r="C269" s="124">
        <v>46302</v>
      </c>
      <c r="D269" s="124" t="s">
        <v>492</v>
      </c>
      <c r="E269" s="21">
        <v>0.99195582000000004</v>
      </c>
      <c r="F269" s="10"/>
      <c r="G269" s="14">
        <v>12889249.880000001</v>
      </c>
      <c r="H269" s="14">
        <v>12785566.439999999</v>
      </c>
      <c r="I269" s="14">
        <v>12889249.880000001</v>
      </c>
      <c r="J269" s="14">
        <v>12785566.439999999</v>
      </c>
      <c r="K269" s="12">
        <v>426</v>
      </c>
      <c r="L269" s="10" t="s">
        <v>101</v>
      </c>
      <c r="M269" s="10" t="s">
        <v>102</v>
      </c>
      <c r="N269" s="124" t="s">
        <v>678</v>
      </c>
      <c r="O269" s="124" t="s">
        <v>678</v>
      </c>
      <c r="P269" s="21">
        <v>37</v>
      </c>
      <c r="Q269" s="10" t="s">
        <v>54</v>
      </c>
      <c r="R269" s="10" t="s">
        <v>28</v>
      </c>
      <c r="S269" s="10"/>
      <c r="T269" s="10"/>
      <c r="U269" s="10" t="s">
        <v>3487</v>
      </c>
      <c r="V269" s="10" t="s">
        <v>3487</v>
      </c>
      <c r="W269" s="50">
        <f>+J269/$W$2</f>
        <v>1.6997859292090629E-4</v>
      </c>
    </row>
    <row r="270" spans="1:29">
      <c r="A270" s="10" t="s">
        <v>3510</v>
      </c>
      <c r="B270" s="10" t="s">
        <v>381</v>
      </c>
      <c r="C270" s="124">
        <v>46302</v>
      </c>
      <c r="D270" s="124" t="s">
        <v>492</v>
      </c>
      <c r="E270" s="21">
        <v>0.99195580000000005</v>
      </c>
      <c r="F270" s="10"/>
      <c r="G270" s="14">
        <v>204671.72</v>
      </c>
      <c r="H270" s="14">
        <v>203025.3</v>
      </c>
      <c r="I270" s="14">
        <v>204671.72</v>
      </c>
      <c r="J270" s="14">
        <v>203025.3</v>
      </c>
      <c r="K270" s="12">
        <v>428</v>
      </c>
      <c r="L270" s="10" t="s">
        <v>101</v>
      </c>
      <c r="M270" s="10" t="s">
        <v>102</v>
      </c>
      <c r="N270" s="124" t="s">
        <v>678</v>
      </c>
      <c r="O270" s="124" t="s">
        <v>678</v>
      </c>
      <c r="P270" s="21">
        <v>37</v>
      </c>
      <c r="Q270" s="10" t="s">
        <v>54</v>
      </c>
      <c r="R270" s="10" t="s">
        <v>28</v>
      </c>
      <c r="S270" s="10"/>
      <c r="T270" s="10"/>
      <c r="U270" s="10" t="s">
        <v>3488</v>
      </c>
      <c r="V270" s="10" t="s">
        <v>3488</v>
      </c>
      <c r="W270" s="50">
        <f>+J270/$W$2</f>
        <v>2.6991338227596647E-6</v>
      </c>
    </row>
    <row r="271" spans="1:29">
      <c r="A271" s="10" t="s">
        <v>477</v>
      </c>
      <c r="B271" s="10" t="s">
        <v>381</v>
      </c>
      <c r="C271" s="124">
        <v>46303</v>
      </c>
      <c r="D271" s="124" t="s">
        <v>492</v>
      </c>
      <c r="E271" s="21">
        <v>0.99411702000000002</v>
      </c>
      <c r="F271" s="10"/>
      <c r="G271" s="14">
        <v>5000000</v>
      </c>
      <c r="H271" s="14">
        <v>4970585.08</v>
      </c>
      <c r="I271" s="14">
        <v>5000000</v>
      </c>
      <c r="J271" s="14">
        <v>4970585.08</v>
      </c>
      <c r="K271" s="12">
        <v>16831530</v>
      </c>
      <c r="L271" s="10" t="s">
        <v>101</v>
      </c>
      <c r="M271" s="10" t="s">
        <v>102</v>
      </c>
      <c r="N271" s="124" t="s">
        <v>155</v>
      </c>
      <c r="O271" s="124" t="s">
        <v>155</v>
      </c>
      <c r="P271" s="21">
        <v>24</v>
      </c>
      <c r="Q271" s="10" t="s">
        <v>54</v>
      </c>
      <c r="R271" s="10" t="s">
        <v>28</v>
      </c>
      <c r="S271" s="10"/>
      <c r="T271" s="10"/>
      <c r="U271" s="10" t="s">
        <v>1047</v>
      </c>
      <c r="V271" s="10" t="s">
        <v>1047</v>
      </c>
      <c r="W271" s="50">
        <f>+J271/$W$2</f>
        <v>6.6081785414588991E-5</v>
      </c>
    </row>
    <row r="272" spans="1:29">
      <c r="A272" s="10" t="s">
        <v>477</v>
      </c>
      <c r="B272" s="10" t="s">
        <v>381</v>
      </c>
      <c r="C272" s="124">
        <v>46303</v>
      </c>
      <c r="D272" s="124" t="s">
        <v>492</v>
      </c>
      <c r="E272" s="21">
        <v>0.99314325000000003</v>
      </c>
      <c r="F272" s="10"/>
      <c r="G272" s="14">
        <v>8000000</v>
      </c>
      <c r="H272" s="14">
        <v>7945146.0099999998</v>
      </c>
      <c r="I272" s="14">
        <v>8000000</v>
      </c>
      <c r="J272" s="14">
        <v>7945146.0099999998</v>
      </c>
      <c r="K272" s="12">
        <v>90000138</v>
      </c>
      <c r="L272" s="10" t="s">
        <v>101</v>
      </c>
      <c r="M272" s="10" t="s">
        <v>102</v>
      </c>
      <c r="N272" s="124" t="s">
        <v>399</v>
      </c>
      <c r="O272" s="124" t="s">
        <v>399</v>
      </c>
      <c r="P272" s="21">
        <v>28</v>
      </c>
      <c r="Q272" s="10" t="s">
        <v>54</v>
      </c>
      <c r="R272" s="10" t="s">
        <v>28</v>
      </c>
      <c r="S272" s="10"/>
      <c r="T272" s="10"/>
      <c r="U272" s="10" t="s">
        <v>845</v>
      </c>
      <c r="V272" s="10" t="s">
        <v>845</v>
      </c>
      <c r="W272" s="50">
        <f>+J272/$W$2</f>
        <v>1.0562729040348666E-4</v>
      </c>
    </row>
    <row r="273" spans="1:29">
      <c r="A273" s="10" t="s">
        <v>382</v>
      </c>
      <c r="B273" s="10" t="s">
        <v>381</v>
      </c>
      <c r="C273" s="124">
        <v>46303</v>
      </c>
      <c r="D273" s="124" t="s">
        <v>492</v>
      </c>
      <c r="E273" s="21">
        <v>0.99217138999999999</v>
      </c>
      <c r="F273" s="10"/>
      <c r="G273" s="14">
        <v>4000000</v>
      </c>
      <c r="H273" s="14">
        <v>3968685.57</v>
      </c>
      <c r="I273" s="14">
        <v>4000000</v>
      </c>
      <c r="J273" s="14">
        <v>3968685.57</v>
      </c>
      <c r="K273" s="12">
        <v>1142</v>
      </c>
      <c r="L273" s="10" t="s">
        <v>101</v>
      </c>
      <c r="M273" s="10" t="s">
        <v>102</v>
      </c>
      <c r="N273" s="124" t="s">
        <v>421</v>
      </c>
      <c r="O273" s="124" t="s">
        <v>421</v>
      </c>
      <c r="P273" s="21">
        <v>32</v>
      </c>
      <c r="Q273" s="10" t="s">
        <v>54</v>
      </c>
      <c r="R273" s="10" t="s">
        <v>28</v>
      </c>
      <c r="S273" s="10"/>
      <c r="T273" s="10"/>
      <c r="U273" s="10" t="s">
        <v>2113</v>
      </c>
      <c r="V273" s="10" t="s">
        <v>2113</v>
      </c>
      <c r="W273" s="50">
        <f>+J273/$W$2</f>
        <v>5.2761963429608131E-5</v>
      </c>
    </row>
    <row r="274" spans="1:29">
      <c r="A274" s="10" t="s">
        <v>382</v>
      </c>
      <c r="B274" s="10" t="s">
        <v>381</v>
      </c>
      <c r="C274" s="124">
        <v>46303</v>
      </c>
      <c r="D274" s="124" t="s">
        <v>492</v>
      </c>
      <c r="E274" s="21">
        <v>0.99265713</v>
      </c>
      <c r="F274" s="10"/>
      <c r="G274" s="14">
        <v>5000000</v>
      </c>
      <c r="H274" s="14">
        <v>4963285.6399999997</v>
      </c>
      <c r="I274" s="14">
        <v>5000000</v>
      </c>
      <c r="J274" s="14">
        <v>4963285.6399999997</v>
      </c>
      <c r="K274" s="12">
        <v>1196</v>
      </c>
      <c r="L274" s="10" t="s">
        <v>101</v>
      </c>
      <c r="M274" s="10" t="s">
        <v>102</v>
      </c>
      <c r="N274" s="124" t="s">
        <v>431</v>
      </c>
      <c r="O274" s="124" t="s">
        <v>431</v>
      </c>
      <c r="P274" s="21">
        <v>30</v>
      </c>
      <c r="Q274" s="10" t="s">
        <v>54</v>
      </c>
      <c r="R274" s="10" t="s">
        <v>28</v>
      </c>
      <c r="S274" s="10"/>
      <c r="T274" s="10"/>
      <c r="U274" s="10" t="s">
        <v>2264</v>
      </c>
      <c r="V274" s="10" t="s">
        <v>2264</v>
      </c>
      <c r="W274" s="50">
        <f>+J274/$W$2</f>
        <v>6.5984742507172009E-5</v>
      </c>
    </row>
    <row r="275" spans="1:29">
      <c r="A275" s="10" t="s">
        <v>382</v>
      </c>
      <c r="B275" s="10" t="s">
        <v>381</v>
      </c>
      <c r="C275" s="124">
        <v>46303</v>
      </c>
      <c r="D275" s="124" t="s">
        <v>492</v>
      </c>
      <c r="E275" s="21">
        <v>0.99265705999999998</v>
      </c>
      <c r="F275" s="10"/>
      <c r="G275" s="14">
        <v>5000000</v>
      </c>
      <c r="H275" s="14">
        <v>4963285.3099999996</v>
      </c>
      <c r="I275" s="14">
        <v>5000000</v>
      </c>
      <c r="J275" s="14">
        <v>4963285.3099999996</v>
      </c>
      <c r="K275" s="12">
        <v>1201</v>
      </c>
      <c r="L275" s="10" t="s">
        <v>101</v>
      </c>
      <c r="M275" s="10" t="s">
        <v>102</v>
      </c>
      <c r="N275" s="124" t="s">
        <v>536</v>
      </c>
      <c r="O275" s="124" t="s">
        <v>536</v>
      </c>
      <c r="P275" s="21">
        <v>30</v>
      </c>
      <c r="Q275" s="10" t="s">
        <v>54</v>
      </c>
      <c r="R275" s="10" t="s">
        <v>28</v>
      </c>
      <c r="S275" s="10"/>
      <c r="T275" s="10"/>
      <c r="U275" s="10" t="s">
        <v>2299</v>
      </c>
      <c r="V275" s="10" t="s">
        <v>2299</v>
      </c>
      <c r="W275" s="50">
        <f>+J275/$W$2</f>
        <v>6.5984738119964303E-5</v>
      </c>
    </row>
    <row r="276" spans="1:29">
      <c r="A276" s="10" t="s">
        <v>382</v>
      </c>
      <c r="B276" s="10" t="s">
        <v>381</v>
      </c>
      <c r="C276" s="124">
        <v>46303</v>
      </c>
      <c r="D276" s="124" t="s">
        <v>492</v>
      </c>
      <c r="E276" s="21">
        <v>0.99265709999999996</v>
      </c>
      <c r="F276" s="10"/>
      <c r="G276" s="14">
        <v>5000000</v>
      </c>
      <c r="H276" s="14">
        <v>4963285.5199999996</v>
      </c>
      <c r="I276" s="14">
        <v>5000000</v>
      </c>
      <c r="J276" s="14">
        <v>4963285.5199999996</v>
      </c>
      <c r="K276" s="12">
        <v>1223</v>
      </c>
      <c r="L276" s="10" t="s">
        <v>101</v>
      </c>
      <c r="M276" s="10" t="s">
        <v>102</v>
      </c>
      <c r="N276" s="124" t="s">
        <v>483</v>
      </c>
      <c r="O276" s="124" t="s">
        <v>483</v>
      </c>
      <c r="P276" s="21">
        <v>30</v>
      </c>
      <c r="Q276" s="10" t="s">
        <v>54</v>
      </c>
      <c r="R276" s="10" t="s">
        <v>28</v>
      </c>
      <c r="S276" s="10"/>
      <c r="T276" s="10"/>
      <c r="U276" s="10" t="s">
        <v>2447</v>
      </c>
      <c r="V276" s="10" t="s">
        <v>2447</v>
      </c>
      <c r="W276" s="50">
        <f>+J276/$W$2</f>
        <v>6.5984740911823752E-5</v>
      </c>
    </row>
    <row r="277" spans="1:29">
      <c r="A277" s="10" t="s">
        <v>382</v>
      </c>
      <c r="B277" s="10" t="s">
        <v>381</v>
      </c>
      <c r="C277" s="124">
        <v>46303</v>
      </c>
      <c r="D277" s="124" t="s">
        <v>492</v>
      </c>
      <c r="E277" s="21">
        <v>0.99265707000000003</v>
      </c>
      <c r="F277" s="10"/>
      <c r="G277" s="14">
        <v>5000000</v>
      </c>
      <c r="H277" s="14">
        <v>4963285.3600000003</v>
      </c>
      <c r="I277" s="14">
        <v>5000000</v>
      </c>
      <c r="J277" s="14">
        <v>4963285.3600000003</v>
      </c>
      <c r="K277" s="12">
        <v>789</v>
      </c>
      <c r="L277" s="10" t="s">
        <v>101</v>
      </c>
      <c r="M277" s="10" t="s">
        <v>102</v>
      </c>
      <c r="N277" s="124" t="s">
        <v>396</v>
      </c>
      <c r="O277" s="124" t="s">
        <v>396</v>
      </c>
      <c r="P277" s="21">
        <v>30</v>
      </c>
      <c r="Q277" s="10" t="s">
        <v>54</v>
      </c>
      <c r="R277" s="10" t="s">
        <v>28</v>
      </c>
      <c r="S277" s="10"/>
      <c r="T277" s="10"/>
      <c r="U277" s="10" t="s">
        <v>887</v>
      </c>
      <c r="V277" s="10" t="s">
        <v>887</v>
      </c>
      <c r="W277" s="50">
        <f>+J277/$W$2</f>
        <v>6.5984738784692748E-5</v>
      </c>
    </row>
    <row r="278" spans="1:29">
      <c r="A278" s="10" t="s">
        <v>382</v>
      </c>
      <c r="B278" s="10" t="s">
        <v>381</v>
      </c>
      <c r="C278" s="124">
        <v>46303</v>
      </c>
      <c r="D278" s="124" t="s">
        <v>492</v>
      </c>
      <c r="E278" s="21">
        <v>0.99217142000000003</v>
      </c>
      <c r="F278" s="10"/>
      <c r="G278" s="14">
        <v>3000000</v>
      </c>
      <c r="H278" s="14">
        <v>2976514.27</v>
      </c>
      <c r="I278" s="14">
        <v>3000000</v>
      </c>
      <c r="J278" s="14">
        <v>2976514.27</v>
      </c>
      <c r="K278" s="12">
        <v>1036</v>
      </c>
      <c r="L278" s="10" t="s">
        <v>101</v>
      </c>
      <c r="M278" s="10" t="s">
        <v>102</v>
      </c>
      <c r="N278" s="124" t="s">
        <v>398</v>
      </c>
      <c r="O278" s="124" t="s">
        <v>398</v>
      </c>
      <c r="P278" s="21">
        <v>32</v>
      </c>
      <c r="Q278" s="10" t="s">
        <v>54</v>
      </c>
      <c r="R278" s="10" t="s">
        <v>28</v>
      </c>
      <c r="S278" s="10"/>
      <c r="T278" s="10"/>
      <c r="U278" s="10" t="s">
        <v>1735</v>
      </c>
      <c r="V278" s="10" t="s">
        <v>1735</v>
      </c>
      <c r="W278" s="50">
        <f>+J278/$W$2</f>
        <v>3.9571473801953717E-5</v>
      </c>
    </row>
    <row r="279" spans="1:29">
      <c r="A279" s="10" t="s">
        <v>1424</v>
      </c>
      <c r="B279" s="10" t="s">
        <v>381</v>
      </c>
      <c r="C279" s="124">
        <v>46303</v>
      </c>
      <c r="D279" s="124" t="s">
        <v>492</v>
      </c>
      <c r="E279" s="21">
        <v>0.99314327000000002</v>
      </c>
      <c r="F279" s="10"/>
      <c r="G279" s="14">
        <v>9800000</v>
      </c>
      <c r="H279" s="14">
        <v>9732804</v>
      </c>
      <c r="I279" s="14">
        <v>9800000</v>
      </c>
      <c r="J279" s="14">
        <v>9732804</v>
      </c>
      <c r="K279" s="12">
        <v>10537626</v>
      </c>
      <c r="L279" s="10" t="s">
        <v>101</v>
      </c>
      <c r="M279" s="10" t="s">
        <v>102</v>
      </c>
      <c r="N279" s="124" t="s">
        <v>548</v>
      </c>
      <c r="O279" s="124" t="s">
        <v>548</v>
      </c>
      <c r="P279" s="21">
        <v>28</v>
      </c>
      <c r="Q279" s="10" t="s">
        <v>54</v>
      </c>
      <c r="R279" s="10" t="s">
        <v>28</v>
      </c>
      <c r="S279" s="10"/>
      <c r="T279" s="10"/>
      <c r="U279" s="10" t="s">
        <v>1403</v>
      </c>
      <c r="V279" s="10" t="s">
        <v>1403</v>
      </c>
      <c r="W279" s="50">
        <f>+J279/$W$2</f>
        <v>1.2939343257559801E-4</v>
      </c>
    </row>
    <row r="280" spans="1:29">
      <c r="A280" s="10" t="s">
        <v>1424</v>
      </c>
      <c r="B280" s="10" t="s">
        <v>381</v>
      </c>
      <c r="C280" s="124">
        <v>46303</v>
      </c>
      <c r="D280" s="124" t="s">
        <v>492</v>
      </c>
      <c r="E280" s="21">
        <v>0.99217142000000003</v>
      </c>
      <c r="F280" s="10"/>
      <c r="G280" s="14">
        <v>4327290</v>
      </c>
      <c r="H280" s="14">
        <v>4293413.47</v>
      </c>
      <c r="I280" s="14">
        <v>4327290</v>
      </c>
      <c r="J280" s="14">
        <v>4293413.47</v>
      </c>
      <c r="K280" s="12">
        <v>10537647</v>
      </c>
      <c r="L280" s="10" t="s">
        <v>101</v>
      </c>
      <c r="M280" s="10" t="s">
        <v>102</v>
      </c>
      <c r="N280" s="124" t="s">
        <v>398</v>
      </c>
      <c r="O280" s="124" t="s">
        <v>398</v>
      </c>
      <c r="P280" s="21">
        <v>32</v>
      </c>
      <c r="Q280" s="10" t="s">
        <v>54</v>
      </c>
      <c r="R280" s="10" t="s">
        <v>28</v>
      </c>
      <c r="S280" s="10"/>
      <c r="T280" s="10"/>
      <c r="U280" s="10" t="s">
        <v>1806</v>
      </c>
      <c r="V280" s="10" t="s">
        <v>1806</v>
      </c>
      <c r="W280" s="50">
        <f>+J280/$W$2</f>
        <v>5.7079080843465996E-5</v>
      </c>
      <c r="AC280"/>
    </row>
    <row r="281" spans="1:29">
      <c r="A281" s="10" t="s">
        <v>1425</v>
      </c>
      <c r="B281" s="10" t="s">
        <v>381</v>
      </c>
      <c r="C281" s="124">
        <v>46303</v>
      </c>
      <c r="D281" s="124" t="s">
        <v>492</v>
      </c>
      <c r="E281" s="21">
        <v>0.99314327000000002</v>
      </c>
      <c r="F281" s="10"/>
      <c r="G281" s="14">
        <v>19247714</v>
      </c>
      <c r="H281" s="14">
        <v>19115737.530000001</v>
      </c>
      <c r="I281" s="14">
        <v>19247714</v>
      </c>
      <c r="J281" s="14">
        <v>19115737.530000001</v>
      </c>
      <c r="K281" s="12">
        <v>72607192</v>
      </c>
      <c r="L281" s="10" t="s">
        <v>101</v>
      </c>
      <c r="M281" s="10" t="s">
        <v>102</v>
      </c>
      <c r="N281" s="124" t="s">
        <v>548</v>
      </c>
      <c r="O281" s="124" t="s">
        <v>548</v>
      </c>
      <c r="P281" s="21">
        <v>28</v>
      </c>
      <c r="Q281" s="10" t="s">
        <v>54</v>
      </c>
      <c r="R281" s="10" t="s">
        <v>28</v>
      </c>
      <c r="S281" s="10"/>
      <c r="T281" s="10"/>
      <c r="U281" s="10" t="s">
        <v>1398</v>
      </c>
      <c r="V281" s="10" t="s">
        <v>1398</v>
      </c>
      <c r="W281" s="50">
        <f>+J281/$W$2</f>
        <v>2.5413548811019761E-4</v>
      </c>
    </row>
    <row r="282" spans="1:29">
      <c r="A282" s="10" t="s">
        <v>353</v>
      </c>
      <c r="B282" s="10" t="s">
        <v>381</v>
      </c>
      <c r="C282" s="124">
        <v>46303</v>
      </c>
      <c r="D282" s="124" t="s">
        <v>492</v>
      </c>
      <c r="E282" s="21">
        <v>0.99120147999999997</v>
      </c>
      <c r="F282" s="10"/>
      <c r="G282" s="14">
        <v>1874176.47</v>
      </c>
      <c r="H282" s="14">
        <v>1857686.49</v>
      </c>
      <c r="I282" s="14">
        <v>1874176.47</v>
      </c>
      <c r="J282" s="14">
        <v>1857686.49</v>
      </c>
      <c r="K282" s="12">
        <v>3453</v>
      </c>
      <c r="L282" s="10" t="s">
        <v>101</v>
      </c>
      <c r="M282" s="10" t="s">
        <v>102</v>
      </c>
      <c r="N282" s="124" t="s">
        <v>431</v>
      </c>
      <c r="O282" s="124" t="s">
        <v>431</v>
      </c>
      <c r="P282" s="21">
        <v>36</v>
      </c>
      <c r="Q282" s="10" t="s">
        <v>54</v>
      </c>
      <c r="R282" s="10" t="s">
        <v>28</v>
      </c>
      <c r="S282" s="10"/>
      <c r="T282" s="10"/>
      <c r="U282" s="10" t="s">
        <v>2279</v>
      </c>
      <c r="V282" s="10" t="s">
        <v>2279</v>
      </c>
      <c r="W282" s="50">
        <f>+J282/$W$2</f>
        <v>2.4697140884622183E-5</v>
      </c>
    </row>
    <row r="283" spans="1:29">
      <c r="A283" s="10" t="s">
        <v>2605</v>
      </c>
      <c r="B283" s="10" t="s">
        <v>381</v>
      </c>
      <c r="C283" s="124">
        <v>46303</v>
      </c>
      <c r="D283" s="124" t="s">
        <v>492</v>
      </c>
      <c r="E283" s="21">
        <v>0.99192877999999995</v>
      </c>
      <c r="F283" s="10"/>
      <c r="G283" s="14">
        <v>7040260.4900000002</v>
      </c>
      <c r="H283" s="14">
        <v>6983436.9900000002</v>
      </c>
      <c r="I283" s="14">
        <v>7040260.4900000002</v>
      </c>
      <c r="J283" s="14">
        <v>6983436.9900000002</v>
      </c>
      <c r="K283" s="12">
        <v>806</v>
      </c>
      <c r="L283" s="10" t="s">
        <v>101</v>
      </c>
      <c r="M283" s="10" t="s">
        <v>102</v>
      </c>
      <c r="N283" s="124" t="s">
        <v>423</v>
      </c>
      <c r="O283" s="124" t="s">
        <v>423</v>
      </c>
      <c r="P283" s="21">
        <v>33</v>
      </c>
      <c r="Q283" s="10" t="s">
        <v>54</v>
      </c>
      <c r="R283" s="10" t="s">
        <v>28</v>
      </c>
      <c r="S283" s="10"/>
      <c r="T283" s="10"/>
      <c r="U283" s="10" t="s">
        <v>2511</v>
      </c>
      <c r="V283" s="10" t="s">
        <v>2511</v>
      </c>
      <c r="W283" s="50">
        <f>+J283/$W$2</f>
        <v>9.284178365366262E-5</v>
      </c>
    </row>
    <row r="284" spans="1:29">
      <c r="A284" s="10" t="s">
        <v>3350</v>
      </c>
      <c r="B284" s="10" t="s">
        <v>381</v>
      </c>
      <c r="C284" s="124">
        <v>46303</v>
      </c>
      <c r="D284" s="124" t="s">
        <v>492</v>
      </c>
      <c r="E284" s="21">
        <v>0.99192871999999999</v>
      </c>
      <c r="F284" s="10"/>
      <c r="G284" s="14">
        <v>13604342</v>
      </c>
      <c r="H284" s="14">
        <v>13494537.609999999</v>
      </c>
      <c r="I284" s="14">
        <v>13604342</v>
      </c>
      <c r="J284" s="14">
        <v>13494537.609999999</v>
      </c>
      <c r="K284" s="12">
        <v>80358739</v>
      </c>
      <c r="L284" s="10" t="s">
        <v>101</v>
      </c>
      <c r="M284" s="10" t="s">
        <v>102</v>
      </c>
      <c r="N284" s="124" t="s">
        <v>677</v>
      </c>
      <c r="O284" s="124" t="s">
        <v>677</v>
      </c>
      <c r="P284" s="21">
        <v>33</v>
      </c>
      <c r="Q284" s="10" t="s">
        <v>54</v>
      </c>
      <c r="R284" s="10" t="s">
        <v>28</v>
      </c>
      <c r="S284" s="10"/>
      <c r="T284" s="10"/>
      <c r="U284" s="10" t="s">
        <v>3312</v>
      </c>
      <c r="V284" s="10" t="s">
        <v>3312</v>
      </c>
      <c r="W284" s="50">
        <f>+J284/$W$2</f>
        <v>1.7940405893084936E-4</v>
      </c>
    </row>
    <row r="285" spans="1:29">
      <c r="A285" s="10" t="s">
        <v>494</v>
      </c>
      <c r="B285" s="10" t="s">
        <v>381</v>
      </c>
      <c r="C285" s="124">
        <v>46303</v>
      </c>
      <c r="D285" s="124" t="s">
        <v>492</v>
      </c>
      <c r="E285" s="21">
        <v>0.99338649999999995</v>
      </c>
      <c r="F285" s="10"/>
      <c r="G285" s="14">
        <v>20000000</v>
      </c>
      <c r="H285" s="14">
        <v>19867730</v>
      </c>
      <c r="I285" s="14">
        <v>20000000</v>
      </c>
      <c r="J285" s="14">
        <v>19867730</v>
      </c>
      <c r="K285" s="12">
        <v>9508920</v>
      </c>
      <c r="L285" s="10" t="s">
        <v>101</v>
      </c>
      <c r="M285" s="10" t="s">
        <v>102</v>
      </c>
      <c r="N285" s="124" t="s">
        <v>530</v>
      </c>
      <c r="O285" s="124" t="s">
        <v>530</v>
      </c>
      <c r="P285" s="21">
        <v>27</v>
      </c>
      <c r="Q285" s="10" t="s">
        <v>54</v>
      </c>
      <c r="R285" s="10" t="s">
        <v>28</v>
      </c>
      <c r="S285" s="10"/>
      <c r="T285" s="10"/>
      <c r="U285" s="10" t="s">
        <v>856</v>
      </c>
      <c r="V285" s="10" t="s">
        <v>856</v>
      </c>
      <c r="W285" s="50">
        <f>+J285/$W$2</f>
        <v>2.6413290375365474E-4</v>
      </c>
      <c r="AC285" s="47"/>
    </row>
    <row r="286" spans="1:29">
      <c r="A286" s="10" t="s">
        <v>1287</v>
      </c>
      <c r="B286" s="10" t="s">
        <v>381</v>
      </c>
      <c r="C286" s="124">
        <v>46303</v>
      </c>
      <c r="D286" s="124" t="s">
        <v>492</v>
      </c>
      <c r="E286" s="21">
        <v>0.99314327000000002</v>
      </c>
      <c r="F286" s="10"/>
      <c r="G286" s="14">
        <v>48082135.859999999</v>
      </c>
      <c r="H286" s="14">
        <v>47752449.75</v>
      </c>
      <c r="I286" s="14">
        <v>48082135.859999999</v>
      </c>
      <c r="J286" s="14">
        <v>47752449.75</v>
      </c>
      <c r="K286" s="12">
        <v>40292529</v>
      </c>
      <c r="L286" s="10" t="s">
        <v>101</v>
      </c>
      <c r="M286" s="10" t="s">
        <v>102</v>
      </c>
      <c r="N286" s="124" t="s">
        <v>322</v>
      </c>
      <c r="O286" s="124" t="s">
        <v>322</v>
      </c>
      <c r="P286" s="21">
        <v>28</v>
      </c>
      <c r="Q286" s="10" t="s">
        <v>54</v>
      </c>
      <c r="R286" s="10" t="s">
        <v>28</v>
      </c>
      <c r="S286" s="10"/>
      <c r="T286" s="10"/>
      <c r="U286" s="10" t="s">
        <v>1530</v>
      </c>
      <c r="V286" s="10" t="s">
        <v>1530</v>
      </c>
      <c r="W286" s="50">
        <f>+J286/$W$2</f>
        <v>6.348482294564092E-4</v>
      </c>
    </row>
    <row r="287" spans="1:29">
      <c r="A287" s="10" t="s">
        <v>1287</v>
      </c>
      <c r="B287" s="10" t="s">
        <v>381</v>
      </c>
      <c r="C287" s="124">
        <v>46303</v>
      </c>
      <c r="D287" s="124" t="s">
        <v>492</v>
      </c>
      <c r="E287" s="21">
        <v>0.99314327000000002</v>
      </c>
      <c r="F287" s="10"/>
      <c r="G287" s="14">
        <v>48082135.859999999</v>
      </c>
      <c r="H287" s="14">
        <v>47752449.75</v>
      </c>
      <c r="I287" s="14">
        <v>48082135.859999999</v>
      </c>
      <c r="J287" s="14">
        <v>47752449.75</v>
      </c>
      <c r="K287" s="12">
        <v>40292539</v>
      </c>
      <c r="L287" s="10" t="s">
        <v>101</v>
      </c>
      <c r="M287" s="10" t="s">
        <v>102</v>
      </c>
      <c r="N287" s="124" t="s">
        <v>322</v>
      </c>
      <c r="O287" s="124" t="s">
        <v>322</v>
      </c>
      <c r="P287" s="21">
        <v>28</v>
      </c>
      <c r="Q287" s="10" t="s">
        <v>54</v>
      </c>
      <c r="R287" s="10" t="s">
        <v>28</v>
      </c>
      <c r="S287" s="10"/>
      <c r="T287" s="10"/>
      <c r="U287" s="10" t="s">
        <v>1531</v>
      </c>
      <c r="V287" s="10" t="s">
        <v>1531</v>
      </c>
      <c r="W287" s="50">
        <f>+J287/$W$2</f>
        <v>6.348482294564092E-4</v>
      </c>
    </row>
    <row r="288" spans="1:29">
      <c r="A288" s="10" t="s">
        <v>1287</v>
      </c>
      <c r="B288" s="10" t="s">
        <v>381</v>
      </c>
      <c r="C288" s="124">
        <v>46303</v>
      </c>
      <c r="D288" s="124" t="s">
        <v>492</v>
      </c>
      <c r="E288" s="21">
        <v>0.99314327000000002</v>
      </c>
      <c r="F288" s="10"/>
      <c r="G288" s="14">
        <v>48082135.859999999</v>
      </c>
      <c r="H288" s="14">
        <v>47752449.75</v>
      </c>
      <c r="I288" s="14">
        <v>48082135.859999999</v>
      </c>
      <c r="J288" s="14">
        <v>47752449.75</v>
      </c>
      <c r="K288" s="12">
        <v>40292538</v>
      </c>
      <c r="L288" s="10" t="s">
        <v>101</v>
      </c>
      <c r="M288" s="10" t="s">
        <v>102</v>
      </c>
      <c r="N288" s="124" t="s">
        <v>322</v>
      </c>
      <c r="O288" s="124" t="s">
        <v>322</v>
      </c>
      <c r="P288" s="21">
        <v>28</v>
      </c>
      <c r="Q288" s="10" t="s">
        <v>54</v>
      </c>
      <c r="R288" s="10" t="s">
        <v>28</v>
      </c>
      <c r="S288" s="10"/>
      <c r="T288" s="10"/>
      <c r="U288" s="10" t="s">
        <v>1532</v>
      </c>
      <c r="V288" s="10" t="s">
        <v>1532</v>
      </c>
      <c r="W288" s="50">
        <f>+J288/$W$2</f>
        <v>6.348482294564092E-4</v>
      </c>
    </row>
    <row r="289" spans="1:23">
      <c r="A289" s="10" t="s">
        <v>1287</v>
      </c>
      <c r="B289" s="10" t="s">
        <v>381</v>
      </c>
      <c r="C289" s="124">
        <v>46303</v>
      </c>
      <c r="D289" s="124" t="s">
        <v>492</v>
      </c>
      <c r="E289" s="21">
        <v>0.99314327000000002</v>
      </c>
      <c r="F289" s="10"/>
      <c r="G289" s="14">
        <v>48082135.859999999</v>
      </c>
      <c r="H289" s="14">
        <v>47752449.75</v>
      </c>
      <c r="I289" s="14">
        <v>48082135.859999999</v>
      </c>
      <c r="J289" s="14">
        <v>47752449.75</v>
      </c>
      <c r="K289" s="12">
        <v>40292519</v>
      </c>
      <c r="L289" s="10" t="s">
        <v>101</v>
      </c>
      <c r="M289" s="10" t="s">
        <v>102</v>
      </c>
      <c r="N289" s="124" t="s">
        <v>322</v>
      </c>
      <c r="O289" s="124" t="s">
        <v>322</v>
      </c>
      <c r="P289" s="21">
        <v>28</v>
      </c>
      <c r="Q289" s="10" t="s">
        <v>54</v>
      </c>
      <c r="R289" s="10" t="s">
        <v>28</v>
      </c>
      <c r="S289" s="10"/>
      <c r="T289" s="10"/>
      <c r="U289" s="10" t="s">
        <v>1533</v>
      </c>
      <c r="V289" s="10" t="s">
        <v>1533</v>
      </c>
      <c r="W289" s="50">
        <f>+J289/$W$2</f>
        <v>6.348482294564092E-4</v>
      </c>
    </row>
    <row r="290" spans="1:23">
      <c r="A290" s="10" t="s">
        <v>1287</v>
      </c>
      <c r="B290" s="10" t="s">
        <v>381</v>
      </c>
      <c r="C290" s="124">
        <v>46303</v>
      </c>
      <c r="D290" s="124" t="s">
        <v>492</v>
      </c>
      <c r="E290" s="21">
        <v>0.99314327000000002</v>
      </c>
      <c r="F290" s="10"/>
      <c r="G290" s="14">
        <v>68400163.159999996</v>
      </c>
      <c r="H290" s="14">
        <v>67931161.870000005</v>
      </c>
      <c r="I290" s="14">
        <v>68400163.159999996</v>
      </c>
      <c r="J290" s="14">
        <v>67931161.870000005</v>
      </c>
      <c r="K290" s="12">
        <v>40292536</v>
      </c>
      <c r="L290" s="10" t="s">
        <v>101</v>
      </c>
      <c r="M290" s="10" t="s">
        <v>102</v>
      </c>
      <c r="N290" s="124" t="s">
        <v>322</v>
      </c>
      <c r="O290" s="124" t="s">
        <v>322</v>
      </c>
      <c r="P290" s="21">
        <v>28</v>
      </c>
      <c r="Q290" s="10" t="s">
        <v>54</v>
      </c>
      <c r="R290" s="10" t="s">
        <v>28</v>
      </c>
      <c r="S290" s="10"/>
      <c r="T290" s="10"/>
      <c r="U290" s="10" t="s">
        <v>1534</v>
      </c>
      <c r="V290" s="10" t="s">
        <v>1534</v>
      </c>
      <c r="W290" s="50">
        <f>+J290/$W$2</f>
        <v>9.03115506405747E-4</v>
      </c>
    </row>
    <row r="291" spans="1:23">
      <c r="A291" s="10" t="s">
        <v>1287</v>
      </c>
      <c r="B291" s="10" t="s">
        <v>381</v>
      </c>
      <c r="C291" s="124">
        <v>46303</v>
      </c>
      <c r="D291" s="124" t="s">
        <v>492</v>
      </c>
      <c r="E291" s="21">
        <v>0.99314327000000002</v>
      </c>
      <c r="F291" s="10"/>
      <c r="G291" s="14">
        <v>48082135.859999999</v>
      </c>
      <c r="H291" s="14">
        <v>47752449.75</v>
      </c>
      <c r="I291" s="14">
        <v>48082135.859999999</v>
      </c>
      <c r="J291" s="14">
        <v>47752449.75</v>
      </c>
      <c r="K291" s="12">
        <v>40292518</v>
      </c>
      <c r="L291" s="10" t="s">
        <v>101</v>
      </c>
      <c r="M291" s="10" t="s">
        <v>102</v>
      </c>
      <c r="N291" s="124" t="s">
        <v>322</v>
      </c>
      <c r="O291" s="124" t="s">
        <v>322</v>
      </c>
      <c r="P291" s="21">
        <v>28</v>
      </c>
      <c r="Q291" s="10" t="s">
        <v>54</v>
      </c>
      <c r="R291" s="10" t="s">
        <v>28</v>
      </c>
      <c r="S291" s="10"/>
      <c r="T291" s="10"/>
      <c r="U291" s="10" t="s">
        <v>1535</v>
      </c>
      <c r="V291" s="10" t="s">
        <v>1535</v>
      </c>
      <c r="W291" s="50">
        <f>+J291/$W$2</f>
        <v>6.348482294564092E-4</v>
      </c>
    </row>
    <row r="292" spans="1:23">
      <c r="A292" s="10" t="s">
        <v>1287</v>
      </c>
      <c r="B292" s="10" t="s">
        <v>381</v>
      </c>
      <c r="C292" s="124">
        <v>46303</v>
      </c>
      <c r="D292" s="124" t="s">
        <v>492</v>
      </c>
      <c r="E292" s="21">
        <v>0.99314327000000002</v>
      </c>
      <c r="F292" s="10"/>
      <c r="G292" s="14">
        <v>48082135.859999999</v>
      </c>
      <c r="H292" s="14">
        <v>47752449.75</v>
      </c>
      <c r="I292" s="14">
        <v>48082135.859999999</v>
      </c>
      <c r="J292" s="14">
        <v>47752449.75</v>
      </c>
      <c r="K292" s="12">
        <v>40292530</v>
      </c>
      <c r="L292" s="10" t="s">
        <v>101</v>
      </c>
      <c r="M292" s="10" t="s">
        <v>102</v>
      </c>
      <c r="N292" s="124" t="s">
        <v>322</v>
      </c>
      <c r="O292" s="124" t="s">
        <v>322</v>
      </c>
      <c r="P292" s="21">
        <v>28</v>
      </c>
      <c r="Q292" s="10" t="s">
        <v>54</v>
      </c>
      <c r="R292" s="10" t="s">
        <v>28</v>
      </c>
      <c r="S292" s="10"/>
      <c r="T292" s="10"/>
      <c r="U292" s="10" t="s">
        <v>1536</v>
      </c>
      <c r="V292" s="10" t="s">
        <v>1536</v>
      </c>
      <c r="W292" s="50">
        <f>+J292/$W$2</f>
        <v>6.348482294564092E-4</v>
      </c>
    </row>
    <row r="293" spans="1:23">
      <c r="A293" s="10" t="s">
        <v>1287</v>
      </c>
      <c r="B293" s="10" t="s">
        <v>381</v>
      </c>
      <c r="C293" s="124">
        <v>46303</v>
      </c>
      <c r="D293" s="124" t="s">
        <v>492</v>
      </c>
      <c r="E293" s="21">
        <v>0.99314327000000002</v>
      </c>
      <c r="F293" s="10"/>
      <c r="G293" s="14">
        <v>48082135.859999999</v>
      </c>
      <c r="H293" s="14">
        <v>47752449.75</v>
      </c>
      <c r="I293" s="14">
        <v>48082135.859999999</v>
      </c>
      <c r="J293" s="14">
        <v>47752449.75</v>
      </c>
      <c r="K293" s="12">
        <v>40292517</v>
      </c>
      <c r="L293" s="10" t="s">
        <v>101</v>
      </c>
      <c r="M293" s="10" t="s">
        <v>102</v>
      </c>
      <c r="N293" s="124" t="s">
        <v>322</v>
      </c>
      <c r="O293" s="124" t="s">
        <v>322</v>
      </c>
      <c r="P293" s="21">
        <v>28</v>
      </c>
      <c r="Q293" s="10" t="s">
        <v>54</v>
      </c>
      <c r="R293" s="10" t="s">
        <v>28</v>
      </c>
      <c r="S293" s="10"/>
      <c r="T293" s="10"/>
      <c r="U293" s="10" t="s">
        <v>1537</v>
      </c>
      <c r="V293" s="10" t="s">
        <v>1537</v>
      </c>
      <c r="W293" s="50">
        <f>+J293/$W$2</f>
        <v>6.348482294564092E-4</v>
      </c>
    </row>
    <row r="294" spans="1:23">
      <c r="A294" s="10" t="s">
        <v>1287</v>
      </c>
      <c r="B294" s="10" t="s">
        <v>381</v>
      </c>
      <c r="C294" s="124">
        <v>46303</v>
      </c>
      <c r="D294" s="124" t="s">
        <v>492</v>
      </c>
      <c r="E294" s="21">
        <v>0.99314327000000002</v>
      </c>
      <c r="F294" s="10"/>
      <c r="G294" s="14">
        <v>48082135.859999999</v>
      </c>
      <c r="H294" s="14">
        <v>47752449.75</v>
      </c>
      <c r="I294" s="14">
        <v>48082135.859999999</v>
      </c>
      <c r="J294" s="14">
        <v>47752449.75</v>
      </c>
      <c r="K294" s="12">
        <v>40292547</v>
      </c>
      <c r="L294" s="10" t="s">
        <v>101</v>
      </c>
      <c r="M294" s="10" t="s">
        <v>102</v>
      </c>
      <c r="N294" s="124" t="s">
        <v>322</v>
      </c>
      <c r="O294" s="124" t="s">
        <v>322</v>
      </c>
      <c r="P294" s="21">
        <v>28</v>
      </c>
      <c r="Q294" s="10" t="s">
        <v>54</v>
      </c>
      <c r="R294" s="10" t="s">
        <v>28</v>
      </c>
      <c r="S294" s="10"/>
      <c r="T294" s="10"/>
      <c r="U294" s="10" t="s">
        <v>1538</v>
      </c>
      <c r="V294" s="10" t="s">
        <v>1538</v>
      </c>
      <c r="W294" s="50">
        <f>+J294/$W$2</f>
        <v>6.348482294564092E-4</v>
      </c>
    </row>
    <row r="295" spans="1:23">
      <c r="A295" s="10" t="s">
        <v>1287</v>
      </c>
      <c r="B295" s="10" t="s">
        <v>381</v>
      </c>
      <c r="C295" s="124">
        <v>46303</v>
      </c>
      <c r="D295" s="124" t="s">
        <v>492</v>
      </c>
      <c r="E295" s="21">
        <v>0.99314327000000002</v>
      </c>
      <c r="F295" s="10"/>
      <c r="G295" s="14">
        <v>68400163.150000006</v>
      </c>
      <c r="H295" s="14">
        <v>67931161.859999999</v>
      </c>
      <c r="I295" s="14">
        <v>68400163.150000006</v>
      </c>
      <c r="J295" s="14">
        <v>67931161.859999999</v>
      </c>
      <c r="K295" s="12">
        <v>40292516</v>
      </c>
      <c r="L295" s="10" t="s">
        <v>101</v>
      </c>
      <c r="M295" s="10" t="s">
        <v>102</v>
      </c>
      <c r="N295" s="124" t="s">
        <v>322</v>
      </c>
      <c r="O295" s="124" t="s">
        <v>322</v>
      </c>
      <c r="P295" s="21">
        <v>28</v>
      </c>
      <c r="Q295" s="10" t="s">
        <v>54</v>
      </c>
      <c r="R295" s="10" t="s">
        <v>28</v>
      </c>
      <c r="S295" s="10"/>
      <c r="T295" s="10"/>
      <c r="U295" s="10" t="s">
        <v>1539</v>
      </c>
      <c r="V295" s="10" t="s">
        <v>1539</v>
      </c>
      <c r="W295" s="50">
        <f>+J295/$W$2</f>
        <v>9.0311550627280126E-4</v>
      </c>
    </row>
    <row r="296" spans="1:23">
      <c r="A296" s="10" t="s">
        <v>1287</v>
      </c>
      <c r="B296" s="10" t="s">
        <v>381</v>
      </c>
      <c r="C296" s="124">
        <v>46303</v>
      </c>
      <c r="D296" s="124" t="s">
        <v>492</v>
      </c>
      <c r="E296" s="21">
        <v>0.99314327000000002</v>
      </c>
      <c r="F296" s="10"/>
      <c r="G296" s="14">
        <v>48082135.869999997</v>
      </c>
      <c r="H296" s="14">
        <v>47752449.759999998</v>
      </c>
      <c r="I296" s="14">
        <v>48082135.869999997</v>
      </c>
      <c r="J296" s="14">
        <v>47752449.759999998</v>
      </c>
      <c r="K296" s="12">
        <v>40292548</v>
      </c>
      <c r="L296" s="10" t="s">
        <v>101</v>
      </c>
      <c r="M296" s="10" t="s">
        <v>102</v>
      </c>
      <c r="N296" s="124" t="s">
        <v>322</v>
      </c>
      <c r="O296" s="124" t="s">
        <v>322</v>
      </c>
      <c r="P296" s="21">
        <v>28</v>
      </c>
      <c r="Q296" s="10" t="s">
        <v>54</v>
      </c>
      <c r="R296" s="10" t="s">
        <v>28</v>
      </c>
      <c r="S296" s="10"/>
      <c r="T296" s="10"/>
      <c r="U296" s="10" t="s">
        <v>1540</v>
      </c>
      <c r="V296" s="10" t="s">
        <v>1540</v>
      </c>
      <c r="W296" s="50">
        <f>+J296/$W$2</f>
        <v>6.3484822958935483E-4</v>
      </c>
    </row>
    <row r="297" spans="1:23">
      <c r="A297" s="10" t="s">
        <v>1287</v>
      </c>
      <c r="B297" s="10" t="s">
        <v>381</v>
      </c>
      <c r="C297" s="124">
        <v>46303</v>
      </c>
      <c r="D297" s="124" t="s">
        <v>492</v>
      </c>
      <c r="E297" s="21">
        <v>0.99314327000000002</v>
      </c>
      <c r="F297" s="10"/>
      <c r="G297" s="14">
        <v>48082135.859999999</v>
      </c>
      <c r="H297" s="14">
        <v>47752449.75</v>
      </c>
      <c r="I297" s="14">
        <v>48082135.859999999</v>
      </c>
      <c r="J297" s="14">
        <v>47752449.75</v>
      </c>
      <c r="K297" s="12">
        <v>40292560</v>
      </c>
      <c r="L297" s="10" t="s">
        <v>101</v>
      </c>
      <c r="M297" s="10" t="s">
        <v>102</v>
      </c>
      <c r="N297" s="124" t="s">
        <v>322</v>
      </c>
      <c r="O297" s="124" t="s">
        <v>322</v>
      </c>
      <c r="P297" s="21">
        <v>28</v>
      </c>
      <c r="Q297" s="10" t="s">
        <v>54</v>
      </c>
      <c r="R297" s="10" t="s">
        <v>28</v>
      </c>
      <c r="S297" s="10"/>
      <c r="T297" s="10"/>
      <c r="U297" s="10" t="s">
        <v>1541</v>
      </c>
      <c r="V297" s="10" t="s">
        <v>1541</v>
      </c>
      <c r="W297" s="50">
        <f>+J297/$W$2</f>
        <v>6.348482294564092E-4</v>
      </c>
    </row>
    <row r="298" spans="1:23">
      <c r="A298" s="10" t="s">
        <v>1287</v>
      </c>
      <c r="B298" s="10" t="s">
        <v>381</v>
      </c>
      <c r="C298" s="124">
        <v>46303</v>
      </c>
      <c r="D298" s="124" t="s">
        <v>492</v>
      </c>
      <c r="E298" s="21">
        <v>0.99314325000000003</v>
      </c>
      <c r="F298" s="10"/>
      <c r="G298" s="14">
        <v>64965211.600000001</v>
      </c>
      <c r="H298" s="14">
        <v>64519761.270000003</v>
      </c>
      <c r="I298" s="14">
        <v>64965211.600000001</v>
      </c>
      <c r="J298" s="14">
        <v>64519761.270000003</v>
      </c>
      <c r="K298" s="12">
        <v>40292544</v>
      </c>
      <c r="L298" s="10" t="s">
        <v>101</v>
      </c>
      <c r="M298" s="10" t="s">
        <v>102</v>
      </c>
      <c r="N298" s="124" t="s">
        <v>391</v>
      </c>
      <c r="O298" s="124" t="s">
        <v>391</v>
      </c>
      <c r="P298" s="21">
        <v>28</v>
      </c>
      <c r="Q298" s="10" t="s">
        <v>54</v>
      </c>
      <c r="R298" s="10" t="s">
        <v>28</v>
      </c>
      <c r="S298" s="10"/>
      <c r="T298" s="10"/>
      <c r="U298" s="10" t="s">
        <v>1288</v>
      </c>
      <c r="V298" s="10" t="s">
        <v>1288</v>
      </c>
      <c r="W298" s="50">
        <f>+J298/$W$2</f>
        <v>8.5776240636135535E-4</v>
      </c>
    </row>
    <row r="299" spans="1:23">
      <c r="A299" s="10" t="s">
        <v>1287</v>
      </c>
      <c r="B299" s="10" t="s">
        <v>381</v>
      </c>
      <c r="C299" s="124">
        <v>46303</v>
      </c>
      <c r="D299" s="124" t="s">
        <v>492</v>
      </c>
      <c r="E299" s="21">
        <v>0.99314325000000003</v>
      </c>
      <c r="F299" s="10"/>
      <c r="G299" s="14">
        <v>64965211.600000001</v>
      </c>
      <c r="H299" s="14">
        <v>64519761.270000003</v>
      </c>
      <c r="I299" s="14">
        <v>64965211.600000001</v>
      </c>
      <c r="J299" s="14">
        <v>64519761.270000003</v>
      </c>
      <c r="K299" s="12">
        <v>40292563</v>
      </c>
      <c r="L299" s="10" t="s">
        <v>101</v>
      </c>
      <c r="M299" s="10" t="s">
        <v>102</v>
      </c>
      <c r="N299" s="124" t="s">
        <v>391</v>
      </c>
      <c r="O299" s="124" t="s">
        <v>391</v>
      </c>
      <c r="P299" s="21">
        <v>28</v>
      </c>
      <c r="Q299" s="10" t="s">
        <v>54</v>
      </c>
      <c r="R299" s="10" t="s">
        <v>28</v>
      </c>
      <c r="S299" s="10"/>
      <c r="T299" s="10"/>
      <c r="U299" s="10" t="s">
        <v>1289</v>
      </c>
      <c r="V299" s="10" t="s">
        <v>1289</v>
      </c>
      <c r="W299" s="50">
        <f>+J299/$W$2</f>
        <v>8.5776240636135535E-4</v>
      </c>
    </row>
    <row r="300" spans="1:23">
      <c r="A300" s="10" t="s">
        <v>389</v>
      </c>
      <c r="B300" s="10" t="s">
        <v>381</v>
      </c>
      <c r="C300" s="124">
        <v>46303</v>
      </c>
      <c r="D300" s="124" t="s">
        <v>492</v>
      </c>
      <c r="E300" s="21">
        <v>0.99217138000000005</v>
      </c>
      <c r="F300" s="10"/>
      <c r="G300" s="14">
        <v>14479899.68</v>
      </c>
      <c r="H300" s="14">
        <v>14366541.99</v>
      </c>
      <c r="I300" s="14">
        <v>14479899.68</v>
      </c>
      <c r="J300" s="14">
        <v>14366541.99</v>
      </c>
      <c r="K300" s="12">
        <v>9933007</v>
      </c>
      <c r="L300" s="10" t="s">
        <v>101</v>
      </c>
      <c r="M300" s="10" t="s">
        <v>102</v>
      </c>
      <c r="N300" s="124" t="s">
        <v>318</v>
      </c>
      <c r="O300" s="124" t="s">
        <v>318</v>
      </c>
      <c r="P300" s="21">
        <v>32</v>
      </c>
      <c r="Q300" s="10" t="s">
        <v>54</v>
      </c>
      <c r="R300" s="10" t="s">
        <v>28</v>
      </c>
      <c r="S300" s="10"/>
      <c r="T300" s="10"/>
      <c r="U300" s="10" t="s">
        <v>706</v>
      </c>
      <c r="V300" s="10" t="s">
        <v>706</v>
      </c>
      <c r="W300" s="50">
        <f>+J300/$W$2</f>
        <v>1.9099698117084889E-4</v>
      </c>
    </row>
    <row r="301" spans="1:23">
      <c r="A301" s="10" t="s">
        <v>353</v>
      </c>
      <c r="B301" s="10" t="s">
        <v>381</v>
      </c>
      <c r="C301" s="124">
        <v>46303</v>
      </c>
      <c r="D301" s="124" t="s">
        <v>492</v>
      </c>
      <c r="E301" s="21">
        <v>0.99192871000000005</v>
      </c>
      <c r="F301" s="10"/>
      <c r="G301" s="14">
        <v>5000000</v>
      </c>
      <c r="H301" s="14">
        <v>4959643.53</v>
      </c>
      <c r="I301" s="14">
        <v>5000000</v>
      </c>
      <c r="J301" s="14">
        <v>4959643.53</v>
      </c>
      <c r="K301" s="12">
        <v>3039</v>
      </c>
      <c r="L301" s="10" t="s">
        <v>101</v>
      </c>
      <c r="M301" s="10" t="s">
        <v>102</v>
      </c>
      <c r="N301" s="124" t="s">
        <v>155</v>
      </c>
      <c r="O301" s="124" t="s">
        <v>155</v>
      </c>
      <c r="P301" s="21">
        <v>33</v>
      </c>
      <c r="Q301" s="10" t="s">
        <v>54</v>
      </c>
      <c r="R301" s="10" t="s">
        <v>28</v>
      </c>
      <c r="S301" s="10"/>
      <c r="T301" s="10"/>
      <c r="U301" s="10" t="s">
        <v>1059</v>
      </c>
      <c r="V301" s="10" t="s">
        <v>1059</v>
      </c>
      <c r="W301" s="50">
        <f>+J301/$W$2</f>
        <v>6.5936322225132238E-5</v>
      </c>
    </row>
    <row r="302" spans="1:23">
      <c r="A302" s="10" t="s">
        <v>1672</v>
      </c>
      <c r="B302" s="10" t="s">
        <v>381</v>
      </c>
      <c r="C302" s="124">
        <v>46303</v>
      </c>
      <c r="D302" s="124" t="s">
        <v>492</v>
      </c>
      <c r="E302" s="21">
        <v>0.99192871000000005</v>
      </c>
      <c r="F302" s="10"/>
      <c r="G302" s="14">
        <v>38402544.32</v>
      </c>
      <c r="H302" s="14">
        <v>38092586.149999999</v>
      </c>
      <c r="I302" s="14">
        <v>38402544.32</v>
      </c>
      <c r="J302" s="14">
        <v>38092586.149999999</v>
      </c>
      <c r="K302" s="12">
        <v>90027958</v>
      </c>
      <c r="L302" s="10" t="s">
        <v>101</v>
      </c>
      <c r="M302" s="10" t="s">
        <v>102</v>
      </c>
      <c r="N302" s="124" t="s">
        <v>163</v>
      </c>
      <c r="O302" s="124" t="s">
        <v>163</v>
      </c>
      <c r="P302" s="21">
        <v>33</v>
      </c>
      <c r="Q302" s="10" t="s">
        <v>54</v>
      </c>
      <c r="R302" s="10" t="s">
        <v>28</v>
      </c>
      <c r="S302" s="10"/>
      <c r="T302" s="10"/>
      <c r="U302" s="10" t="s">
        <v>1663</v>
      </c>
      <c r="V302" s="10" t="s">
        <v>1663</v>
      </c>
      <c r="W302" s="50">
        <f>+J302/$W$2</f>
        <v>5.064245080482647E-4</v>
      </c>
    </row>
    <row r="303" spans="1:23">
      <c r="A303" s="10" t="s">
        <v>719</v>
      </c>
      <c r="B303" s="10" t="s">
        <v>381</v>
      </c>
      <c r="C303" s="124">
        <v>46303</v>
      </c>
      <c r="D303" s="124" t="s">
        <v>492</v>
      </c>
      <c r="E303" s="21">
        <v>0.99265711999999995</v>
      </c>
      <c r="F303" s="10"/>
      <c r="G303" s="14">
        <v>2700000</v>
      </c>
      <c r="H303" s="14">
        <v>2680174.2200000002</v>
      </c>
      <c r="I303" s="14">
        <v>2700000</v>
      </c>
      <c r="J303" s="14">
        <v>2680174.2200000002</v>
      </c>
      <c r="K303" s="12">
        <v>6905</v>
      </c>
      <c r="L303" s="10" t="s">
        <v>101</v>
      </c>
      <c r="M303" s="10" t="s">
        <v>102</v>
      </c>
      <c r="N303" s="124" t="s">
        <v>552</v>
      </c>
      <c r="O303" s="124" t="s">
        <v>552</v>
      </c>
      <c r="P303" s="21">
        <v>30</v>
      </c>
      <c r="Q303" s="10" t="s">
        <v>54</v>
      </c>
      <c r="R303" s="10" t="s">
        <v>28</v>
      </c>
      <c r="S303" s="10"/>
      <c r="T303" s="10"/>
      <c r="U303" s="10" t="s">
        <v>2384</v>
      </c>
      <c r="V303" s="10" t="s">
        <v>2384</v>
      </c>
      <c r="W303" s="50">
        <f>+J303/$W$2</f>
        <v>3.5631760613531927E-5</v>
      </c>
    </row>
    <row r="304" spans="1:23">
      <c r="A304" s="10" t="s">
        <v>900</v>
      </c>
      <c r="B304" s="10" t="s">
        <v>381</v>
      </c>
      <c r="C304" s="124">
        <v>46303</v>
      </c>
      <c r="D304" s="124" t="s">
        <v>492</v>
      </c>
      <c r="E304" s="21">
        <v>0.99217138000000005</v>
      </c>
      <c r="F304" s="10"/>
      <c r="G304" s="14">
        <v>7500000</v>
      </c>
      <c r="H304" s="14">
        <v>7441285.3200000003</v>
      </c>
      <c r="I304" s="14">
        <v>7500000</v>
      </c>
      <c r="J304" s="14">
        <v>7441285.3200000003</v>
      </c>
      <c r="K304" s="12">
        <v>67195465</v>
      </c>
      <c r="L304" s="10" t="s">
        <v>101</v>
      </c>
      <c r="M304" s="10" t="s">
        <v>102</v>
      </c>
      <c r="N304" s="124" t="s">
        <v>396</v>
      </c>
      <c r="O304" s="124" t="s">
        <v>396</v>
      </c>
      <c r="P304" s="21">
        <v>32</v>
      </c>
      <c r="Q304" s="10" t="s">
        <v>54</v>
      </c>
      <c r="R304" s="10" t="s">
        <v>28</v>
      </c>
      <c r="S304" s="10"/>
      <c r="T304" s="10"/>
      <c r="U304" s="10" t="s">
        <v>872</v>
      </c>
      <c r="V304" s="10" t="s">
        <v>872</v>
      </c>
      <c r="W304" s="50">
        <f>+J304/$W$2</f>
        <v>9.8928679785312363E-5</v>
      </c>
    </row>
    <row r="305" spans="1:29">
      <c r="A305" s="10" t="s">
        <v>1432</v>
      </c>
      <c r="B305" s="10" t="s">
        <v>381</v>
      </c>
      <c r="C305" s="124">
        <v>46303</v>
      </c>
      <c r="D305" s="124" t="s">
        <v>492</v>
      </c>
      <c r="E305" s="21">
        <v>0.99217142000000003</v>
      </c>
      <c r="F305" s="10"/>
      <c r="G305" s="14">
        <v>6000000</v>
      </c>
      <c r="H305" s="14">
        <v>5953028.5199999996</v>
      </c>
      <c r="I305" s="14">
        <v>6000000</v>
      </c>
      <c r="J305" s="14">
        <v>5953028.5199999996</v>
      </c>
      <c r="K305" s="12">
        <v>10816031</v>
      </c>
      <c r="L305" s="10" t="s">
        <v>101</v>
      </c>
      <c r="M305" s="10" t="s">
        <v>102</v>
      </c>
      <c r="N305" s="124" t="s">
        <v>398</v>
      </c>
      <c r="O305" s="124" t="s">
        <v>398</v>
      </c>
      <c r="P305" s="21">
        <v>32</v>
      </c>
      <c r="Q305" s="10" t="s">
        <v>54</v>
      </c>
      <c r="R305" s="10" t="s">
        <v>28</v>
      </c>
      <c r="S305" s="10"/>
      <c r="T305" s="10"/>
      <c r="U305" s="10" t="s">
        <v>1802</v>
      </c>
      <c r="V305" s="10" t="s">
        <v>1802</v>
      </c>
      <c r="W305" s="50">
        <f>+J305/$W$2</f>
        <v>7.9142947338016052E-5</v>
      </c>
    </row>
    <row r="306" spans="1:29">
      <c r="A306" s="10" t="s">
        <v>166</v>
      </c>
      <c r="B306" s="10" t="s">
        <v>381</v>
      </c>
      <c r="C306" s="124">
        <v>46303</v>
      </c>
      <c r="D306" s="124" t="s">
        <v>492</v>
      </c>
      <c r="E306" s="21">
        <v>0.99071717999999998</v>
      </c>
      <c r="F306" s="10"/>
      <c r="G306" s="14">
        <v>154000000</v>
      </c>
      <c r="H306" s="14">
        <v>152570445.61000001</v>
      </c>
      <c r="I306" s="14">
        <v>154000000</v>
      </c>
      <c r="J306" s="14">
        <v>152570445.61000001</v>
      </c>
      <c r="K306" s="12">
        <v>70406521</v>
      </c>
      <c r="L306" s="10" t="s">
        <v>101</v>
      </c>
      <c r="M306" s="10" t="s">
        <v>102</v>
      </c>
      <c r="N306" s="124" t="s">
        <v>348</v>
      </c>
      <c r="O306" s="124" t="s">
        <v>348</v>
      </c>
      <c r="P306" s="21">
        <v>38</v>
      </c>
      <c r="Q306" s="10" t="s">
        <v>54</v>
      </c>
      <c r="R306" s="10" t="s">
        <v>28</v>
      </c>
      <c r="S306" s="10"/>
      <c r="T306" s="10"/>
      <c r="U306" s="10" t="s">
        <v>1901</v>
      </c>
      <c r="V306" s="10" t="s">
        <v>1901</v>
      </c>
      <c r="W306" s="50">
        <f>+J306/$W$2</f>
        <v>2.0283582888411685E-3</v>
      </c>
    </row>
    <row r="307" spans="1:29">
      <c r="A307" s="10" t="s">
        <v>688</v>
      </c>
      <c r="B307" s="10" t="s">
        <v>381</v>
      </c>
      <c r="C307" s="124">
        <v>46303</v>
      </c>
      <c r="D307" s="124" t="s">
        <v>492</v>
      </c>
      <c r="E307" s="21">
        <v>0.99023331999999997</v>
      </c>
      <c r="F307" s="10"/>
      <c r="G307" s="14">
        <v>25000000</v>
      </c>
      <c r="H307" s="14">
        <v>24755832.899999999</v>
      </c>
      <c r="I307" s="14">
        <v>25000000</v>
      </c>
      <c r="J307" s="14">
        <v>24755832.899999999</v>
      </c>
      <c r="K307" s="12">
        <v>70393029</v>
      </c>
      <c r="L307" s="10" t="s">
        <v>101</v>
      </c>
      <c r="M307" s="10" t="s">
        <v>102</v>
      </c>
      <c r="N307" s="124" t="s">
        <v>349</v>
      </c>
      <c r="O307" s="124" t="s">
        <v>349</v>
      </c>
      <c r="P307" s="21">
        <v>40</v>
      </c>
      <c r="Q307" s="10" t="s">
        <v>54</v>
      </c>
      <c r="R307" s="10" t="s">
        <v>28</v>
      </c>
      <c r="S307" s="10"/>
      <c r="T307" s="10"/>
      <c r="U307" s="10" t="s">
        <v>1352</v>
      </c>
      <c r="V307" s="10" t="s">
        <v>1352</v>
      </c>
      <c r="W307" s="50">
        <f>+J307/$W$2</f>
        <v>3.291181241499285E-4</v>
      </c>
    </row>
    <row r="308" spans="1:29">
      <c r="A308" s="10" t="s">
        <v>597</v>
      </c>
      <c r="B308" s="10" t="s">
        <v>381</v>
      </c>
      <c r="C308" s="124">
        <v>46303</v>
      </c>
      <c r="D308" s="124" t="s">
        <v>492</v>
      </c>
      <c r="E308" s="21">
        <v>0.99047516999999996</v>
      </c>
      <c r="F308" s="10"/>
      <c r="G308" s="14">
        <v>3750000</v>
      </c>
      <c r="H308" s="14">
        <v>3714281.87</v>
      </c>
      <c r="I308" s="14">
        <v>3750000</v>
      </c>
      <c r="J308" s="14">
        <v>3714281.87</v>
      </c>
      <c r="K308" s="12">
        <v>66919994</v>
      </c>
      <c r="L308" s="10" t="s">
        <v>101</v>
      </c>
      <c r="M308" s="10" t="s">
        <v>102</v>
      </c>
      <c r="N308" s="124" t="s">
        <v>304</v>
      </c>
      <c r="O308" s="124" t="s">
        <v>304</v>
      </c>
      <c r="P308" s="21">
        <v>39</v>
      </c>
      <c r="Q308" s="10" t="s">
        <v>54</v>
      </c>
      <c r="R308" s="10" t="s">
        <v>28</v>
      </c>
      <c r="S308" s="10"/>
      <c r="T308" s="10"/>
      <c r="U308" s="10" t="s">
        <v>578</v>
      </c>
      <c r="V308" s="10" t="s">
        <v>578</v>
      </c>
      <c r="W308" s="50">
        <f>+J308/$W$2</f>
        <v>4.9379775932260741E-5</v>
      </c>
    </row>
    <row r="309" spans="1:29">
      <c r="A309" s="10" t="s">
        <v>290</v>
      </c>
      <c r="B309" s="10" t="s">
        <v>381</v>
      </c>
      <c r="C309" s="124">
        <v>46303</v>
      </c>
      <c r="D309" s="124" t="s">
        <v>492</v>
      </c>
      <c r="E309" s="21">
        <v>0.99144374999999996</v>
      </c>
      <c r="F309" s="10"/>
      <c r="G309" s="14">
        <v>4750000</v>
      </c>
      <c r="H309" s="14">
        <v>4709357.8</v>
      </c>
      <c r="I309" s="14">
        <v>4750000</v>
      </c>
      <c r="J309" s="14">
        <v>4709357.8</v>
      </c>
      <c r="K309" s="12">
        <v>40768616</v>
      </c>
      <c r="L309" s="10" t="s">
        <v>101</v>
      </c>
      <c r="M309" s="10" t="s">
        <v>102</v>
      </c>
      <c r="N309" s="124" t="s">
        <v>403</v>
      </c>
      <c r="O309" s="124" t="s">
        <v>403</v>
      </c>
      <c r="P309" s="21">
        <v>35</v>
      </c>
      <c r="Q309" s="10" t="s">
        <v>54</v>
      </c>
      <c r="R309" s="10" t="s">
        <v>28</v>
      </c>
      <c r="S309" s="10"/>
      <c r="T309" s="10"/>
      <c r="U309" s="10" t="s">
        <v>1245</v>
      </c>
      <c r="V309" s="10" t="s">
        <v>1245</v>
      </c>
      <c r="W309" s="50">
        <f>+J309/$W$2</f>
        <v>6.2608881363342627E-5</v>
      </c>
    </row>
    <row r="310" spans="1:29">
      <c r="A310" s="10" t="s">
        <v>463</v>
      </c>
      <c r="B310" s="10" t="s">
        <v>381</v>
      </c>
      <c r="C310" s="124">
        <v>46303</v>
      </c>
      <c r="D310" s="124" t="s">
        <v>492</v>
      </c>
      <c r="E310" s="21">
        <v>0.99023331999999997</v>
      </c>
      <c r="F310" s="10"/>
      <c r="G310" s="14">
        <v>7900000</v>
      </c>
      <c r="H310" s="14">
        <v>7822843.2400000002</v>
      </c>
      <c r="I310" s="14">
        <v>7900000</v>
      </c>
      <c r="J310" s="14">
        <v>7822843.2400000002</v>
      </c>
      <c r="K310" s="12">
        <v>15</v>
      </c>
      <c r="L310" s="10" t="s">
        <v>101</v>
      </c>
      <c r="M310" s="10" t="s">
        <v>102</v>
      </c>
      <c r="N310" s="124" t="s">
        <v>301</v>
      </c>
      <c r="O310" s="124" t="s">
        <v>301</v>
      </c>
      <c r="P310" s="21">
        <v>40</v>
      </c>
      <c r="Q310" s="10" t="s">
        <v>54</v>
      </c>
      <c r="R310" s="10" t="s">
        <v>28</v>
      </c>
      <c r="S310" s="10"/>
      <c r="T310" s="10"/>
      <c r="U310" s="10" t="s">
        <v>437</v>
      </c>
      <c r="V310" s="10" t="s">
        <v>437</v>
      </c>
      <c r="W310" s="50">
        <f>+J310/$W$2</f>
        <v>1.0400132781102062E-4</v>
      </c>
    </row>
    <row r="311" spans="1:29">
      <c r="A311" s="10" t="s">
        <v>463</v>
      </c>
      <c r="B311" s="10" t="s">
        <v>381</v>
      </c>
      <c r="C311" s="124">
        <v>46303</v>
      </c>
      <c r="D311" s="124" t="s">
        <v>492</v>
      </c>
      <c r="E311" s="21">
        <v>0.99023331999999997</v>
      </c>
      <c r="F311" s="10"/>
      <c r="G311" s="14">
        <v>7203888</v>
      </c>
      <c r="H311" s="14">
        <v>7133529.9500000002</v>
      </c>
      <c r="I311" s="14">
        <v>7203888</v>
      </c>
      <c r="J311" s="14">
        <v>7133529.9500000002</v>
      </c>
      <c r="K311" s="12">
        <v>876</v>
      </c>
      <c r="L311" s="10" t="s">
        <v>101</v>
      </c>
      <c r="M311" s="10" t="s">
        <v>102</v>
      </c>
      <c r="N311" s="124" t="s">
        <v>301</v>
      </c>
      <c r="O311" s="124" t="s">
        <v>301</v>
      </c>
      <c r="P311" s="21">
        <v>40</v>
      </c>
      <c r="Q311" s="10" t="s">
        <v>54</v>
      </c>
      <c r="R311" s="10" t="s">
        <v>28</v>
      </c>
      <c r="S311" s="10"/>
      <c r="T311" s="10"/>
      <c r="U311" s="10" t="s">
        <v>439</v>
      </c>
      <c r="V311" s="10" t="s">
        <v>439</v>
      </c>
      <c r="W311" s="50">
        <f>+J311/$W$2</f>
        <v>9.4837204839564636E-5</v>
      </c>
    </row>
    <row r="312" spans="1:29">
      <c r="A312" s="10" t="s">
        <v>465</v>
      </c>
      <c r="B312" s="10" t="s">
        <v>381</v>
      </c>
      <c r="C312" s="124">
        <v>46303</v>
      </c>
      <c r="D312" s="124" t="s">
        <v>492</v>
      </c>
      <c r="E312" s="21">
        <v>0.99217142999999997</v>
      </c>
      <c r="F312" s="10"/>
      <c r="G312" s="14">
        <v>10000000</v>
      </c>
      <c r="H312" s="14">
        <v>9921714.2799999993</v>
      </c>
      <c r="I312" s="14">
        <v>10000000</v>
      </c>
      <c r="J312" s="14">
        <v>9921714.2799999993</v>
      </c>
      <c r="K312" s="12">
        <v>14422563</v>
      </c>
      <c r="L312" s="10" t="s">
        <v>101</v>
      </c>
      <c r="M312" s="10" t="s">
        <v>102</v>
      </c>
      <c r="N312" s="124" t="s">
        <v>164</v>
      </c>
      <c r="O312" s="124" t="s">
        <v>164</v>
      </c>
      <c r="P312" s="21">
        <v>32</v>
      </c>
      <c r="Q312" s="10" t="s">
        <v>54</v>
      </c>
      <c r="R312" s="10" t="s">
        <v>28</v>
      </c>
      <c r="S312" s="10"/>
      <c r="T312" s="10"/>
      <c r="U312" s="10" t="s">
        <v>1973</v>
      </c>
      <c r="V312" s="10" t="s">
        <v>1973</v>
      </c>
      <c r="W312" s="50">
        <f>+J312/$W$2</f>
        <v>1.3190491329359225E-4</v>
      </c>
    </row>
    <row r="313" spans="1:29">
      <c r="A313" s="10" t="s">
        <v>495</v>
      </c>
      <c r="B313" s="10" t="s">
        <v>381</v>
      </c>
      <c r="C313" s="124">
        <v>46303</v>
      </c>
      <c r="D313" s="124" t="s">
        <v>492</v>
      </c>
      <c r="E313" s="21">
        <v>0.99023333999999996</v>
      </c>
      <c r="F313" s="10"/>
      <c r="G313" s="14">
        <v>187200000</v>
      </c>
      <c r="H313" s="14">
        <v>185371680.59</v>
      </c>
      <c r="I313" s="14">
        <v>187200000</v>
      </c>
      <c r="J313" s="14">
        <v>185371680.59</v>
      </c>
      <c r="K313" s="12">
        <v>70397197</v>
      </c>
      <c r="L313" s="10" t="s">
        <v>101</v>
      </c>
      <c r="M313" s="10" t="s">
        <v>102</v>
      </c>
      <c r="N313" s="124" t="s">
        <v>163</v>
      </c>
      <c r="O313" s="124" t="s">
        <v>163</v>
      </c>
      <c r="P313" s="21">
        <v>40</v>
      </c>
      <c r="Q313" s="10" t="s">
        <v>54</v>
      </c>
      <c r="R313" s="10" t="s">
        <v>28</v>
      </c>
      <c r="S313" s="10"/>
      <c r="T313" s="10"/>
      <c r="U313" s="10" t="s">
        <v>1658</v>
      </c>
      <c r="V313" s="10" t="s">
        <v>1658</v>
      </c>
      <c r="W313" s="50">
        <f>+J313/$W$2</f>
        <v>2.4644365646166772E-3</v>
      </c>
    </row>
    <row r="314" spans="1:29">
      <c r="A314" s="10" t="s">
        <v>675</v>
      </c>
      <c r="B314" s="10" t="s">
        <v>381</v>
      </c>
      <c r="C314" s="124">
        <v>46303</v>
      </c>
      <c r="D314" s="124" t="s">
        <v>492</v>
      </c>
      <c r="E314" s="21">
        <v>0.99265707000000003</v>
      </c>
      <c r="F314" s="10"/>
      <c r="G314" s="14">
        <v>100000000</v>
      </c>
      <c r="H314" s="14">
        <v>99265706.519999996</v>
      </c>
      <c r="I314" s="14">
        <v>100000000</v>
      </c>
      <c r="J314" s="14">
        <v>99265706.519999996</v>
      </c>
      <c r="K314" s="12">
        <v>90003980</v>
      </c>
      <c r="L314" s="10" t="s">
        <v>101</v>
      </c>
      <c r="M314" s="10" t="s">
        <v>102</v>
      </c>
      <c r="N314" s="124" t="s">
        <v>165</v>
      </c>
      <c r="O314" s="124" t="s">
        <v>165</v>
      </c>
      <c r="P314" s="21">
        <v>30</v>
      </c>
      <c r="Q314" s="10" t="s">
        <v>54</v>
      </c>
      <c r="R314" s="10" t="s">
        <v>28</v>
      </c>
      <c r="S314" s="10"/>
      <c r="T314" s="10"/>
      <c r="U314" s="10" t="s">
        <v>1275</v>
      </c>
      <c r="V314" s="10" t="s">
        <v>1275</v>
      </c>
      <c r="W314" s="50">
        <f>+J314/$W$2</f>
        <v>1.3196947666535481E-3</v>
      </c>
    </row>
    <row r="315" spans="1:29">
      <c r="A315" s="10" t="s">
        <v>382</v>
      </c>
      <c r="B315" s="10" t="s">
        <v>381</v>
      </c>
      <c r="C315" s="124">
        <v>46303</v>
      </c>
      <c r="D315" s="124" t="s">
        <v>492</v>
      </c>
      <c r="E315" s="21">
        <v>0.99217137</v>
      </c>
      <c r="F315" s="10"/>
      <c r="G315" s="14">
        <v>2000000</v>
      </c>
      <c r="H315" s="14">
        <v>1984342.74</v>
      </c>
      <c r="I315" s="14">
        <v>2000000</v>
      </c>
      <c r="J315" s="14">
        <v>1984342.74</v>
      </c>
      <c r="K315" s="12">
        <v>1069</v>
      </c>
      <c r="L315" s="10" t="s">
        <v>101</v>
      </c>
      <c r="M315" s="10" t="s">
        <v>102</v>
      </c>
      <c r="N315" s="124" t="s">
        <v>432</v>
      </c>
      <c r="O315" s="124" t="s">
        <v>432</v>
      </c>
      <c r="P315" s="21">
        <v>32</v>
      </c>
      <c r="Q315" s="10" t="s">
        <v>54</v>
      </c>
      <c r="R315" s="10" t="s">
        <v>28</v>
      </c>
      <c r="S315" s="10"/>
      <c r="T315" s="10"/>
      <c r="U315" s="10" t="s">
        <v>1838</v>
      </c>
      <c r="V315" s="10" t="s">
        <v>1838</v>
      </c>
      <c r="W315" s="50">
        <f>+J315/$W$2</f>
        <v>2.6380981116548469E-5</v>
      </c>
    </row>
    <row r="316" spans="1:29">
      <c r="A316" s="10" t="s">
        <v>382</v>
      </c>
      <c r="B316" s="10" t="s">
        <v>381</v>
      </c>
      <c r="C316" s="124">
        <v>46303</v>
      </c>
      <c r="D316" s="124" t="s">
        <v>492</v>
      </c>
      <c r="E316" s="21">
        <v>0.99265705999999998</v>
      </c>
      <c r="F316" s="10"/>
      <c r="G316" s="14">
        <v>3300000</v>
      </c>
      <c r="H316" s="14">
        <v>3275768.3</v>
      </c>
      <c r="I316" s="14">
        <v>3300000</v>
      </c>
      <c r="J316" s="14">
        <v>3275768.3</v>
      </c>
      <c r="K316" s="12">
        <v>924</v>
      </c>
      <c r="L316" s="10" t="s">
        <v>101</v>
      </c>
      <c r="M316" s="10" t="s">
        <v>102</v>
      </c>
      <c r="N316" s="124" t="s">
        <v>397</v>
      </c>
      <c r="O316" s="124" t="s">
        <v>397</v>
      </c>
      <c r="P316" s="21">
        <v>30</v>
      </c>
      <c r="Q316" s="10" t="s">
        <v>54</v>
      </c>
      <c r="R316" s="10" t="s">
        <v>28</v>
      </c>
      <c r="S316" s="10"/>
      <c r="T316" s="10"/>
      <c r="U316" s="10" t="s">
        <v>1450</v>
      </c>
      <c r="V316" s="10" t="s">
        <v>1450</v>
      </c>
      <c r="W316" s="50">
        <f>+J316/$W$2</f>
        <v>4.3549927098021419E-5</v>
      </c>
      <c r="AC316" s="47"/>
    </row>
    <row r="317" spans="1:29">
      <c r="A317" s="10" t="s">
        <v>386</v>
      </c>
      <c r="B317" s="10" t="s">
        <v>381</v>
      </c>
      <c r="C317" s="124">
        <v>46303</v>
      </c>
      <c r="D317" s="124" t="s">
        <v>492</v>
      </c>
      <c r="E317" s="21">
        <v>0.99071715999999999</v>
      </c>
      <c r="F317" s="10"/>
      <c r="G317" s="14">
        <v>20000000</v>
      </c>
      <c r="H317" s="14">
        <v>19814343.260000002</v>
      </c>
      <c r="I317" s="14">
        <v>20000000</v>
      </c>
      <c r="J317" s="14">
        <v>19814343.260000002</v>
      </c>
      <c r="K317" s="12">
        <v>70219568</v>
      </c>
      <c r="L317" s="10" t="s">
        <v>101</v>
      </c>
      <c r="M317" s="10" t="s">
        <v>102</v>
      </c>
      <c r="N317" s="124" t="s">
        <v>403</v>
      </c>
      <c r="O317" s="124" t="s">
        <v>403</v>
      </c>
      <c r="P317" s="21">
        <v>38</v>
      </c>
      <c r="Q317" s="10" t="s">
        <v>54</v>
      </c>
      <c r="R317" s="10" t="s">
        <v>28</v>
      </c>
      <c r="S317" s="10"/>
      <c r="T317" s="10"/>
      <c r="U317" s="10" t="s">
        <v>1252</v>
      </c>
      <c r="V317" s="10" t="s">
        <v>1252</v>
      </c>
      <c r="W317" s="50">
        <f>+J317/$W$2</f>
        <v>2.6342315006472593E-4</v>
      </c>
    </row>
    <row r="318" spans="1:29">
      <c r="A318" s="10" t="s">
        <v>386</v>
      </c>
      <c r="B318" s="10" t="s">
        <v>381</v>
      </c>
      <c r="C318" s="124">
        <v>46303</v>
      </c>
      <c r="D318" s="124" t="s">
        <v>492</v>
      </c>
      <c r="E318" s="21">
        <v>0.99071715999999999</v>
      </c>
      <c r="F318" s="10"/>
      <c r="G318" s="14">
        <v>20000000</v>
      </c>
      <c r="H318" s="14">
        <v>19814343.260000002</v>
      </c>
      <c r="I318" s="14">
        <v>20000000</v>
      </c>
      <c r="J318" s="14">
        <v>19814343.260000002</v>
      </c>
      <c r="K318" s="12">
        <v>70219566</v>
      </c>
      <c r="L318" s="10" t="s">
        <v>101</v>
      </c>
      <c r="M318" s="10" t="s">
        <v>102</v>
      </c>
      <c r="N318" s="124" t="s">
        <v>403</v>
      </c>
      <c r="O318" s="124" t="s">
        <v>403</v>
      </c>
      <c r="P318" s="21">
        <v>38</v>
      </c>
      <c r="Q318" s="10" t="s">
        <v>54</v>
      </c>
      <c r="R318" s="10" t="s">
        <v>28</v>
      </c>
      <c r="S318" s="10"/>
      <c r="T318" s="10"/>
      <c r="U318" s="10" t="s">
        <v>1253</v>
      </c>
      <c r="V318" s="10" t="s">
        <v>1253</v>
      </c>
      <c r="W318" s="50">
        <f>+J318/$W$2</f>
        <v>2.6342315006472593E-4</v>
      </c>
    </row>
    <row r="319" spans="1:29">
      <c r="A319" s="10" t="s">
        <v>386</v>
      </c>
      <c r="B319" s="10" t="s">
        <v>381</v>
      </c>
      <c r="C319" s="124">
        <v>46303</v>
      </c>
      <c r="D319" s="124" t="s">
        <v>492</v>
      </c>
      <c r="E319" s="21">
        <v>0.99071715999999999</v>
      </c>
      <c r="F319" s="10"/>
      <c r="G319" s="14">
        <v>20000000</v>
      </c>
      <c r="H319" s="14">
        <v>19814343.260000002</v>
      </c>
      <c r="I319" s="14">
        <v>20000000</v>
      </c>
      <c r="J319" s="14">
        <v>19814343.260000002</v>
      </c>
      <c r="K319" s="12">
        <v>70219567</v>
      </c>
      <c r="L319" s="10" t="s">
        <v>101</v>
      </c>
      <c r="M319" s="10" t="s">
        <v>102</v>
      </c>
      <c r="N319" s="124" t="s">
        <v>403</v>
      </c>
      <c r="O319" s="124" t="s">
        <v>403</v>
      </c>
      <c r="P319" s="21">
        <v>38</v>
      </c>
      <c r="Q319" s="10" t="s">
        <v>54</v>
      </c>
      <c r="R319" s="10" t="s">
        <v>28</v>
      </c>
      <c r="S319" s="10"/>
      <c r="T319" s="10"/>
      <c r="U319" s="10" t="s">
        <v>1254</v>
      </c>
      <c r="V319" s="10" t="s">
        <v>1254</v>
      </c>
      <c r="W319" s="50">
        <f>+J319/$W$2</f>
        <v>2.6342315006472593E-4</v>
      </c>
    </row>
    <row r="320" spans="1:29">
      <c r="A320" s="10" t="s">
        <v>386</v>
      </c>
      <c r="B320" s="10" t="s">
        <v>381</v>
      </c>
      <c r="C320" s="124">
        <v>46303</v>
      </c>
      <c r="D320" s="124" t="s">
        <v>492</v>
      </c>
      <c r="E320" s="21">
        <v>0.99071715999999999</v>
      </c>
      <c r="F320" s="10"/>
      <c r="G320" s="14">
        <v>20000000</v>
      </c>
      <c r="H320" s="14">
        <v>19814343.260000002</v>
      </c>
      <c r="I320" s="14">
        <v>20000000</v>
      </c>
      <c r="J320" s="14">
        <v>19814343.260000002</v>
      </c>
      <c r="K320" s="12">
        <v>70219569</v>
      </c>
      <c r="L320" s="10" t="s">
        <v>101</v>
      </c>
      <c r="M320" s="10" t="s">
        <v>102</v>
      </c>
      <c r="N320" s="124" t="s">
        <v>403</v>
      </c>
      <c r="O320" s="124" t="s">
        <v>403</v>
      </c>
      <c r="P320" s="21">
        <v>38</v>
      </c>
      <c r="Q320" s="10" t="s">
        <v>54</v>
      </c>
      <c r="R320" s="10" t="s">
        <v>28</v>
      </c>
      <c r="S320" s="10"/>
      <c r="T320" s="10"/>
      <c r="U320" s="10" t="s">
        <v>1255</v>
      </c>
      <c r="V320" s="10" t="s">
        <v>1255</v>
      </c>
      <c r="W320" s="50">
        <f>+J320/$W$2</f>
        <v>2.6342315006472593E-4</v>
      </c>
    </row>
    <row r="321" spans="1:29">
      <c r="A321" s="10" t="s">
        <v>382</v>
      </c>
      <c r="B321" s="10" t="s">
        <v>381</v>
      </c>
      <c r="C321" s="124">
        <v>46304</v>
      </c>
      <c r="D321" s="124" t="s">
        <v>492</v>
      </c>
      <c r="E321" s="21">
        <v>0.99184795999999997</v>
      </c>
      <c r="F321" s="10"/>
      <c r="G321" s="14">
        <v>5000000</v>
      </c>
      <c r="H321" s="14">
        <v>4959239.78</v>
      </c>
      <c r="I321" s="14">
        <v>5000000</v>
      </c>
      <c r="J321" s="14">
        <v>4959239.78</v>
      </c>
      <c r="K321" s="12">
        <v>1239</v>
      </c>
      <c r="L321" s="10" t="s">
        <v>101</v>
      </c>
      <c r="M321" s="10" t="s">
        <v>102</v>
      </c>
      <c r="N321" s="124" t="s">
        <v>422</v>
      </c>
      <c r="O321" s="124" t="s">
        <v>422</v>
      </c>
      <c r="P321" s="21">
        <v>30</v>
      </c>
      <c r="Q321" s="10" t="s">
        <v>54</v>
      </c>
      <c r="R321" s="10" t="s">
        <v>28</v>
      </c>
      <c r="S321" s="10"/>
      <c r="T321" s="10"/>
      <c r="U321" s="10" t="s">
        <v>2738</v>
      </c>
      <c r="V321" s="10" t="s">
        <v>2738</v>
      </c>
      <c r="W321" s="50">
        <f>+J321/$W$2</f>
        <v>6.5930954542971738E-5</v>
      </c>
    </row>
    <row r="322" spans="1:29">
      <c r="A322" s="10" t="s">
        <v>382</v>
      </c>
      <c r="B322" s="10" t="s">
        <v>381</v>
      </c>
      <c r="C322" s="124">
        <v>46304</v>
      </c>
      <c r="D322" s="124" t="s">
        <v>492</v>
      </c>
      <c r="E322" s="21">
        <v>0.99130912000000004</v>
      </c>
      <c r="F322" s="10"/>
      <c r="G322" s="14">
        <v>3000000</v>
      </c>
      <c r="H322" s="14">
        <v>2973927.36</v>
      </c>
      <c r="I322" s="14">
        <v>3000000</v>
      </c>
      <c r="J322" s="14">
        <v>2973927.36</v>
      </c>
      <c r="K322" s="12">
        <v>1037</v>
      </c>
      <c r="L322" s="10" t="s">
        <v>101</v>
      </c>
      <c r="M322" s="10" t="s">
        <v>102</v>
      </c>
      <c r="N322" s="124" t="s">
        <v>398</v>
      </c>
      <c r="O322" s="124" t="s">
        <v>398</v>
      </c>
      <c r="P322" s="21">
        <v>32</v>
      </c>
      <c r="Q322" s="10" t="s">
        <v>54</v>
      </c>
      <c r="R322" s="10" t="s">
        <v>28</v>
      </c>
      <c r="S322" s="10"/>
      <c r="T322" s="10"/>
      <c r="U322" s="10" t="s">
        <v>1747</v>
      </c>
      <c r="V322" s="10" t="s">
        <v>1747</v>
      </c>
      <c r="W322" s="50">
        <f>+J322/$W$2</f>
        <v>3.9537081948931281E-5</v>
      </c>
    </row>
    <row r="323" spans="1:29">
      <c r="A323" s="10" t="s">
        <v>2288</v>
      </c>
      <c r="B323" s="10" t="s">
        <v>381</v>
      </c>
      <c r="C323" s="124">
        <v>46304</v>
      </c>
      <c r="D323" s="124" t="s">
        <v>492</v>
      </c>
      <c r="E323" s="21">
        <v>0.99157843000000001</v>
      </c>
      <c r="F323" s="10"/>
      <c r="G323" s="14">
        <v>9990457.7799999993</v>
      </c>
      <c r="H323" s="14">
        <v>9906322.3900000006</v>
      </c>
      <c r="I323" s="14">
        <v>9990457.7799999993</v>
      </c>
      <c r="J323" s="14">
        <v>9906322.3900000006</v>
      </c>
      <c r="K323" s="12">
        <v>3021</v>
      </c>
      <c r="L323" s="10" t="s">
        <v>101</v>
      </c>
      <c r="M323" s="10" t="s">
        <v>102</v>
      </c>
      <c r="N323" s="124" t="s">
        <v>431</v>
      </c>
      <c r="O323" s="124" t="s">
        <v>431</v>
      </c>
      <c r="P323" s="21">
        <v>31</v>
      </c>
      <c r="Q323" s="10" t="s">
        <v>54</v>
      </c>
      <c r="R323" s="10" t="s">
        <v>28</v>
      </c>
      <c r="S323" s="10"/>
      <c r="T323" s="10"/>
      <c r="U323" s="10" t="s">
        <v>2257</v>
      </c>
      <c r="V323" s="10" t="s">
        <v>2257</v>
      </c>
      <c r="W323" s="50">
        <f>+J323/$W$2</f>
        <v>1.3170028475273948E-4</v>
      </c>
    </row>
    <row r="324" spans="1:29">
      <c r="A324" s="10" t="s">
        <v>2606</v>
      </c>
      <c r="B324" s="10" t="s">
        <v>381</v>
      </c>
      <c r="C324" s="124">
        <v>46304</v>
      </c>
      <c r="D324" s="124" t="s">
        <v>492</v>
      </c>
      <c r="E324" s="21">
        <v>0.99103996999999999</v>
      </c>
      <c r="F324" s="10"/>
      <c r="G324" s="14">
        <v>9698126.2200000007</v>
      </c>
      <c r="H324" s="14">
        <v>9611230.7200000007</v>
      </c>
      <c r="I324" s="14">
        <v>9698126.2200000007</v>
      </c>
      <c r="J324" s="14">
        <v>9611230.7200000007</v>
      </c>
      <c r="K324" s="12">
        <v>69049621</v>
      </c>
      <c r="L324" s="10" t="s">
        <v>101</v>
      </c>
      <c r="M324" s="10" t="s">
        <v>102</v>
      </c>
      <c r="N324" s="124" t="s">
        <v>423</v>
      </c>
      <c r="O324" s="124" t="s">
        <v>423</v>
      </c>
      <c r="P324" s="21">
        <v>33</v>
      </c>
      <c r="Q324" s="10" t="s">
        <v>54</v>
      </c>
      <c r="R324" s="10" t="s">
        <v>28</v>
      </c>
      <c r="S324" s="10"/>
      <c r="T324" s="10"/>
      <c r="U324" s="10" t="s">
        <v>2514</v>
      </c>
      <c r="V324" s="10" t="s">
        <v>2514</v>
      </c>
      <c r="W324" s="50">
        <f>+J324/$W$2</f>
        <v>1.2777716823813944E-4</v>
      </c>
    </row>
    <row r="325" spans="1:29">
      <c r="A325" s="10" t="s">
        <v>3350</v>
      </c>
      <c r="B325" s="10" t="s">
        <v>381</v>
      </c>
      <c r="C325" s="124">
        <v>46304</v>
      </c>
      <c r="D325" s="124" t="s">
        <v>492</v>
      </c>
      <c r="E325" s="21">
        <v>0.99104011000000003</v>
      </c>
      <c r="F325" s="10"/>
      <c r="G325" s="14">
        <v>13604342</v>
      </c>
      <c r="H325" s="14">
        <v>13482448.529999999</v>
      </c>
      <c r="I325" s="14">
        <v>13604342</v>
      </c>
      <c r="J325" s="14">
        <v>13482448.529999999</v>
      </c>
      <c r="K325" s="12">
        <v>80358740</v>
      </c>
      <c r="L325" s="10" t="s">
        <v>101</v>
      </c>
      <c r="M325" s="10" t="s">
        <v>102</v>
      </c>
      <c r="N325" s="124" t="s">
        <v>677</v>
      </c>
      <c r="O325" s="124" t="s">
        <v>677</v>
      </c>
      <c r="P325" s="21">
        <v>33</v>
      </c>
      <c r="Q325" s="10" t="s">
        <v>54</v>
      </c>
      <c r="R325" s="10" t="s">
        <v>28</v>
      </c>
      <c r="S325" s="10"/>
      <c r="T325" s="10"/>
      <c r="U325" s="10" t="s">
        <v>3313</v>
      </c>
      <c r="V325" s="10" t="s">
        <v>3313</v>
      </c>
      <c r="W325" s="50">
        <f>+J325/$W$2</f>
        <v>1.7924333982483623E-4</v>
      </c>
    </row>
    <row r="326" spans="1:29">
      <c r="A326" s="10" t="s">
        <v>494</v>
      </c>
      <c r="B326" s="10" t="s">
        <v>381</v>
      </c>
      <c r="C326" s="124">
        <v>46304</v>
      </c>
      <c r="D326" s="124" t="s">
        <v>492</v>
      </c>
      <c r="E326" s="21">
        <v>0.99319729999999995</v>
      </c>
      <c r="F326" s="10"/>
      <c r="G326" s="14">
        <v>25000000</v>
      </c>
      <c r="H326" s="14">
        <v>24829932.489999998</v>
      </c>
      <c r="I326" s="14">
        <v>25000000</v>
      </c>
      <c r="J326" s="14">
        <v>24829932.489999998</v>
      </c>
      <c r="K326" s="12">
        <v>6534</v>
      </c>
      <c r="L326" s="10" t="s">
        <v>101</v>
      </c>
      <c r="M326" s="10" t="s">
        <v>102</v>
      </c>
      <c r="N326" s="124" t="s">
        <v>326</v>
      </c>
      <c r="O326" s="124" t="s">
        <v>326</v>
      </c>
      <c r="P326" s="21">
        <v>25</v>
      </c>
      <c r="Q326" s="10" t="s">
        <v>54</v>
      </c>
      <c r="R326" s="10" t="s">
        <v>28</v>
      </c>
      <c r="S326" s="10"/>
      <c r="T326" s="10"/>
      <c r="U326" s="10" t="s">
        <v>945</v>
      </c>
      <c r="V326" s="10" t="s">
        <v>945</v>
      </c>
      <c r="W326" s="50">
        <f>+J326/$W$2</f>
        <v>3.3010324624861091E-4</v>
      </c>
    </row>
    <row r="327" spans="1:29">
      <c r="A327" s="10" t="s">
        <v>494</v>
      </c>
      <c r="B327" s="10" t="s">
        <v>381</v>
      </c>
      <c r="C327" s="124">
        <v>46304</v>
      </c>
      <c r="D327" s="124" t="s">
        <v>492</v>
      </c>
      <c r="E327" s="21">
        <v>0.99319729999999995</v>
      </c>
      <c r="F327" s="10"/>
      <c r="G327" s="14">
        <v>25000000</v>
      </c>
      <c r="H327" s="14">
        <v>24829932.489999998</v>
      </c>
      <c r="I327" s="14">
        <v>25000000</v>
      </c>
      <c r="J327" s="14">
        <v>24829932.489999998</v>
      </c>
      <c r="K327" s="12">
        <v>6535</v>
      </c>
      <c r="L327" s="10" t="s">
        <v>101</v>
      </c>
      <c r="M327" s="10" t="s">
        <v>102</v>
      </c>
      <c r="N327" s="124" t="s">
        <v>326</v>
      </c>
      <c r="O327" s="124" t="s">
        <v>326</v>
      </c>
      <c r="P327" s="21">
        <v>25</v>
      </c>
      <c r="Q327" s="10" t="s">
        <v>54</v>
      </c>
      <c r="R327" s="10" t="s">
        <v>28</v>
      </c>
      <c r="S327" s="10"/>
      <c r="T327" s="10"/>
      <c r="U327" s="10" t="s">
        <v>946</v>
      </c>
      <c r="V327" s="10" t="s">
        <v>946</v>
      </c>
      <c r="W327" s="50">
        <f>+J327/$W$2</f>
        <v>3.3010324624861091E-4</v>
      </c>
    </row>
    <row r="328" spans="1:29">
      <c r="A328" s="10" t="s">
        <v>494</v>
      </c>
      <c r="B328" s="10" t="s">
        <v>381</v>
      </c>
      <c r="C328" s="124">
        <v>46304</v>
      </c>
      <c r="D328" s="124" t="s">
        <v>492</v>
      </c>
      <c r="E328" s="21">
        <v>0.99346763999999999</v>
      </c>
      <c r="F328" s="10"/>
      <c r="G328" s="14">
        <v>6250000</v>
      </c>
      <c r="H328" s="14">
        <v>6209172.7400000002</v>
      </c>
      <c r="I328" s="14">
        <v>6250000</v>
      </c>
      <c r="J328" s="14">
        <v>6209172.7400000002</v>
      </c>
      <c r="K328" s="12">
        <v>50459993</v>
      </c>
      <c r="L328" s="10" t="s">
        <v>101</v>
      </c>
      <c r="M328" s="10" t="s">
        <v>102</v>
      </c>
      <c r="N328" s="124" t="s">
        <v>319</v>
      </c>
      <c r="O328" s="124" t="s">
        <v>319</v>
      </c>
      <c r="P328" s="21">
        <v>24</v>
      </c>
      <c r="Q328" s="10" t="s">
        <v>54</v>
      </c>
      <c r="R328" s="10" t="s">
        <v>28</v>
      </c>
      <c r="S328" s="10"/>
      <c r="T328" s="10"/>
      <c r="U328" s="10" t="s">
        <v>991</v>
      </c>
      <c r="V328" s="10" t="s">
        <v>991</v>
      </c>
      <c r="W328" s="50">
        <f>+J328/$W$2</f>
        <v>8.2548274298283533E-5</v>
      </c>
    </row>
    <row r="329" spans="1:29">
      <c r="A329" s="10" t="s">
        <v>494</v>
      </c>
      <c r="B329" s="10" t="s">
        <v>381</v>
      </c>
      <c r="C329" s="124">
        <v>46304</v>
      </c>
      <c r="D329" s="124" t="s">
        <v>492</v>
      </c>
      <c r="E329" s="21">
        <v>0.99319729999999995</v>
      </c>
      <c r="F329" s="10"/>
      <c r="G329" s="14">
        <v>25000000</v>
      </c>
      <c r="H329" s="14">
        <v>24829932.530000001</v>
      </c>
      <c r="I329" s="14">
        <v>25000000</v>
      </c>
      <c r="J329" s="14">
        <v>24829932.530000001</v>
      </c>
      <c r="K329" s="12">
        <v>929</v>
      </c>
      <c r="L329" s="10" t="s">
        <v>101</v>
      </c>
      <c r="M329" s="10" t="s">
        <v>102</v>
      </c>
      <c r="N329" s="124" t="s">
        <v>333</v>
      </c>
      <c r="O329" s="124" t="s">
        <v>333</v>
      </c>
      <c r="P329" s="21">
        <v>25</v>
      </c>
      <c r="Q329" s="10" t="s">
        <v>54</v>
      </c>
      <c r="R329" s="10" t="s">
        <v>28</v>
      </c>
      <c r="S329" s="10"/>
      <c r="T329" s="10"/>
      <c r="U329" s="10" t="s">
        <v>767</v>
      </c>
      <c r="V329" s="10" t="s">
        <v>767</v>
      </c>
      <c r="W329" s="50">
        <f>+J329/$W$2</f>
        <v>3.3010324678039369E-4</v>
      </c>
    </row>
    <row r="330" spans="1:29">
      <c r="A330" s="10" t="s">
        <v>1287</v>
      </c>
      <c r="B330" s="10" t="s">
        <v>381</v>
      </c>
      <c r="C330" s="124">
        <v>46304</v>
      </c>
      <c r="D330" s="124" t="s">
        <v>492</v>
      </c>
      <c r="E330" s="21">
        <v>0.99238720000000002</v>
      </c>
      <c r="F330" s="10"/>
      <c r="G330" s="14">
        <v>55696615.780000001</v>
      </c>
      <c r="H330" s="14">
        <v>55272608.539999999</v>
      </c>
      <c r="I330" s="14">
        <v>55696615.780000001</v>
      </c>
      <c r="J330" s="14">
        <v>55272608.539999999</v>
      </c>
      <c r="K330" s="12">
        <v>40292798</v>
      </c>
      <c r="L330" s="10" t="s">
        <v>101</v>
      </c>
      <c r="M330" s="10" t="s">
        <v>102</v>
      </c>
      <c r="N330" s="124" t="s">
        <v>349</v>
      </c>
      <c r="O330" s="124" t="s">
        <v>349</v>
      </c>
      <c r="P330" s="21">
        <v>28</v>
      </c>
      <c r="Q330" s="10" t="s">
        <v>54</v>
      </c>
      <c r="R330" s="10" t="s">
        <v>28</v>
      </c>
      <c r="S330" s="10"/>
      <c r="T330" s="10"/>
      <c r="U330" s="10" t="s">
        <v>1353</v>
      </c>
      <c r="V330" s="10" t="s">
        <v>1353</v>
      </c>
      <c r="W330" s="50">
        <f>+J330/$W$2</f>
        <v>7.3482549801659545E-4</v>
      </c>
    </row>
    <row r="331" spans="1:29">
      <c r="A331" s="10" t="s">
        <v>1287</v>
      </c>
      <c r="B331" s="10" t="s">
        <v>381</v>
      </c>
      <c r="C331" s="124">
        <v>46304</v>
      </c>
      <c r="D331" s="124" t="s">
        <v>492</v>
      </c>
      <c r="E331" s="21">
        <v>0.99238720000000002</v>
      </c>
      <c r="F331" s="10"/>
      <c r="G331" s="14">
        <v>55696615.780000001</v>
      </c>
      <c r="H331" s="14">
        <v>55272608.539999999</v>
      </c>
      <c r="I331" s="14">
        <v>55696615.780000001</v>
      </c>
      <c r="J331" s="14">
        <v>55272608.539999999</v>
      </c>
      <c r="K331" s="12">
        <v>40292779</v>
      </c>
      <c r="L331" s="10" t="s">
        <v>101</v>
      </c>
      <c r="M331" s="10" t="s">
        <v>102</v>
      </c>
      <c r="N331" s="124" t="s">
        <v>349</v>
      </c>
      <c r="O331" s="124" t="s">
        <v>349</v>
      </c>
      <c r="P331" s="21">
        <v>28</v>
      </c>
      <c r="Q331" s="10" t="s">
        <v>54</v>
      </c>
      <c r="R331" s="10" t="s">
        <v>28</v>
      </c>
      <c r="S331" s="10"/>
      <c r="T331" s="10"/>
      <c r="U331" s="10" t="s">
        <v>1354</v>
      </c>
      <c r="V331" s="10" t="s">
        <v>1354</v>
      </c>
      <c r="W331" s="50">
        <f>+J331/$W$2</f>
        <v>7.3482549801659545E-4</v>
      </c>
    </row>
    <row r="332" spans="1:29">
      <c r="A332" s="10" t="s">
        <v>389</v>
      </c>
      <c r="B332" s="10" t="s">
        <v>381</v>
      </c>
      <c r="C332" s="124">
        <v>46304</v>
      </c>
      <c r="D332" s="124" t="s">
        <v>492</v>
      </c>
      <c r="E332" s="21">
        <v>0.99130907999999995</v>
      </c>
      <c r="F332" s="10"/>
      <c r="G332" s="14">
        <v>14479899.68</v>
      </c>
      <c r="H332" s="14">
        <v>14354056.060000001</v>
      </c>
      <c r="I332" s="14">
        <v>14479899.68</v>
      </c>
      <c r="J332" s="14">
        <v>14354056.060000001</v>
      </c>
      <c r="K332" s="12">
        <v>9933006</v>
      </c>
      <c r="L332" s="10" t="s">
        <v>101</v>
      </c>
      <c r="M332" s="10" t="s">
        <v>102</v>
      </c>
      <c r="N332" s="124" t="s">
        <v>318</v>
      </c>
      <c r="O332" s="124" t="s">
        <v>318</v>
      </c>
      <c r="P332" s="21">
        <v>32</v>
      </c>
      <c r="Q332" s="10" t="s">
        <v>54</v>
      </c>
      <c r="R332" s="10" t="s">
        <v>28</v>
      </c>
      <c r="S332" s="10"/>
      <c r="T332" s="10"/>
      <c r="U332" s="10" t="s">
        <v>707</v>
      </c>
      <c r="V332" s="10" t="s">
        <v>707</v>
      </c>
      <c r="W332" s="50">
        <f>+J332/$W$2</f>
        <v>1.9083098611520009E-4</v>
      </c>
    </row>
    <row r="333" spans="1:29">
      <c r="A333" s="10" t="s">
        <v>273</v>
      </c>
      <c r="B333" s="10" t="s">
        <v>381</v>
      </c>
      <c r="C333" s="124">
        <v>46304</v>
      </c>
      <c r="D333" s="124" t="s">
        <v>492</v>
      </c>
      <c r="E333" s="21">
        <v>0.99319729999999995</v>
      </c>
      <c r="F333" s="10"/>
      <c r="G333" s="14">
        <v>8650000</v>
      </c>
      <c r="H333" s="14">
        <v>8591156.6699999999</v>
      </c>
      <c r="I333" s="14">
        <v>8650000</v>
      </c>
      <c r="J333" s="14">
        <v>8591156.6699999999</v>
      </c>
      <c r="K333" s="12">
        <v>34385</v>
      </c>
      <c r="L333" s="10" t="s">
        <v>101</v>
      </c>
      <c r="M333" s="10" t="s">
        <v>102</v>
      </c>
      <c r="N333" s="124" t="s">
        <v>361</v>
      </c>
      <c r="O333" s="124" t="s">
        <v>361</v>
      </c>
      <c r="P333" s="21">
        <v>25</v>
      </c>
      <c r="Q333" s="10" t="s">
        <v>54</v>
      </c>
      <c r="R333" s="10" t="s">
        <v>28</v>
      </c>
      <c r="S333" s="10"/>
      <c r="T333" s="10"/>
      <c r="U333" s="10" t="s">
        <v>1030</v>
      </c>
      <c r="V333" s="10" t="s">
        <v>1030</v>
      </c>
      <c r="W333" s="50">
        <f>+J333/$W$2</f>
        <v>1.142157235803828E-4</v>
      </c>
    </row>
    <row r="334" spans="1:29">
      <c r="A334" s="10" t="s">
        <v>1522</v>
      </c>
      <c r="B334" s="10" t="s">
        <v>381</v>
      </c>
      <c r="C334" s="124">
        <v>46304</v>
      </c>
      <c r="D334" s="124" t="s">
        <v>492</v>
      </c>
      <c r="E334" s="21">
        <v>0.99157839999999997</v>
      </c>
      <c r="F334" s="10"/>
      <c r="G334" s="14">
        <v>20000000</v>
      </c>
      <c r="H334" s="14">
        <v>19831568</v>
      </c>
      <c r="I334" s="14">
        <v>20000000</v>
      </c>
      <c r="J334" s="14">
        <v>19831568</v>
      </c>
      <c r="K334" s="12">
        <v>3870370</v>
      </c>
      <c r="L334" s="10" t="s">
        <v>101</v>
      </c>
      <c r="M334" s="10" t="s">
        <v>102</v>
      </c>
      <c r="N334" s="124" t="s">
        <v>436</v>
      </c>
      <c r="O334" s="124" t="s">
        <v>436</v>
      </c>
      <c r="P334" s="21">
        <v>31</v>
      </c>
      <c r="Q334" s="10" t="s">
        <v>54</v>
      </c>
      <c r="R334" s="10" t="s">
        <v>28</v>
      </c>
      <c r="S334" s="10"/>
      <c r="T334" s="10"/>
      <c r="U334" s="10" t="s">
        <v>1925</v>
      </c>
      <c r="V334" s="10" t="s">
        <v>1925</v>
      </c>
      <c r="W334" s="50">
        <f>+J334/$W$2</f>
        <v>2.6365214555603783E-4</v>
      </c>
    </row>
    <row r="335" spans="1:29">
      <c r="A335" s="10" t="s">
        <v>1668</v>
      </c>
      <c r="B335" s="10" t="s">
        <v>381</v>
      </c>
      <c r="C335" s="124">
        <v>46304</v>
      </c>
      <c r="D335" s="124" t="s">
        <v>492</v>
      </c>
      <c r="E335" s="21">
        <v>0.99157850000000003</v>
      </c>
      <c r="F335" s="10"/>
      <c r="G335" s="14">
        <v>598500</v>
      </c>
      <c r="H335" s="14">
        <v>593459.73</v>
      </c>
      <c r="I335" s="14">
        <v>598500</v>
      </c>
      <c r="J335" s="14">
        <v>593459.73</v>
      </c>
      <c r="K335" s="12">
        <v>88196079</v>
      </c>
      <c r="L335" s="10" t="s">
        <v>101</v>
      </c>
      <c r="M335" s="10" t="s">
        <v>102</v>
      </c>
      <c r="N335" s="124" t="s">
        <v>472</v>
      </c>
      <c r="O335" s="124" t="s">
        <v>472</v>
      </c>
      <c r="P335" s="21">
        <v>31</v>
      </c>
      <c r="Q335" s="10" t="s">
        <v>54</v>
      </c>
      <c r="R335" s="10" t="s">
        <v>28</v>
      </c>
      <c r="S335" s="10"/>
      <c r="T335" s="10"/>
      <c r="U335" s="10" t="s">
        <v>3193</v>
      </c>
      <c r="V335" s="10" t="s">
        <v>3193</v>
      </c>
      <c r="W335" s="50">
        <f>+J335/$W$2</f>
        <v>7.889791221531595E-6</v>
      </c>
    </row>
    <row r="336" spans="1:29">
      <c r="A336" s="10" t="s">
        <v>858</v>
      </c>
      <c r="B336" s="10" t="s">
        <v>381</v>
      </c>
      <c r="C336" s="124">
        <v>46304</v>
      </c>
      <c r="D336" s="124" t="s">
        <v>492</v>
      </c>
      <c r="E336" s="21">
        <v>0.99184786999999996</v>
      </c>
      <c r="F336" s="10"/>
      <c r="G336" s="14">
        <v>2000000</v>
      </c>
      <c r="H336" s="14">
        <v>1983695.74</v>
      </c>
      <c r="I336" s="14">
        <v>2000000</v>
      </c>
      <c r="J336" s="14">
        <v>1983695.74</v>
      </c>
      <c r="K336" s="12">
        <v>9807</v>
      </c>
      <c r="L336" s="10" t="s">
        <v>101</v>
      </c>
      <c r="M336" s="10" t="s">
        <v>102</v>
      </c>
      <c r="N336" s="124" t="s">
        <v>165</v>
      </c>
      <c r="O336" s="124" t="s">
        <v>165</v>
      </c>
      <c r="P336" s="21">
        <v>30</v>
      </c>
      <c r="Q336" s="10" t="s">
        <v>54</v>
      </c>
      <c r="R336" s="10" t="s">
        <v>28</v>
      </c>
      <c r="S336" s="10"/>
      <c r="T336" s="10"/>
      <c r="U336" s="10" t="s">
        <v>1265</v>
      </c>
      <c r="V336" s="10" t="s">
        <v>1265</v>
      </c>
      <c r="W336" s="50">
        <f>+J336/$W$2</f>
        <v>2.6372379530522858E-5</v>
      </c>
      <c r="AC336" s="47"/>
    </row>
    <row r="337" spans="1:29">
      <c r="A337" s="10" t="s">
        <v>273</v>
      </c>
      <c r="B337" s="10" t="s">
        <v>381</v>
      </c>
      <c r="C337" s="124">
        <v>46304</v>
      </c>
      <c r="D337" s="124" t="s">
        <v>492</v>
      </c>
      <c r="E337" s="21">
        <v>0.99265705999999998</v>
      </c>
      <c r="F337" s="10"/>
      <c r="G337" s="14">
        <v>24500000</v>
      </c>
      <c r="H337" s="14">
        <v>24320098.079999998</v>
      </c>
      <c r="I337" s="14">
        <v>24500000</v>
      </c>
      <c r="J337" s="14">
        <v>24320098.079999998</v>
      </c>
      <c r="K337" s="12">
        <v>34219</v>
      </c>
      <c r="L337" s="10" t="s">
        <v>101</v>
      </c>
      <c r="M337" s="10" t="s">
        <v>102</v>
      </c>
      <c r="N337" s="124" t="s">
        <v>395</v>
      </c>
      <c r="O337" s="124" t="s">
        <v>395</v>
      </c>
      <c r="P337" s="21">
        <v>27</v>
      </c>
      <c r="Q337" s="10" t="s">
        <v>54</v>
      </c>
      <c r="R337" s="10" t="s">
        <v>28</v>
      </c>
      <c r="S337" s="10"/>
      <c r="T337" s="10"/>
      <c r="U337" s="10" t="s">
        <v>827</v>
      </c>
      <c r="V337" s="10" t="s">
        <v>827</v>
      </c>
      <c r="W337" s="50">
        <f>+J337/$W$2</f>
        <v>3.2332521759879376E-4</v>
      </c>
      <c r="AC337" s="47"/>
    </row>
    <row r="338" spans="1:29">
      <c r="A338" s="10" t="s">
        <v>764</v>
      </c>
      <c r="B338" s="10" t="s">
        <v>381</v>
      </c>
      <c r="C338" s="124">
        <v>46304</v>
      </c>
      <c r="D338" s="124" t="s">
        <v>492</v>
      </c>
      <c r="E338" s="21">
        <v>0.99130912000000004</v>
      </c>
      <c r="F338" s="10"/>
      <c r="G338" s="14">
        <v>40000000</v>
      </c>
      <c r="H338" s="14">
        <v>39652364.609999999</v>
      </c>
      <c r="I338" s="14">
        <v>40000000</v>
      </c>
      <c r="J338" s="14">
        <v>39652364.609999999</v>
      </c>
      <c r="K338" s="12">
        <v>10629809</v>
      </c>
      <c r="L338" s="10" t="s">
        <v>101</v>
      </c>
      <c r="M338" s="10" t="s">
        <v>102</v>
      </c>
      <c r="N338" s="124" t="s">
        <v>397</v>
      </c>
      <c r="O338" s="124" t="s">
        <v>397</v>
      </c>
      <c r="P338" s="21">
        <v>32</v>
      </c>
      <c r="Q338" s="10" t="s">
        <v>54</v>
      </c>
      <c r="R338" s="10" t="s">
        <v>28</v>
      </c>
      <c r="S338" s="10"/>
      <c r="T338" s="10"/>
      <c r="U338" s="10" t="s">
        <v>1446</v>
      </c>
      <c r="V338" s="10" t="s">
        <v>1446</v>
      </c>
      <c r="W338" s="50">
        <f>+J338/$W$2</f>
        <v>5.27161090126449E-4</v>
      </c>
    </row>
    <row r="339" spans="1:29">
      <c r="A339" s="10" t="s">
        <v>402</v>
      </c>
      <c r="B339" s="10" t="s">
        <v>381</v>
      </c>
      <c r="C339" s="124">
        <v>46304</v>
      </c>
      <c r="D339" s="124" t="s">
        <v>492</v>
      </c>
      <c r="E339" s="21">
        <v>0.99077090000000001</v>
      </c>
      <c r="F339" s="10"/>
      <c r="G339" s="14">
        <v>50000000</v>
      </c>
      <c r="H339" s="14">
        <v>49538545.060000002</v>
      </c>
      <c r="I339" s="14">
        <v>50000000</v>
      </c>
      <c r="J339" s="14">
        <v>49538545.060000002</v>
      </c>
      <c r="K339" s="12">
        <v>550</v>
      </c>
      <c r="L339" s="10" t="s">
        <v>101</v>
      </c>
      <c r="M339" s="10" t="s">
        <v>102</v>
      </c>
      <c r="N339" s="124" t="s">
        <v>366</v>
      </c>
      <c r="O339" s="124" t="s">
        <v>366</v>
      </c>
      <c r="P339" s="21">
        <v>34</v>
      </c>
      <c r="Q339" s="10" t="s">
        <v>54</v>
      </c>
      <c r="R339" s="10" t="s">
        <v>28</v>
      </c>
      <c r="S339" s="10"/>
      <c r="T339" s="10"/>
      <c r="U339" s="10" t="s">
        <v>1166</v>
      </c>
      <c r="V339" s="10" t="s">
        <v>1166</v>
      </c>
      <c r="W339" s="50">
        <f>+J339/$W$2</f>
        <v>6.585935964717192E-4</v>
      </c>
    </row>
    <row r="340" spans="1:29">
      <c r="A340" s="10" t="s">
        <v>539</v>
      </c>
      <c r="B340" s="10" t="s">
        <v>381</v>
      </c>
      <c r="C340" s="124">
        <v>46304</v>
      </c>
      <c r="D340" s="124" t="s">
        <v>492</v>
      </c>
      <c r="E340" s="21">
        <v>0.99103991999999996</v>
      </c>
      <c r="F340" s="10"/>
      <c r="G340" s="14">
        <v>85000000</v>
      </c>
      <c r="H340" s="14">
        <v>84238392.890000001</v>
      </c>
      <c r="I340" s="14">
        <v>85000000</v>
      </c>
      <c r="J340" s="14">
        <v>84238392.890000001</v>
      </c>
      <c r="K340" s="12">
        <v>68458909</v>
      </c>
      <c r="L340" s="10" t="s">
        <v>101</v>
      </c>
      <c r="M340" s="10" t="s">
        <v>102</v>
      </c>
      <c r="N340" s="124" t="s">
        <v>155</v>
      </c>
      <c r="O340" s="124" t="s">
        <v>155</v>
      </c>
      <c r="P340" s="21">
        <v>33</v>
      </c>
      <c r="Q340" s="10" t="s">
        <v>54</v>
      </c>
      <c r="R340" s="10" t="s">
        <v>28</v>
      </c>
      <c r="S340" s="10"/>
      <c r="T340" s="10"/>
      <c r="U340" s="10" t="s">
        <v>1057</v>
      </c>
      <c r="V340" s="10" t="s">
        <v>1057</v>
      </c>
      <c r="W340" s="50">
        <f>+J340/$W$2</f>
        <v>1.1199131114413637E-3</v>
      </c>
    </row>
    <row r="341" spans="1:29">
      <c r="A341" s="10" t="s">
        <v>675</v>
      </c>
      <c r="B341" s="10" t="s">
        <v>381</v>
      </c>
      <c r="C341" s="124">
        <v>46304</v>
      </c>
      <c r="D341" s="124" t="s">
        <v>492</v>
      </c>
      <c r="E341" s="21">
        <v>0.99184786999999996</v>
      </c>
      <c r="F341" s="10"/>
      <c r="G341" s="14">
        <v>100000000</v>
      </c>
      <c r="H341" s="14">
        <v>99184786.709999993</v>
      </c>
      <c r="I341" s="14">
        <v>100000000</v>
      </c>
      <c r="J341" s="14">
        <v>99184786.709999993</v>
      </c>
      <c r="K341" s="12">
        <v>90003981</v>
      </c>
      <c r="L341" s="10" t="s">
        <v>101</v>
      </c>
      <c r="M341" s="10" t="s">
        <v>102</v>
      </c>
      <c r="N341" s="124" t="s">
        <v>165</v>
      </c>
      <c r="O341" s="124" t="s">
        <v>165</v>
      </c>
      <c r="P341" s="21">
        <v>30</v>
      </c>
      <c r="Q341" s="10" t="s">
        <v>54</v>
      </c>
      <c r="R341" s="10" t="s">
        <v>28</v>
      </c>
      <c r="S341" s="10"/>
      <c r="T341" s="10"/>
      <c r="U341" s="10" t="s">
        <v>1276</v>
      </c>
      <c r="V341" s="10" t="s">
        <v>1276</v>
      </c>
      <c r="W341" s="50">
        <f>+J341/$W$2</f>
        <v>1.3186189726707178E-3</v>
      </c>
    </row>
    <row r="342" spans="1:29">
      <c r="A342" s="10" t="s">
        <v>730</v>
      </c>
      <c r="B342" s="10" t="s">
        <v>381</v>
      </c>
      <c r="C342" s="124">
        <v>46304</v>
      </c>
      <c r="D342" s="124" t="s">
        <v>492</v>
      </c>
      <c r="E342" s="21">
        <v>0.99130910999999999</v>
      </c>
      <c r="F342" s="10"/>
      <c r="G342" s="14">
        <v>17357571</v>
      </c>
      <c r="H342" s="14">
        <v>17206718.219999999</v>
      </c>
      <c r="I342" s="14">
        <v>17357571</v>
      </c>
      <c r="J342" s="14">
        <v>17206718.219999999</v>
      </c>
      <c r="K342" s="12">
        <v>90044753</v>
      </c>
      <c r="L342" s="10" t="s">
        <v>101</v>
      </c>
      <c r="M342" s="10" t="s">
        <v>102</v>
      </c>
      <c r="N342" s="124" t="s">
        <v>417</v>
      </c>
      <c r="O342" s="124" t="s">
        <v>417</v>
      </c>
      <c r="P342" s="21">
        <v>32</v>
      </c>
      <c r="Q342" s="10" t="s">
        <v>54</v>
      </c>
      <c r="R342" s="10" t="s">
        <v>28</v>
      </c>
      <c r="S342" s="10"/>
      <c r="T342" s="10"/>
      <c r="U342" s="10" t="s">
        <v>1678</v>
      </c>
      <c r="V342" s="10" t="s">
        <v>1678</v>
      </c>
      <c r="W342" s="50">
        <f>+J342/$W$2</f>
        <v>2.2875589951743439E-4</v>
      </c>
    </row>
    <row r="343" spans="1:29">
      <c r="A343" s="10" t="s">
        <v>427</v>
      </c>
      <c r="B343" s="10" t="s">
        <v>381</v>
      </c>
      <c r="C343" s="124">
        <v>46304</v>
      </c>
      <c r="D343" s="124" t="s">
        <v>492</v>
      </c>
      <c r="E343" s="21">
        <v>0.99238716999999999</v>
      </c>
      <c r="F343" s="10"/>
      <c r="G343" s="14">
        <v>2500000</v>
      </c>
      <c r="H343" s="14">
        <v>2480967.9300000002</v>
      </c>
      <c r="I343" s="14">
        <v>2500000</v>
      </c>
      <c r="J343" s="14">
        <v>2480967.9300000002</v>
      </c>
      <c r="K343" s="12">
        <v>90031813</v>
      </c>
      <c r="L343" s="10" t="s">
        <v>101</v>
      </c>
      <c r="M343" s="10" t="s">
        <v>102</v>
      </c>
      <c r="N343" s="124" t="s">
        <v>277</v>
      </c>
      <c r="O343" s="124" t="s">
        <v>277</v>
      </c>
      <c r="P343" s="21">
        <v>28</v>
      </c>
      <c r="Q343" s="10" t="s">
        <v>54</v>
      </c>
      <c r="R343" s="10" t="s">
        <v>28</v>
      </c>
      <c r="S343" s="10"/>
      <c r="T343" s="10"/>
      <c r="U343" s="10" t="s">
        <v>509</v>
      </c>
      <c r="V343" s="10" t="s">
        <v>509</v>
      </c>
      <c r="W343" s="50">
        <f>+J343/$W$2</f>
        <v>3.298339888203605E-5</v>
      </c>
    </row>
    <row r="344" spans="1:29">
      <c r="A344" s="10" t="s">
        <v>382</v>
      </c>
      <c r="B344" s="10" t="s">
        <v>381</v>
      </c>
      <c r="C344" s="124">
        <v>46304</v>
      </c>
      <c r="D344" s="124" t="s">
        <v>492</v>
      </c>
      <c r="E344" s="21">
        <v>0.99130914000000003</v>
      </c>
      <c r="F344" s="10"/>
      <c r="G344" s="14">
        <v>2000000</v>
      </c>
      <c r="H344" s="14">
        <v>1982618.28</v>
      </c>
      <c r="I344" s="14">
        <v>2000000</v>
      </c>
      <c r="J344" s="14">
        <v>1982618.28</v>
      </c>
      <c r="K344" s="12">
        <v>1082</v>
      </c>
      <c r="L344" s="10" t="s">
        <v>101</v>
      </c>
      <c r="M344" s="10" t="s">
        <v>102</v>
      </c>
      <c r="N344" s="124" t="s">
        <v>432</v>
      </c>
      <c r="O344" s="124" t="s">
        <v>432</v>
      </c>
      <c r="P344" s="21">
        <v>32</v>
      </c>
      <c r="Q344" s="10" t="s">
        <v>54</v>
      </c>
      <c r="R344" s="10" t="s">
        <v>28</v>
      </c>
      <c r="S344" s="10"/>
      <c r="T344" s="10"/>
      <c r="U344" s="10" t="s">
        <v>1839</v>
      </c>
      <c r="V344" s="10" t="s">
        <v>1839</v>
      </c>
      <c r="W344" s="50">
        <f>+J344/$W$2</f>
        <v>2.6358055164403607E-5</v>
      </c>
    </row>
    <row r="345" spans="1:29">
      <c r="A345" s="10" t="s">
        <v>386</v>
      </c>
      <c r="B345" s="10" t="s">
        <v>381</v>
      </c>
      <c r="C345" s="124">
        <v>46304</v>
      </c>
      <c r="D345" s="124" t="s">
        <v>492</v>
      </c>
      <c r="E345" s="21">
        <v>0.98969636000000005</v>
      </c>
      <c r="F345" s="10"/>
      <c r="G345" s="14">
        <v>20000000</v>
      </c>
      <c r="H345" s="14">
        <v>19793927.109999999</v>
      </c>
      <c r="I345" s="14">
        <v>20000000</v>
      </c>
      <c r="J345" s="14">
        <v>19793927.109999999</v>
      </c>
      <c r="K345" s="12">
        <v>70219570</v>
      </c>
      <c r="L345" s="10" t="s">
        <v>101</v>
      </c>
      <c r="M345" s="10" t="s">
        <v>102</v>
      </c>
      <c r="N345" s="124" t="s">
        <v>349</v>
      </c>
      <c r="O345" s="124" t="s">
        <v>349</v>
      </c>
      <c r="P345" s="21">
        <v>38</v>
      </c>
      <c r="Q345" s="10" t="s">
        <v>54</v>
      </c>
      <c r="R345" s="10" t="s">
        <v>28</v>
      </c>
      <c r="S345" s="10"/>
      <c r="T345" s="10"/>
      <c r="U345" s="10" t="s">
        <v>1342</v>
      </c>
      <c r="V345" s="10" t="s">
        <v>1342</v>
      </c>
      <c r="W345" s="50">
        <f>+J345/$W$2</f>
        <v>2.6315172615354077E-4</v>
      </c>
    </row>
    <row r="346" spans="1:29">
      <c r="A346" s="10" t="s">
        <v>737</v>
      </c>
      <c r="B346" s="10" t="s">
        <v>381</v>
      </c>
      <c r="C346" s="124">
        <v>46308</v>
      </c>
      <c r="D346" s="124" t="s">
        <v>492</v>
      </c>
      <c r="E346" s="21">
        <v>0.98787488999999995</v>
      </c>
      <c r="F346" s="10"/>
      <c r="G346" s="14">
        <v>115000000</v>
      </c>
      <c r="H346" s="14">
        <v>113605611.92</v>
      </c>
      <c r="I346" s="14">
        <v>115000000</v>
      </c>
      <c r="J346" s="14">
        <v>113605611.92</v>
      </c>
      <c r="K346" s="12">
        <v>84234761</v>
      </c>
      <c r="L346" s="10" t="s">
        <v>101</v>
      </c>
      <c r="M346" s="10" t="s">
        <v>102</v>
      </c>
      <c r="N346" s="124" t="s">
        <v>416</v>
      </c>
      <c r="O346" s="124" t="s">
        <v>416</v>
      </c>
      <c r="P346" s="21">
        <v>32</v>
      </c>
      <c r="Q346" s="10" t="s">
        <v>54</v>
      </c>
      <c r="R346" s="10" t="s">
        <v>28</v>
      </c>
      <c r="S346" s="10"/>
      <c r="T346" s="10"/>
      <c r="U346" s="10" t="s">
        <v>2133</v>
      </c>
      <c r="V346" s="10" t="s">
        <v>2133</v>
      </c>
      <c r="W346" s="50">
        <f>+J346/$W$2</f>
        <v>1.5103376258455501E-3</v>
      </c>
    </row>
    <row r="347" spans="1:29">
      <c r="A347" s="10" t="s">
        <v>382</v>
      </c>
      <c r="B347" s="10" t="s">
        <v>381</v>
      </c>
      <c r="C347" s="124">
        <v>46308</v>
      </c>
      <c r="D347" s="124" t="s">
        <v>492</v>
      </c>
      <c r="E347" s="21">
        <v>0.98787484999999997</v>
      </c>
      <c r="F347" s="10"/>
      <c r="G347" s="14">
        <v>4000000</v>
      </c>
      <c r="H347" s="14">
        <v>3951499.42</v>
      </c>
      <c r="I347" s="14">
        <v>4000000</v>
      </c>
      <c r="J347" s="14">
        <v>3951499.42</v>
      </c>
      <c r="K347" s="12">
        <v>1143</v>
      </c>
      <c r="L347" s="10" t="s">
        <v>101</v>
      </c>
      <c r="M347" s="10" t="s">
        <v>102</v>
      </c>
      <c r="N347" s="124" t="s">
        <v>421</v>
      </c>
      <c r="O347" s="124" t="s">
        <v>421</v>
      </c>
      <c r="P347" s="21">
        <v>32</v>
      </c>
      <c r="Q347" s="10" t="s">
        <v>54</v>
      </c>
      <c r="R347" s="10" t="s">
        <v>28</v>
      </c>
      <c r="S347" s="10"/>
      <c r="T347" s="10"/>
      <c r="U347" s="10" t="s">
        <v>2114</v>
      </c>
      <c r="V347" s="10" t="s">
        <v>2114</v>
      </c>
      <c r="W347" s="50">
        <f>+J347/$W$2</f>
        <v>5.2533480975706962E-5</v>
      </c>
    </row>
    <row r="348" spans="1:29">
      <c r="A348" s="10" t="s">
        <v>382</v>
      </c>
      <c r="B348" s="10" t="s">
        <v>381</v>
      </c>
      <c r="C348" s="124">
        <v>46308</v>
      </c>
      <c r="D348" s="124" t="s">
        <v>492</v>
      </c>
      <c r="E348" s="21">
        <v>0.98862413999999998</v>
      </c>
      <c r="F348" s="10"/>
      <c r="G348" s="14">
        <v>5000000</v>
      </c>
      <c r="H348" s="14">
        <v>4943120.68</v>
      </c>
      <c r="I348" s="14">
        <v>5000000</v>
      </c>
      <c r="J348" s="14">
        <v>4943120.68</v>
      </c>
      <c r="K348" s="12">
        <v>1202</v>
      </c>
      <c r="L348" s="10" t="s">
        <v>101</v>
      </c>
      <c r="M348" s="10" t="s">
        <v>102</v>
      </c>
      <c r="N348" s="124" t="s">
        <v>536</v>
      </c>
      <c r="O348" s="124" t="s">
        <v>536</v>
      </c>
      <c r="P348" s="21">
        <v>30</v>
      </c>
      <c r="Q348" s="10" t="s">
        <v>54</v>
      </c>
      <c r="R348" s="10" t="s">
        <v>28</v>
      </c>
      <c r="S348" s="10"/>
      <c r="T348" s="10"/>
      <c r="U348" s="10" t="s">
        <v>2300</v>
      </c>
      <c r="V348" s="10" t="s">
        <v>2300</v>
      </c>
      <c r="W348" s="50">
        <f>+J348/$W$2</f>
        <v>6.5716658058728418E-5</v>
      </c>
    </row>
    <row r="349" spans="1:29">
      <c r="A349" s="10" t="s">
        <v>382</v>
      </c>
      <c r="B349" s="10" t="s">
        <v>381</v>
      </c>
      <c r="C349" s="124">
        <v>46308</v>
      </c>
      <c r="D349" s="124" t="s">
        <v>492</v>
      </c>
      <c r="E349" s="21">
        <v>0.98862415999999997</v>
      </c>
      <c r="F349" s="10"/>
      <c r="G349" s="14">
        <v>4000000</v>
      </c>
      <c r="H349" s="14">
        <v>3954496.64</v>
      </c>
      <c r="I349" s="14">
        <v>4000000</v>
      </c>
      <c r="J349" s="14">
        <v>3954496.64</v>
      </c>
      <c r="K349" s="12">
        <v>1286</v>
      </c>
      <c r="L349" s="10" t="s">
        <v>101</v>
      </c>
      <c r="M349" s="10" t="s">
        <v>102</v>
      </c>
      <c r="N349" s="124" t="s">
        <v>472</v>
      </c>
      <c r="O349" s="124" t="s">
        <v>472</v>
      </c>
      <c r="P349" s="21">
        <v>30</v>
      </c>
      <c r="Q349" s="10" t="s">
        <v>54</v>
      </c>
      <c r="R349" s="10" t="s">
        <v>28</v>
      </c>
      <c r="S349" s="10"/>
      <c r="T349" s="10"/>
      <c r="U349" s="10" t="s">
        <v>3229</v>
      </c>
      <c r="V349" s="10" t="s">
        <v>3229</v>
      </c>
      <c r="W349" s="50">
        <f>+J349/$W$2</f>
        <v>5.2573327723261343E-5</v>
      </c>
    </row>
    <row r="350" spans="1:29">
      <c r="A350" s="10" t="s">
        <v>382</v>
      </c>
      <c r="B350" s="10" t="s">
        <v>381</v>
      </c>
      <c r="C350" s="124">
        <v>46308</v>
      </c>
      <c r="D350" s="124" t="s">
        <v>492</v>
      </c>
      <c r="E350" s="21">
        <v>0.98862406000000003</v>
      </c>
      <c r="F350" s="10"/>
      <c r="G350" s="14">
        <v>5000000</v>
      </c>
      <c r="H350" s="14">
        <v>4943120.29</v>
      </c>
      <c r="I350" s="14">
        <v>5000000</v>
      </c>
      <c r="J350" s="14">
        <v>4943120.29</v>
      </c>
      <c r="K350" s="12">
        <v>790</v>
      </c>
      <c r="L350" s="10" t="s">
        <v>101</v>
      </c>
      <c r="M350" s="10" t="s">
        <v>102</v>
      </c>
      <c r="N350" s="124" t="s">
        <v>396</v>
      </c>
      <c r="O350" s="124" t="s">
        <v>396</v>
      </c>
      <c r="P350" s="21">
        <v>30</v>
      </c>
      <c r="Q350" s="10" t="s">
        <v>54</v>
      </c>
      <c r="R350" s="10" t="s">
        <v>28</v>
      </c>
      <c r="S350" s="10"/>
      <c r="T350" s="10"/>
      <c r="U350" s="10" t="s">
        <v>888</v>
      </c>
      <c r="V350" s="10" t="s">
        <v>888</v>
      </c>
      <c r="W350" s="50">
        <f>+J350/$W$2</f>
        <v>6.5716652873846584E-5</v>
      </c>
    </row>
    <row r="351" spans="1:29">
      <c r="A351" s="10" t="s">
        <v>382</v>
      </c>
      <c r="B351" s="10" t="s">
        <v>381</v>
      </c>
      <c r="C351" s="124">
        <v>46308</v>
      </c>
      <c r="D351" s="124" t="s">
        <v>492</v>
      </c>
      <c r="E351" s="21">
        <v>0.98787491000000005</v>
      </c>
      <c r="F351" s="10"/>
      <c r="G351" s="14">
        <v>3000000</v>
      </c>
      <c r="H351" s="14">
        <v>2963624.72</v>
      </c>
      <c r="I351" s="14">
        <v>3000000</v>
      </c>
      <c r="J351" s="14">
        <v>2963624.72</v>
      </c>
      <c r="K351" s="12">
        <v>1038</v>
      </c>
      <c r="L351" s="10" t="s">
        <v>101</v>
      </c>
      <c r="M351" s="10" t="s">
        <v>102</v>
      </c>
      <c r="N351" s="124" t="s">
        <v>398</v>
      </c>
      <c r="O351" s="124" t="s">
        <v>398</v>
      </c>
      <c r="P351" s="21">
        <v>32</v>
      </c>
      <c r="Q351" s="10" t="s">
        <v>54</v>
      </c>
      <c r="R351" s="10" t="s">
        <v>28</v>
      </c>
      <c r="S351" s="10"/>
      <c r="T351" s="10"/>
      <c r="U351" s="10" t="s">
        <v>1736</v>
      </c>
      <c r="V351" s="10" t="s">
        <v>1736</v>
      </c>
      <c r="W351" s="50">
        <f>+J351/$W$2</f>
        <v>3.9400112792438389E-5</v>
      </c>
      <c r="AC351" s="47"/>
    </row>
    <row r="352" spans="1:29">
      <c r="A352" s="10" t="s">
        <v>3456</v>
      </c>
      <c r="B352" s="10" t="s">
        <v>381</v>
      </c>
      <c r="C352" s="124">
        <v>46308</v>
      </c>
      <c r="D352" s="124" t="s">
        <v>492</v>
      </c>
      <c r="E352" s="21">
        <v>0.98862406999999997</v>
      </c>
      <c r="F352" s="10"/>
      <c r="G352" s="14">
        <v>2996311.46</v>
      </c>
      <c r="H352" s="14">
        <v>2962225.62</v>
      </c>
      <c r="I352" s="14">
        <v>2996311.46</v>
      </c>
      <c r="J352" s="14">
        <v>2962225.62</v>
      </c>
      <c r="K352" s="12">
        <v>70570605</v>
      </c>
      <c r="L352" s="10" t="s">
        <v>101</v>
      </c>
      <c r="M352" s="10" t="s">
        <v>102</v>
      </c>
      <c r="N352" s="124" t="s">
        <v>531</v>
      </c>
      <c r="O352" s="124" t="s">
        <v>531</v>
      </c>
      <c r="P352" s="21">
        <v>30</v>
      </c>
      <c r="Q352" s="10" t="s">
        <v>54</v>
      </c>
      <c r="R352" s="10" t="s">
        <v>28</v>
      </c>
      <c r="S352" s="10"/>
      <c r="T352" s="10"/>
      <c r="U352" s="10" t="s">
        <v>3420</v>
      </c>
      <c r="V352" s="10" t="s">
        <v>3420</v>
      </c>
      <c r="W352" s="50">
        <f>+J352/$W$2</f>
        <v>3.9381512361204334E-5</v>
      </c>
    </row>
    <row r="353" spans="1:23">
      <c r="A353" s="10" t="s">
        <v>3460</v>
      </c>
      <c r="B353" s="10" t="s">
        <v>381</v>
      </c>
      <c r="C353" s="124">
        <v>46308</v>
      </c>
      <c r="D353" s="124" t="s">
        <v>492</v>
      </c>
      <c r="E353" s="21">
        <v>0.98862406999999997</v>
      </c>
      <c r="F353" s="10"/>
      <c r="G353" s="14">
        <v>2270000</v>
      </c>
      <c r="H353" s="14">
        <v>2244176.63</v>
      </c>
      <c r="I353" s="14">
        <v>2270000</v>
      </c>
      <c r="J353" s="14">
        <v>2244176.63</v>
      </c>
      <c r="K353" s="12">
        <v>10287264</v>
      </c>
      <c r="L353" s="10" t="s">
        <v>101</v>
      </c>
      <c r="M353" s="10" t="s">
        <v>102</v>
      </c>
      <c r="N353" s="124" t="s">
        <v>531</v>
      </c>
      <c r="O353" s="124" t="s">
        <v>531</v>
      </c>
      <c r="P353" s="21">
        <v>30</v>
      </c>
      <c r="Q353" s="10" t="s">
        <v>54</v>
      </c>
      <c r="R353" s="10" t="s">
        <v>28</v>
      </c>
      <c r="S353" s="10"/>
      <c r="T353" s="10"/>
      <c r="U353" s="10" t="s">
        <v>3432</v>
      </c>
      <c r="V353" s="10" t="s">
        <v>3432</v>
      </c>
      <c r="W353" s="50">
        <f>+J353/$W$2</f>
        <v>2.9835360648548736E-5</v>
      </c>
    </row>
    <row r="354" spans="1:23">
      <c r="A354" s="10" t="s">
        <v>334</v>
      </c>
      <c r="B354" s="10" t="s">
        <v>381</v>
      </c>
      <c r="C354" s="124">
        <v>46308</v>
      </c>
      <c r="D354" s="124" t="s">
        <v>492</v>
      </c>
      <c r="E354" s="21">
        <v>0.98787484999999997</v>
      </c>
      <c r="F354" s="10"/>
      <c r="G354" s="14">
        <v>15000000</v>
      </c>
      <c r="H354" s="14">
        <v>14818122.82</v>
      </c>
      <c r="I354" s="14">
        <v>15000000</v>
      </c>
      <c r="J354" s="14">
        <v>14818122.82</v>
      </c>
      <c r="K354" s="12">
        <v>13953460</v>
      </c>
      <c r="L354" s="10" t="s">
        <v>101</v>
      </c>
      <c r="M354" s="10" t="s">
        <v>102</v>
      </c>
      <c r="N354" s="124" t="s">
        <v>396</v>
      </c>
      <c r="O354" s="124" t="s">
        <v>396</v>
      </c>
      <c r="P354" s="21">
        <v>32</v>
      </c>
      <c r="Q354" s="10" t="s">
        <v>54</v>
      </c>
      <c r="R354" s="10" t="s">
        <v>28</v>
      </c>
      <c r="S354" s="10"/>
      <c r="T354" s="10"/>
      <c r="U354" s="10" t="s">
        <v>861</v>
      </c>
      <c r="V354" s="10" t="s">
        <v>861</v>
      </c>
      <c r="W354" s="50">
        <f>+J354/$W$2</f>
        <v>1.9700055359242826E-4</v>
      </c>
    </row>
    <row r="355" spans="1:23">
      <c r="A355" s="10" t="s">
        <v>334</v>
      </c>
      <c r="B355" s="10" t="s">
        <v>381</v>
      </c>
      <c r="C355" s="124">
        <v>46308</v>
      </c>
      <c r="D355" s="124" t="s">
        <v>492</v>
      </c>
      <c r="E355" s="21">
        <v>0.98787488999999995</v>
      </c>
      <c r="F355" s="10"/>
      <c r="G355" s="14">
        <v>40000000</v>
      </c>
      <c r="H355" s="14">
        <v>39514995.420000002</v>
      </c>
      <c r="I355" s="14">
        <v>40000000</v>
      </c>
      <c r="J355" s="14">
        <v>39514995.420000002</v>
      </c>
      <c r="K355" s="12">
        <v>13795907</v>
      </c>
      <c r="L355" s="10" t="s">
        <v>101</v>
      </c>
      <c r="M355" s="10" t="s">
        <v>102</v>
      </c>
      <c r="N355" s="124" t="s">
        <v>368</v>
      </c>
      <c r="O355" s="124" t="s">
        <v>368</v>
      </c>
      <c r="P355" s="21">
        <v>32</v>
      </c>
      <c r="Q355" s="10" t="s">
        <v>54</v>
      </c>
      <c r="R355" s="10" t="s">
        <v>28</v>
      </c>
      <c r="S355" s="10"/>
      <c r="T355" s="10"/>
      <c r="U355" s="10" t="s">
        <v>733</v>
      </c>
      <c r="V355" s="10" t="s">
        <v>733</v>
      </c>
      <c r="W355" s="50">
        <f>+J355/$W$2</f>
        <v>5.2533482597644362E-4</v>
      </c>
    </row>
    <row r="356" spans="1:23">
      <c r="A356" s="10" t="s">
        <v>353</v>
      </c>
      <c r="B356" s="10" t="s">
        <v>381</v>
      </c>
      <c r="C356" s="124">
        <v>46308</v>
      </c>
      <c r="D356" s="124" t="s">
        <v>492</v>
      </c>
      <c r="E356" s="21">
        <v>0.98637991000000003</v>
      </c>
      <c r="F356" s="10"/>
      <c r="G356" s="14">
        <v>1874176.47</v>
      </c>
      <c r="H356" s="14">
        <v>1848650.02</v>
      </c>
      <c r="I356" s="14">
        <v>1874176.47</v>
      </c>
      <c r="J356" s="14">
        <v>1848650.02</v>
      </c>
      <c r="K356" s="12">
        <v>3455</v>
      </c>
      <c r="L356" s="10" t="s">
        <v>101</v>
      </c>
      <c r="M356" s="10" t="s">
        <v>102</v>
      </c>
      <c r="N356" s="124" t="s">
        <v>431</v>
      </c>
      <c r="O356" s="124" t="s">
        <v>431</v>
      </c>
      <c r="P356" s="21">
        <v>36</v>
      </c>
      <c r="Q356" s="10" t="s">
        <v>54</v>
      </c>
      <c r="R356" s="10" t="s">
        <v>28</v>
      </c>
      <c r="S356" s="10"/>
      <c r="T356" s="10"/>
      <c r="U356" s="10" t="s">
        <v>2280</v>
      </c>
      <c r="V356" s="10" t="s">
        <v>2280</v>
      </c>
      <c r="W356" s="50">
        <f>+J356/$W$2</f>
        <v>2.457700491233029E-5</v>
      </c>
    </row>
    <row r="357" spans="1:23">
      <c r="A357" s="10" t="s">
        <v>2290</v>
      </c>
      <c r="B357" s="10" t="s">
        <v>381</v>
      </c>
      <c r="C357" s="124">
        <v>46308</v>
      </c>
      <c r="D357" s="124" t="s">
        <v>492</v>
      </c>
      <c r="E357" s="21">
        <v>0.98824935999999997</v>
      </c>
      <c r="F357" s="10"/>
      <c r="G357" s="14">
        <v>20398741.449999999</v>
      </c>
      <c r="H357" s="14">
        <v>20159043.170000002</v>
      </c>
      <c r="I357" s="14">
        <v>20398741.449999999</v>
      </c>
      <c r="J357" s="14">
        <v>20159043.170000002</v>
      </c>
      <c r="K357" s="12">
        <v>69586082</v>
      </c>
      <c r="L357" s="10" t="s">
        <v>101</v>
      </c>
      <c r="M357" s="10" t="s">
        <v>102</v>
      </c>
      <c r="N357" s="124" t="s">
        <v>431</v>
      </c>
      <c r="O357" s="124" t="s">
        <v>431</v>
      </c>
      <c r="P357" s="21">
        <v>31</v>
      </c>
      <c r="Q357" s="10" t="s">
        <v>54</v>
      </c>
      <c r="R357" s="10" t="s">
        <v>28</v>
      </c>
      <c r="S357" s="10"/>
      <c r="T357" s="10"/>
      <c r="U357" s="10" t="s">
        <v>2268</v>
      </c>
      <c r="V357" s="10" t="s">
        <v>2268</v>
      </c>
      <c r="W357" s="50">
        <f>+J357/$W$2</f>
        <v>2.6800578673997387E-4</v>
      </c>
    </row>
    <row r="358" spans="1:23">
      <c r="A358" s="10" t="s">
        <v>389</v>
      </c>
      <c r="B358" s="10" t="s">
        <v>381</v>
      </c>
      <c r="C358" s="124">
        <v>46308</v>
      </c>
      <c r="D358" s="124" t="s">
        <v>492</v>
      </c>
      <c r="E358" s="21">
        <v>0.98787486000000002</v>
      </c>
      <c r="F358" s="10"/>
      <c r="G358" s="14">
        <v>14479899.68</v>
      </c>
      <c r="H358" s="14">
        <v>14304328.9</v>
      </c>
      <c r="I358" s="14">
        <v>14479899.68</v>
      </c>
      <c r="J358" s="14">
        <v>14304328.9</v>
      </c>
      <c r="K358" s="12">
        <v>9933005</v>
      </c>
      <c r="L358" s="10" t="s">
        <v>101</v>
      </c>
      <c r="M358" s="10" t="s">
        <v>102</v>
      </c>
      <c r="N358" s="124" t="s">
        <v>318</v>
      </c>
      <c r="O358" s="124" t="s">
        <v>318</v>
      </c>
      <c r="P358" s="21">
        <v>32</v>
      </c>
      <c r="Q358" s="10" t="s">
        <v>54</v>
      </c>
      <c r="R358" s="10" t="s">
        <v>28</v>
      </c>
      <c r="S358" s="10"/>
      <c r="T358" s="10"/>
      <c r="U358" s="10" t="s">
        <v>708</v>
      </c>
      <c r="V358" s="10" t="s">
        <v>708</v>
      </c>
      <c r="W358" s="50">
        <f>+J358/$W$2</f>
        <v>1.9016988496442833E-4</v>
      </c>
    </row>
    <row r="359" spans="1:23">
      <c r="A359" s="10" t="s">
        <v>273</v>
      </c>
      <c r="B359" s="10" t="s">
        <v>381</v>
      </c>
      <c r="C359" s="124">
        <v>46308</v>
      </c>
      <c r="D359" s="124" t="s">
        <v>492</v>
      </c>
      <c r="E359" s="21">
        <v>0.98975000999999996</v>
      </c>
      <c r="F359" s="10"/>
      <c r="G359" s="14">
        <v>15000000</v>
      </c>
      <c r="H359" s="14">
        <v>14846250.17</v>
      </c>
      <c r="I359" s="14">
        <v>15000000</v>
      </c>
      <c r="J359" s="14">
        <v>14846250.17</v>
      </c>
      <c r="K359" s="12">
        <v>11338650</v>
      </c>
      <c r="L359" s="10" t="s">
        <v>101</v>
      </c>
      <c r="M359" s="10" t="s">
        <v>102</v>
      </c>
      <c r="N359" s="124" t="s">
        <v>326</v>
      </c>
      <c r="O359" s="124" t="s">
        <v>326</v>
      </c>
      <c r="P359" s="21">
        <v>27</v>
      </c>
      <c r="Q359" s="10" t="s">
        <v>54</v>
      </c>
      <c r="R359" s="10" t="s">
        <v>28</v>
      </c>
      <c r="S359" s="10"/>
      <c r="T359" s="10"/>
      <c r="U359" s="10" t="s">
        <v>972</v>
      </c>
      <c r="V359" s="10" t="s">
        <v>972</v>
      </c>
      <c r="W359" s="50">
        <f>+J359/$W$2</f>
        <v>1.9737449458268711E-4</v>
      </c>
    </row>
    <row r="360" spans="1:23">
      <c r="A360" s="10" t="s">
        <v>1941</v>
      </c>
      <c r="B360" s="10" t="s">
        <v>381</v>
      </c>
      <c r="C360" s="124">
        <v>46308</v>
      </c>
      <c r="D360" s="124" t="s">
        <v>492</v>
      </c>
      <c r="E360" s="21">
        <v>0.98824933000000004</v>
      </c>
      <c r="F360" s="10"/>
      <c r="G360" s="14">
        <v>48000000</v>
      </c>
      <c r="H360" s="14">
        <v>47435967.899999999</v>
      </c>
      <c r="I360" s="14">
        <v>48000000</v>
      </c>
      <c r="J360" s="14">
        <v>47435967.899999999</v>
      </c>
      <c r="K360" s="12">
        <v>89</v>
      </c>
      <c r="L360" s="10" t="s">
        <v>101</v>
      </c>
      <c r="M360" s="10" t="s">
        <v>102</v>
      </c>
      <c r="N360" s="124" t="s">
        <v>436</v>
      </c>
      <c r="O360" s="124" t="s">
        <v>436</v>
      </c>
      <c r="P360" s="21">
        <v>31</v>
      </c>
      <c r="Q360" s="10" t="s">
        <v>54</v>
      </c>
      <c r="R360" s="10" t="s">
        <v>28</v>
      </c>
      <c r="S360" s="10"/>
      <c r="T360" s="10"/>
      <c r="U360" s="10" t="s">
        <v>1930</v>
      </c>
      <c r="V360" s="10" t="s">
        <v>1930</v>
      </c>
      <c r="W360" s="50">
        <f>+J360/$W$2</f>
        <v>6.3064073972175761E-4</v>
      </c>
    </row>
    <row r="361" spans="1:23">
      <c r="A361" s="10" t="s">
        <v>2128</v>
      </c>
      <c r="B361" s="10" t="s">
        <v>381</v>
      </c>
      <c r="C361" s="124">
        <v>46308</v>
      </c>
      <c r="D361" s="124" t="s">
        <v>492</v>
      </c>
      <c r="E361" s="21">
        <v>0.98824931000000005</v>
      </c>
      <c r="F361" s="10"/>
      <c r="G361" s="14">
        <v>5000000</v>
      </c>
      <c r="H361" s="14">
        <v>4941246.57</v>
      </c>
      <c r="I361" s="14">
        <v>5000000</v>
      </c>
      <c r="J361" s="14">
        <v>4941246.57</v>
      </c>
      <c r="K361" s="12">
        <v>69492660</v>
      </c>
      <c r="L361" s="10" t="s">
        <v>101</v>
      </c>
      <c r="M361" s="10" t="s">
        <v>102</v>
      </c>
      <c r="N361" s="124" t="s">
        <v>421</v>
      </c>
      <c r="O361" s="124" t="s">
        <v>421</v>
      </c>
      <c r="P361" s="21">
        <v>31</v>
      </c>
      <c r="Q361" s="10" t="s">
        <v>54</v>
      </c>
      <c r="R361" s="10" t="s">
        <v>28</v>
      </c>
      <c r="S361" s="10"/>
      <c r="T361" s="10"/>
      <c r="U361" s="10" t="s">
        <v>2121</v>
      </c>
      <c r="V361" s="10" t="s">
        <v>2121</v>
      </c>
      <c r="W361" s="50">
        <f>+J361/$W$2</f>
        <v>6.5691742574359863E-5</v>
      </c>
    </row>
    <row r="362" spans="1:23">
      <c r="A362" s="10" t="s">
        <v>272</v>
      </c>
      <c r="B362" s="10" t="s">
        <v>381</v>
      </c>
      <c r="C362" s="124">
        <v>46308</v>
      </c>
      <c r="D362" s="124" t="s">
        <v>492</v>
      </c>
      <c r="E362" s="21">
        <v>0.98899908000000003</v>
      </c>
      <c r="F362" s="10"/>
      <c r="G362" s="14">
        <v>8106418.25</v>
      </c>
      <c r="H362" s="14">
        <v>8017240.1900000004</v>
      </c>
      <c r="I362" s="14">
        <v>8106418.25</v>
      </c>
      <c r="J362" s="14">
        <v>8017240.1900000004</v>
      </c>
      <c r="K362" s="12">
        <v>90000803</v>
      </c>
      <c r="L362" s="10" t="s">
        <v>101</v>
      </c>
      <c r="M362" s="10" t="s">
        <v>102</v>
      </c>
      <c r="N362" s="124" t="s">
        <v>352</v>
      </c>
      <c r="O362" s="124" t="s">
        <v>352</v>
      </c>
      <c r="P362" s="21">
        <v>29</v>
      </c>
      <c r="Q362" s="10" t="s">
        <v>54</v>
      </c>
      <c r="R362" s="10" t="s">
        <v>28</v>
      </c>
      <c r="S362" s="10"/>
      <c r="T362" s="10"/>
      <c r="U362" s="10" t="s">
        <v>790</v>
      </c>
      <c r="V362" s="10" t="s">
        <v>790</v>
      </c>
      <c r="W362" s="50">
        <f>+J362/$W$2</f>
        <v>1.0658575144091462E-4</v>
      </c>
    </row>
    <row r="363" spans="1:23">
      <c r="A363" s="10" t="s">
        <v>900</v>
      </c>
      <c r="B363" s="10" t="s">
        <v>381</v>
      </c>
      <c r="C363" s="124">
        <v>46308</v>
      </c>
      <c r="D363" s="124" t="s">
        <v>492</v>
      </c>
      <c r="E363" s="21">
        <v>0.98787484999999997</v>
      </c>
      <c r="F363" s="10"/>
      <c r="G363" s="14">
        <v>7500000</v>
      </c>
      <c r="H363" s="14">
        <v>7409061.4100000001</v>
      </c>
      <c r="I363" s="14">
        <v>7500000</v>
      </c>
      <c r="J363" s="14">
        <v>7409061.4100000001</v>
      </c>
      <c r="K363" s="12">
        <v>67195476</v>
      </c>
      <c r="L363" s="10" t="s">
        <v>101</v>
      </c>
      <c r="M363" s="10" t="s">
        <v>102</v>
      </c>
      <c r="N363" s="124" t="s">
        <v>396</v>
      </c>
      <c r="O363" s="124" t="s">
        <v>396</v>
      </c>
      <c r="P363" s="21">
        <v>32</v>
      </c>
      <c r="Q363" s="10" t="s">
        <v>54</v>
      </c>
      <c r="R363" s="10" t="s">
        <v>28</v>
      </c>
      <c r="S363" s="10"/>
      <c r="T363" s="10"/>
      <c r="U363" s="10" t="s">
        <v>873</v>
      </c>
      <c r="V363" s="10" t="s">
        <v>873</v>
      </c>
      <c r="W363" s="50">
        <f>+J363/$W$2</f>
        <v>9.8500276796214132E-5</v>
      </c>
    </row>
    <row r="364" spans="1:23">
      <c r="A364" s="10" t="s">
        <v>1244</v>
      </c>
      <c r="B364" s="10" t="s">
        <v>381</v>
      </c>
      <c r="C364" s="124">
        <v>46308</v>
      </c>
      <c r="D364" s="124" t="s">
        <v>492</v>
      </c>
      <c r="E364" s="21">
        <v>0.98750072</v>
      </c>
      <c r="F364" s="10"/>
      <c r="G364" s="14">
        <v>20000000</v>
      </c>
      <c r="H364" s="14">
        <v>19750014.420000002</v>
      </c>
      <c r="I364" s="14">
        <v>20000000</v>
      </c>
      <c r="J364" s="14">
        <v>19750014.420000002</v>
      </c>
      <c r="K364" s="12">
        <v>40663539</v>
      </c>
      <c r="L364" s="10" t="s">
        <v>101</v>
      </c>
      <c r="M364" s="10" t="s">
        <v>102</v>
      </c>
      <c r="N364" s="124" t="s">
        <v>321</v>
      </c>
      <c r="O364" s="124" t="s">
        <v>321</v>
      </c>
      <c r="P364" s="21">
        <v>33</v>
      </c>
      <c r="Q364" s="10" t="s">
        <v>54</v>
      </c>
      <c r="R364" s="10" t="s">
        <v>28</v>
      </c>
      <c r="S364" s="10"/>
      <c r="T364" s="10"/>
      <c r="U364" s="10" t="s">
        <v>1238</v>
      </c>
      <c r="V364" s="10" t="s">
        <v>1238</v>
      </c>
      <c r="W364" s="50">
        <f>+J364/$W$2</f>
        <v>2.6256792587432752E-4</v>
      </c>
    </row>
    <row r="365" spans="1:23">
      <c r="A365" s="10" t="s">
        <v>597</v>
      </c>
      <c r="B365" s="10" t="s">
        <v>381</v>
      </c>
      <c r="C365" s="124">
        <v>46308</v>
      </c>
      <c r="D365" s="124" t="s">
        <v>492</v>
      </c>
      <c r="E365" s="21">
        <v>0.98526157000000003</v>
      </c>
      <c r="F365" s="10"/>
      <c r="G365" s="14">
        <v>3750000</v>
      </c>
      <c r="H365" s="14">
        <v>3694730.9</v>
      </c>
      <c r="I365" s="14">
        <v>3750000</v>
      </c>
      <c r="J365" s="14">
        <v>3694730.9</v>
      </c>
      <c r="K365" s="12">
        <v>66920072</v>
      </c>
      <c r="L365" s="10" t="s">
        <v>101</v>
      </c>
      <c r="M365" s="10" t="s">
        <v>102</v>
      </c>
      <c r="N365" s="124" t="s">
        <v>304</v>
      </c>
      <c r="O365" s="124" t="s">
        <v>304</v>
      </c>
      <c r="P365" s="21">
        <v>39</v>
      </c>
      <c r="Q365" s="10" t="s">
        <v>54</v>
      </c>
      <c r="R365" s="10" t="s">
        <v>28</v>
      </c>
      <c r="S365" s="10"/>
      <c r="T365" s="10"/>
      <c r="U365" s="10" t="s">
        <v>579</v>
      </c>
      <c r="V365" s="10" t="s">
        <v>579</v>
      </c>
      <c r="W365" s="50">
        <f>+J365/$W$2</f>
        <v>4.9119854216126052E-5</v>
      </c>
    </row>
    <row r="366" spans="1:23">
      <c r="A366" s="10" t="s">
        <v>290</v>
      </c>
      <c r="B366" s="10" t="s">
        <v>381</v>
      </c>
      <c r="C366" s="124">
        <v>46308</v>
      </c>
      <c r="D366" s="124" t="s">
        <v>492</v>
      </c>
      <c r="E366" s="21">
        <v>0.98712683999999995</v>
      </c>
      <c r="F366" s="10"/>
      <c r="G366" s="14">
        <v>4300000</v>
      </c>
      <c r="H366" s="14">
        <v>4244645.41</v>
      </c>
      <c r="I366" s="14">
        <v>4300000</v>
      </c>
      <c r="J366" s="14">
        <v>4244645.41</v>
      </c>
      <c r="K366" s="12">
        <v>40768564</v>
      </c>
      <c r="L366" s="10" t="s">
        <v>101</v>
      </c>
      <c r="M366" s="10" t="s">
        <v>102</v>
      </c>
      <c r="N366" s="124" t="s">
        <v>366</v>
      </c>
      <c r="O366" s="124" t="s">
        <v>366</v>
      </c>
      <c r="P366" s="21">
        <v>34</v>
      </c>
      <c r="Q366" s="10" t="s">
        <v>54</v>
      </c>
      <c r="R366" s="10" t="s">
        <v>28</v>
      </c>
      <c r="S366" s="10"/>
      <c r="T366" s="10"/>
      <c r="U366" s="10" t="s">
        <v>1154</v>
      </c>
      <c r="V366" s="10" t="s">
        <v>1154</v>
      </c>
      <c r="W366" s="50">
        <f>+J366/$W$2</f>
        <v>5.6430730513648128E-5</v>
      </c>
    </row>
    <row r="367" spans="1:23">
      <c r="A367" s="10" t="s">
        <v>290</v>
      </c>
      <c r="B367" s="10" t="s">
        <v>381</v>
      </c>
      <c r="C367" s="124">
        <v>46308</v>
      </c>
      <c r="D367" s="124" t="s">
        <v>492</v>
      </c>
      <c r="E367" s="21">
        <v>0.98675318000000001</v>
      </c>
      <c r="F367" s="10"/>
      <c r="G367" s="14">
        <v>2250000</v>
      </c>
      <c r="H367" s="14">
        <v>2220194.66</v>
      </c>
      <c r="I367" s="14">
        <v>2250000</v>
      </c>
      <c r="J367" s="14">
        <v>2220194.66</v>
      </c>
      <c r="K367" s="12">
        <v>40768589</v>
      </c>
      <c r="L367" s="10" t="s">
        <v>101</v>
      </c>
      <c r="M367" s="10" t="s">
        <v>102</v>
      </c>
      <c r="N367" s="124" t="s">
        <v>391</v>
      </c>
      <c r="O367" s="124" t="s">
        <v>391</v>
      </c>
      <c r="P367" s="21">
        <v>35</v>
      </c>
      <c r="Q367" s="10" t="s">
        <v>54</v>
      </c>
      <c r="R367" s="10" t="s">
        <v>28</v>
      </c>
      <c r="S367" s="10"/>
      <c r="T367" s="10"/>
      <c r="U367" s="10" t="s">
        <v>1294</v>
      </c>
      <c r="V367" s="10" t="s">
        <v>1294</v>
      </c>
      <c r="W367" s="50">
        <f>+J367/$W$2</f>
        <v>2.9516530697978994E-5</v>
      </c>
    </row>
    <row r="368" spans="1:23">
      <c r="A368" s="10" t="s">
        <v>465</v>
      </c>
      <c r="B368" s="10" t="s">
        <v>381</v>
      </c>
      <c r="C368" s="124">
        <v>46308</v>
      </c>
      <c r="D368" s="124" t="s">
        <v>492</v>
      </c>
      <c r="E368" s="21">
        <v>0.98712681000000002</v>
      </c>
      <c r="F368" s="10"/>
      <c r="G368" s="14">
        <v>10000000</v>
      </c>
      <c r="H368" s="14">
        <v>9871268.1300000008</v>
      </c>
      <c r="I368" s="14">
        <v>10000000</v>
      </c>
      <c r="J368" s="14">
        <v>9871268.1300000008</v>
      </c>
      <c r="K368" s="12">
        <v>14284508</v>
      </c>
      <c r="L368" s="10" t="s">
        <v>101</v>
      </c>
      <c r="M368" s="10" t="s">
        <v>102</v>
      </c>
      <c r="N368" s="124" t="s">
        <v>425</v>
      </c>
      <c r="O368" s="124" t="s">
        <v>425</v>
      </c>
      <c r="P368" s="21">
        <v>34</v>
      </c>
      <c r="Q368" s="10" t="s">
        <v>54</v>
      </c>
      <c r="R368" s="10" t="s">
        <v>28</v>
      </c>
      <c r="S368" s="10"/>
      <c r="T368" s="10"/>
      <c r="U368" s="10" t="s">
        <v>1691</v>
      </c>
      <c r="V368" s="10" t="s">
        <v>1691</v>
      </c>
      <c r="W368" s="50">
        <f>+J368/$W$2</f>
        <v>1.3123425348078566E-4</v>
      </c>
    </row>
    <row r="369" spans="1:29">
      <c r="A369" s="10" t="s">
        <v>465</v>
      </c>
      <c r="B369" s="10" t="s">
        <v>381</v>
      </c>
      <c r="C369" s="124">
        <v>46308</v>
      </c>
      <c r="D369" s="124" t="s">
        <v>492</v>
      </c>
      <c r="E369" s="21">
        <v>0.9878749</v>
      </c>
      <c r="F369" s="10"/>
      <c r="G369" s="14">
        <v>10000000</v>
      </c>
      <c r="H369" s="14">
        <v>9878749.0399999991</v>
      </c>
      <c r="I369" s="14">
        <v>10000000</v>
      </c>
      <c r="J369" s="14">
        <v>9878749.0399999991</v>
      </c>
      <c r="K369" s="12">
        <v>14422564</v>
      </c>
      <c r="L369" s="10" t="s">
        <v>101</v>
      </c>
      <c r="M369" s="10" t="s">
        <v>102</v>
      </c>
      <c r="N369" s="124" t="s">
        <v>164</v>
      </c>
      <c r="O369" s="124" t="s">
        <v>164</v>
      </c>
      <c r="P369" s="21">
        <v>32</v>
      </c>
      <c r="Q369" s="10" t="s">
        <v>54</v>
      </c>
      <c r="R369" s="10" t="s">
        <v>28</v>
      </c>
      <c r="S369" s="10"/>
      <c r="T369" s="10"/>
      <c r="U369" s="10" t="s">
        <v>1962</v>
      </c>
      <c r="V369" s="10" t="s">
        <v>1962</v>
      </c>
      <c r="W369" s="50">
        <f>+J369/$W$2</f>
        <v>1.3133370895360611E-4</v>
      </c>
    </row>
    <row r="370" spans="1:29">
      <c r="A370" s="10" t="s">
        <v>382</v>
      </c>
      <c r="B370" s="10" t="s">
        <v>381</v>
      </c>
      <c r="C370" s="124">
        <v>46308</v>
      </c>
      <c r="D370" s="124" t="s">
        <v>492</v>
      </c>
      <c r="E370" s="21">
        <v>0.98787493000000004</v>
      </c>
      <c r="F370" s="10"/>
      <c r="G370" s="14">
        <v>2000000</v>
      </c>
      <c r="H370" s="14">
        <v>1975749.86</v>
      </c>
      <c r="I370" s="14">
        <v>2000000</v>
      </c>
      <c r="J370" s="14">
        <v>1975749.86</v>
      </c>
      <c r="K370" s="12">
        <v>1083</v>
      </c>
      <c r="L370" s="10" t="s">
        <v>101</v>
      </c>
      <c r="M370" s="10" t="s">
        <v>102</v>
      </c>
      <c r="N370" s="124" t="s">
        <v>432</v>
      </c>
      <c r="O370" s="124" t="s">
        <v>432</v>
      </c>
      <c r="P370" s="21">
        <v>32</v>
      </c>
      <c r="Q370" s="10" t="s">
        <v>54</v>
      </c>
      <c r="R370" s="10" t="s">
        <v>28</v>
      </c>
      <c r="S370" s="10"/>
      <c r="T370" s="10"/>
      <c r="U370" s="10" t="s">
        <v>1830</v>
      </c>
      <c r="V370" s="10" t="s">
        <v>1830</v>
      </c>
      <c r="W370" s="50">
        <f>+J370/$W$2</f>
        <v>2.6266742482038805E-5</v>
      </c>
      <c r="AC370" s="47"/>
    </row>
    <row r="371" spans="1:29">
      <c r="A371" s="10" t="s">
        <v>382</v>
      </c>
      <c r="B371" s="10" t="s">
        <v>381</v>
      </c>
      <c r="C371" s="124">
        <v>46308</v>
      </c>
      <c r="D371" s="124" t="s">
        <v>492</v>
      </c>
      <c r="E371" s="21">
        <v>0.98862410000000001</v>
      </c>
      <c r="F371" s="10"/>
      <c r="G371" s="14">
        <v>2500000</v>
      </c>
      <c r="H371" s="14">
        <v>2471560.2400000002</v>
      </c>
      <c r="I371" s="14">
        <v>2500000</v>
      </c>
      <c r="J371" s="14">
        <v>2471560.2400000002</v>
      </c>
      <c r="K371" s="12">
        <v>905</v>
      </c>
      <c r="L371" s="10" t="s">
        <v>101</v>
      </c>
      <c r="M371" s="10" t="s">
        <v>102</v>
      </c>
      <c r="N371" s="124" t="s">
        <v>349</v>
      </c>
      <c r="O371" s="124" t="s">
        <v>349</v>
      </c>
      <c r="P371" s="21">
        <v>30</v>
      </c>
      <c r="Q371" s="10" t="s">
        <v>54</v>
      </c>
      <c r="R371" s="10" t="s">
        <v>28</v>
      </c>
      <c r="S371" s="10"/>
      <c r="T371" s="10"/>
      <c r="U371" s="10" t="s">
        <v>1334</v>
      </c>
      <c r="V371" s="10" t="s">
        <v>1334</v>
      </c>
      <c r="W371" s="50">
        <f>+J371/$W$2</f>
        <v>3.2858327699907326E-5</v>
      </c>
      <c r="AC371" s="47"/>
    </row>
    <row r="372" spans="1:29">
      <c r="A372" s="10" t="s">
        <v>382</v>
      </c>
      <c r="B372" s="10" t="s">
        <v>381</v>
      </c>
      <c r="C372" s="124">
        <v>46308</v>
      </c>
      <c r="D372" s="124" t="s">
        <v>492</v>
      </c>
      <c r="E372" s="21">
        <v>0.98862406000000003</v>
      </c>
      <c r="F372" s="10"/>
      <c r="G372" s="14">
        <v>4000000</v>
      </c>
      <c r="H372" s="14">
        <v>3954496.23</v>
      </c>
      <c r="I372" s="14">
        <v>4000000</v>
      </c>
      <c r="J372" s="14">
        <v>3954496.23</v>
      </c>
      <c r="K372" s="12">
        <v>859</v>
      </c>
      <c r="L372" s="10" t="s">
        <v>101</v>
      </c>
      <c r="M372" s="10" t="s">
        <v>102</v>
      </c>
      <c r="N372" s="124" t="s">
        <v>391</v>
      </c>
      <c r="O372" s="124" t="s">
        <v>391</v>
      </c>
      <c r="P372" s="21">
        <v>30</v>
      </c>
      <c r="Q372" s="10" t="s">
        <v>54</v>
      </c>
      <c r="R372" s="10" t="s">
        <v>28</v>
      </c>
      <c r="S372" s="10"/>
      <c r="T372" s="10"/>
      <c r="U372" s="10" t="s">
        <v>1281</v>
      </c>
      <c r="V372" s="10" t="s">
        <v>1281</v>
      </c>
      <c r="W372" s="50">
        <f>+J372/$W$2</f>
        <v>5.2573322272488121E-5</v>
      </c>
    </row>
    <row r="373" spans="1:29">
      <c r="A373" s="10" t="s">
        <v>382</v>
      </c>
      <c r="B373" s="10" t="s">
        <v>381</v>
      </c>
      <c r="C373" s="124">
        <v>46308</v>
      </c>
      <c r="D373" s="124" t="s">
        <v>492</v>
      </c>
      <c r="E373" s="21">
        <v>0.98862408000000002</v>
      </c>
      <c r="F373" s="10"/>
      <c r="G373" s="14">
        <v>2500000</v>
      </c>
      <c r="H373" s="14">
        <v>2471560.19</v>
      </c>
      <c r="I373" s="14">
        <v>2500000</v>
      </c>
      <c r="J373" s="14">
        <v>2471560.19</v>
      </c>
      <c r="K373" s="12">
        <v>882</v>
      </c>
      <c r="L373" s="10" t="s">
        <v>101</v>
      </c>
      <c r="M373" s="10" t="s">
        <v>102</v>
      </c>
      <c r="N373" s="124" t="s">
        <v>435</v>
      </c>
      <c r="O373" s="124" t="s">
        <v>435</v>
      </c>
      <c r="P373" s="21">
        <v>30</v>
      </c>
      <c r="Q373" s="10" t="s">
        <v>54</v>
      </c>
      <c r="R373" s="10" t="s">
        <v>28</v>
      </c>
      <c r="S373" s="10"/>
      <c r="T373" s="10"/>
      <c r="U373" s="10" t="s">
        <v>1315</v>
      </c>
      <c r="V373" s="10" t="s">
        <v>1315</v>
      </c>
      <c r="W373" s="50">
        <f>+J373/$W$2</f>
        <v>3.2858327035178882E-5</v>
      </c>
    </row>
    <row r="374" spans="1:29">
      <c r="A374" s="10" t="s">
        <v>477</v>
      </c>
      <c r="B374" s="10" t="s">
        <v>381</v>
      </c>
      <c r="C374" s="124">
        <v>46309</v>
      </c>
      <c r="D374" s="124" t="s">
        <v>492</v>
      </c>
      <c r="E374" s="21">
        <v>0.99023335000000001</v>
      </c>
      <c r="F374" s="10"/>
      <c r="G374" s="14">
        <v>5000000</v>
      </c>
      <c r="H374" s="14">
        <v>4951166.7300000004</v>
      </c>
      <c r="I374" s="14">
        <v>5000000</v>
      </c>
      <c r="J374" s="14">
        <v>4951166.7300000004</v>
      </c>
      <c r="K374" s="12">
        <v>16831531</v>
      </c>
      <c r="L374" s="10" t="s">
        <v>101</v>
      </c>
      <c r="M374" s="10" t="s">
        <v>102</v>
      </c>
      <c r="N374" s="124" t="s">
        <v>155</v>
      </c>
      <c r="O374" s="124" t="s">
        <v>155</v>
      </c>
      <c r="P374" s="21">
        <v>24</v>
      </c>
      <c r="Q374" s="10" t="s">
        <v>54</v>
      </c>
      <c r="R374" s="10" t="s">
        <v>28</v>
      </c>
      <c r="S374" s="10"/>
      <c r="T374" s="10"/>
      <c r="U374" s="10" t="s">
        <v>1048</v>
      </c>
      <c r="V374" s="10" t="s">
        <v>1048</v>
      </c>
      <c r="W374" s="50">
        <f>+J374/$W$2</f>
        <v>6.5823626824171029E-5</v>
      </c>
    </row>
    <row r="375" spans="1:29">
      <c r="A375" s="10" t="s">
        <v>1190</v>
      </c>
      <c r="B375" s="10" t="s">
        <v>1191</v>
      </c>
      <c r="C375" s="124">
        <v>46309</v>
      </c>
      <c r="D375" s="124" t="s">
        <v>492</v>
      </c>
      <c r="E375" s="21">
        <v>0.99387333</v>
      </c>
      <c r="F375" s="10" t="s">
        <v>3464</v>
      </c>
      <c r="G375" s="14">
        <v>33187.68</v>
      </c>
      <c r="H375" s="14">
        <v>32984.35</v>
      </c>
      <c r="I375" s="14">
        <v>51274964.880000003</v>
      </c>
      <c r="J375" s="14">
        <v>50960820.039999999</v>
      </c>
      <c r="K375" s="12">
        <v>6359</v>
      </c>
      <c r="L375" s="10" t="s">
        <v>101</v>
      </c>
      <c r="M375" s="10" t="s">
        <v>102</v>
      </c>
      <c r="N375" s="124" t="s">
        <v>434</v>
      </c>
      <c r="O375" s="124" t="s">
        <v>434</v>
      </c>
      <c r="P375" s="21">
        <v>15</v>
      </c>
      <c r="Q375" s="10" t="s">
        <v>54</v>
      </c>
      <c r="R375" s="10" t="s">
        <v>28</v>
      </c>
      <c r="S375" s="10"/>
      <c r="T375" s="10"/>
      <c r="U375" s="10" t="s">
        <v>2991</v>
      </c>
      <c r="V375" s="10" t="s">
        <v>2991</v>
      </c>
      <c r="W375" s="50">
        <f>+J375/$W$2</f>
        <v>6.7750212907225133E-4</v>
      </c>
    </row>
    <row r="376" spans="1:29">
      <c r="A376" s="10" t="s">
        <v>382</v>
      </c>
      <c r="B376" s="10" t="s">
        <v>381</v>
      </c>
      <c r="C376" s="124">
        <v>46309</v>
      </c>
      <c r="D376" s="124" t="s">
        <v>492</v>
      </c>
      <c r="E376" s="21">
        <v>0.98702009000000002</v>
      </c>
      <c r="F376" s="10"/>
      <c r="G376" s="14">
        <v>10000000</v>
      </c>
      <c r="H376" s="14">
        <v>9870200.9399999995</v>
      </c>
      <c r="I376" s="14">
        <v>10000000</v>
      </c>
      <c r="J376" s="14">
        <v>9870200.9399999995</v>
      </c>
      <c r="K376" s="12">
        <v>1085</v>
      </c>
      <c r="L376" s="10" t="s">
        <v>101</v>
      </c>
      <c r="M376" s="10" t="s">
        <v>102</v>
      </c>
      <c r="N376" s="124" t="s">
        <v>533</v>
      </c>
      <c r="O376" s="124" t="s">
        <v>533</v>
      </c>
      <c r="P376" s="21">
        <v>32</v>
      </c>
      <c r="Q376" s="10" t="s">
        <v>54</v>
      </c>
      <c r="R376" s="10" t="s">
        <v>28</v>
      </c>
      <c r="S376" s="10"/>
      <c r="T376" s="10"/>
      <c r="U376" s="10" t="s">
        <v>1878</v>
      </c>
      <c r="V376" s="10" t="s">
        <v>1878</v>
      </c>
      <c r="W376" s="50">
        <f>+J376/$W$2</f>
        <v>1.3122006564988815E-4</v>
      </c>
    </row>
    <row r="377" spans="1:29">
      <c r="A377" s="10" t="s">
        <v>382</v>
      </c>
      <c r="B377" s="10" t="s">
        <v>381</v>
      </c>
      <c r="C377" s="124">
        <v>46309</v>
      </c>
      <c r="D377" s="124" t="s">
        <v>492</v>
      </c>
      <c r="E377" s="21">
        <v>0.98702003000000005</v>
      </c>
      <c r="F377" s="10"/>
      <c r="G377" s="14">
        <v>3000000</v>
      </c>
      <c r="H377" s="14">
        <v>2961060.1</v>
      </c>
      <c r="I377" s="14">
        <v>3000000</v>
      </c>
      <c r="J377" s="14">
        <v>2961060.1</v>
      </c>
      <c r="K377" s="12">
        <v>1039</v>
      </c>
      <c r="L377" s="10" t="s">
        <v>101</v>
      </c>
      <c r="M377" s="10" t="s">
        <v>102</v>
      </c>
      <c r="N377" s="124" t="s">
        <v>398</v>
      </c>
      <c r="O377" s="124" t="s">
        <v>398</v>
      </c>
      <c r="P377" s="21">
        <v>32</v>
      </c>
      <c r="Q377" s="10" t="s">
        <v>54</v>
      </c>
      <c r="R377" s="10" t="s">
        <v>28</v>
      </c>
      <c r="S377" s="10"/>
      <c r="T377" s="10"/>
      <c r="U377" s="10" t="s">
        <v>1748</v>
      </c>
      <c r="V377" s="10" t="s">
        <v>1748</v>
      </c>
      <c r="W377" s="50">
        <f>+J377/$W$2</f>
        <v>3.9366017275354923E-5</v>
      </c>
    </row>
    <row r="378" spans="1:29">
      <c r="A378" s="10" t="s">
        <v>3453</v>
      </c>
      <c r="B378" s="10" t="s">
        <v>381</v>
      </c>
      <c r="C378" s="124">
        <v>46309</v>
      </c>
      <c r="D378" s="124" t="s">
        <v>492</v>
      </c>
      <c r="E378" s="21">
        <v>0.98662002000000004</v>
      </c>
      <c r="F378" s="10"/>
      <c r="G378" s="14">
        <v>1448241.66</v>
      </c>
      <c r="H378" s="14">
        <v>1428864.21</v>
      </c>
      <c r="I378" s="14">
        <v>1448241.66</v>
      </c>
      <c r="J378" s="14">
        <v>1428864.21</v>
      </c>
      <c r="K378" s="12">
        <v>18652221</v>
      </c>
      <c r="L378" s="10" t="s">
        <v>101</v>
      </c>
      <c r="M378" s="10" t="s">
        <v>102</v>
      </c>
      <c r="N378" s="124" t="s">
        <v>531</v>
      </c>
      <c r="O378" s="124" t="s">
        <v>531</v>
      </c>
      <c r="P378" s="21">
        <v>33</v>
      </c>
      <c r="Q378" s="10" t="s">
        <v>54</v>
      </c>
      <c r="R378" s="10" t="s">
        <v>28</v>
      </c>
      <c r="S378" s="10"/>
      <c r="T378" s="10"/>
      <c r="U378" s="10" t="s">
        <v>3442</v>
      </c>
      <c r="V378" s="10" t="s">
        <v>3442</v>
      </c>
      <c r="W378" s="50">
        <f>+J378/$W$2</f>
        <v>1.8996133572228526E-5</v>
      </c>
    </row>
    <row r="379" spans="1:29">
      <c r="A379" s="10" t="s">
        <v>898</v>
      </c>
      <c r="B379" s="10" t="s">
        <v>381</v>
      </c>
      <c r="C379" s="124">
        <v>46309</v>
      </c>
      <c r="D379" s="124" t="s">
        <v>492</v>
      </c>
      <c r="E379" s="21">
        <v>0.98702005999999998</v>
      </c>
      <c r="F379" s="10"/>
      <c r="G379" s="14">
        <v>3023662.75</v>
      </c>
      <c r="H379" s="14">
        <v>2984415.78</v>
      </c>
      <c r="I379" s="14">
        <v>3023662.75</v>
      </c>
      <c r="J379" s="14">
        <v>2984415.78</v>
      </c>
      <c r="K379" s="12">
        <v>2527</v>
      </c>
      <c r="L379" s="10" t="s">
        <v>101</v>
      </c>
      <c r="M379" s="10" t="s">
        <v>102</v>
      </c>
      <c r="N379" s="124" t="s">
        <v>396</v>
      </c>
      <c r="O379" s="124" t="s">
        <v>396</v>
      </c>
      <c r="P379" s="21">
        <v>32</v>
      </c>
      <c r="Q379" s="10" t="s">
        <v>54</v>
      </c>
      <c r="R379" s="10" t="s">
        <v>28</v>
      </c>
      <c r="S379" s="10"/>
      <c r="T379" s="10"/>
      <c r="U379" s="10" t="s">
        <v>876</v>
      </c>
      <c r="V379" s="10" t="s">
        <v>876</v>
      </c>
      <c r="W379" s="50">
        <f>+J379/$W$2</f>
        <v>3.9676520970419288E-5</v>
      </c>
    </row>
    <row r="380" spans="1:29">
      <c r="A380" s="10" t="s">
        <v>334</v>
      </c>
      <c r="B380" s="10" t="s">
        <v>381</v>
      </c>
      <c r="C380" s="124">
        <v>46309</v>
      </c>
      <c r="D380" s="124" t="s">
        <v>492</v>
      </c>
      <c r="E380" s="21">
        <v>0.98702005000000004</v>
      </c>
      <c r="F380" s="10"/>
      <c r="G380" s="14">
        <v>15000000</v>
      </c>
      <c r="H380" s="14">
        <v>14805300.779999999</v>
      </c>
      <c r="I380" s="14">
        <v>15000000</v>
      </c>
      <c r="J380" s="14">
        <v>14805300.779999999</v>
      </c>
      <c r="K380" s="12">
        <v>13953461</v>
      </c>
      <c r="L380" s="10" t="s">
        <v>101</v>
      </c>
      <c r="M380" s="10" t="s">
        <v>102</v>
      </c>
      <c r="N380" s="124" t="s">
        <v>396</v>
      </c>
      <c r="O380" s="124" t="s">
        <v>396</v>
      </c>
      <c r="P380" s="21">
        <v>32</v>
      </c>
      <c r="Q380" s="10" t="s">
        <v>54</v>
      </c>
      <c r="R380" s="10" t="s">
        <v>28</v>
      </c>
      <c r="S380" s="10"/>
      <c r="T380" s="10"/>
      <c r="U380" s="10" t="s">
        <v>860</v>
      </c>
      <c r="V380" s="10" t="s">
        <v>860</v>
      </c>
      <c r="W380" s="50">
        <f>+J380/$W$2</f>
        <v>1.9683009009925387E-4</v>
      </c>
    </row>
    <row r="381" spans="1:29">
      <c r="A381" s="10" t="s">
        <v>334</v>
      </c>
      <c r="B381" s="10" t="s">
        <v>381</v>
      </c>
      <c r="C381" s="124">
        <v>46309</v>
      </c>
      <c r="D381" s="124" t="s">
        <v>492</v>
      </c>
      <c r="E381" s="21">
        <v>0.98702003999999999</v>
      </c>
      <c r="F381" s="10"/>
      <c r="G381" s="14">
        <v>40000000</v>
      </c>
      <c r="H381" s="14">
        <v>39480801.420000002</v>
      </c>
      <c r="I381" s="14">
        <v>40000000</v>
      </c>
      <c r="J381" s="14">
        <v>39480801.420000002</v>
      </c>
      <c r="K381" s="12">
        <v>13795908</v>
      </c>
      <c r="L381" s="10" t="s">
        <v>101</v>
      </c>
      <c r="M381" s="10" t="s">
        <v>102</v>
      </c>
      <c r="N381" s="124" t="s">
        <v>368</v>
      </c>
      <c r="O381" s="124" t="s">
        <v>368</v>
      </c>
      <c r="P381" s="21">
        <v>32</v>
      </c>
      <c r="Q381" s="10" t="s">
        <v>54</v>
      </c>
      <c r="R381" s="10" t="s">
        <v>28</v>
      </c>
      <c r="S381" s="10"/>
      <c r="T381" s="10"/>
      <c r="U381" s="10" t="s">
        <v>734</v>
      </c>
      <c r="V381" s="10" t="s">
        <v>734</v>
      </c>
      <c r="W381" s="50">
        <f>+J381/$W$2</f>
        <v>5.2488023149026167E-4</v>
      </c>
    </row>
    <row r="382" spans="1:29">
      <c r="A382" s="10" t="s">
        <v>1819</v>
      </c>
      <c r="B382" s="10" t="s">
        <v>1191</v>
      </c>
      <c r="C382" s="124">
        <v>46309</v>
      </c>
      <c r="D382" s="124" t="s">
        <v>492</v>
      </c>
      <c r="E382" s="21">
        <v>0.99387380999999997</v>
      </c>
      <c r="F382" s="10" t="s">
        <v>3464</v>
      </c>
      <c r="G382" s="14">
        <v>6354.68</v>
      </c>
      <c r="H382" s="14">
        <v>6315.75</v>
      </c>
      <c r="I382" s="14">
        <v>9817980.4600000009</v>
      </c>
      <c r="J382" s="14">
        <v>9757833.6099999994</v>
      </c>
      <c r="K382" s="12">
        <v>72</v>
      </c>
      <c r="L382" s="10" t="s">
        <v>101</v>
      </c>
      <c r="M382" s="10" t="s">
        <v>102</v>
      </c>
      <c r="N382" s="124" t="s">
        <v>420</v>
      </c>
      <c r="O382" s="124" t="s">
        <v>420</v>
      </c>
      <c r="P382" s="21">
        <v>15</v>
      </c>
      <c r="Q382" s="10" t="s">
        <v>54</v>
      </c>
      <c r="R382" s="10" t="s">
        <v>28</v>
      </c>
      <c r="S382" s="10"/>
      <c r="T382" s="10"/>
      <c r="U382" s="10" t="s">
        <v>2695</v>
      </c>
      <c r="V382" s="10" t="s">
        <v>2695</v>
      </c>
      <c r="W382" s="50">
        <f>+J382/$W$2</f>
        <v>1.2972619044824483E-4</v>
      </c>
    </row>
    <row r="383" spans="1:29">
      <c r="A383" s="10" t="s">
        <v>2289</v>
      </c>
      <c r="B383" s="10" t="s">
        <v>381</v>
      </c>
      <c r="C383" s="124">
        <v>46309</v>
      </c>
      <c r="D383" s="124" t="s">
        <v>492</v>
      </c>
      <c r="E383" s="21">
        <v>0.98742054999999995</v>
      </c>
      <c r="F383" s="10"/>
      <c r="G383" s="14">
        <v>388276.23</v>
      </c>
      <c r="H383" s="14">
        <v>383391.93</v>
      </c>
      <c r="I383" s="14">
        <v>388276.23</v>
      </c>
      <c r="J383" s="14">
        <v>383391.93</v>
      </c>
      <c r="K383" s="12">
        <v>5473</v>
      </c>
      <c r="L383" s="10" t="s">
        <v>101</v>
      </c>
      <c r="M383" s="10" t="s">
        <v>102</v>
      </c>
      <c r="N383" s="124" t="s">
        <v>431</v>
      </c>
      <c r="O383" s="124" t="s">
        <v>431</v>
      </c>
      <c r="P383" s="21">
        <v>31</v>
      </c>
      <c r="Q383" s="10" t="s">
        <v>54</v>
      </c>
      <c r="R383" s="10" t="s">
        <v>28</v>
      </c>
      <c r="S383" s="10"/>
      <c r="T383" s="10"/>
      <c r="U383" s="10" t="s">
        <v>2258</v>
      </c>
      <c r="V383" s="10" t="s">
        <v>2258</v>
      </c>
      <c r="W383" s="50">
        <f>+J383/$W$2</f>
        <v>5.0970303978671912E-6</v>
      </c>
    </row>
    <row r="384" spans="1:29">
      <c r="A384" s="10" t="s">
        <v>494</v>
      </c>
      <c r="B384" s="10" t="s">
        <v>381</v>
      </c>
      <c r="C384" s="124">
        <v>46309</v>
      </c>
      <c r="D384" s="124" t="s">
        <v>492</v>
      </c>
      <c r="E384" s="21">
        <v>0.98862404999999998</v>
      </c>
      <c r="F384" s="10"/>
      <c r="G384" s="14">
        <v>10950000</v>
      </c>
      <c r="H384" s="14">
        <v>10825433.369999999</v>
      </c>
      <c r="I384" s="14">
        <v>10950000</v>
      </c>
      <c r="J384" s="14">
        <v>10825433.369999999</v>
      </c>
      <c r="K384" s="12">
        <v>90000870</v>
      </c>
      <c r="L384" s="10" t="s">
        <v>101</v>
      </c>
      <c r="M384" s="10" t="s">
        <v>102</v>
      </c>
      <c r="N384" s="124" t="s">
        <v>476</v>
      </c>
      <c r="O384" s="124" t="s">
        <v>476</v>
      </c>
      <c r="P384" s="21">
        <v>28</v>
      </c>
      <c r="Q384" s="10" t="s">
        <v>54</v>
      </c>
      <c r="R384" s="10" t="s">
        <v>28</v>
      </c>
      <c r="S384" s="10"/>
      <c r="T384" s="10"/>
      <c r="U384" s="10" t="s">
        <v>1511</v>
      </c>
      <c r="V384" s="10" t="s">
        <v>1511</v>
      </c>
      <c r="W384" s="50">
        <f>+J384/$W$2</f>
        <v>1.4391946892824755E-4</v>
      </c>
      <c r="AC384" s="47"/>
    </row>
    <row r="385" spans="1:23">
      <c r="A385" s="10" t="s">
        <v>1287</v>
      </c>
      <c r="B385" s="10" t="s">
        <v>381</v>
      </c>
      <c r="C385" s="124">
        <v>46309</v>
      </c>
      <c r="D385" s="124" t="s">
        <v>492</v>
      </c>
      <c r="E385" s="21">
        <v>0.98862410000000001</v>
      </c>
      <c r="F385" s="10"/>
      <c r="G385" s="14">
        <v>43906518.189999998</v>
      </c>
      <c r="H385" s="14">
        <v>43407042.039999999</v>
      </c>
      <c r="I385" s="14">
        <v>43906518.189999998</v>
      </c>
      <c r="J385" s="14">
        <v>43407042.039999999</v>
      </c>
      <c r="K385" s="12">
        <v>40292985</v>
      </c>
      <c r="L385" s="10" t="s">
        <v>101</v>
      </c>
      <c r="M385" s="10" t="s">
        <v>102</v>
      </c>
      <c r="N385" s="124" t="s">
        <v>414</v>
      </c>
      <c r="O385" s="124" t="s">
        <v>414</v>
      </c>
      <c r="P385" s="21">
        <v>28</v>
      </c>
      <c r="Q385" s="10" t="s">
        <v>54</v>
      </c>
      <c r="R385" s="10" t="s">
        <v>28</v>
      </c>
      <c r="S385" s="10"/>
      <c r="T385" s="10"/>
      <c r="U385" s="10" t="s">
        <v>1499</v>
      </c>
      <c r="V385" s="10" t="s">
        <v>1499</v>
      </c>
      <c r="W385" s="50">
        <f>+J385/$W$2</f>
        <v>5.770779076110942E-4</v>
      </c>
    </row>
    <row r="386" spans="1:23">
      <c r="A386" s="10" t="s">
        <v>1287</v>
      </c>
      <c r="B386" s="10" t="s">
        <v>381</v>
      </c>
      <c r="C386" s="124">
        <v>46309</v>
      </c>
      <c r="D386" s="124" t="s">
        <v>492</v>
      </c>
      <c r="E386" s="21">
        <v>0.98862410000000001</v>
      </c>
      <c r="F386" s="10"/>
      <c r="G386" s="14">
        <v>42705929.289999999</v>
      </c>
      <c r="H386" s="14">
        <v>42220110.920000002</v>
      </c>
      <c r="I386" s="14">
        <v>42705929.289999999</v>
      </c>
      <c r="J386" s="14">
        <v>42220110.920000002</v>
      </c>
      <c r="K386" s="12">
        <v>40293026</v>
      </c>
      <c r="L386" s="10" t="s">
        <v>101</v>
      </c>
      <c r="M386" s="10" t="s">
        <v>102</v>
      </c>
      <c r="N386" s="124" t="s">
        <v>414</v>
      </c>
      <c r="O386" s="124" t="s">
        <v>414</v>
      </c>
      <c r="P386" s="21">
        <v>28</v>
      </c>
      <c r="Q386" s="10" t="s">
        <v>54</v>
      </c>
      <c r="R386" s="10" t="s">
        <v>28</v>
      </c>
      <c r="S386" s="10"/>
      <c r="T386" s="10"/>
      <c r="U386" s="10" t="s">
        <v>1500</v>
      </c>
      <c r="V386" s="10" t="s">
        <v>1500</v>
      </c>
      <c r="W386" s="50">
        <f>+J386/$W$2</f>
        <v>5.6129817015335864E-4</v>
      </c>
    </row>
    <row r="387" spans="1:23">
      <c r="A387" s="10" t="s">
        <v>1287</v>
      </c>
      <c r="B387" s="10" t="s">
        <v>381</v>
      </c>
      <c r="C387" s="124">
        <v>46309</v>
      </c>
      <c r="D387" s="124" t="s">
        <v>492</v>
      </c>
      <c r="E387" s="21">
        <v>0.98862410000000001</v>
      </c>
      <c r="F387" s="10"/>
      <c r="G387" s="14">
        <v>43306223.729999997</v>
      </c>
      <c r="H387" s="14">
        <v>42813576.469999999</v>
      </c>
      <c r="I387" s="14">
        <v>43306223.729999997</v>
      </c>
      <c r="J387" s="14">
        <v>42813576.469999999</v>
      </c>
      <c r="K387" s="12">
        <v>40293006</v>
      </c>
      <c r="L387" s="10" t="s">
        <v>101</v>
      </c>
      <c r="M387" s="10" t="s">
        <v>102</v>
      </c>
      <c r="N387" s="124" t="s">
        <v>414</v>
      </c>
      <c r="O387" s="124" t="s">
        <v>414</v>
      </c>
      <c r="P387" s="21">
        <v>28</v>
      </c>
      <c r="Q387" s="10" t="s">
        <v>54</v>
      </c>
      <c r="R387" s="10" t="s">
        <v>28</v>
      </c>
      <c r="S387" s="10"/>
      <c r="T387" s="10"/>
      <c r="U387" s="10" t="s">
        <v>1501</v>
      </c>
      <c r="V387" s="10" t="s">
        <v>1501</v>
      </c>
      <c r="W387" s="50">
        <f>+J387/$W$2</f>
        <v>5.6918803874928068E-4</v>
      </c>
    </row>
    <row r="388" spans="1:23">
      <c r="A388" s="10" t="s">
        <v>389</v>
      </c>
      <c r="B388" s="10" t="s">
        <v>381</v>
      </c>
      <c r="C388" s="124">
        <v>46309</v>
      </c>
      <c r="D388" s="124" t="s">
        <v>492</v>
      </c>
      <c r="E388" s="21">
        <v>0.98702000999999995</v>
      </c>
      <c r="F388" s="10"/>
      <c r="G388" s="14">
        <v>14479899.68</v>
      </c>
      <c r="H388" s="14">
        <v>14291950.74</v>
      </c>
      <c r="I388" s="14">
        <v>14479899.68</v>
      </c>
      <c r="J388" s="14">
        <v>14291950.74</v>
      </c>
      <c r="K388" s="12">
        <v>9933004</v>
      </c>
      <c r="L388" s="10" t="s">
        <v>101</v>
      </c>
      <c r="M388" s="10" t="s">
        <v>102</v>
      </c>
      <c r="N388" s="124" t="s">
        <v>318</v>
      </c>
      <c r="O388" s="124" t="s">
        <v>318</v>
      </c>
      <c r="P388" s="21">
        <v>32</v>
      </c>
      <c r="Q388" s="10" t="s">
        <v>54</v>
      </c>
      <c r="R388" s="10" t="s">
        <v>28</v>
      </c>
      <c r="S388" s="10"/>
      <c r="T388" s="10"/>
      <c r="U388" s="10" t="s">
        <v>704</v>
      </c>
      <c r="V388" s="10" t="s">
        <v>704</v>
      </c>
      <c r="W388" s="50">
        <f>+J388/$W$2</f>
        <v>1.9000532266446113E-4</v>
      </c>
    </row>
    <row r="389" spans="1:23">
      <c r="A389" s="10" t="s">
        <v>273</v>
      </c>
      <c r="B389" s="10" t="s">
        <v>381</v>
      </c>
      <c r="C389" s="124">
        <v>46309</v>
      </c>
      <c r="D389" s="124" t="s">
        <v>492</v>
      </c>
      <c r="E389" s="21">
        <v>0.98983052999999999</v>
      </c>
      <c r="F389" s="10"/>
      <c r="G389" s="14">
        <v>50000000</v>
      </c>
      <c r="H389" s="14">
        <v>49491526.369999997</v>
      </c>
      <c r="I389" s="14">
        <v>50000000</v>
      </c>
      <c r="J389" s="14">
        <v>49491526.369999997</v>
      </c>
      <c r="K389" s="12">
        <v>14032588</v>
      </c>
      <c r="L389" s="10" t="s">
        <v>101</v>
      </c>
      <c r="M389" s="10" t="s">
        <v>102</v>
      </c>
      <c r="N389" s="124" t="s">
        <v>361</v>
      </c>
      <c r="O389" s="124" t="s">
        <v>361</v>
      </c>
      <c r="P389" s="21">
        <v>25</v>
      </c>
      <c r="Q389" s="10" t="s">
        <v>54</v>
      </c>
      <c r="R389" s="10" t="s">
        <v>28</v>
      </c>
      <c r="S389" s="10"/>
      <c r="T389" s="10"/>
      <c r="U389" s="10" t="s">
        <v>1015</v>
      </c>
      <c r="V389" s="10" t="s">
        <v>1015</v>
      </c>
      <c r="W389" s="50">
        <f>+J389/$W$2</f>
        <v>6.5796850326175539E-4</v>
      </c>
    </row>
    <row r="390" spans="1:23">
      <c r="A390" s="10" t="s">
        <v>273</v>
      </c>
      <c r="B390" s="10" t="s">
        <v>381</v>
      </c>
      <c r="C390" s="124">
        <v>46309</v>
      </c>
      <c r="D390" s="124" t="s">
        <v>492</v>
      </c>
      <c r="E390" s="21">
        <v>0.98983052999999999</v>
      </c>
      <c r="F390" s="10"/>
      <c r="G390" s="14">
        <v>8650000</v>
      </c>
      <c r="H390" s="14">
        <v>8562034.0600000005</v>
      </c>
      <c r="I390" s="14">
        <v>8650000</v>
      </c>
      <c r="J390" s="14">
        <v>8562034.0600000005</v>
      </c>
      <c r="K390" s="12">
        <v>34386</v>
      </c>
      <c r="L390" s="10" t="s">
        <v>101</v>
      </c>
      <c r="M390" s="10" t="s">
        <v>102</v>
      </c>
      <c r="N390" s="124" t="s">
        <v>361</v>
      </c>
      <c r="O390" s="124" t="s">
        <v>361</v>
      </c>
      <c r="P390" s="21">
        <v>25</v>
      </c>
      <c r="Q390" s="10" t="s">
        <v>54</v>
      </c>
      <c r="R390" s="10" t="s">
        <v>28</v>
      </c>
      <c r="S390" s="10"/>
      <c r="T390" s="10"/>
      <c r="U390" s="10" t="s">
        <v>1029</v>
      </c>
      <c r="V390" s="10" t="s">
        <v>1029</v>
      </c>
      <c r="W390" s="50">
        <f>+J390/$W$2</f>
        <v>1.138285510375616E-4</v>
      </c>
    </row>
    <row r="391" spans="1:23">
      <c r="A391" s="10" t="s">
        <v>273</v>
      </c>
      <c r="B391" s="10" t="s">
        <v>381</v>
      </c>
      <c r="C391" s="124">
        <v>46309</v>
      </c>
      <c r="D391" s="124" t="s">
        <v>492</v>
      </c>
      <c r="E391" s="21">
        <v>0.98782139999999996</v>
      </c>
      <c r="F391" s="10"/>
      <c r="G391" s="14">
        <v>5000000</v>
      </c>
      <c r="H391" s="14">
        <v>4939107</v>
      </c>
      <c r="I391" s="14">
        <v>5000000</v>
      </c>
      <c r="J391" s="14">
        <v>4939107</v>
      </c>
      <c r="K391" s="12">
        <v>8777</v>
      </c>
      <c r="L391" s="10" t="s">
        <v>101</v>
      </c>
      <c r="M391" s="10" t="s">
        <v>102</v>
      </c>
      <c r="N391" s="124" t="s">
        <v>322</v>
      </c>
      <c r="O391" s="124" t="s">
        <v>322</v>
      </c>
      <c r="P391" s="21">
        <v>30</v>
      </c>
      <c r="Q391" s="10" t="s">
        <v>54</v>
      </c>
      <c r="R391" s="10" t="s">
        <v>28</v>
      </c>
      <c r="S391" s="10"/>
      <c r="T391" s="10"/>
      <c r="U391" s="10" t="s">
        <v>1558</v>
      </c>
      <c r="V391" s="10" t="s">
        <v>1558</v>
      </c>
      <c r="W391" s="50">
        <f>+J391/$W$2</f>
        <v>6.566329791375272E-5</v>
      </c>
    </row>
    <row r="392" spans="1:23">
      <c r="A392" s="10" t="s">
        <v>1677</v>
      </c>
      <c r="B392" s="10" t="s">
        <v>381</v>
      </c>
      <c r="C392" s="124">
        <v>46309</v>
      </c>
      <c r="D392" s="124" t="s">
        <v>492</v>
      </c>
      <c r="E392" s="21">
        <v>0.98702009000000002</v>
      </c>
      <c r="F392" s="10"/>
      <c r="G392" s="14">
        <v>18239769.260000002</v>
      </c>
      <c r="H392" s="14">
        <v>18003018.699999999</v>
      </c>
      <c r="I392" s="14">
        <v>18239769.260000002</v>
      </c>
      <c r="J392" s="14">
        <v>18003018.699999999</v>
      </c>
      <c r="K392" s="12">
        <v>3494369</v>
      </c>
      <c r="L392" s="10" t="s">
        <v>101</v>
      </c>
      <c r="M392" s="10" t="s">
        <v>102</v>
      </c>
      <c r="N392" s="124" t="s">
        <v>424</v>
      </c>
      <c r="O392" s="124" t="s">
        <v>424</v>
      </c>
      <c r="P392" s="21">
        <v>32</v>
      </c>
      <c r="Q392" s="10" t="s">
        <v>54</v>
      </c>
      <c r="R392" s="10" t="s">
        <v>28</v>
      </c>
      <c r="S392" s="10"/>
      <c r="T392" s="10"/>
      <c r="U392" s="10" t="s">
        <v>1674</v>
      </c>
      <c r="V392" s="10" t="s">
        <v>1674</v>
      </c>
      <c r="W392" s="50">
        <f>+J392/$W$2</f>
        <v>2.3934237104905021E-4</v>
      </c>
    </row>
    <row r="393" spans="1:23">
      <c r="A393" s="10" t="s">
        <v>1941</v>
      </c>
      <c r="B393" s="10" t="s">
        <v>381</v>
      </c>
      <c r="C393" s="124">
        <v>46309</v>
      </c>
      <c r="D393" s="124" t="s">
        <v>492</v>
      </c>
      <c r="E393" s="21">
        <v>0.98742063000000002</v>
      </c>
      <c r="F393" s="10"/>
      <c r="G393" s="14">
        <v>40000000</v>
      </c>
      <c r="H393" s="14">
        <v>39496825.210000001</v>
      </c>
      <c r="I393" s="14">
        <v>40000000</v>
      </c>
      <c r="J393" s="14">
        <v>39496825.210000001</v>
      </c>
      <c r="K393" s="12">
        <v>88</v>
      </c>
      <c r="L393" s="10" t="s">
        <v>101</v>
      </c>
      <c r="M393" s="10" t="s">
        <v>102</v>
      </c>
      <c r="N393" s="124" t="s">
        <v>436</v>
      </c>
      <c r="O393" s="124" t="s">
        <v>436</v>
      </c>
      <c r="P393" s="21">
        <v>31</v>
      </c>
      <c r="Q393" s="10" t="s">
        <v>54</v>
      </c>
      <c r="R393" s="10" t="s">
        <v>28</v>
      </c>
      <c r="S393" s="10"/>
      <c r="T393" s="10"/>
      <c r="U393" s="10" t="s">
        <v>1929</v>
      </c>
      <c r="V393" s="10" t="s">
        <v>1929</v>
      </c>
      <c r="W393" s="50">
        <f>+J393/$W$2</f>
        <v>5.2509326086915085E-4</v>
      </c>
    </row>
    <row r="394" spans="1:23">
      <c r="A394" s="10" t="s">
        <v>2239</v>
      </c>
      <c r="B394" s="10" t="s">
        <v>381</v>
      </c>
      <c r="C394" s="124">
        <v>46309</v>
      </c>
      <c r="D394" s="124" t="s">
        <v>492</v>
      </c>
      <c r="E394" s="21">
        <v>0.98742063999999996</v>
      </c>
      <c r="F394" s="10"/>
      <c r="G394" s="14">
        <v>6742842</v>
      </c>
      <c r="H394" s="14">
        <v>6658021.3499999996</v>
      </c>
      <c r="I394" s="14">
        <v>6742842</v>
      </c>
      <c r="J394" s="14">
        <v>6658021.3499999996</v>
      </c>
      <c r="K394" s="12">
        <v>182672</v>
      </c>
      <c r="L394" s="10" t="s">
        <v>101</v>
      </c>
      <c r="M394" s="10" t="s">
        <v>102</v>
      </c>
      <c r="N394" s="124" t="s">
        <v>551</v>
      </c>
      <c r="O394" s="124" t="s">
        <v>551</v>
      </c>
      <c r="P394" s="21">
        <v>31</v>
      </c>
      <c r="Q394" s="10" t="s">
        <v>54</v>
      </c>
      <c r="R394" s="10" t="s">
        <v>28</v>
      </c>
      <c r="S394" s="10"/>
      <c r="T394" s="10"/>
      <c r="U394" s="10" t="s">
        <v>2192</v>
      </c>
      <c r="V394" s="10" t="s">
        <v>2192</v>
      </c>
      <c r="W394" s="50">
        <f>+J394/$W$2</f>
        <v>8.8515523033045452E-5</v>
      </c>
    </row>
    <row r="395" spans="1:23">
      <c r="A395" s="10" t="s">
        <v>135</v>
      </c>
      <c r="B395" s="10" t="s">
        <v>381</v>
      </c>
      <c r="C395" s="124">
        <v>46309</v>
      </c>
      <c r="D395" s="124" t="s">
        <v>492</v>
      </c>
      <c r="E395" s="21">
        <v>0.98661986000000002</v>
      </c>
      <c r="F395" s="10"/>
      <c r="G395" s="14">
        <v>85000000</v>
      </c>
      <c r="H395" s="14">
        <v>83862687.680000007</v>
      </c>
      <c r="I395" s="14">
        <v>85000000</v>
      </c>
      <c r="J395" s="14">
        <v>83862687.680000007</v>
      </c>
      <c r="K395" s="12">
        <v>8444</v>
      </c>
      <c r="L395" s="10" t="s">
        <v>101</v>
      </c>
      <c r="M395" s="10" t="s">
        <v>102</v>
      </c>
      <c r="N395" s="124" t="s">
        <v>396</v>
      </c>
      <c r="O395" s="124" t="s">
        <v>396</v>
      </c>
      <c r="P395" s="21">
        <v>33</v>
      </c>
      <c r="Q395" s="10" t="s">
        <v>54</v>
      </c>
      <c r="R395" s="10" t="s">
        <v>28</v>
      </c>
      <c r="S395" s="10"/>
      <c r="T395" s="10"/>
      <c r="U395" s="10" t="s">
        <v>881</v>
      </c>
      <c r="V395" s="10" t="s">
        <v>881</v>
      </c>
      <c r="W395" s="50">
        <f>+J395/$W$2</f>
        <v>1.1149182726715254E-3</v>
      </c>
    </row>
    <row r="396" spans="1:23">
      <c r="A396" s="10" t="s">
        <v>2414</v>
      </c>
      <c r="B396" s="10" t="s">
        <v>381</v>
      </c>
      <c r="C396" s="124">
        <v>46309</v>
      </c>
      <c r="D396" s="124" t="s">
        <v>492</v>
      </c>
      <c r="E396" s="21">
        <v>0.98782150999999996</v>
      </c>
      <c r="F396" s="10"/>
      <c r="G396" s="14">
        <v>537120</v>
      </c>
      <c r="H396" s="14">
        <v>530578.68999999994</v>
      </c>
      <c r="I396" s="14">
        <v>537120</v>
      </c>
      <c r="J396" s="14">
        <v>530578.68999999994</v>
      </c>
      <c r="K396" s="12">
        <v>726162</v>
      </c>
      <c r="L396" s="10" t="s">
        <v>101</v>
      </c>
      <c r="M396" s="10" t="s">
        <v>102</v>
      </c>
      <c r="N396" s="124" t="s">
        <v>552</v>
      </c>
      <c r="O396" s="124" t="s">
        <v>552</v>
      </c>
      <c r="P396" s="21">
        <v>30</v>
      </c>
      <c r="Q396" s="10" t="s">
        <v>54</v>
      </c>
      <c r="R396" s="10" t="s">
        <v>28</v>
      </c>
      <c r="S396" s="10"/>
      <c r="T396" s="10"/>
      <c r="U396" s="10" t="s">
        <v>2397</v>
      </c>
      <c r="V396" s="10" t="s">
        <v>2397</v>
      </c>
      <c r="W396" s="50">
        <f>+J396/$W$2</f>
        <v>7.0538149078686993E-6</v>
      </c>
    </row>
    <row r="397" spans="1:23">
      <c r="A397" s="10" t="s">
        <v>272</v>
      </c>
      <c r="B397" s="10" t="s">
        <v>381</v>
      </c>
      <c r="C397" s="124">
        <v>46309</v>
      </c>
      <c r="D397" s="124" t="s">
        <v>492</v>
      </c>
      <c r="E397" s="21">
        <v>0.98983051</v>
      </c>
      <c r="F397" s="10"/>
      <c r="G397" s="14">
        <v>40000000</v>
      </c>
      <c r="H397" s="14">
        <v>39593220.369999997</v>
      </c>
      <c r="I397" s="14">
        <v>40000000</v>
      </c>
      <c r="J397" s="14">
        <v>39593220.369999997</v>
      </c>
      <c r="K397" s="12">
        <v>67620341</v>
      </c>
      <c r="L397" s="10" t="s">
        <v>101</v>
      </c>
      <c r="M397" s="10" t="s">
        <v>102</v>
      </c>
      <c r="N397" s="124" t="s">
        <v>318</v>
      </c>
      <c r="O397" s="124" t="s">
        <v>318</v>
      </c>
      <c r="P397" s="21">
        <v>25</v>
      </c>
      <c r="Q397" s="10" t="s">
        <v>54</v>
      </c>
      <c r="R397" s="10" t="s">
        <v>28</v>
      </c>
      <c r="S397" s="10"/>
      <c r="T397" s="10"/>
      <c r="U397" s="10" t="s">
        <v>700</v>
      </c>
      <c r="V397" s="10" t="s">
        <v>700</v>
      </c>
      <c r="W397" s="50">
        <f>+J397/$W$2</f>
        <v>5.2637479295754731E-4</v>
      </c>
    </row>
    <row r="398" spans="1:23">
      <c r="A398" s="10" t="s">
        <v>903</v>
      </c>
      <c r="B398" s="10" t="s">
        <v>381</v>
      </c>
      <c r="C398" s="124">
        <v>46309</v>
      </c>
      <c r="D398" s="124" t="s">
        <v>492</v>
      </c>
      <c r="E398" s="21">
        <v>0.98621994999999996</v>
      </c>
      <c r="F398" s="10"/>
      <c r="G398" s="14">
        <v>5400000</v>
      </c>
      <c r="H398" s="14">
        <v>5325587.75</v>
      </c>
      <c r="I398" s="14">
        <v>5400000</v>
      </c>
      <c r="J398" s="14">
        <v>5325587.75</v>
      </c>
      <c r="K398" s="12">
        <v>162797</v>
      </c>
      <c r="L398" s="10" t="s">
        <v>101</v>
      </c>
      <c r="M398" s="10" t="s">
        <v>102</v>
      </c>
      <c r="N398" s="124" t="s">
        <v>348</v>
      </c>
      <c r="O398" s="124" t="s">
        <v>348</v>
      </c>
      <c r="P398" s="21">
        <v>34</v>
      </c>
      <c r="Q398" s="10" t="s">
        <v>54</v>
      </c>
      <c r="R398" s="10" t="s">
        <v>28</v>
      </c>
      <c r="S398" s="10"/>
      <c r="T398" s="10"/>
      <c r="U398" s="10" t="s">
        <v>1898</v>
      </c>
      <c r="V398" s="10" t="s">
        <v>1898</v>
      </c>
      <c r="W398" s="50">
        <f>+J398/$W$2</f>
        <v>7.0801392841678067E-5</v>
      </c>
    </row>
    <row r="399" spans="1:23">
      <c r="A399" s="10" t="s">
        <v>273</v>
      </c>
      <c r="B399" s="10" t="s">
        <v>381</v>
      </c>
      <c r="C399" s="124">
        <v>46309</v>
      </c>
      <c r="D399" s="124" t="s">
        <v>492</v>
      </c>
      <c r="E399" s="21">
        <v>0.98902590999999995</v>
      </c>
      <c r="F399" s="10"/>
      <c r="G399" s="14">
        <v>10000000</v>
      </c>
      <c r="H399" s="14">
        <v>9890259.1099999994</v>
      </c>
      <c r="I399" s="14">
        <v>10000000</v>
      </c>
      <c r="J399" s="14">
        <v>9890259.1099999994</v>
      </c>
      <c r="K399" s="12">
        <v>2010</v>
      </c>
      <c r="L399" s="10" t="s">
        <v>101</v>
      </c>
      <c r="M399" s="10" t="s">
        <v>102</v>
      </c>
      <c r="N399" s="124" t="s">
        <v>395</v>
      </c>
      <c r="O399" s="124" t="s">
        <v>395</v>
      </c>
      <c r="P399" s="21">
        <v>27</v>
      </c>
      <c r="Q399" s="10" t="s">
        <v>54</v>
      </c>
      <c r="R399" s="10" t="s">
        <v>28</v>
      </c>
      <c r="S399" s="10"/>
      <c r="T399" s="10"/>
      <c r="U399" s="10" t="s">
        <v>836</v>
      </c>
      <c r="V399" s="10" t="s">
        <v>836</v>
      </c>
      <c r="W399" s="50">
        <f>+J399/$W$2</f>
        <v>1.3148673037132762E-4</v>
      </c>
    </row>
    <row r="400" spans="1:23">
      <c r="A400" s="10" t="s">
        <v>1429</v>
      </c>
      <c r="B400" s="10" t="s">
        <v>381</v>
      </c>
      <c r="C400" s="124">
        <v>46309</v>
      </c>
      <c r="D400" s="124" t="s">
        <v>492</v>
      </c>
      <c r="E400" s="21">
        <v>0.98661982999999998</v>
      </c>
      <c r="F400" s="10"/>
      <c r="G400" s="14">
        <v>47215422</v>
      </c>
      <c r="H400" s="14">
        <v>46583671.530000001</v>
      </c>
      <c r="I400" s="14">
        <v>47215422</v>
      </c>
      <c r="J400" s="14">
        <v>46583671.530000001</v>
      </c>
      <c r="K400" s="12">
        <v>396</v>
      </c>
      <c r="L400" s="10" t="s">
        <v>101</v>
      </c>
      <c r="M400" s="10" t="s">
        <v>102</v>
      </c>
      <c r="N400" s="124" t="s">
        <v>548</v>
      </c>
      <c r="O400" s="124" t="s">
        <v>548</v>
      </c>
      <c r="P400" s="21">
        <v>33</v>
      </c>
      <c r="Q400" s="10" t="s">
        <v>54</v>
      </c>
      <c r="R400" s="10" t="s">
        <v>28</v>
      </c>
      <c r="S400" s="10"/>
      <c r="T400" s="10"/>
      <c r="U400" s="10" t="s">
        <v>1374</v>
      </c>
      <c r="V400" s="10" t="s">
        <v>1374</v>
      </c>
      <c r="W400" s="50">
        <f>+J400/$W$2</f>
        <v>6.1930982697698002E-4</v>
      </c>
    </row>
    <row r="401" spans="1:29">
      <c r="A401" s="10" t="s">
        <v>1430</v>
      </c>
      <c r="B401" s="10" t="s">
        <v>381</v>
      </c>
      <c r="C401" s="124">
        <v>46309</v>
      </c>
      <c r="D401" s="124" t="s">
        <v>492</v>
      </c>
      <c r="E401" s="21">
        <v>0.98702003999999999</v>
      </c>
      <c r="F401" s="10"/>
      <c r="G401" s="14">
        <v>6000000</v>
      </c>
      <c r="H401" s="14">
        <v>5922120.2300000004</v>
      </c>
      <c r="I401" s="14">
        <v>6000000</v>
      </c>
      <c r="J401" s="14">
        <v>5922120.2300000004</v>
      </c>
      <c r="K401" s="12">
        <v>90001653</v>
      </c>
      <c r="L401" s="10" t="s">
        <v>101</v>
      </c>
      <c r="M401" s="10" t="s">
        <v>102</v>
      </c>
      <c r="N401" s="124" t="s">
        <v>398</v>
      </c>
      <c r="O401" s="124" t="s">
        <v>398</v>
      </c>
      <c r="P401" s="21">
        <v>32</v>
      </c>
      <c r="Q401" s="10" t="s">
        <v>54</v>
      </c>
      <c r="R401" s="10" t="s">
        <v>28</v>
      </c>
      <c r="S401" s="10"/>
      <c r="T401" s="10"/>
      <c r="U401" s="10" t="s">
        <v>1792</v>
      </c>
      <c r="V401" s="10" t="s">
        <v>1792</v>
      </c>
      <c r="W401" s="50">
        <f>+J401/$W$2</f>
        <v>7.873203494954691E-5</v>
      </c>
    </row>
    <row r="402" spans="1:29">
      <c r="A402" s="10" t="s">
        <v>385</v>
      </c>
      <c r="B402" s="10" t="s">
        <v>381</v>
      </c>
      <c r="C402" s="124">
        <v>46309</v>
      </c>
      <c r="D402" s="124" t="s">
        <v>492</v>
      </c>
      <c r="E402" s="21">
        <v>0.98661980999999999</v>
      </c>
      <c r="F402" s="10"/>
      <c r="G402" s="14">
        <v>12500000</v>
      </c>
      <c r="H402" s="14">
        <v>12332747.67</v>
      </c>
      <c r="I402" s="14">
        <v>12500000</v>
      </c>
      <c r="J402" s="14">
        <v>12332747.67</v>
      </c>
      <c r="K402" s="12">
        <v>1363</v>
      </c>
      <c r="L402" s="10" t="s">
        <v>101</v>
      </c>
      <c r="M402" s="10" t="s">
        <v>102</v>
      </c>
      <c r="N402" s="124" t="s">
        <v>351</v>
      </c>
      <c r="O402" s="124" t="s">
        <v>351</v>
      </c>
      <c r="P402" s="21">
        <v>33</v>
      </c>
      <c r="Q402" s="10" t="s">
        <v>54</v>
      </c>
      <c r="R402" s="10" t="s">
        <v>28</v>
      </c>
      <c r="S402" s="10"/>
      <c r="T402" s="10"/>
      <c r="U402" s="10" t="s">
        <v>610</v>
      </c>
      <c r="V402" s="10" t="s">
        <v>610</v>
      </c>
      <c r="W402" s="50">
        <f>+J402/$W$2</f>
        <v>1.6395856262080367E-4</v>
      </c>
      <c r="AC402" s="47"/>
    </row>
    <row r="403" spans="1:29">
      <c r="A403" s="10" t="s">
        <v>166</v>
      </c>
      <c r="B403" s="10" t="s">
        <v>381</v>
      </c>
      <c r="C403" s="124">
        <v>46309</v>
      </c>
      <c r="D403" s="124" t="s">
        <v>492</v>
      </c>
      <c r="E403" s="21">
        <v>0.98582040999999998</v>
      </c>
      <c r="F403" s="10"/>
      <c r="G403" s="14">
        <v>250000000</v>
      </c>
      <c r="H403" s="14">
        <v>246455101.69999999</v>
      </c>
      <c r="I403" s="14">
        <v>250000000</v>
      </c>
      <c r="J403" s="14">
        <v>246455101.69999999</v>
      </c>
      <c r="K403" s="12">
        <v>70400475</v>
      </c>
      <c r="L403" s="10" t="s">
        <v>101</v>
      </c>
      <c r="M403" s="10" t="s">
        <v>102</v>
      </c>
      <c r="N403" s="124" t="s">
        <v>548</v>
      </c>
      <c r="O403" s="124" t="s">
        <v>548</v>
      </c>
      <c r="P403" s="21">
        <v>35</v>
      </c>
      <c r="Q403" s="10" t="s">
        <v>54</v>
      </c>
      <c r="R403" s="10" t="s">
        <v>28</v>
      </c>
      <c r="S403" s="10"/>
      <c r="T403" s="10"/>
      <c r="U403" s="10" t="s">
        <v>1370</v>
      </c>
      <c r="V403" s="10" t="s">
        <v>1370</v>
      </c>
      <c r="W403" s="50">
        <f>+J403/$W$2</f>
        <v>3.2765143102369159E-3</v>
      </c>
    </row>
    <row r="404" spans="1:29">
      <c r="A404" s="10" t="s">
        <v>663</v>
      </c>
      <c r="B404" s="10" t="s">
        <v>381</v>
      </c>
      <c r="C404" s="124">
        <v>46309</v>
      </c>
      <c r="D404" s="124" t="s">
        <v>492</v>
      </c>
      <c r="E404" s="21">
        <v>0.98661982000000004</v>
      </c>
      <c r="F404" s="10"/>
      <c r="G404" s="14">
        <v>650000000</v>
      </c>
      <c r="H404" s="14">
        <v>641302883.72000003</v>
      </c>
      <c r="I404" s="14">
        <v>650000000</v>
      </c>
      <c r="J404" s="14">
        <v>641302883.72000003</v>
      </c>
      <c r="K404" s="12">
        <v>152838</v>
      </c>
      <c r="L404" s="10" t="s">
        <v>101</v>
      </c>
      <c r="M404" s="10" t="s">
        <v>102</v>
      </c>
      <c r="N404" s="124" t="s">
        <v>388</v>
      </c>
      <c r="O404" s="124" t="s">
        <v>388</v>
      </c>
      <c r="P404" s="21">
        <v>33</v>
      </c>
      <c r="Q404" s="10" t="s">
        <v>54</v>
      </c>
      <c r="R404" s="10" t="s">
        <v>28</v>
      </c>
      <c r="S404" s="10"/>
      <c r="T404" s="10"/>
      <c r="U404" s="10" t="s">
        <v>689</v>
      </c>
      <c r="V404" s="10" t="s">
        <v>689</v>
      </c>
      <c r="W404" s="50">
        <f>+J404/$W$2</f>
        <v>8.5258453211592873E-3</v>
      </c>
    </row>
    <row r="405" spans="1:29">
      <c r="A405" s="10" t="s">
        <v>691</v>
      </c>
      <c r="B405" s="10" t="s">
        <v>381</v>
      </c>
      <c r="C405" s="124">
        <v>46309</v>
      </c>
      <c r="D405" s="124" t="s">
        <v>492</v>
      </c>
      <c r="E405" s="21">
        <v>0.98661982999999998</v>
      </c>
      <c r="F405" s="10"/>
      <c r="G405" s="14">
        <v>650000000</v>
      </c>
      <c r="H405" s="14">
        <v>641302890.74000001</v>
      </c>
      <c r="I405" s="14">
        <v>650000000</v>
      </c>
      <c r="J405" s="14">
        <v>641302890.74000001</v>
      </c>
      <c r="K405" s="12">
        <v>153163</v>
      </c>
      <c r="L405" s="10" t="s">
        <v>101</v>
      </c>
      <c r="M405" s="10" t="s">
        <v>102</v>
      </c>
      <c r="N405" s="124" t="s">
        <v>332</v>
      </c>
      <c r="O405" s="124" t="s">
        <v>332</v>
      </c>
      <c r="P405" s="21">
        <v>33</v>
      </c>
      <c r="Q405" s="10" t="s">
        <v>54</v>
      </c>
      <c r="R405" s="10" t="s">
        <v>28</v>
      </c>
      <c r="S405" s="10"/>
      <c r="T405" s="10"/>
      <c r="U405" s="10" t="s">
        <v>692</v>
      </c>
      <c r="V405" s="10" t="s">
        <v>692</v>
      </c>
      <c r="W405" s="50">
        <f>+J405/$W$2</f>
        <v>8.5258454144871605E-3</v>
      </c>
    </row>
    <row r="406" spans="1:29">
      <c r="A406" s="10" t="s">
        <v>367</v>
      </c>
      <c r="B406" s="10" t="s">
        <v>381</v>
      </c>
      <c r="C406" s="124">
        <v>46309</v>
      </c>
      <c r="D406" s="124" t="s">
        <v>492</v>
      </c>
      <c r="E406" s="21">
        <v>0.98661982000000004</v>
      </c>
      <c r="F406" s="10"/>
      <c r="G406" s="14">
        <v>800000000</v>
      </c>
      <c r="H406" s="14">
        <v>789295856.88</v>
      </c>
      <c r="I406" s="14">
        <v>800000000</v>
      </c>
      <c r="J406" s="14">
        <v>789295856.88</v>
      </c>
      <c r="K406" s="12">
        <v>152839</v>
      </c>
      <c r="L406" s="10" t="s">
        <v>101</v>
      </c>
      <c r="M406" s="10" t="s">
        <v>102</v>
      </c>
      <c r="N406" s="124" t="s">
        <v>388</v>
      </c>
      <c r="O406" s="124" t="s">
        <v>388</v>
      </c>
      <c r="P406" s="21">
        <v>33</v>
      </c>
      <c r="Q406" s="10" t="s">
        <v>54</v>
      </c>
      <c r="R406" s="10" t="s">
        <v>28</v>
      </c>
      <c r="S406" s="10"/>
      <c r="T406" s="10"/>
      <c r="U406" s="10" t="s">
        <v>690</v>
      </c>
      <c r="V406" s="10" t="s">
        <v>690</v>
      </c>
      <c r="W406" s="50">
        <f>+J406/$W$2</f>
        <v>1.0493348087498848E-2</v>
      </c>
    </row>
    <row r="407" spans="1:29">
      <c r="A407" s="10" t="s">
        <v>2321</v>
      </c>
      <c r="B407" s="10" t="s">
        <v>381</v>
      </c>
      <c r="C407" s="124">
        <v>46309</v>
      </c>
      <c r="D407" s="124" t="s">
        <v>492</v>
      </c>
      <c r="E407" s="21">
        <v>0.98742059000000004</v>
      </c>
      <c r="F407" s="10"/>
      <c r="G407" s="14">
        <v>50000000</v>
      </c>
      <c r="H407" s="14">
        <v>49371029.310000002</v>
      </c>
      <c r="I407" s="14">
        <v>50000000</v>
      </c>
      <c r="J407" s="14">
        <v>49371029.310000002</v>
      </c>
      <c r="K407" s="12">
        <v>16836863</v>
      </c>
      <c r="L407" s="10" t="s">
        <v>101</v>
      </c>
      <c r="M407" s="10" t="s">
        <v>102</v>
      </c>
      <c r="N407" s="124" t="s">
        <v>536</v>
      </c>
      <c r="O407" s="124" t="s">
        <v>536</v>
      </c>
      <c r="P407" s="21">
        <v>31</v>
      </c>
      <c r="Q407" s="10" t="s">
        <v>54</v>
      </c>
      <c r="R407" s="10" t="s">
        <v>28</v>
      </c>
      <c r="S407" s="10"/>
      <c r="T407" s="10"/>
      <c r="U407" s="10" t="s">
        <v>2316</v>
      </c>
      <c r="V407" s="10" t="s">
        <v>2316</v>
      </c>
      <c r="W407" s="50">
        <f>+J407/$W$2</f>
        <v>6.5636654680515077E-4</v>
      </c>
      <c r="AC407" s="47"/>
    </row>
    <row r="408" spans="1:29">
      <c r="A408" s="10" t="s">
        <v>471</v>
      </c>
      <c r="B408" s="10" t="s">
        <v>381</v>
      </c>
      <c r="C408" s="124">
        <v>46309</v>
      </c>
      <c r="D408" s="124" t="s">
        <v>492</v>
      </c>
      <c r="E408" s="21">
        <v>0.98822255999999997</v>
      </c>
      <c r="F408" s="10"/>
      <c r="G408" s="14">
        <v>10000000</v>
      </c>
      <c r="H408" s="14">
        <v>9882225.6199999992</v>
      </c>
      <c r="I408" s="14">
        <v>10000000</v>
      </c>
      <c r="J408" s="14">
        <v>9882225.6199999992</v>
      </c>
      <c r="K408" s="12">
        <v>80620808</v>
      </c>
      <c r="L408" s="10" t="s">
        <v>101</v>
      </c>
      <c r="M408" s="10" t="s">
        <v>102</v>
      </c>
      <c r="N408" s="124" t="s">
        <v>305</v>
      </c>
      <c r="O408" s="124" t="s">
        <v>305</v>
      </c>
      <c r="P408" s="21">
        <v>29</v>
      </c>
      <c r="Q408" s="10" t="s">
        <v>54</v>
      </c>
      <c r="R408" s="10" t="s">
        <v>28</v>
      </c>
      <c r="S408" s="10"/>
      <c r="T408" s="10"/>
      <c r="U408" s="10" t="s">
        <v>761</v>
      </c>
      <c r="V408" s="10" t="s">
        <v>761</v>
      </c>
      <c r="W408" s="50">
        <f>+J408/$W$2</f>
        <v>1.3137992858566937E-4</v>
      </c>
    </row>
    <row r="409" spans="1:29">
      <c r="A409" s="10" t="s">
        <v>675</v>
      </c>
      <c r="B409" s="10" t="s">
        <v>381</v>
      </c>
      <c r="C409" s="124">
        <v>46309</v>
      </c>
      <c r="D409" s="124" t="s">
        <v>492</v>
      </c>
      <c r="E409" s="21">
        <v>0.98782139000000002</v>
      </c>
      <c r="F409" s="10"/>
      <c r="G409" s="14">
        <v>150000000</v>
      </c>
      <c r="H409" s="14">
        <v>148173207.94999999</v>
      </c>
      <c r="I409" s="14">
        <v>150000000</v>
      </c>
      <c r="J409" s="14">
        <v>148173207.94999999</v>
      </c>
      <c r="K409" s="12">
        <v>90003992</v>
      </c>
      <c r="L409" s="10" t="s">
        <v>101</v>
      </c>
      <c r="M409" s="10" t="s">
        <v>102</v>
      </c>
      <c r="N409" s="124" t="s">
        <v>435</v>
      </c>
      <c r="O409" s="124" t="s">
        <v>435</v>
      </c>
      <c r="P409" s="21">
        <v>30</v>
      </c>
      <c r="Q409" s="10" t="s">
        <v>54</v>
      </c>
      <c r="R409" s="10" t="s">
        <v>28</v>
      </c>
      <c r="S409" s="10"/>
      <c r="T409" s="10"/>
      <c r="U409" s="10" t="s">
        <v>1329</v>
      </c>
      <c r="V409" s="10" t="s">
        <v>1329</v>
      </c>
      <c r="W409" s="50">
        <f>+J409/$W$2</f>
        <v>1.9698989101587152E-3</v>
      </c>
    </row>
    <row r="410" spans="1:29">
      <c r="A410" s="10" t="s">
        <v>427</v>
      </c>
      <c r="B410" s="10" t="s">
        <v>381</v>
      </c>
      <c r="C410" s="124">
        <v>46309</v>
      </c>
      <c r="D410" s="124" t="s">
        <v>492</v>
      </c>
      <c r="E410" s="21">
        <v>0.98862404999999998</v>
      </c>
      <c r="F410" s="10"/>
      <c r="G410" s="14">
        <v>2500000</v>
      </c>
      <c r="H410" s="14">
        <v>2471560.12</v>
      </c>
      <c r="I410" s="14">
        <v>2500000</v>
      </c>
      <c r="J410" s="14">
        <v>2471560.12</v>
      </c>
      <c r="K410" s="12">
        <v>90031814</v>
      </c>
      <c r="L410" s="10" t="s">
        <v>101</v>
      </c>
      <c r="M410" s="10" t="s">
        <v>102</v>
      </c>
      <c r="N410" s="124" t="s">
        <v>277</v>
      </c>
      <c r="O410" s="124" t="s">
        <v>277</v>
      </c>
      <c r="P410" s="21">
        <v>28</v>
      </c>
      <c r="Q410" s="10" t="s">
        <v>54</v>
      </c>
      <c r="R410" s="10" t="s">
        <v>28</v>
      </c>
      <c r="S410" s="10"/>
      <c r="T410" s="10"/>
      <c r="U410" s="10" t="s">
        <v>511</v>
      </c>
      <c r="V410" s="10" t="s">
        <v>511</v>
      </c>
      <c r="W410" s="50">
        <f>+J410/$W$2</f>
        <v>3.285832610455907E-5</v>
      </c>
    </row>
    <row r="411" spans="1:29">
      <c r="A411" s="10" t="s">
        <v>427</v>
      </c>
      <c r="B411" s="10" t="s">
        <v>381</v>
      </c>
      <c r="C411" s="124">
        <v>46309</v>
      </c>
      <c r="D411" s="124" t="s">
        <v>492</v>
      </c>
      <c r="E411" s="21">
        <v>0.98862406999999997</v>
      </c>
      <c r="F411" s="10"/>
      <c r="G411" s="14">
        <v>25000000</v>
      </c>
      <c r="H411" s="14">
        <v>24715601.75</v>
      </c>
      <c r="I411" s="14">
        <v>25000000</v>
      </c>
      <c r="J411" s="14">
        <v>24715601.75</v>
      </c>
      <c r="K411" s="12">
        <v>360570</v>
      </c>
      <c r="L411" s="10" t="s">
        <v>101</v>
      </c>
      <c r="M411" s="10" t="s">
        <v>102</v>
      </c>
      <c r="N411" s="124" t="s">
        <v>295</v>
      </c>
      <c r="O411" s="124" t="s">
        <v>295</v>
      </c>
      <c r="P411" s="21">
        <v>28</v>
      </c>
      <c r="Q411" s="10" t="s">
        <v>54</v>
      </c>
      <c r="R411" s="10" t="s">
        <v>28</v>
      </c>
      <c r="S411" s="10"/>
      <c r="T411" s="10"/>
      <c r="U411" s="10" t="s">
        <v>481</v>
      </c>
      <c r="V411" s="10" t="s">
        <v>481</v>
      </c>
      <c r="W411" s="50">
        <f>+J411/$W$2</f>
        <v>3.2858326835760352E-4</v>
      </c>
    </row>
    <row r="412" spans="1:29">
      <c r="A412" s="10" t="s">
        <v>382</v>
      </c>
      <c r="B412" s="10" t="s">
        <v>381</v>
      </c>
      <c r="C412" s="124">
        <v>46309</v>
      </c>
      <c r="D412" s="124" t="s">
        <v>492</v>
      </c>
      <c r="E412" s="21">
        <v>0.98702005999999998</v>
      </c>
      <c r="F412" s="10"/>
      <c r="G412" s="14">
        <v>2000000</v>
      </c>
      <c r="H412" s="14">
        <v>1974040.13</v>
      </c>
      <c r="I412" s="14">
        <v>2000000</v>
      </c>
      <c r="J412" s="14">
        <v>1974040.13</v>
      </c>
      <c r="K412" s="12">
        <v>1070</v>
      </c>
      <c r="L412" s="10" t="s">
        <v>101</v>
      </c>
      <c r="M412" s="10" t="s">
        <v>102</v>
      </c>
      <c r="N412" s="124" t="s">
        <v>432</v>
      </c>
      <c r="O412" s="124" t="s">
        <v>432</v>
      </c>
      <c r="P412" s="21">
        <v>32</v>
      </c>
      <c r="Q412" s="10" t="s">
        <v>54</v>
      </c>
      <c r="R412" s="10" t="s">
        <v>28</v>
      </c>
      <c r="S412" s="10"/>
      <c r="T412" s="10"/>
      <c r="U412" s="10" t="s">
        <v>1836</v>
      </c>
      <c r="V412" s="10" t="s">
        <v>1836</v>
      </c>
      <c r="W412" s="50">
        <f>+J412/$W$2</f>
        <v>2.6244012358892638E-5</v>
      </c>
    </row>
    <row r="413" spans="1:29">
      <c r="A413" s="10" t="s">
        <v>382</v>
      </c>
      <c r="B413" s="10" t="s">
        <v>381</v>
      </c>
      <c r="C413" s="124">
        <v>46309</v>
      </c>
      <c r="D413" s="124" t="s">
        <v>492</v>
      </c>
      <c r="E413" s="21">
        <v>0.98782139000000002</v>
      </c>
      <c r="F413" s="10"/>
      <c r="G413" s="14">
        <v>2500000</v>
      </c>
      <c r="H413" s="14">
        <v>2469553.4700000002</v>
      </c>
      <c r="I413" s="14">
        <v>2500000</v>
      </c>
      <c r="J413" s="14">
        <v>2469553.4700000002</v>
      </c>
      <c r="K413" s="12">
        <v>156</v>
      </c>
      <c r="L413" s="10" t="s">
        <v>101</v>
      </c>
      <c r="M413" s="10" t="s">
        <v>102</v>
      </c>
      <c r="N413" s="124" t="s">
        <v>435</v>
      </c>
      <c r="O413" s="124" t="s">
        <v>435</v>
      </c>
      <c r="P413" s="21">
        <v>30</v>
      </c>
      <c r="Q413" s="10" t="s">
        <v>54</v>
      </c>
      <c r="R413" s="10" t="s">
        <v>28</v>
      </c>
      <c r="S413" s="10"/>
      <c r="T413" s="10"/>
      <c r="U413" s="10" t="s">
        <v>1316</v>
      </c>
      <c r="V413" s="10" t="s">
        <v>1316</v>
      </c>
      <c r="W413" s="50">
        <f>+J413/$W$2</f>
        <v>3.2831648558039296E-5</v>
      </c>
    </row>
    <row r="414" spans="1:29">
      <c r="A414" s="10" t="s">
        <v>386</v>
      </c>
      <c r="B414" s="10" t="s">
        <v>381</v>
      </c>
      <c r="C414" s="124">
        <v>46309</v>
      </c>
      <c r="D414" s="124" t="s">
        <v>492</v>
      </c>
      <c r="E414" s="21">
        <v>0.98462369999999999</v>
      </c>
      <c r="F414" s="10"/>
      <c r="G414" s="14">
        <v>42000000</v>
      </c>
      <c r="H414" s="14">
        <v>41354195.450000003</v>
      </c>
      <c r="I414" s="14">
        <v>42000000</v>
      </c>
      <c r="J414" s="14">
        <v>41354195.450000003</v>
      </c>
      <c r="K414" s="12">
        <v>160222</v>
      </c>
      <c r="L414" s="10" t="s">
        <v>101</v>
      </c>
      <c r="M414" s="10" t="s">
        <v>102</v>
      </c>
      <c r="N414" s="124" t="s">
        <v>548</v>
      </c>
      <c r="O414" s="124" t="s">
        <v>548</v>
      </c>
      <c r="P414" s="21">
        <v>38</v>
      </c>
      <c r="Q414" s="10" t="s">
        <v>54</v>
      </c>
      <c r="R414" s="10" t="s">
        <v>28</v>
      </c>
      <c r="S414" s="10"/>
      <c r="T414" s="10"/>
      <c r="U414" s="10" t="s">
        <v>1366</v>
      </c>
      <c r="V414" s="10" t="s">
        <v>1366</v>
      </c>
      <c r="W414" s="50">
        <f>+J414/$W$2</f>
        <v>5.4978619734638416E-4</v>
      </c>
    </row>
    <row r="415" spans="1:29">
      <c r="A415" s="10" t="s">
        <v>386</v>
      </c>
      <c r="B415" s="10" t="s">
        <v>381</v>
      </c>
      <c r="C415" s="124">
        <v>46309</v>
      </c>
      <c r="D415" s="124" t="s">
        <v>492</v>
      </c>
      <c r="E415" s="21">
        <v>0.98462371000000004</v>
      </c>
      <c r="F415" s="10"/>
      <c r="G415" s="14">
        <v>42000000</v>
      </c>
      <c r="H415" s="14">
        <v>41354196.020000003</v>
      </c>
      <c r="I415" s="14">
        <v>42000000</v>
      </c>
      <c r="J415" s="14">
        <v>41354196.020000003</v>
      </c>
      <c r="K415" s="12">
        <v>160220</v>
      </c>
      <c r="L415" s="10" t="s">
        <v>101</v>
      </c>
      <c r="M415" s="10" t="s">
        <v>102</v>
      </c>
      <c r="N415" s="124" t="s">
        <v>349</v>
      </c>
      <c r="O415" s="124" t="s">
        <v>349</v>
      </c>
      <c r="P415" s="21">
        <v>38</v>
      </c>
      <c r="Q415" s="10" t="s">
        <v>54</v>
      </c>
      <c r="R415" s="10" t="s">
        <v>28</v>
      </c>
      <c r="S415" s="10"/>
      <c r="T415" s="10"/>
      <c r="U415" s="10" t="s">
        <v>1340</v>
      </c>
      <c r="V415" s="10" t="s">
        <v>1340</v>
      </c>
      <c r="W415" s="50">
        <f>+J415/$W$2</f>
        <v>5.4978620492428839E-4</v>
      </c>
      <c r="AC415" s="47"/>
    </row>
    <row r="416" spans="1:29">
      <c r="A416" s="10" t="s">
        <v>386</v>
      </c>
      <c r="B416" s="10" t="s">
        <v>381</v>
      </c>
      <c r="C416" s="124">
        <v>46309</v>
      </c>
      <c r="D416" s="124" t="s">
        <v>492</v>
      </c>
      <c r="E416" s="21">
        <v>0.98462371000000004</v>
      </c>
      <c r="F416" s="10"/>
      <c r="G416" s="14">
        <v>42000000</v>
      </c>
      <c r="H416" s="14">
        <v>41354196.020000003</v>
      </c>
      <c r="I416" s="14">
        <v>42000000</v>
      </c>
      <c r="J416" s="14">
        <v>41354196.020000003</v>
      </c>
      <c r="K416" s="12">
        <v>160221</v>
      </c>
      <c r="L416" s="10" t="s">
        <v>101</v>
      </c>
      <c r="M416" s="10" t="s">
        <v>102</v>
      </c>
      <c r="N416" s="124" t="s">
        <v>349</v>
      </c>
      <c r="O416" s="124" t="s">
        <v>349</v>
      </c>
      <c r="P416" s="21">
        <v>38</v>
      </c>
      <c r="Q416" s="10" t="s">
        <v>54</v>
      </c>
      <c r="R416" s="10" t="s">
        <v>28</v>
      </c>
      <c r="S416" s="10"/>
      <c r="T416" s="10"/>
      <c r="U416" s="10" t="s">
        <v>1341</v>
      </c>
      <c r="V416" s="10" t="s">
        <v>1341</v>
      </c>
      <c r="W416" s="50">
        <f>+J416/$W$2</f>
        <v>5.4978620492428839E-4</v>
      </c>
    </row>
    <row r="417" spans="1:29">
      <c r="A417" s="10" t="s">
        <v>477</v>
      </c>
      <c r="B417" s="10" t="s">
        <v>381</v>
      </c>
      <c r="C417" s="124">
        <v>46310</v>
      </c>
      <c r="D417" s="124" t="s">
        <v>492</v>
      </c>
      <c r="E417" s="21">
        <v>0.98958900000000005</v>
      </c>
      <c r="F417" s="10"/>
      <c r="G417" s="14">
        <v>5000000</v>
      </c>
      <c r="H417" s="14">
        <v>4947945.0199999996</v>
      </c>
      <c r="I417" s="14">
        <v>5000000</v>
      </c>
      <c r="J417" s="14">
        <v>4947945.0199999996</v>
      </c>
      <c r="K417" s="12">
        <v>16831532</v>
      </c>
      <c r="L417" s="10" t="s">
        <v>101</v>
      </c>
      <c r="M417" s="10" t="s">
        <v>102</v>
      </c>
      <c r="N417" s="124" t="s">
        <v>155</v>
      </c>
      <c r="O417" s="124" t="s">
        <v>155</v>
      </c>
      <c r="P417" s="21">
        <v>24</v>
      </c>
      <c r="Q417" s="10" t="s">
        <v>54</v>
      </c>
      <c r="R417" s="10" t="s">
        <v>28</v>
      </c>
      <c r="S417" s="10"/>
      <c r="T417" s="10"/>
      <c r="U417" s="10" t="s">
        <v>1045</v>
      </c>
      <c r="V417" s="10" t="s">
        <v>1045</v>
      </c>
      <c r="W417" s="50">
        <f>+J417/$W$2</f>
        <v>6.5780795578862565E-5</v>
      </c>
      <c r="AC417" s="47"/>
    </row>
    <row r="418" spans="1:29">
      <c r="A418" s="10" t="s">
        <v>477</v>
      </c>
      <c r="B418" s="10" t="s">
        <v>381</v>
      </c>
      <c r="C418" s="124">
        <v>46310</v>
      </c>
      <c r="D418" s="124" t="s">
        <v>492</v>
      </c>
      <c r="E418" s="21">
        <v>0.98830282999999997</v>
      </c>
      <c r="F418" s="10"/>
      <c r="G418" s="14">
        <v>1600000</v>
      </c>
      <c r="H418" s="14">
        <v>1581284.53</v>
      </c>
      <c r="I418" s="14">
        <v>1600000</v>
      </c>
      <c r="J418" s="14">
        <v>1581284.53</v>
      </c>
      <c r="K418" s="12">
        <v>90000270</v>
      </c>
      <c r="L418" s="10" t="s">
        <v>101</v>
      </c>
      <c r="M418" s="10" t="s">
        <v>102</v>
      </c>
      <c r="N418" s="124" t="s">
        <v>364</v>
      </c>
      <c r="O418" s="124" t="s">
        <v>364</v>
      </c>
      <c r="P418" s="21">
        <v>27</v>
      </c>
      <c r="Q418" s="10" t="s">
        <v>54</v>
      </c>
      <c r="R418" s="10" t="s">
        <v>28</v>
      </c>
      <c r="S418" s="10"/>
      <c r="T418" s="10"/>
      <c r="U418" s="10" t="s">
        <v>1121</v>
      </c>
      <c r="V418" s="10" t="s">
        <v>1121</v>
      </c>
      <c r="W418" s="50">
        <f>+J418/$W$2</f>
        <v>2.1022496005816124E-5</v>
      </c>
    </row>
    <row r="419" spans="1:29">
      <c r="A419" s="10" t="s">
        <v>477</v>
      </c>
      <c r="B419" s="10" t="s">
        <v>381</v>
      </c>
      <c r="C419" s="124">
        <v>46310</v>
      </c>
      <c r="D419" s="124" t="s">
        <v>492</v>
      </c>
      <c r="E419" s="21">
        <v>0.98830282999999997</v>
      </c>
      <c r="F419" s="10"/>
      <c r="G419" s="14">
        <v>19000000</v>
      </c>
      <c r="H419" s="14">
        <v>18777753.789999999</v>
      </c>
      <c r="I419" s="14">
        <v>19000000</v>
      </c>
      <c r="J419" s="14">
        <v>18777753.789999999</v>
      </c>
      <c r="K419" s="12">
        <v>90000370</v>
      </c>
      <c r="L419" s="10" t="s">
        <v>101</v>
      </c>
      <c r="M419" s="10" t="s">
        <v>102</v>
      </c>
      <c r="N419" s="124" t="s">
        <v>364</v>
      </c>
      <c r="O419" s="124" t="s">
        <v>364</v>
      </c>
      <c r="P419" s="21">
        <v>27</v>
      </c>
      <c r="Q419" s="10" t="s">
        <v>54</v>
      </c>
      <c r="R419" s="10" t="s">
        <v>28</v>
      </c>
      <c r="S419" s="10"/>
      <c r="T419" s="10"/>
      <c r="U419" s="10" t="s">
        <v>1122</v>
      </c>
      <c r="V419" s="10" t="s">
        <v>1122</v>
      </c>
      <c r="W419" s="50">
        <f>+J419/$W$2</f>
        <v>2.4964214001921183E-4</v>
      </c>
    </row>
    <row r="420" spans="1:29">
      <c r="A420" s="10" t="s">
        <v>477</v>
      </c>
      <c r="B420" s="10" t="s">
        <v>381</v>
      </c>
      <c r="C420" s="124">
        <v>46310</v>
      </c>
      <c r="D420" s="124" t="s">
        <v>492</v>
      </c>
      <c r="E420" s="21">
        <v>0.98830282999999997</v>
      </c>
      <c r="F420" s="10"/>
      <c r="G420" s="14">
        <v>8100000</v>
      </c>
      <c r="H420" s="14">
        <v>8005252.9199999999</v>
      </c>
      <c r="I420" s="14">
        <v>8100000</v>
      </c>
      <c r="J420" s="14">
        <v>8005252.9199999999</v>
      </c>
      <c r="K420" s="12">
        <v>90000311</v>
      </c>
      <c r="L420" s="10" t="s">
        <v>101</v>
      </c>
      <c r="M420" s="10" t="s">
        <v>102</v>
      </c>
      <c r="N420" s="124" t="s">
        <v>364</v>
      </c>
      <c r="O420" s="124" t="s">
        <v>364</v>
      </c>
      <c r="P420" s="21">
        <v>27</v>
      </c>
      <c r="Q420" s="10" t="s">
        <v>54</v>
      </c>
      <c r="R420" s="10" t="s">
        <v>28</v>
      </c>
      <c r="S420" s="10"/>
      <c r="T420" s="10"/>
      <c r="U420" s="10" t="s">
        <v>1123</v>
      </c>
      <c r="V420" s="10" t="s">
        <v>1123</v>
      </c>
      <c r="W420" s="50">
        <f>+J420/$W$2</f>
        <v>1.064263858549529E-4</v>
      </c>
    </row>
    <row r="421" spans="1:29">
      <c r="A421" s="10" t="s">
        <v>477</v>
      </c>
      <c r="B421" s="10" t="s">
        <v>381</v>
      </c>
      <c r="C421" s="124">
        <v>46310</v>
      </c>
      <c r="D421" s="124" t="s">
        <v>492</v>
      </c>
      <c r="E421" s="21">
        <v>0.98830284000000002</v>
      </c>
      <c r="F421" s="10"/>
      <c r="G421" s="14">
        <v>2000000</v>
      </c>
      <c r="H421" s="14">
        <v>1976605.69</v>
      </c>
      <c r="I421" s="14">
        <v>2000000</v>
      </c>
      <c r="J421" s="14">
        <v>1976605.69</v>
      </c>
      <c r="K421" s="12">
        <v>90000265</v>
      </c>
      <c r="L421" s="10" t="s">
        <v>101</v>
      </c>
      <c r="M421" s="10" t="s">
        <v>102</v>
      </c>
      <c r="N421" s="124" t="s">
        <v>364</v>
      </c>
      <c r="O421" s="124" t="s">
        <v>364</v>
      </c>
      <c r="P421" s="21">
        <v>27</v>
      </c>
      <c r="Q421" s="10" t="s">
        <v>54</v>
      </c>
      <c r="R421" s="10" t="s">
        <v>28</v>
      </c>
      <c r="S421" s="10"/>
      <c r="T421" s="10"/>
      <c r="U421" s="10" t="s">
        <v>1124</v>
      </c>
      <c r="V421" s="10" t="s">
        <v>1124</v>
      </c>
      <c r="W421" s="50">
        <f>+J421/$W$2</f>
        <v>2.6278120372870795E-5</v>
      </c>
    </row>
    <row r="422" spans="1:29">
      <c r="A422" s="10" t="s">
        <v>477</v>
      </c>
      <c r="B422" s="10" t="s">
        <v>381</v>
      </c>
      <c r="C422" s="124">
        <v>46310</v>
      </c>
      <c r="D422" s="124" t="s">
        <v>492</v>
      </c>
      <c r="E422" s="21">
        <v>0.98830282999999997</v>
      </c>
      <c r="F422" s="10"/>
      <c r="G422" s="14">
        <v>13000000</v>
      </c>
      <c r="H422" s="14">
        <v>12847936.82</v>
      </c>
      <c r="I422" s="14">
        <v>13000000</v>
      </c>
      <c r="J422" s="14">
        <v>12847936.82</v>
      </c>
      <c r="K422" s="12">
        <v>90000237</v>
      </c>
      <c r="L422" s="10" t="s">
        <v>101</v>
      </c>
      <c r="M422" s="10" t="s">
        <v>102</v>
      </c>
      <c r="N422" s="124" t="s">
        <v>364</v>
      </c>
      <c r="O422" s="124" t="s">
        <v>364</v>
      </c>
      <c r="P422" s="21">
        <v>27</v>
      </c>
      <c r="Q422" s="10" t="s">
        <v>54</v>
      </c>
      <c r="R422" s="10" t="s">
        <v>28</v>
      </c>
      <c r="S422" s="10"/>
      <c r="T422" s="10"/>
      <c r="U422" s="10" t="s">
        <v>1125</v>
      </c>
      <c r="V422" s="10" t="s">
        <v>1125</v>
      </c>
      <c r="W422" s="50">
        <f>+J422/$W$2</f>
        <v>1.7080778023005632E-4</v>
      </c>
    </row>
    <row r="423" spans="1:29">
      <c r="A423" s="10" t="s">
        <v>477</v>
      </c>
      <c r="B423" s="10" t="s">
        <v>381</v>
      </c>
      <c r="C423" s="124">
        <v>46310</v>
      </c>
      <c r="D423" s="124" t="s">
        <v>492</v>
      </c>
      <c r="E423" s="21">
        <v>0.98830282999999997</v>
      </c>
      <c r="F423" s="10"/>
      <c r="G423" s="14">
        <v>15500000</v>
      </c>
      <c r="H423" s="14">
        <v>15318693.880000001</v>
      </c>
      <c r="I423" s="14">
        <v>15500000</v>
      </c>
      <c r="J423" s="14">
        <v>15318693.880000001</v>
      </c>
      <c r="K423" s="12">
        <v>90000349</v>
      </c>
      <c r="L423" s="10" t="s">
        <v>101</v>
      </c>
      <c r="M423" s="10" t="s">
        <v>102</v>
      </c>
      <c r="N423" s="124" t="s">
        <v>364</v>
      </c>
      <c r="O423" s="124" t="s">
        <v>364</v>
      </c>
      <c r="P423" s="21">
        <v>27</v>
      </c>
      <c r="Q423" s="10" t="s">
        <v>54</v>
      </c>
      <c r="R423" s="10" t="s">
        <v>28</v>
      </c>
      <c r="S423" s="10"/>
      <c r="T423" s="10"/>
      <c r="U423" s="10" t="s">
        <v>1126</v>
      </c>
      <c r="V423" s="10" t="s">
        <v>1126</v>
      </c>
      <c r="W423" s="50">
        <f>+J423/$W$2</f>
        <v>2.0365542999817995E-4</v>
      </c>
    </row>
    <row r="424" spans="1:29">
      <c r="A424" s="10" t="s">
        <v>477</v>
      </c>
      <c r="B424" s="10" t="s">
        <v>381</v>
      </c>
      <c r="C424" s="124">
        <v>46310</v>
      </c>
      <c r="D424" s="124" t="s">
        <v>492</v>
      </c>
      <c r="E424" s="21">
        <v>0.98830282999999997</v>
      </c>
      <c r="F424" s="10"/>
      <c r="G424" s="14">
        <v>16300000</v>
      </c>
      <c r="H424" s="14">
        <v>16109336.15</v>
      </c>
      <c r="I424" s="14">
        <v>16300000</v>
      </c>
      <c r="J424" s="14">
        <v>16109336.15</v>
      </c>
      <c r="K424" s="12">
        <v>90000274</v>
      </c>
      <c r="L424" s="10" t="s">
        <v>101</v>
      </c>
      <c r="M424" s="10" t="s">
        <v>102</v>
      </c>
      <c r="N424" s="124" t="s">
        <v>364</v>
      </c>
      <c r="O424" s="124" t="s">
        <v>364</v>
      </c>
      <c r="P424" s="21">
        <v>27</v>
      </c>
      <c r="Q424" s="10" t="s">
        <v>54</v>
      </c>
      <c r="R424" s="10" t="s">
        <v>28</v>
      </c>
      <c r="S424" s="10"/>
      <c r="T424" s="10"/>
      <c r="U424" s="10" t="s">
        <v>1127</v>
      </c>
      <c r="V424" s="10" t="s">
        <v>1127</v>
      </c>
      <c r="W424" s="50">
        <f>+J424/$W$2</f>
        <v>2.1416667806756085E-4</v>
      </c>
    </row>
    <row r="425" spans="1:29">
      <c r="A425" s="10" t="s">
        <v>477</v>
      </c>
      <c r="B425" s="10" t="s">
        <v>381</v>
      </c>
      <c r="C425" s="124">
        <v>46310</v>
      </c>
      <c r="D425" s="124" t="s">
        <v>492</v>
      </c>
      <c r="E425" s="21">
        <v>0.98830282999999997</v>
      </c>
      <c r="F425" s="10"/>
      <c r="G425" s="14">
        <v>23800000</v>
      </c>
      <c r="H425" s="14">
        <v>23521607.379999999</v>
      </c>
      <c r="I425" s="14">
        <v>23800000</v>
      </c>
      <c r="J425" s="14">
        <v>23521607.379999999</v>
      </c>
      <c r="K425" s="12">
        <v>90000318</v>
      </c>
      <c r="L425" s="10" t="s">
        <v>101</v>
      </c>
      <c r="M425" s="10" t="s">
        <v>102</v>
      </c>
      <c r="N425" s="124" t="s">
        <v>364</v>
      </c>
      <c r="O425" s="124" t="s">
        <v>364</v>
      </c>
      <c r="P425" s="21">
        <v>27</v>
      </c>
      <c r="Q425" s="10" t="s">
        <v>54</v>
      </c>
      <c r="R425" s="10" t="s">
        <v>28</v>
      </c>
      <c r="S425" s="10"/>
      <c r="T425" s="10"/>
      <c r="U425" s="10" t="s">
        <v>1128</v>
      </c>
      <c r="V425" s="10" t="s">
        <v>1128</v>
      </c>
      <c r="W425" s="50">
        <f>+J425/$W$2</f>
        <v>3.1270962803666016E-4</v>
      </c>
    </row>
    <row r="426" spans="1:29">
      <c r="A426" s="10" t="s">
        <v>477</v>
      </c>
      <c r="B426" s="10" t="s">
        <v>381</v>
      </c>
      <c r="C426" s="124">
        <v>46310</v>
      </c>
      <c r="D426" s="124" t="s">
        <v>492</v>
      </c>
      <c r="E426" s="21">
        <v>0.98830282999999997</v>
      </c>
      <c r="F426" s="10"/>
      <c r="G426" s="14">
        <v>20000000</v>
      </c>
      <c r="H426" s="14">
        <v>19766056.620000001</v>
      </c>
      <c r="I426" s="14">
        <v>20000000</v>
      </c>
      <c r="J426" s="14">
        <v>19766056.620000001</v>
      </c>
      <c r="K426" s="12">
        <v>90016593</v>
      </c>
      <c r="L426" s="10" t="s">
        <v>101</v>
      </c>
      <c r="M426" s="10" t="s">
        <v>102</v>
      </c>
      <c r="N426" s="124" t="s">
        <v>364</v>
      </c>
      <c r="O426" s="124" t="s">
        <v>364</v>
      </c>
      <c r="P426" s="21">
        <v>27</v>
      </c>
      <c r="Q426" s="10" t="s">
        <v>54</v>
      </c>
      <c r="R426" s="10" t="s">
        <v>28</v>
      </c>
      <c r="S426" s="10"/>
      <c r="T426" s="10"/>
      <c r="U426" s="10" t="s">
        <v>1129</v>
      </c>
      <c r="V426" s="10" t="s">
        <v>1129</v>
      </c>
      <c r="W426" s="50">
        <f>+J426/$W$2</f>
        <v>2.6278120000622872E-4</v>
      </c>
    </row>
    <row r="427" spans="1:29">
      <c r="A427" s="10" t="s">
        <v>477</v>
      </c>
      <c r="B427" s="10" t="s">
        <v>381</v>
      </c>
      <c r="C427" s="124">
        <v>46310</v>
      </c>
      <c r="D427" s="124" t="s">
        <v>492</v>
      </c>
      <c r="E427" s="21">
        <v>0.98830282999999997</v>
      </c>
      <c r="F427" s="10"/>
      <c r="G427" s="14">
        <v>12500000</v>
      </c>
      <c r="H427" s="14">
        <v>12353785.41</v>
      </c>
      <c r="I427" s="14">
        <v>12500000</v>
      </c>
      <c r="J427" s="14">
        <v>12353785.41</v>
      </c>
      <c r="K427" s="12">
        <v>90000341</v>
      </c>
      <c r="L427" s="10" t="s">
        <v>101</v>
      </c>
      <c r="M427" s="10" t="s">
        <v>102</v>
      </c>
      <c r="N427" s="124" t="s">
        <v>364</v>
      </c>
      <c r="O427" s="124" t="s">
        <v>364</v>
      </c>
      <c r="P427" s="21">
        <v>27</v>
      </c>
      <c r="Q427" s="10" t="s">
        <v>54</v>
      </c>
      <c r="R427" s="10" t="s">
        <v>28</v>
      </c>
      <c r="S427" s="10"/>
      <c r="T427" s="10"/>
      <c r="U427" s="10" t="s">
        <v>1130</v>
      </c>
      <c r="V427" s="10" t="s">
        <v>1130</v>
      </c>
      <c r="W427" s="50">
        <f>+J427/$W$2</f>
        <v>1.6423825030302072E-4</v>
      </c>
    </row>
    <row r="428" spans="1:29">
      <c r="A428" s="10" t="s">
        <v>477</v>
      </c>
      <c r="B428" s="10" t="s">
        <v>381</v>
      </c>
      <c r="C428" s="124">
        <v>46310</v>
      </c>
      <c r="D428" s="124" t="s">
        <v>492</v>
      </c>
      <c r="E428" s="21">
        <v>0.98830282999999997</v>
      </c>
      <c r="F428" s="10"/>
      <c r="G428" s="14">
        <v>11500000</v>
      </c>
      <c r="H428" s="14">
        <v>11365482.550000001</v>
      </c>
      <c r="I428" s="14">
        <v>11500000</v>
      </c>
      <c r="J428" s="14">
        <v>11365482.550000001</v>
      </c>
      <c r="K428" s="12">
        <v>90000406</v>
      </c>
      <c r="L428" s="10" t="s">
        <v>101</v>
      </c>
      <c r="M428" s="10" t="s">
        <v>102</v>
      </c>
      <c r="N428" s="124" t="s">
        <v>364</v>
      </c>
      <c r="O428" s="124" t="s">
        <v>364</v>
      </c>
      <c r="P428" s="21">
        <v>27</v>
      </c>
      <c r="Q428" s="10" t="s">
        <v>54</v>
      </c>
      <c r="R428" s="10" t="s">
        <v>28</v>
      </c>
      <c r="S428" s="10"/>
      <c r="T428" s="10"/>
      <c r="U428" s="10" t="s">
        <v>1131</v>
      </c>
      <c r="V428" s="10" t="s">
        <v>1131</v>
      </c>
      <c r="W428" s="50">
        <f>+J428/$W$2</f>
        <v>1.5109918991716682E-4</v>
      </c>
    </row>
    <row r="429" spans="1:29">
      <c r="A429" s="10" t="s">
        <v>477</v>
      </c>
      <c r="B429" s="10" t="s">
        <v>381</v>
      </c>
      <c r="C429" s="124">
        <v>46310</v>
      </c>
      <c r="D429" s="124" t="s">
        <v>492</v>
      </c>
      <c r="E429" s="21">
        <v>0.98830282999999997</v>
      </c>
      <c r="F429" s="10"/>
      <c r="G429" s="14">
        <v>29000000</v>
      </c>
      <c r="H429" s="14">
        <v>28660782.100000001</v>
      </c>
      <c r="I429" s="14">
        <v>29000000</v>
      </c>
      <c r="J429" s="14">
        <v>28660782.100000001</v>
      </c>
      <c r="K429" s="12">
        <v>90000424</v>
      </c>
      <c r="L429" s="10" t="s">
        <v>101</v>
      </c>
      <c r="M429" s="10" t="s">
        <v>102</v>
      </c>
      <c r="N429" s="124" t="s">
        <v>364</v>
      </c>
      <c r="O429" s="124" t="s">
        <v>364</v>
      </c>
      <c r="P429" s="21">
        <v>27</v>
      </c>
      <c r="Q429" s="10" t="s">
        <v>54</v>
      </c>
      <c r="R429" s="10" t="s">
        <v>28</v>
      </c>
      <c r="S429" s="10"/>
      <c r="T429" s="10"/>
      <c r="U429" s="10" t="s">
        <v>1132</v>
      </c>
      <c r="V429" s="10" t="s">
        <v>1132</v>
      </c>
      <c r="W429" s="50">
        <f>+J429/$W$2</f>
        <v>3.8103274002232619E-4</v>
      </c>
    </row>
    <row r="430" spans="1:29">
      <c r="A430" s="10" t="s">
        <v>477</v>
      </c>
      <c r="B430" s="10" t="s">
        <v>381</v>
      </c>
      <c r="C430" s="124">
        <v>46310</v>
      </c>
      <c r="D430" s="124" t="s">
        <v>492</v>
      </c>
      <c r="E430" s="21">
        <v>0.98830282999999997</v>
      </c>
      <c r="F430" s="10"/>
      <c r="G430" s="14">
        <v>10795000</v>
      </c>
      <c r="H430" s="14">
        <v>10668729.050000001</v>
      </c>
      <c r="I430" s="14">
        <v>10795000</v>
      </c>
      <c r="J430" s="14">
        <v>10668729.050000001</v>
      </c>
      <c r="K430" s="12">
        <v>90000315</v>
      </c>
      <c r="L430" s="10" t="s">
        <v>101</v>
      </c>
      <c r="M430" s="10" t="s">
        <v>102</v>
      </c>
      <c r="N430" s="124" t="s">
        <v>364</v>
      </c>
      <c r="O430" s="124" t="s">
        <v>364</v>
      </c>
      <c r="P430" s="21">
        <v>27</v>
      </c>
      <c r="Q430" s="10" t="s">
        <v>54</v>
      </c>
      <c r="R430" s="10" t="s">
        <v>28</v>
      </c>
      <c r="S430" s="10"/>
      <c r="T430" s="10"/>
      <c r="U430" s="10" t="s">
        <v>1133</v>
      </c>
      <c r="V430" s="10" t="s">
        <v>1133</v>
      </c>
      <c r="W430" s="50">
        <f>+J430/$W$2</f>
        <v>1.4183615256184125E-4</v>
      </c>
      <c r="AC430" s="47"/>
    </row>
    <row r="431" spans="1:29">
      <c r="A431" s="10" t="s">
        <v>477</v>
      </c>
      <c r="B431" s="10" t="s">
        <v>381</v>
      </c>
      <c r="C431" s="124">
        <v>46310</v>
      </c>
      <c r="D431" s="124" t="s">
        <v>492</v>
      </c>
      <c r="E431" s="21">
        <v>0.98830282999999997</v>
      </c>
      <c r="F431" s="10"/>
      <c r="G431" s="14">
        <v>20000000</v>
      </c>
      <c r="H431" s="14">
        <v>19766056.620000001</v>
      </c>
      <c r="I431" s="14">
        <v>20000000</v>
      </c>
      <c r="J431" s="14">
        <v>19766056.620000001</v>
      </c>
      <c r="K431" s="12">
        <v>90000348</v>
      </c>
      <c r="L431" s="10" t="s">
        <v>101</v>
      </c>
      <c r="M431" s="10" t="s">
        <v>102</v>
      </c>
      <c r="N431" s="124" t="s">
        <v>364</v>
      </c>
      <c r="O431" s="124" t="s">
        <v>364</v>
      </c>
      <c r="P431" s="21">
        <v>27</v>
      </c>
      <c r="Q431" s="10" t="s">
        <v>54</v>
      </c>
      <c r="R431" s="10" t="s">
        <v>28</v>
      </c>
      <c r="S431" s="10"/>
      <c r="T431" s="10"/>
      <c r="U431" s="10" t="s">
        <v>1134</v>
      </c>
      <c r="V431" s="10" t="s">
        <v>1134</v>
      </c>
      <c r="W431" s="50">
        <f>+J431/$W$2</f>
        <v>2.6278120000622872E-4</v>
      </c>
    </row>
    <row r="432" spans="1:29">
      <c r="A432" s="10" t="s">
        <v>477</v>
      </c>
      <c r="B432" s="10" t="s">
        <v>381</v>
      </c>
      <c r="C432" s="124">
        <v>46310</v>
      </c>
      <c r="D432" s="124" t="s">
        <v>492</v>
      </c>
      <c r="E432" s="21">
        <v>0.98702005000000004</v>
      </c>
      <c r="F432" s="10"/>
      <c r="G432" s="14">
        <v>2000000</v>
      </c>
      <c r="H432" s="14">
        <v>1974040.1</v>
      </c>
      <c r="I432" s="14">
        <v>2000000</v>
      </c>
      <c r="J432" s="14">
        <v>1974040.1</v>
      </c>
      <c r="K432" s="12">
        <v>13442185</v>
      </c>
      <c r="L432" s="10" t="s">
        <v>101</v>
      </c>
      <c r="M432" s="10" t="s">
        <v>102</v>
      </c>
      <c r="N432" s="124" t="s">
        <v>270</v>
      </c>
      <c r="O432" s="124" t="s">
        <v>270</v>
      </c>
      <c r="P432" s="21">
        <v>30</v>
      </c>
      <c r="Q432" s="10" t="s">
        <v>54</v>
      </c>
      <c r="R432" s="10" t="s">
        <v>28</v>
      </c>
      <c r="S432" s="10"/>
      <c r="T432" s="10"/>
      <c r="U432" s="10" t="s">
        <v>619</v>
      </c>
      <c r="V432" s="10" t="s">
        <v>619</v>
      </c>
      <c r="W432" s="50">
        <f>+J432/$W$2</f>
        <v>2.6244011960055577E-5</v>
      </c>
    </row>
    <row r="433" spans="1:23">
      <c r="A433" s="10" t="s">
        <v>382</v>
      </c>
      <c r="B433" s="10" t="s">
        <v>381</v>
      </c>
      <c r="C433" s="124">
        <v>46310</v>
      </c>
      <c r="D433" s="124" t="s">
        <v>492</v>
      </c>
      <c r="E433" s="21">
        <v>0.98702011000000001</v>
      </c>
      <c r="F433" s="10"/>
      <c r="G433" s="14">
        <v>5000000</v>
      </c>
      <c r="H433" s="14">
        <v>4935100.53</v>
      </c>
      <c r="I433" s="14">
        <v>5000000</v>
      </c>
      <c r="J433" s="14">
        <v>4935100.53</v>
      </c>
      <c r="K433" s="12">
        <v>1217</v>
      </c>
      <c r="L433" s="10" t="s">
        <v>101</v>
      </c>
      <c r="M433" s="10" t="s">
        <v>102</v>
      </c>
      <c r="N433" s="124" t="s">
        <v>552</v>
      </c>
      <c r="O433" s="124" t="s">
        <v>552</v>
      </c>
      <c r="P433" s="21">
        <v>30</v>
      </c>
      <c r="Q433" s="10" t="s">
        <v>54</v>
      </c>
      <c r="R433" s="10" t="s">
        <v>28</v>
      </c>
      <c r="S433" s="10"/>
      <c r="T433" s="10"/>
      <c r="U433" s="10" t="s">
        <v>2352</v>
      </c>
      <c r="V433" s="10" t="s">
        <v>2352</v>
      </c>
      <c r="W433" s="50">
        <f>+J433/$W$2</f>
        <v>6.5610033622618216E-5</v>
      </c>
    </row>
    <row r="434" spans="1:23">
      <c r="A434" s="10" t="s">
        <v>382</v>
      </c>
      <c r="B434" s="10" t="s">
        <v>381</v>
      </c>
      <c r="C434" s="124">
        <v>46310</v>
      </c>
      <c r="D434" s="124" t="s">
        <v>492</v>
      </c>
      <c r="E434" s="21">
        <v>0.98702011999999995</v>
      </c>
      <c r="F434" s="10"/>
      <c r="G434" s="14">
        <v>5000000</v>
      </c>
      <c r="H434" s="14">
        <v>4935100.59</v>
      </c>
      <c r="I434" s="14">
        <v>5000000</v>
      </c>
      <c r="J434" s="14">
        <v>4935100.59</v>
      </c>
      <c r="K434" s="12">
        <v>1197</v>
      </c>
      <c r="L434" s="10" t="s">
        <v>101</v>
      </c>
      <c r="M434" s="10" t="s">
        <v>102</v>
      </c>
      <c r="N434" s="124" t="s">
        <v>431</v>
      </c>
      <c r="O434" s="124" t="s">
        <v>431</v>
      </c>
      <c r="P434" s="21">
        <v>30</v>
      </c>
      <c r="Q434" s="10" t="s">
        <v>54</v>
      </c>
      <c r="R434" s="10" t="s">
        <v>28</v>
      </c>
      <c r="S434" s="10"/>
      <c r="T434" s="10"/>
      <c r="U434" s="10" t="s">
        <v>2265</v>
      </c>
      <c r="V434" s="10" t="s">
        <v>2265</v>
      </c>
      <c r="W434" s="50">
        <f>+J434/$W$2</f>
        <v>6.5610034420292331E-5</v>
      </c>
    </row>
    <row r="435" spans="1:23">
      <c r="A435" s="10" t="s">
        <v>3345</v>
      </c>
      <c r="B435" s="10" t="s">
        <v>381</v>
      </c>
      <c r="C435" s="124">
        <v>46310</v>
      </c>
      <c r="D435" s="124" t="s">
        <v>492</v>
      </c>
      <c r="E435" s="21">
        <v>0.98702007000000003</v>
      </c>
      <c r="F435" s="10"/>
      <c r="G435" s="14">
        <v>20865247.91</v>
      </c>
      <c r="H435" s="14">
        <v>20594418.370000001</v>
      </c>
      <c r="I435" s="14">
        <v>20865247.91</v>
      </c>
      <c r="J435" s="14">
        <v>20594418.370000001</v>
      </c>
      <c r="K435" s="12">
        <v>69908189</v>
      </c>
      <c r="L435" s="10" t="s">
        <v>101</v>
      </c>
      <c r="M435" s="10" t="s">
        <v>102</v>
      </c>
      <c r="N435" s="124" t="s">
        <v>677</v>
      </c>
      <c r="O435" s="124" t="s">
        <v>677</v>
      </c>
      <c r="P435" s="21">
        <v>30</v>
      </c>
      <c r="Q435" s="10" t="s">
        <v>54</v>
      </c>
      <c r="R435" s="10" t="s">
        <v>28</v>
      </c>
      <c r="S435" s="10"/>
      <c r="T435" s="10"/>
      <c r="U435" s="10" t="s">
        <v>3303</v>
      </c>
      <c r="V435" s="10" t="s">
        <v>3303</v>
      </c>
      <c r="W435" s="50">
        <f>+J435/$W$2</f>
        <v>2.7379391229827006E-4</v>
      </c>
    </row>
    <row r="436" spans="1:23">
      <c r="A436" s="10" t="s">
        <v>3457</v>
      </c>
      <c r="B436" s="10" t="s">
        <v>381</v>
      </c>
      <c r="C436" s="124">
        <v>46310</v>
      </c>
      <c r="D436" s="124" t="s">
        <v>492</v>
      </c>
      <c r="E436" s="21">
        <v>0.98702013</v>
      </c>
      <c r="F436" s="10"/>
      <c r="G436" s="14">
        <v>814027.5</v>
      </c>
      <c r="H436" s="14">
        <v>803461.53</v>
      </c>
      <c r="I436" s="14">
        <v>814027.5</v>
      </c>
      <c r="J436" s="14">
        <v>803461.53</v>
      </c>
      <c r="K436" s="12">
        <v>10837297</v>
      </c>
      <c r="L436" s="10" t="s">
        <v>101</v>
      </c>
      <c r="M436" s="10" t="s">
        <v>102</v>
      </c>
      <c r="N436" s="124" t="s">
        <v>531</v>
      </c>
      <c r="O436" s="124" t="s">
        <v>531</v>
      </c>
      <c r="P436" s="21">
        <v>30</v>
      </c>
      <c r="Q436" s="10" t="s">
        <v>54</v>
      </c>
      <c r="R436" s="10" t="s">
        <v>28</v>
      </c>
      <c r="S436" s="10"/>
      <c r="T436" s="10"/>
      <c r="U436" s="10" t="s">
        <v>3421</v>
      </c>
      <c r="V436" s="10" t="s">
        <v>3421</v>
      </c>
      <c r="W436" s="50">
        <f>+J436/$W$2</f>
        <v>1.0681674603653975E-5</v>
      </c>
    </row>
    <row r="437" spans="1:23">
      <c r="A437" s="10" t="s">
        <v>180</v>
      </c>
      <c r="B437" s="10" t="s">
        <v>381</v>
      </c>
      <c r="C437" s="124">
        <v>46310</v>
      </c>
      <c r="D437" s="124" t="s">
        <v>492</v>
      </c>
      <c r="E437" s="21">
        <v>0.98574055000000005</v>
      </c>
      <c r="F437" s="10"/>
      <c r="G437" s="14">
        <v>24760170.170000002</v>
      </c>
      <c r="H437" s="14">
        <v>24407103.879999999</v>
      </c>
      <c r="I437" s="14">
        <v>24760170.170000002</v>
      </c>
      <c r="J437" s="14">
        <v>24407103.879999999</v>
      </c>
      <c r="K437" s="12">
        <v>634087</v>
      </c>
      <c r="L437" s="10" t="s">
        <v>101</v>
      </c>
      <c r="M437" s="10" t="s">
        <v>102</v>
      </c>
      <c r="N437" s="124" t="s">
        <v>163</v>
      </c>
      <c r="O437" s="124" t="s">
        <v>163</v>
      </c>
      <c r="P437" s="21">
        <v>33</v>
      </c>
      <c r="Q437" s="10" t="s">
        <v>54</v>
      </c>
      <c r="R437" s="10" t="s">
        <v>28</v>
      </c>
      <c r="S437" s="10"/>
      <c r="T437" s="10"/>
      <c r="U437" s="10" t="s">
        <v>1664</v>
      </c>
      <c r="V437" s="10" t="s">
        <v>1664</v>
      </c>
      <c r="W437" s="50">
        <f>+J437/$W$2</f>
        <v>3.2448192219450799E-4</v>
      </c>
    </row>
    <row r="438" spans="1:23">
      <c r="A438" s="10" t="s">
        <v>180</v>
      </c>
      <c r="B438" s="10" t="s">
        <v>381</v>
      </c>
      <c r="C438" s="124">
        <v>46310</v>
      </c>
      <c r="D438" s="124" t="s">
        <v>492</v>
      </c>
      <c r="E438" s="21">
        <v>0.98787491000000005</v>
      </c>
      <c r="F438" s="10"/>
      <c r="G438" s="14">
        <v>5138761.4000000004</v>
      </c>
      <c r="H438" s="14">
        <v>5076453.47</v>
      </c>
      <c r="I438" s="14">
        <v>5138761.4000000004</v>
      </c>
      <c r="J438" s="14">
        <v>5076453.47</v>
      </c>
      <c r="K438" s="12">
        <v>646844</v>
      </c>
      <c r="L438" s="10" t="s">
        <v>101</v>
      </c>
      <c r="M438" s="10" t="s">
        <v>102</v>
      </c>
      <c r="N438" s="124" t="s">
        <v>548</v>
      </c>
      <c r="O438" s="124" t="s">
        <v>548</v>
      </c>
      <c r="P438" s="21">
        <v>28</v>
      </c>
      <c r="Q438" s="10" t="s">
        <v>54</v>
      </c>
      <c r="R438" s="10" t="s">
        <v>28</v>
      </c>
      <c r="S438" s="10"/>
      <c r="T438" s="10"/>
      <c r="U438" s="10" t="s">
        <v>1381</v>
      </c>
      <c r="V438" s="10" t="s">
        <v>1381</v>
      </c>
      <c r="W438" s="50">
        <f>+J438/$W$2</f>
        <v>6.7489260011154592E-5</v>
      </c>
    </row>
    <row r="439" spans="1:23">
      <c r="A439" s="10" t="s">
        <v>180</v>
      </c>
      <c r="B439" s="10" t="s">
        <v>381</v>
      </c>
      <c r="C439" s="124">
        <v>46310</v>
      </c>
      <c r="D439" s="124" t="s">
        <v>492</v>
      </c>
      <c r="E439" s="21">
        <v>0.98787491000000005</v>
      </c>
      <c r="F439" s="10"/>
      <c r="G439" s="14">
        <v>19156984.969999999</v>
      </c>
      <c r="H439" s="14">
        <v>18924704.84</v>
      </c>
      <c r="I439" s="14">
        <v>19156984.969999999</v>
      </c>
      <c r="J439" s="14">
        <v>18924704.84</v>
      </c>
      <c r="K439" s="12">
        <v>639279</v>
      </c>
      <c r="L439" s="10" t="s">
        <v>101</v>
      </c>
      <c r="M439" s="10" t="s">
        <v>102</v>
      </c>
      <c r="N439" s="124" t="s">
        <v>548</v>
      </c>
      <c r="O439" s="124" t="s">
        <v>548</v>
      </c>
      <c r="P439" s="21">
        <v>28</v>
      </c>
      <c r="Q439" s="10" t="s">
        <v>54</v>
      </c>
      <c r="R439" s="10" t="s">
        <v>28</v>
      </c>
      <c r="S439" s="10"/>
      <c r="T439" s="10"/>
      <c r="U439" s="10" t="s">
        <v>1385</v>
      </c>
      <c r="V439" s="10" t="s">
        <v>1385</v>
      </c>
      <c r="W439" s="50">
        <f>+J439/$W$2</f>
        <v>2.5159579086639713E-4</v>
      </c>
    </row>
    <row r="440" spans="1:23">
      <c r="A440" s="10" t="s">
        <v>180</v>
      </c>
      <c r="B440" s="10" t="s">
        <v>381</v>
      </c>
      <c r="C440" s="124">
        <v>46310</v>
      </c>
      <c r="D440" s="124" t="s">
        <v>492</v>
      </c>
      <c r="E440" s="21">
        <v>0.98787491000000005</v>
      </c>
      <c r="F440" s="10"/>
      <c r="G440" s="14">
        <v>51998969.399999999</v>
      </c>
      <c r="H440" s="14">
        <v>51368477.310000002</v>
      </c>
      <c r="I440" s="14">
        <v>51998969.399999999</v>
      </c>
      <c r="J440" s="14">
        <v>51368477.310000002</v>
      </c>
      <c r="K440" s="12">
        <v>639780</v>
      </c>
      <c r="L440" s="10" t="s">
        <v>101</v>
      </c>
      <c r="M440" s="10" t="s">
        <v>102</v>
      </c>
      <c r="N440" s="124" t="s">
        <v>548</v>
      </c>
      <c r="O440" s="124" t="s">
        <v>548</v>
      </c>
      <c r="P440" s="21">
        <v>28</v>
      </c>
      <c r="Q440" s="10" t="s">
        <v>54</v>
      </c>
      <c r="R440" s="10" t="s">
        <v>28</v>
      </c>
      <c r="S440" s="10"/>
      <c r="T440" s="10"/>
      <c r="U440" s="10" t="s">
        <v>1386</v>
      </c>
      <c r="V440" s="10" t="s">
        <v>1386</v>
      </c>
      <c r="W440" s="50">
        <f>+J440/$W$2</f>
        <v>6.8292175670265438E-4</v>
      </c>
    </row>
    <row r="441" spans="1:23">
      <c r="A441" s="10" t="s">
        <v>576</v>
      </c>
      <c r="B441" s="10" t="s">
        <v>381</v>
      </c>
      <c r="C441" s="124">
        <v>46310</v>
      </c>
      <c r="D441" s="124" t="s">
        <v>492</v>
      </c>
      <c r="E441" s="21">
        <v>0.98702005000000004</v>
      </c>
      <c r="F441" s="10"/>
      <c r="G441" s="14">
        <v>50000000</v>
      </c>
      <c r="H441" s="14">
        <v>49351002.420000002</v>
      </c>
      <c r="I441" s="14">
        <v>50000000</v>
      </c>
      <c r="J441" s="14">
        <v>49351002.420000002</v>
      </c>
      <c r="K441" s="12">
        <v>68018</v>
      </c>
      <c r="L441" s="10" t="s">
        <v>101</v>
      </c>
      <c r="M441" s="10" t="s">
        <v>102</v>
      </c>
      <c r="N441" s="124" t="s">
        <v>363</v>
      </c>
      <c r="O441" s="124" t="s">
        <v>363</v>
      </c>
      <c r="P441" s="21">
        <v>30</v>
      </c>
      <c r="Q441" s="10" t="s">
        <v>54</v>
      </c>
      <c r="R441" s="10" t="s">
        <v>28</v>
      </c>
      <c r="S441" s="10"/>
      <c r="T441" s="10"/>
      <c r="U441" s="10" t="s">
        <v>1184</v>
      </c>
      <c r="V441" s="10" t="s">
        <v>1184</v>
      </c>
      <c r="W441" s="50">
        <f>+J441/$W$2</f>
        <v>6.5610029793782389E-4</v>
      </c>
    </row>
    <row r="442" spans="1:23">
      <c r="A442" s="10" t="s">
        <v>2426</v>
      </c>
      <c r="B442" s="10" t="s">
        <v>381</v>
      </c>
      <c r="C442" s="124">
        <v>46310</v>
      </c>
      <c r="D442" s="124" t="s">
        <v>492</v>
      </c>
      <c r="E442" s="21">
        <v>0.98702011000000001</v>
      </c>
      <c r="F442" s="10"/>
      <c r="G442" s="14">
        <v>5700000</v>
      </c>
      <c r="H442" s="14">
        <v>5626014.5999999996</v>
      </c>
      <c r="I442" s="14">
        <v>5700000</v>
      </c>
      <c r="J442" s="14">
        <v>5626014.5999999996</v>
      </c>
      <c r="K442" s="12">
        <v>695</v>
      </c>
      <c r="L442" s="10" t="s">
        <v>101</v>
      </c>
      <c r="M442" s="10" t="s">
        <v>102</v>
      </c>
      <c r="N442" s="124" t="s">
        <v>552</v>
      </c>
      <c r="O442" s="124" t="s">
        <v>552</v>
      </c>
      <c r="P442" s="21">
        <v>30</v>
      </c>
      <c r="Q442" s="10" t="s">
        <v>54</v>
      </c>
      <c r="R442" s="10" t="s">
        <v>28</v>
      </c>
      <c r="S442" s="10"/>
      <c r="T442" s="10"/>
      <c r="U442" s="10" t="s">
        <v>2407</v>
      </c>
      <c r="V442" s="10" t="s">
        <v>2407</v>
      </c>
      <c r="W442" s="50">
        <f>+J442/$W$2</f>
        <v>7.4795438273947561E-5</v>
      </c>
    </row>
    <row r="443" spans="1:23">
      <c r="A443" s="10" t="s">
        <v>2603</v>
      </c>
      <c r="B443" s="10" t="s">
        <v>381</v>
      </c>
      <c r="C443" s="124">
        <v>46310</v>
      </c>
      <c r="D443" s="124" t="s">
        <v>492</v>
      </c>
      <c r="E443" s="21">
        <v>0.98574066000000005</v>
      </c>
      <c r="F443" s="10"/>
      <c r="G443" s="14">
        <v>500000</v>
      </c>
      <c r="H443" s="14">
        <v>492870.33</v>
      </c>
      <c r="I443" s="14">
        <v>500000</v>
      </c>
      <c r="J443" s="14">
        <v>492870.33</v>
      </c>
      <c r="K443" s="12">
        <v>272</v>
      </c>
      <c r="L443" s="10" t="s">
        <v>101</v>
      </c>
      <c r="M443" s="10" t="s">
        <v>102</v>
      </c>
      <c r="N443" s="124" t="s">
        <v>423</v>
      </c>
      <c r="O443" s="124" t="s">
        <v>423</v>
      </c>
      <c r="P443" s="21">
        <v>33</v>
      </c>
      <c r="Q443" s="10" t="s">
        <v>54</v>
      </c>
      <c r="R443" s="10" t="s">
        <v>28</v>
      </c>
      <c r="S443" s="10"/>
      <c r="T443" s="10"/>
      <c r="U443" s="10" t="s">
        <v>2508</v>
      </c>
      <c r="V443" s="10" t="s">
        <v>2508</v>
      </c>
      <c r="W443" s="50">
        <f>+J443/$W$2</f>
        <v>6.5524985208135024E-6</v>
      </c>
    </row>
    <row r="444" spans="1:23">
      <c r="A444" s="10" t="s">
        <v>2604</v>
      </c>
      <c r="B444" s="10" t="s">
        <v>381</v>
      </c>
      <c r="C444" s="124">
        <v>46310</v>
      </c>
      <c r="D444" s="124" t="s">
        <v>492</v>
      </c>
      <c r="E444" s="21">
        <v>0.98574066999999999</v>
      </c>
      <c r="F444" s="10"/>
      <c r="G444" s="14">
        <v>914507</v>
      </c>
      <c r="H444" s="14">
        <v>901466.74</v>
      </c>
      <c r="I444" s="14">
        <v>914507</v>
      </c>
      <c r="J444" s="14">
        <v>901466.74</v>
      </c>
      <c r="K444" s="12">
        <v>47800044</v>
      </c>
      <c r="L444" s="10" t="s">
        <v>101</v>
      </c>
      <c r="M444" s="10" t="s">
        <v>102</v>
      </c>
      <c r="N444" s="124" t="s">
        <v>423</v>
      </c>
      <c r="O444" s="124" t="s">
        <v>423</v>
      </c>
      <c r="P444" s="21">
        <v>33</v>
      </c>
      <c r="Q444" s="10" t="s">
        <v>54</v>
      </c>
      <c r="R444" s="10" t="s">
        <v>28</v>
      </c>
      <c r="S444" s="10"/>
      <c r="T444" s="10"/>
      <c r="U444" s="10" t="s">
        <v>2510</v>
      </c>
      <c r="V444" s="10" t="s">
        <v>2510</v>
      </c>
      <c r="W444" s="50">
        <f>+J444/$W$2</f>
        <v>1.1984611612576822E-5</v>
      </c>
    </row>
    <row r="445" spans="1:23">
      <c r="A445" s="10" t="s">
        <v>2610</v>
      </c>
      <c r="B445" s="10" t="s">
        <v>381</v>
      </c>
      <c r="C445" s="124">
        <v>46310</v>
      </c>
      <c r="D445" s="124" t="s">
        <v>492</v>
      </c>
      <c r="E445" s="21">
        <v>0.98616676999999997</v>
      </c>
      <c r="F445" s="10"/>
      <c r="G445" s="14">
        <v>1869225</v>
      </c>
      <c r="H445" s="14">
        <v>1843367.59</v>
      </c>
      <c r="I445" s="14">
        <v>1869225</v>
      </c>
      <c r="J445" s="14">
        <v>1843367.59</v>
      </c>
      <c r="K445" s="12">
        <v>4</v>
      </c>
      <c r="L445" s="10" t="s">
        <v>101</v>
      </c>
      <c r="M445" s="10" t="s">
        <v>102</v>
      </c>
      <c r="N445" s="124" t="s">
        <v>423</v>
      </c>
      <c r="O445" s="124" t="s">
        <v>423</v>
      </c>
      <c r="P445" s="21">
        <v>32</v>
      </c>
      <c r="Q445" s="10" t="s">
        <v>54</v>
      </c>
      <c r="R445" s="10" t="s">
        <v>28</v>
      </c>
      <c r="S445" s="10"/>
      <c r="T445" s="10"/>
      <c r="U445" s="10" t="s">
        <v>2535</v>
      </c>
      <c r="V445" s="10" t="s">
        <v>2535</v>
      </c>
      <c r="W445" s="50">
        <f>+J445/$W$2</f>
        <v>2.4506777283166043E-5</v>
      </c>
    </row>
    <row r="446" spans="1:23">
      <c r="A446" s="10" t="s">
        <v>2614</v>
      </c>
      <c r="B446" s="10" t="s">
        <v>381</v>
      </c>
      <c r="C446" s="124">
        <v>46310</v>
      </c>
      <c r="D446" s="124" t="s">
        <v>492</v>
      </c>
      <c r="E446" s="21">
        <v>0.98616678000000002</v>
      </c>
      <c r="F446" s="10"/>
      <c r="G446" s="14">
        <v>8123170.71</v>
      </c>
      <c r="H446" s="14">
        <v>8010801.0800000001</v>
      </c>
      <c r="I446" s="14">
        <v>8123170.71</v>
      </c>
      <c r="J446" s="14">
        <v>8010801.0800000001</v>
      </c>
      <c r="K446" s="12">
        <v>11243</v>
      </c>
      <c r="L446" s="10" t="s">
        <v>101</v>
      </c>
      <c r="M446" s="10" t="s">
        <v>102</v>
      </c>
      <c r="N446" s="124" t="s">
        <v>423</v>
      </c>
      <c r="O446" s="124" t="s">
        <v>423</v>
      </c>
      <c r="P446" s="21">
        <v>32</v>
      </c>
      <c r="Q446" s="10" t="s">
        <v>54</v>
      </c>
      <c r="R446" s="10" t="s">
        <v>28</v>
      </c>
      <c r="S446" s="10"/>
      <c r="T446" s="10"/>
      <c r="U446" s="10" t="s">
        <v>2550</v>
      </c>
      <c r="V446" s="10" t="s">
        <v>2550</v>
      </c>
      <c r="W446" s="50">
        <f>+J446/$W$2</f>
        <v>1.0650014624988932E-4</v>
      </c>
    </row>
    <row r="447" spans="1:23">
      <c r="A447" s="10" t="s">
        <v>2615</v>
      </c>
      <c r="B447" s="10" t="s">
        <v>381</v>
      </c>
      <c r="C447" s="124">
        <v>46310</v>
      </c>
      <c r="D447" s="124" t="s">
        <v>492</v>
      </c>
      <c r="E447" s="21">
        <v>0.98616678999999996</v>
      </c>
      <c r="F447" s="10"/>
      <c r="G447" s="14">
        <v>1129854.56</v>
      </c>
      <c r="H447" s="14">
        <v>1114225.04</v>
      </c>
      <c r="I447" s="14">
        <v>1129854.56</v>
      </c>
      <c r="J447" s="14">
        <v>1114225.04</v>
      </c>
      <c r="K447" s="12">
        <v>1024</v>
      </c>
      <c r="L447" s="10" t="s">
        <v>101</v>
      </c>
      <c r="M447" s="10" t="s">
        <v>102</v>
      </c>
      <c r="N447" s="124" t="s">
        <v>423</v>
      </c>
      <c r="O447" s="124" t="s">
        <v>423</v>
      </c>
      <c r="P447" s="21">
        <v>32</v>
      </c>
      <c r="Q447" s="10" t="s">
        <v>54</v>
      </c>
      <c r="R447" s="10" t="s">
        <v>28</v>
      </c>
      <c r="S447" s="10"/>
      <c r="T447" s="10"/>
      <c r="U447" s="10" t="s">
        <v>2556</v>
      </c>
      <c r="V447" s="10" t="s">
        <v>2556</v>
      </c>
      <c r="W447" s="50">
        <f>+J447/$W$2</f>
        <v>1.4813141473647574E-5</v>
      </c>
    </row>
    <row r="448" spans="1:23">
      <c r="A448" s="10" t="s">
        <v>2698</v>
      </c>
      <c r="B448" s="10" t="s">
        <v>381</v>
      </c>
      <c r="C448" s="124">
        <v>46310</v>
      </c>
      <c r="D448" s="124" t="s">
        <v>492</v>
      </c>
      <c r="E448" s="21">
        <v>0.98616665999999997</v>
      </c>
      <c r="F448" s="10"/>
      <c r="G448" s="14">
        <v>37348528.700000003</v>
      </c>
      <c r="H448" s="14">
        <v>36831873.729999997</v>
      </c>
      <c r="I448" s="14">
        <v>37348528.700000003</v>
      </c>
      <c r="J448" s="14">
        <v>36831873.729999997</v>
      </c>
      <c r="K448" s="12">
        <v>260</v>
      </c>
      <c r="L448" s="10" t="s">
        <v>101</v>
      </c>
      <c r="M448" s="10" t="s">
        <v>102</v>
      </c>
      <c r="N448" s="124" t="s">
        <v>420</v>
      </c>
      <c r="O448" s="124" t="s">
        <v>420</v>
      </c>
      <c r="P448" s="21">
        <v>32</v>
      </c>
      <c r="Q448" s="10" t="s">
        <v>54</v>
      </c>
      <c r="R448" s="10" t="s">
        <v>28</v>
      </c>
      <c r="S448" s="10"/>
      <c r="T448" s="10"/>
      <c r="U448" s="10" t="s">
        <v>2656</v>
      </c>
      <c r="V448" s="10" t="s">
        <v>2656</v>
      </c>
      <c r="W448" s="50">
        <f>+J448/$W$2</f>
        <v>4.8966388002015591E-4</v>
      </c>
    </row>
    <row r="449" spans="1:29">
      <c r="A449" s="10" t="s">
        <v>494</v>
      </c>
      <c r="B449" s="10" t="s">
        <v>381</v>
      </c>
      <c r="C449" s="124">
        <v>46310</v>
      </c>
      <c r="D449" s="124" t="s">
        <v>492</v>
      </c>
      <c r="E449" s="21">
        <v>0.98915995000000001</v>
      </c>
      <c r="F449" s="10"/>
      <c r="G449" s="14">
        <v>624882.48</v>
      </c>
      <c r="H449" s="14">
        <v>618108.72</v>
      </c>
      <c r="I449" s="14">
        <v>624882.48</v>
      </c>
      <c r="J449" s="14">
        <v>618108.72</v>
      </c>
      <c r="K449" s="12">
        <v>1150214</v>
      </c>
      <c r="L449" s="10" t="s">
        <v>101</v>
      </c>
      <c r="M449" s="10" t="s">
        <v>102</v>
      </c>
      <c r="N449" s="124" t="s">
        <v>677</v>
      </c>
      <c r="O449" s="124" t="s">
        <v>677</v>
      </c>
      <c r="P449" s="21">
        <v>25</v>
      </c>
      <c r="Q449" s="10" t="s">
        <v>54</v>
      </c>
      <c r="R449" s="10" t="s">
        <v>28</v>
      </c>
      <c r="S449" s="10"/>
      <c r="T449" s="10"/>
      <c r="U449" s="10" t="s">
        <v>3332</v>
      </c>
      <c r="V449" s="10" t="s">
        <v>3332</v>
      </c>
      <c r="W449" s="50">
        <f>+J449/$W$2</f>
        <v>8.2174889153946989E-6</v>
      </c>
    </row>
    <row r="450" spans="1:29">
      <c r="A450" s="10" t="s">
        <v>494</v>
      </c>
      <c r="B450" s="10" t="s">
        <v>381</v>
      </c>
      <c r="C450" s="124">
        <v>46310</v>
      </c>
      <c r="D450" s="124" t="s">
        <v>492</v>
      </c>
      <c r="E450" s="21">
        <v>0.98915993000000002</v>
      </c>
      <c r="F450" s="10"/>
      <c r="G450" s="14">
        <v>612376.29</v>
      </c>
      <c r="H450" s="14">
        <v>605738.09</v>
      </c>
      <c r="I450" s="14">
        <v>612376.29</v>
      </c>
      <c r="J450" s="14">
        <v>605738.09</v>
      </c>
      <c r="K450" s="12">
        <v>1981222</v>
      </c>
      <c r="L450" s="10" t="s">
        <v>101</v>
      </c>
      <c r="M450" s="10" t="s">
        <v>102</v>
      </c>
      <c r="N450" s="124" t="s">
        <v>677</v>
      </c>
      <c r="O450" s="124" t="s">
        <v>677</v>
      </c>
      <c r="P450" s="21">
        <v>25</v>
      </c>
      <c r="Q450" s="10" t="s">
        <v>54</v>
      </c>
      <c r="R450" s="10" t="s">
        <v>28</v>
      </c>
      <c r="S450" s="10"/>
      <c r="T450" s="10"/>
      <c r="U450" s="10" t="s">
        <v>3335</v>
      </c>
      <c r="V450" s="10" t="s">
        <v>3335</v>
      </c>
      <c r="W450" s="50">
        <f>+J450/$W$2</f>
        <v>8.053026723530702E-6</v>
      </c>
    </row>
    <row r="451" spans="1:29">
      <c r="A451" s="10" t="s">
        <v>389</v>
      </c>
      <c r="B451" s="10" t="s">
        <v>381</v>
      </c>
      <c r="C451" s="124">
        <v>46310</v>
      </c>
      <c r="D451" s="124" t="s">
        <v>492</v>
      </c>
      <c r="E451" s="21">
        <v>0.98616667999999996</v>
      </c>
      <c r="F451" s="10"/>
      <c r="G451" s="14">
        <v>14479899.68</v>
      </c>
      <c r="H451" s="14">
        <v>14279594.57</v>
      </c>
      <c r="I451" s="14">
        <v>14479899.68</v>
      </c>
      <c r="J451" s="14">
        <v>14279594.57</v>
      </c>
      <c r="K451" s="12">
        <v>9933003</v>
      </c>
      <c r="L451" s="10" t="s">
        <v>101</v>
      </c>
      <c r="M451" s="10" t="s">
        <v>102</v>
      </c>
      <c r="N451" s="124" t="s">
        <v>318</v>
      </c>
      <c r="O451" s="124" t="s">
        <v>318</v>
      </c>
      <c r="P451" s="21">
        <v>32</v>
      </c>
      <c r="Q451" s="10" t="s">
        <v>54</v>
      </c>
      <c r="R451" s="10" t="s">
        <v>28</v>
      </c>
      <c r="S451" s="10"/>
      <c r="T451" s="10"/>
      <c r="U451" s="10" t="s">
        <v>703</v>
      </c>
      <c r="V451" s="10" t="s">
        <v>703</v>
      </c>
      <c r="W451" s="50">
        <f>+J451/$W$2</f>
        <v>1.8984105271206225E-4</v>
      </c>
    </row>
    <row r="452" spans="1:29">
      <c r="A452" s="10" t="s">
        <v>141</v>
      </c>
      <c r="B452" s="10" t="s">
        <v>381</v>
      </c>
      <c r="C452" s="124">
        <v>46310</v>
      </c>
      <c r="D452" s="124" t="s">
        <v>492</v>
      </c>
      <c r="E452" s="21">
        <v>0.98531477999999995</v>
      </c>
      <c r="F452" s="10"/>
      <c r="G452" s="14">
        <v>20000000</v>
      </c>
      <c r="H452" s="14">
        <v>19706295.620000001</v>
      </c>
      <c r="I452" s="14">
        <v>20000000</v>
      </c>
      <c r="J452" s="14">
        <v>19706295.620000001</v>
      </c>
      <c r="K452" s="12">
        <v>4403</v>
      </c>
      <c r="L452" s="10" t="s">
        <v>101</v>
      </c>
      <c r="M452" s="10" t="s">
        <v>102</v>
      </c>
      <c r="N452" s="124" t="s">
        <v>319</v>
      </c>
      <c r="O452" s="124" t="s">
        <v>319</v>
      </c>
      <c r="P452" s="21">
        <v>34</v>
      </c>
      <c r="Q452" s="10" t="s">
        <v>54</v>
      </c>
      <c r="R452" s="10" t="s">
        <v>28</v>
      </c>
      <c r="S452" s="10"/>
      <c r="T452" s="10"/>
      <c r="U452" s="10" t="s">
        <v>1003</v>
      </c>
      <c r="V452" s="10" t="s">
        <v>1003</v>
      </c>
      <c r="W452" s="50">
        <f>+J452/$W$2</f>
        <v>2.619867032790625E-4</v>
      </c>
    </row>
    <row r="453" spans="1:29">
      <c r="A453" s="10" t="s">
        <v>273</v>
      </c>
      <c r="B453" s="10" t="s">
        <v>381</v>
      </c>
      <c r="C453" s="124">
        <v>46310</v>
      </c>
      <c r="D453" s="124" t="s">
        <v>492</v>
      </c>
      <c r="E453" s="21">
        <v>0.98830282999999997</v>
      </c>
      <c r="F453" s="10"/>
      <c r="G453" s="14">
        <v>15000000</v>
      </c>
      <c r="H453" s="14">
        <v>14824542.449999999</v>
      </c>
      <c r="I453" s="14">
        <v>15000000</v>
      </c>
      <c r="J453" s="14">
        <v>14824542.449999999</v>
      </c>
      <c r="K453" s="12">
        <v>11338651</v>
      </c>
      <c r="L453" s="10" t="s">
        <v>101</v>
      </c>
      <c r="M453" s="10" t="s">
        <v>102</v>
      </c>
      <c r="N453" s="124" t="s">
        <v>326</v>
      </c>
      <c r="O453" s="124" t="s">
        <v>326</v>
      </c>
      <c r="P453" s="21">
        <v>27</v>
      </c>
      <c r="Q453" s="10" t="s">
        <v>54</v>
      </c>
      <c r="R453" s="10" t="s">
        <v>28</v>
      </c>
      <c r="S453" s="10"/>
      <c r="T453" s="10"/>
      <c r="U453" s="10" t="s">
        <v>971</v>
      </c>
      <c r="V453" s="10" t="s">
        <v>971</v>
      </c>
      <c r="W453" s="50">
        <f>+J453/$W$2</f>
        <v>1.9708589980525299E-4</v>
      </c>
    </row>
    <row r="454" spans="1:29">
      <c r="A454" s="10" t="s">
        <v>273</v>
      </c>
      <c r="B454" s="10" t="s">
        <v>381</v>
      </c>
      <c r="C454" s="124">
        <v>46310</v>
      </c>
      <c r="D454" s="124" t="s">
        <v>492</v>
      </c>
      <c r="E454" s="21">
        <v>0.98830282999999997</v>
      </c>
      <c r="F454" s="10"/>
      <c r="G454" s="14">
        <v>20000000</v>
      </c>
      <c r="H454" s="14">
        <v>19766056.600000001</v>
      </c>
      <c r="I454" s="14">
        <v>20000000</v>
      </c>
      <c r="J454" s="14">
        <v>19766056.600000001</v>
      </c>
      <c r="K454" s="12">
        <v>884</v>
      </c>
      <c r="L454" s="10" t="s">
        <v>101</v>
      </c>
      <c r="M454" s="10" t="s">
        <v>102</v>
      </c>
      <c r="N454" s="124" t="s">
        <v>326</v>
      </c>
      <c r="O454" s="124" t="s">
        <v>326</v>
      </c>
      <c r="P454" s="21">
        <v>27</v>
      </c>
      <c r="Q454" s="10" t="s">
        <v>54</v>
      </c>
      <c r="R454" s="10" t="s">
        <v>28</v>
      </c>
      <c r="S454" s="10"/>
      <c r="T454" s="10"/>
      <c r="U454" s="10" t="s">
        <v>984</v>
      </c>
      <c r="V454" s="10" t="s">
        <v>984</v>
      </c>
      <c r="W454" s="50">
        <f>+J454/$W$2</f>
        <v>2.6278119974033735E-4</v>
      </c>
      <c r="AC454" s="47"/>
    </row>
    <row r="455" spans="1:29">
      <c r="A455" s="10" t="s">
        <v>273</v>
      </c>
      <c r="B455" s="10" t="s">
        <v>381</v>
      </c>
      <c r="C455" s="124">
        <v>46310</v>
      </c>
      <c r="D455" s="124" t="s">
        <v>492</v>
      </c>
      <c r="E455" s="21">
        <v>0.98830282999999997</v>
      </c>
      <c r="F455" s="10"/>
      <c r="G455" s="14">
        <v>20000000</v>
      </c>
      <c r="H455" s="14">
        <v>19766056.600000001</v>
      </c>
      <c r="I455" s="14">
        <v>20000000</v>
      </c>
      <c r="J455" s="14">
        <v>19766056.600000001</v>
      </c>
      <c r="K455" s="12">
        <v>886</v>
      </c>
      <c r="L455" s="10" t="s">
        <v>101</v>
      </c>
      <c r="M455" s="10" t="s">
        <v>102</v>
      </c>
      <c r="N455" s="124" t="s">
        <v>326</v>
      </c>
      <c r="O455" s="124" t="s">
        <v>326</v>
      </c>
      <c r="P455" s="21">
        <v>27</v>
      </c>
      <c r="Q455" s="10" t="s">
        <v>54</v>
      </c>
      <c r="R455" s="10" t="s">
        <v>28</v>
      </c>
      <c r="S455" s="10"/>
      <c r="T455" s="10"/>
      <c r="U455" s="10" t="s">
        <v>986</v>
      </c>
      <c r="V455" s="10" t="s">
        <v>986</v>
      </c>
      <c r="W455" s="50">
        <f>+J455/$W$2</f>
        <v>2.6278119974033735E-4</v>
      </c>
    </row>
    <row r="456" spans="1:29">
      <c r="A456" s="10" t="s">
        <v>273</v>
      </c>
      <c r="B456" s="10" t="s">
        <v>381</v>
      </c>
      <c r="C456" s="124">
        <v>46310</v>
      </c>
      <c r="D456" s="124" t="s">
        <v>492</v>
      </c>
      <c r="E456" s="21">
        <v>0.98702000999999995</v>
      </c>
      <c r="F456" s="10"/>
      <c r="G456" s="14">
        <v>40000000</v>
      </c>
      <c r="H456" s="14">
        <v>39480800.469999999</v>
      </c>
      <c r="I456" s="14">
        <v>40000000</v>
      </c>
      <c r="J456" s="14">
        <v>39480800.469999999</v>
      </c>
      <c r="K456" s="12">
        <v>4373</v>
      </c>
      <c r="L456" s="10" t="s">
        <v>101</v>
      </c>
      <c r="M456" s="10" t="s">
        <v>102</v>
      </c>
      <c r="N456" s="124" t="s">
        <v>322</v>
      </c>
      <c r="O456" s="124" t="s">
        <v>322</v>
      </c>
      <c r="P456" s="21">
        <v>30</v>
      </c>
      <c r="Q456" s="10" t="s">
        <v>54</v>
      </c>
      <c r="R456" s="10" t="s">
        <v>28</v>
      </c>
      <c r="S456" s="10"/>
      <c r="T456" s="10"/>
      <c r="U456" s="10" t="s">
        <v>1581</v>
      </c>
      <c r="V456" s="10" t="s">
        <v>1581</v>
      </c>
      <c r="W456" s="50">
        <f>+J456/$W$2</f>
        <v>5.2488021886042124E-4</v>
      </c>
    </row>
    <row r="457" spans="1:29">
      <c r="A457" s="10" t="s">
        <v>762</v>
      </c>
      <c r="B457" s="10" t="s">
        <v>381</v>
      </c>
      <c r="C457" s="124">
        <v>46310</v>
      </c>
      <c r="D457" s="124" t="s">
        <v>492</v>
      </c>
      <c r="E457" s="21">
        <v>0.98830287999999999</v>
      </c>
      <c r="F457" s="10"/>
      <c r="G457" s="14">
        <v>3000000</v>
      </c>
      <c r="H457" s="14">
        <v>2964908.63</v>
      </c>
      <c r="I457" s="14">
        <v>3000000</v>
      </c>
      <c r="J457" s="14">
        <v>2964908.63</v>
      </c>
      <c r="K457" s="12">
        <v>90023128</v>
      </c>
      <c r="L457" s="10" t="s">
        <v>101</v>
      </c>
      <c r="M457" s="10" t="s">
        <v>102</v>
      </c>
      <c r="N457" s="124" t="s">
        <v>677</v>
      </c>
      <c r="O457" s="124" t="s">
        <v>677</v>
      </c>
      <c r="P457" s="21">
        <v>27</v>
      </c>
      <c r="Q457" s="10" t="s">
        <v>54</v>
      </c>
      <c r="R457" s="10" t="s">
        <v>28</v>
      </c>
      <c r="S457" s="10"/>
      <c r="T457" s="10"/>
      <c r="U457" s="10" t="s">
        <v>3281</v>
      </c>
      <c r="V457" s="10" t="s">
        <v>3281</v>
      </c>
      <c r="W457" s="50">
        <f>+J457/$W$2</f>
        <v>3.9417181822290228E-5</v>
      </c>
    </row>
    <row r="458" spans="1:29">
      <c r="A458" s="10" t="s">
        <v>1507</v>
      </c>
      <c r="B458" s="10" t="s">
        <v>381</v>
      </c>
      <c r="C458" s="124">
        <v>46310</v>
      </c>
      <c r="D458" s="124" t="s">
        <v>492</v>
      </c>
      <c r="E458" s="21">
        <v>0.98787488000000001</v>
      </c>
      <c r="F458" s="10"/>
      <c r="G458" s="14">
        <v>50000000</v>
      </c>
      <c r="H458" s="14">
        <v>49393744.140000001</v>
      </c>
      <c r="I458" s="14">
        <v>50000000</v>
      </c>
      <c r="J458" s="14">
        <v>49393744.140000001</v>
      </c>
      <c r="K458" s="12">
        <v>29</v>
      </c>
      <c r="L458" s="10" t="s">
        <v>101</v>
      </c>
      <c r="M458" s="10" t="s">
        <v>102</v>
      </c>
      <c r="N458" s="124" t="s">
        <v>414</v>
      </c>
      <c r="O458" s="124" t="s">
        <v>414</v>
      </c>
      <c r="P458" s="21">
        <v>28</v>
      </c>
      <c r="Q458" s="10" t="s">
        <v>54</v>
      </c>
      <c r="R458" s="10" t="s">
        <v>28</v>
      </c>
      <c r="S458" s="10"/>
      <c r="T458" s="10"/>
      <c r="U458" s="10" t="s">
        <v>1498</v>
      </c>
      <c r="V458" s="10" t="s">
        <v>1498</v>
      </c>
      <c r="W458" s="50">
        <f>+J458/$W$2</f>
        <v>6.5666853067578772E-4</v>
      </c>
    </row>
    <row r="459" spans="1:29">
      <c r="A459" s="10" t="s">
        <v>1522</v>
      </c>
      <c r="B459" s="10" t="s">
        <v>381</v>
      </c>
      <c r="C459" s="124">
        <v>46310</v>
      </c>
      <c r="D459" s="124" t="s">
        <v>492</v>
      </c>
      <c r="E459" s="21">
        <v>0.98531482000000004</v>
      </c>
      <c r="F459" s="10"/>
      <c r="G459" s="14">
        <v>40000000</v>
      </c>
      <c r="H459" s="14">
        <v>39412592.920000002</v>
      </c>
      <c r="I459" s="14">
        <v>40000000</v>
      </c>
      <c r="J459" s="14">
        <v>39412592.920000002</v>
      </c>
      <c r="K459" s="12">
        <v>3794762</v>
      </c>
      <c r="L459" s="10" t="s">
        <v>101</v>
      </c>
      <c r="M459" s="10" t="s">
        <v>102</v>
      </c>
      <c r="N459" s="124" t="s">
        <v>476</v>
      </c>
      <c r="O459" s="124" t="s">
        <v>476</v>
      </c>
      <c r="P459" s="21">
        <v>34</v>
      </c>
      <c r="Q459" s="10" t="s">
        <v>54</v>
      </c>
      <c r="R459" s="10" t="s">
        <v>28</v>
      </c>
      <c r="S459" s="10"/>
      <c r="T459" s="10"/>
      <c r="U459" s="10" t="s">
        <v>1513</v>
      </c>
      <c r="V459" s="10" t="s">
        <v>1513</v>
      </c>
      <c r="W459" s="50">
        <f>+J459/$W$2</f>
        <v>5.239734288930006E-4</v>
      </c>
    </row>
    <row r="460" spans="1:29">
      <c r="A460" s="10" t="s">
        <v>1813</v>
      </c>
      <c r="B460" s="10" t="s">
        <v>381</v>
      </c>
      <c r="C460" s="124">
        <v>46310</v>
      </c>
      <c r="D460" s="124" t="s">
        <v>492</v>
      </c>
      <c r="E460" s="21">
        <v>0.98616665000000003</v>
      </c>
      <c r="F460" s="10"/>
      <c r="G460" s="14">
        <v>7000000</v>
      </c>
      <c r="H460" s="14">
        <v>6903166.5499999998</v>
      </c>
      <c r="I460" s="14">
        <v>7000000</v>
      </c>
      <c r="J460" s="14">
        <v>6903166.5499999998</v>
      </c>
      <c r="K460" s="12">
        <v>10604195</v>
      </c>
      <c r="L460" s="10" t="s">
        <v>101</v>
      </c>
      <c r="M460" s="10" t="s">
        <v>102</v>
      </c>
      <c r="N460" s="124" t="s">
        <v>398</v>
      </c>
      <c r="O460" s="124" t="s">
        <v>398</v>
      </c>
      <c r="P460" s="21">
        <v>32</v>
      </c>
      <c r="Q460" s="10" t="s">
        <v>54</v>
      </c>
      <c r="R460" s="10" t="s">
        <v>28</v>
      </c>
      <c r="S460" s="10"/>
      <c r="T460" s="10"/>
      <c r="U460" s="10" t="s">
        <v>1771</v>
      </c>
      <c r="V460" s="10" t="s">
        <v>1771</v>
      </c>
      <c r="W460" s="50">
        <f>+J460/$W$2</f>
        <v>9.1774622764986179E-5</v>
      </c>
    </row>
    <row r="461" spans="1:29">
      <c r="A461" s="10" t="s">
        <v>1816</v>
      </c>
      <c r="B461" s="10" t="s">
        <v>381</v>
      </c>
      <c r="C461" s="124">
        <v>46310</v>
      </c>
      <c r="D461" s="124" t="s">
        <v>492</v>
      </c>
      <c r="E461" s="21">
        <v>0.98616665000000003</v>
      </c>
      <c r="F461" s="10"/>
      <c r="G461" s="14">
        <v>12000000</v>
      </c>
      <c r="H461" s="14">
        <v>11833999.800000001</v>
      </c>
      <c r="I461" s="14">
        <v>12000000</v>
      </c>
      <c r="J461" s="14">
        <v>11833999.800000001</v>
      </c>
      <c r="K461" s="12">
        <v>68962620</v>
      </c>
      <c r="L461" s="10" t="s">
        <v>101</v>
      </c>
      <c r="M461" s="10" t="s">
        <v>102</v>
      </c>
      <c r="N461" s="124" t="s">
        <v>398</v>
      </c>
      <c r="O461" s="124" t="s">
        <v>398</v>
      </c>
      <c r="P461" s="21">
        <v>32</v>
      </c>
      <c r="Q461" s="10" t="s">
        <v>54</v>
      </c>
      <c r="R461" s="10" t="s">
        <v>28</v>
      </c>
      <c r="S461" s="10"/>
      <c r="T461" s="10"/>
      <c r="U461" s="10" t="s">
        <v>1797</v>
      </c>
      <c r="V461" s="10" t="s">
        <v>1797</v>
      </c>
      <c r="W461" s="50">
        <f>+J461/$W$2</f>
        <v>1.5732792473997632E-4</v>
      </c>
    </row>
    <row r="462" spans="1:29">
      <c r="A462" s="10" t="s">
        <v>2413</v>
      </c>
      <c r="B462" s="10" t="s">
        <v>381</v>
      </c>
      <c r="C462" s="124">
        <v>46310</v>
      </c>
      <c r="D462" s="124" t="s">
        <v>492</v>
      </c>
      <c r="E462" s="21">
        <v>0.98702011000000001</v>
      </c>
      <c r="F462" s="10"/>
      <c r="G462" s="14">
        <v>3000000</v>
      </c>
      <c r="H462" s="14">
        <v>2961060.32</v>
      </c>
      <c r="I462" s="14">
        <v>3000000</v>
      </c>
      <c r="J462" s="14">
        <v>2961060.32</v>
      </c>
      <c r="K462" s="12">
        <v>1298</v>
      </c>
      <c r="L462" s="10" t="s">
        <v>101</v>
      </c>
      <c r="M462" s="10" t="s">
        <v>102</v>
      </c>
      <c r="N462" s="124" t="s">
        <v>552</v>
      </c>
      <c r="O462" s="124" t="s">
        <v>552</v>
      </c>
      <c r="P462" s="21">
        <v>30</v>
      </c>
      <c r="Q462" s="10" t="s">
        <v>54</v>
      </c>
      <c r="R462" s="10" t="s">
        <v>28</v>
      </c>
      <c r="S462" s="10"/>
      <c r="T462" s="10"/>
      <c r="U462" s="10" t="s">
        <v>2402</v>
      </c>
      <c r="V462" s="10" t="s">
        <v>2402</v>
      </c>
      <c r="W462" s="50">
        <f>+J462/$W$2</f>
        <v>3.9366020200160062E-5</v>
      </c>
    </row>
    <row r="463" spans="1:29">
      <c r="A463" s="10" t="s">
        <v>719</v>
      </c>
      <c r="B463" s="10" t="s">
        <v>381</v>
      </c>
      <c r="C463" s="124">
        <v>46310</v>
      </c>
      <c r="D463" s="124" t="s">
        <v>492</v>
      </c>
      <c r="E463" s="21">
        <v>0.98702009999999996</v>
      </c>
      <c r="F463" s="10"/>
      <c r="G463" s="14">
        <v>2700000</v>
      </c>
      <c r="H463" s="14">
        <v>2664954.2799999998</v>
      </c>
      <c r="I463" s="14">
        <v>2700000</v>
      </c>
      <c r="J463" s="14">
        <v>2664954.2799999998</v>
      </c>
      <c r="K463" s="12">
        <v>6906</v>
      </c>
      <c r="L463" s="10" t="s">
        <v>101</v>
      </c>
      <c r="M463" s="10" t="s">
        <v>102</v>
      </c>
      <c r="N463" s="124" t="s">
        <v>552</v>
      </c>
      <c r="O463" s="124" t="s">
        <v>552</v>
      </c>
      <c r="P463" s="21">
        <v>30</v>
      </c>
      <c r="Q463" s="10" t="s">
        <v>54</v>
      </c>
      <c r="R463" s="10" t="s">
        <v>28</v>
      </c>
      <c r="S463" s="10"/>
      <c r="T463" s="10"/>
      <c r="U463" s="10" t="s">
        <v>2385</v>
      </c>
      <c r="V463" s="10" t="s">
        <v>2385</v>
      </c>
      <c r="W463" s="50">
        <f>+J463/$W$2</f>
        <v>3.5429418073787506E-5</v>
      </c>
    </row>
    <row r="464" spans="1:29">
      <c r="A464" s="10" t="s">
        <v>273</v>
      </c>
      <c r="B464" s="10" t="s">
        <v>381</v>
      </c>
      <c r="C464" s="124">
        <v>46310</v>
      </c>
      <c r="D464" s="124" t="s">
        <v>492</v>
      </c>
      <c r="E464" s="21">
        <v>0.98830284999999995</v>
      </c>
      <c r="F464" s="10"/>
      <c r="G464" s="14">
        <v>20000000</v>
      </c>
      <c r="H464" s="14">
        <v>19766057.039999999</v>
      </c>
      <c r="I464" s="14">
        <v>20000000</v>
      </c>
      <c r="J464" s="14">
        <v>19766057.039999999</v>
      </c>
      <c r="K464" s="12">
        <v>68122772</v>
      </c>
      <c r="L464" s="10" t="s">
        <v>101</v>
      </c>
      <c r="M464" s="10" t="s">
        <v>102</v>
      </c>
      <c r="N464" s="124" t="s">
        <v>395</v>
      </c>
      <c r="O464" s="124" t="s">
        <v>395</v>
      </c>
      <c r="P464" s="21">
        <v>27</v>
      </c>
      <c r="Q464" s="10" t="s">
        <v>54</v>
      </c>
      <c r="R464" s="10" t="s">
        <v>28</v>
      </c>
      <c r="S464" s="10"/>
      <c r="T464" s="10"/>
      <c r="U464" s="10" t="s">
        <v>829</v>
      </c>
      <c r="V464" s="10" t="s">
        <v>829</v>
      </c>
      <c r="W464" s="50">
        <f>+J464/$W$2</f>
        <v>2.6278120558994759E-4</v>
      </c>
    </row>
    <row r="465" spans="1:23">
      <c r="A465" s="10" t="s">
        <v>273</v>
      </c>
      <c r="B465" s="10" t="s">
        <v>381</v>
      </c>
      <c r="C465" s="124">
        <v>46310</v>
      </c>
      <c r="D465" s="124" t="s">
        <v>492</v>
      </c>
      <c r="E465" s="21">
        <v>0.98873129999999998</v>
      </c>
      <c r="F465" s="10"/>
      <c r="G465" s="14">
        <v>4000000</v>
      </c>
      <c r="H465" s="14">
        <v>3954925.19</v>
      </c>
      <c r="I465" s="14">
        <v>4000000</v>
      </c>
      <c r="J465" s="14">
        <v>3954925.19</v>
      </c>
      <c r="K465" s="12">
        <v>90002227</v>
      </c>
      <c r="L465" s="10" t="s">
        <v>101</v>
      </c>
      <c r="M465" s="10" t="s">
        <v>102</v>
      </c>
      <c r="N465" s="124" t="s">
        <v>532</v>
      </c>
      <c r="O465" s="124" t="s">
        <v>532</v>
      </c>
      <c r="P465" s="21">
        <v>26</v>
      </c>
      <c r="Q465" s="10" t="s">
        <v>54</v>
      </c>
      <c r="R465" s="10" t="s">
        <v>28</v>
      </c>
      <c r="S465" s="10"/>
      <c r="T465" s="10"/>
      <c r="U465" s="10" t="s">
        <v>3036</v>
      </c>
      <c r="V465" s="10" t="s">
        <v>3036</v>
      </c>
      <c r="W465" s="50">
        <f>+J465/$W$2</f>
        <v>5.2579025110728532E-5</v>
      </c>
    </row>
    <row r="466" spans="1:23">
      <c r="A466" s="10" t="s">
        <v>1189</v>
      </c>
      <c r="B466" s="10" t="s">
        <v>381</v>
      </c>
      <c r="C466" s="124">
        <v>46310</v>
      </c>
      <c r="D466" s="124" t="s">
        <v>492</v>
      </c>
      <c r="E466" s="21">
        <v>0.98488935</v>
      </c>
      <c r="F466" s="10"/>
      <c r="G466" s="14">
        <v>463612.88</v>
      </c>
      <c r="H466" s="14">
        <v>456607.39</v>
      </c>
      <c r="I466" s="14">
        <v>463612.88</v>
      </c>
      <c r="J466" s="14">
        <v>456607.39</v>
      </c>
      <c r="K466" s="12">
        <v>115549</v>
      </c>
      <c r="L466" s="10" t="s">
        <v>101</v>
      </c>
      <c r="M466" s="10" t="s">
        <v>102</v>
      </c>
      <c r="N466" s="124" t="s">
        <v>397</v>
      </c>
      <c r="O466" s="124" t="s">
        <v>397</v>
      </c>
      <c r="P466" s="21">
        <v>35</v>
      </c>
      <c r="Q466" s="10" t="s">
        <v>54</v>
      </c>
      <c r="R466" s="10" t="s">
        <v>28</v>
      </c>
      <c r="S466" s="10"/>
      <c r="T466" s="10"/>
      <c r="U466" s="10" t="s">
        <v>1439</v>
      </c>
      <c r="V466" s="10" t="s">
        <v>1439</v>
      </c>
      <c r="W466" s="50">
        <f>+J466/$W$2</f>
        <v>6.0703983694200342E-6</v>
      </c>
    </row>
    <row r="467" spans="1:23">
      <c r="A467" s="10" t="s">
        <v>1116</v>
      </c>
      <c r="B467" s="10" t="s">
        <v>381</v>
      </c>
      <c r="C467" s="124">
        <v>46310</v>
      </c>
      <c r="D467" s="124" t="s">
        <v>492</v>
      </c>
      <c r="E467" s="21">
        <v>0.98702003000000005</v>
      </c>
      <c r="F467" s="10"/>
      <c r="G467" s="14">
        <v>2531175.63</v>
      </c>
      <c r="H467" s="14">
        <v>2498321.0499999998</v>
      </c>
      <c r="I467" s="14">
        <v>2531175.63</v>
      </c>
      <c r="J467" s="14">
        <v>2498321.0499999998</v>
      </c>
      <c r="K467" s="12">
        <v>392</v>
      </c>
      <c r="L467" s="10" t="s">
        <v>101</v>
      </c>
      <c r="M467" s="10" t="s">
        <v>102</v>
      </c>
      <c r="N467" s="124" t="s">
        <v>362</v>
      </c>
      <c r="O467" s="124" t="s">
        <v>362</v>
      </c>
      <c r="P467" s="21">
        <v>30</v>
      </c>
      <c r="Q467" s="10" t="s">
        <v>54</v>
      </c>
      <c r="R467" s="10" t="s">
        <v>28</v>
      </c>
      <c r="S467" s="10"/>
      <c r="T467" s="10"/>
      <c r="U467" s="10" t="s">
        <v>1106</v>
      </c>
      <c r="V467" s="10" t="s">
        <v>1106</v>
      </c>
      <c r="W467" s="50">
        <f>+J467/$W$2</f>
        <v>3.321410113009285E-5</v>
      </c>
    </row>
    <row r="468" spans="1:23">
      <c r="A468" s="10" t="s">
        <v>1430</v>
      </c>
      <c r="B468" s="10" t="s">
        <v>381</v>
      </c>
      <c r="C468" s="124">
        <v>46310</v>
      </c>
      <c r="D468" s="124" t="s">
        <v>492</v>
      </c>
      <c r="E468" s="21">
        <v>0.98616665000000003</v>
      </c>
      <c r="F468" s="10"/>
      <c r="G468" s="14">
        <v>5834327.1299999999</v>
      </c>
      <c r="H468" s="14">
        <v>5753618.8499999996</v>
      </c>
      <c r="I468" s="14">
        <v>5834327.1299999999</v>
      </c>
      <c r="J468" s="14">
        <v>5753618.8499999996</v>
      </c>
      <c r="K468" s="12">
        <v>90001654</v>
      </c>
      <c r="L468" s="10" t="s">
        <v>101</v>
      </c>
      <c r="M468" s="10" t="s">
        <v>102</v>
      </c>
      <c r="N468" s="124" t="s">
        <v>398</v>
      </c>
      <c r="O468" s="124" t="s">
        <v>398</v>
      </c>
      <c r="P468" s="21">
        <v>32</v>
      </c>
      <c r="Q468" s="10" t="s">
        <v>54</v>
      </c>
      <c r="R468" s="10" t="s">
        <v>28</v>
      </c>
      <c r="S468" s="10"/>
      <c r="T468" s="10"/>
      <c r="U468" s="10" t="s">
        <v>1793</v>
      </c>
      <c r="V468" s="10" t="s">
        <v>1793</v>
      </c>
      <c r="W468" s="50">
        <f>+J468/$W$2</f>
        <v>7.6491881757113854E-5</v>
      </c>
    </row>
    <row r="469" spans="1:23">
      <c r="A469" s="10" t="s">
        <v>471</v>
      </c>
      <c r="B469" s="10" t="s">
        <v>381</v>
      </c>
      <c r="C469" s="124">
        <v>46310</v>
      </c>
      <c r="D469" s="124" t="s">
        <v>492</v>
      </c>
      <c r="E469" s="21">
        <v>0.98830293999999996</v>
      </c>
      <c r="F469" s="10"/>
      <c r="G469" s="14">
        <v>3620482.75</v>
      </c>
      <c r="H469" s="14">
        <v>3578133.73</v>
      </c>
      <c r="I469" s="14">
        <v>3620482.75</v>
      </c>
      <c r="J469" s="14">
        <v>3578133.73</v>
      </c>
      <c r="K469" s="12">
        <v>4321</v>
      </c>
      <c r="L469" s="10" t="s">
        <v>101</v>
      </c>
      <c r="M469" s="10" t="s">
        <v>102</v>
      </c>
      <c r="N469" s="124" t="s">
        <v>531</v>
      </c>
      <c r="O469" s="124" t="s">
        <v>531</v>
      </c>
      <c r="P469" s="21">
        <v>27</v>
      </c>
      <c r="Q469" s="10" t="s">
        <v>54</v>
      </c>
      <c r="R469" s="10" t="s">
        <v>28</v>
      </c>
      <c r="S469" s="10"/>
      <c r="T469" s="10"/>
      <c r="U469" s="10" t="s">
        <v>3365</v>
      </c>
      <c r="V469" s="10" t="s">
        <v>3365</v>
      </c>
      <c r="W469" s="50">
        <f>+J469/$W$2</f>
        <v>4.7569745115511214E-5</v>
      </c>
    </row>
    <row r="470" spans="1:23">
      <c r="A470" s="10" t="s">
        <v>471</v>
      </c>
      <c r="B470" s="10" t="s">
        <v>381</v>
      </c>
      <c r="C470" s="124">
        <v>46310</v>
      </c>
      <c r="D470" s="124" t="s">
        <v>492</v>
      </c>
      <c r="E470" s="21">
        <v>0.98830293999999996</v>
      </c>
      <c r="F470" s="10"/>
      <c r="G470" s="14">
        <v>3620482.75</v>
      </c>
      <c r="H470" s="14">
        <v>3578133.73</v>
      </c>
      <c r="I470" s="14">
        <v>3620482.75</v>
      </c>
      <c r="J470" s="14">
        <v>3578133.73</v>
      </c>
      <c r="K470" s="12">
        <v>4322</v>
      </c>
      <c r="L470" s="10" t="s">
        <v>101</v>
      </c>
      <c r="M470" s="10" t="s">
        <v>102</v>
      </c>
      <c r="N470" s="124" t="s">
        <v>531</v>
      </c>
      <c r="O470" s="124" t="s">
        <v>531</v>
      </c>
      <c r="P470" s="21">
        <v>27</v>
      </c>
      <c r="Q470" s="10" t="s">
        <v>54</v>
      </c>
      <c r="R470" s="10" t="s">
        <v>28</v>
      </c>
      <c r="S470" s="10"/>
      <c r="T470" s="10"/>
      <c r="U470" s="10" t="s">
        <v>3366</v>
      </c>
      <c r="V470" s="10" t="s">
        <v>3366</v>
      </c>
      <c r="W470" s="50">
        <f>+J470/$W$2</f>
        <v>4.7569745115511214E-5</v>
      </c>
    </row>
    <row r="471" spans="1:23">
      <c r="A471" s="10" t="s">
        <v>601</v>
      </c>
      <c r="B471" s="10" t="s">
        <v>381</v>
      </c>
      <c r="C471" s="124">
        <v>46310</v>
      </c>
      <c r="D471" s="124" t="s">
        <v>492</v>
      </c>
      <c r="E471" s="21">
        <v>0.98574057999999998</v>
      </c>
      <c r="F471" s="10"/>
      <c r="G471" s="14">
        <v>70000000</v>
      </c>
      <c r="H471" s="14">
        <v>69001840.650000006</v>
      </c>
      <c r="I471" s="14">
        <v>70000000</v>
      </c>
      <c r="J471" s="14">
        <v>69001840.650000006</v>
      </c>
      <c r="K471" s="12">
        <v>9795686</v>
      </c>
      <c r="L471" s="10" t="s">
        <v>101</v>
      </c>
      <c r="M471" s="10" t="s">
        <v>102</v>
      </c>
      <c r="N471" s="124" t="s">
        <v>475</v>
      </c>
      <c r="O471" s="124" t="s">
        <v>475</v>
      </c>
      <c r="P471" s="21">
        <v>33</v>
      </c>
      <c r="Q471" s="10" t="s">
        <v>54</v>
      </c>
      <c r="R471" s="10" t="s">
        <v>28</v>
      </c>
      <c r="S471" s="10"/>
      <c r="T471" s="10"/>
      <c r="U471" s="10" t="s">
        <v>2337</v>
      </c>
      <c r="V471" s="10" t="s">
        <v>2337</v>
      </c>
      <c r="W471" s="50">
        <f>+J471/$W$2</f>
        <v>9.1734971912903348E-4</v>
      </c>
    </row>
    <row r="472" spans="1:23">
      <c r="A472" s="10" t="s">
        <v>404</v>
      </c>
      <c r="B472" s="10" t="s">
        <v>381</v>
      </c>
      <c r="C472" s="124">
        <v>46310</v>
      </c>
      <c r="D472" s="124" t="s">
        <v>492</v>
      </c>
      <c r="E472" s="21">
        <v>0.98702000999999995</v>
      </c>
      <c r="F472" s="10"/>
      <c r="G472" s="14">
        <v>25000000</v>
      </c>
      <c r="H472" s="14">
        <v>24675500.289999999</v>
      </c>
      <c r="I472" s="14">
        <v>25000000</v>
      </c>
      <c r="J472" s="14">
        <v>24675500.289999999</v>
      </c>
      <c r="K472" s="12">
        <v>509759</v>
      </c>
      <c r="L472" s="10" t="s">
        <v>101</v>
      </c>
      <c r="M472" s="10" t="s">
        <v>102</v>
      </c>
      <c r="N472" s="124" t="s">
        <v>322</v>
      </c>
      <c r="O472" s="124" t="s">
        <v>322</v>
      </c>
      <c r="P472" s="21">
        <v>30</v>
      </c>
      <c r="Q472" s="10" t="s">
        <v>54</v>
      </c>
      <c r="R472" s="10" t="s">
        <v>28</v>
      </c>
      <c r="S472" s="10"/>
      <c r="T472" s="10"/>
      <c r="U472" s="10" t="s">
        <v>1553</v>
      </c>
      <c r="V472" s="10" t="s">
        <v>1553</v>
      </c>
      <c r="W472" s="50">
        <f>+J472/$W$2</f>
        <v>3.2805013673790863E-4</v>
      </c>
    </row>
    <row r="473" spans="1:23">
      <c r="A473" s="10" t="s">
        <v>404</v>
      </c>
      <c r="B473" s="10" t="s">
        <v>381</v>
      </c>
      <c r="C473" s="124">
        <v>46310</v>
      </c>
      <c r="D473" s="124" t="s">
        <v>492</v>
      </c>
      <c r="E473" s="21">
        <v>0.98702002</v>
      </c>
      <c r="F473" s="10"/>
      <c r="G473" s="14">
        <v>3000000</v>
      </c>
      <c r="H473" s="14">
        <v>2961060.05</v>
      </c>
      <c r="I473" s="14">
        <v>3000000</v>
      </c>
      <c r="J473" s="14">
        <v>2961060.05</v>
      </c>
      <c r="K473" s="12">
        <v>3792079</v>
      </c>
      <c r="L473" s="10" t="s">
        <v>101</v>
      </c>
      <c r="M473" s="10" t="s">
        <v>102</v>
      </c>
      <c r="N473" s="124" t="s">
        <v>325</v>
      </c>
      <c r="O473" s="124" t="s">
        <v>325</v>
      </c>
      <c r="P473" s="21">
        <v>30</v>
      </c>
      <c r="Q473" s="10" t="s">
        <v>54</v>
      </c>
      <c r="R473" s="10" t="s">
        <v>28</v>
      </c>
      <c r="S473" s="10"/>
      <c r="T473" s="10"/>
      <c r="U473" s="10" t="s">
        <v>1588</v>
      </c>
      <c r="V473" s="10" t="s">
        <v>1588</v>
      </c>
      <c r="W473" s="50">
        <f>+J473/$W$2</f>
        <v>3.9366016610626478E-5</v>
      </c>
    </row>
    <row r="474" spans="1:23">
      <c r="A474" s="10" t="s">
        <v>614</v>
      </c>
      <c r="B474" s="10" t="s">
        <v>381</v>
      </c>
      <c r="C474" s="124">
        <v>46310</v>
      </c>
      <c r="D474" s="124" t="s">
        <v>492</v>
      </c>
      <c r="E474" s="21">
        <v>0.98616665999999997</v>
      </c>
      <c r="F474" s="10"/>
      <c r="G474" s="14">
        <v>2558197.12</v>
      </c>
      <c r="H474" s="14">
        <v>2522808.71</v>
      </c>
      <c r="I474" s="14">
        <v>2558197.12</v>
      </c>
      <c r="J474" s="14">
        <v>2522808.71</v>
      </c>
      <c r="K474" s="12">
        <v>354</v>
      </c>
      <c r="L474" s="10" t="s">
        <v>101</v>
      </c>
      <c r="M474" s="10" t="s">
        <v>102</v>
      </c>
      <c r="N474" s="124" t="s">
        <v>321</v>
      </c>
      <c r="O474" s="124" t="s">
        <v>321</v>
      </c>
      <c r="P474" s="21">
        <v>32</v>
      </c>
      <c r="Q474" s="10" t="s">
        <v>54</v>
      </c>
      <c r="R474" s="10" t="s">
        <v>28</v>
      </c>
      <c r="S474" s="10"/>
      <c r="T474" s="10"/>
      <c r="U474" s="10" t="s">
        <v>1232</v>
      </c>
      <c r="V474" s="10" t="s">
        <v>1232</v>
      </c>
      <c r="W474" s="50">
        <f>+J474/$W$2</f>
        <v>3.3539654011168456E-5</v>
      </c>
    </row>
    <row r="475" spans="1:23">
      <c r="A475" s="10" t="s">
        <v>664</v>
      </c>
      <c r="B475" s="10" t="s">
        <v>381</v>
      </c>
      <c r="C475" s="124">
        <v>46310</v>
      </c>
      <c r="D475" s="124" t="s">
        <v>492</v>
      </c>
      <c r="E475" s="21">
        <v>0.98574061000000002</v>
      </c>
      <c r="F475" s="10"/>
      <c r="G475" s="14">
        <v>4388922.8899999997</v>
      </c>
      <c r="H475" s="14">
        <v>4326339.51</v>
      </c>
      <c r="I475" s="14">
        <v>4388922.8899999997</v>
      </c>
      <c r="J475" s="14">
        <v>4326339.51</v>
      </c>
      <c r="K475" s="12">
        <v>596</v>
      </c>
      <c r="L475" s="10" t="s">
        <v>101</v>
      </c>
      <c r="M475" s="10" t="s">
        <v>102</v>
      </c>
      <c r="N475" s="124" t="s">
        <v>483</v>
      </c>
      <c r="O475" s="124" t="s">
        <v>483</v>
      </c>
      <c r="P475" s="21">
        <v>33</v>
      </c>
      <c r="Q475" s="10" t="s">
        <v>54</v>
      </c>
      <c r="R475" s="10" t="s">
        <v>28</v>
      </c>
      <c r="S475" s="10"/>
      <c r="T475" s="10"/>
      <c r="U475" s="10" t="s">
        <v>2457</v>
      </c>
      <c r="V475" s="10" t="s">
        <v>2457</v>
      </c>
      <c r="W475" s="50">
        <f>+J475/$W$2</f>
        <v>5.7516818348168801E-5</v>
      </c>
    </row>
    <row r="476" spans="1:23">
      <c r="A476" s="10" t="s">
        <v>664</v>
      </c>
      <c r="B476" s="10" t="s">
        <v>381</v>
      </c>
      <c r="C476" s="124">
        <v>46310</v>
      </c>
      <c r="D476" s="124" t="s">
        <v>492</v>
      </c>
      <c r="E476" s="21">
        <v>0.98574061000000002</v>
      </c>
      <c r="F476" s="10"/>
      <c r="G476" s="14">
        <v>4388922.8899999997</v>
      </c>
      <c r="H476" s="14">
        <v>4326339.51</v>
      </c>
      <c r="I476" s="14">
        <v>4388922.8899999997</v>
      </c>
      <c r="J476" s="14">
        <v>4326339.51</v>
      </c>
      <c r="K476" s="12">
        <v>589</v>
      </c>
      <c r="L476" s="10" t="s">
        <v>101</v>
      </c>
      <c r="M476" s="10" t="s">
        <v>102</v>
      </c>
      <c r="N476" s="124" t="s">
        <v>483</v>
      </c>
      <c r="O476" s="124" t="s">
        <v>483</v>
      </c>
      <c r="P476" s="21">
        <v>33</v>
      </c>
      <c r="Q476" s="10" t="s">
        <v>54</v>
      </c>
      <c r="R476" s="10" t="s">
        <v>28</v>
      </c>
      <c r="S476" s="10"/>
      <c r="T476" s="10"/>
      <c r="U476" s="10" t="s">
        <v>2458</v>
      </c>
      <c r="V476" s="10" t="s">
        <v>2458</v>
      </c>
      <c r="W476" s="50">
        <f>+J476/$W$2</f>
        <v>5.7516818348168801E-5</v>
      </c>
    </row>
    <row r="477" spans="1:23">
      <c r="A477" s="10" t="s">
        <v>664</v>
      </c>
      <c r="B477" s="10" t="s">
        <v>381</v>
      </c>
      <c r="C477" s="124">
        <v>46310</v>
      </c>
      <c r="D477" s="124" t="s">
        <v>492</v>
      </c>
      <c r="E477" s="21">
        <v>0.98574052000000001</v>
      </c>
      <c r="F477" s="10"/>
      <c r="G477" s="14">
        <v>5134985.93</v>
      </c>
      <c r="H477" s="14">
        <v>5061763.7</v>
      </c>
      <c r="I477" s="14">
        <v>5134985.93</v>
      </c>
      <c r="J477" s="14">
        <v>5061763.7</v>
      </c>
      <c r="K477" s="12">
        <v>414</v>
      </c>
      <c r="L477" s="10" t="s">
        <v>101</v>
      </c>
      <c r="M477" s="10" t="s">
        <v>102</v>
      </c>
      <c r="N477" s="124" t="s">
        <v>157</v>
      </c>
      <c r="O477" s="124" t="s">
        <v>157</v>
      </c>
      <c r="P477" s="21">
        <v>33</v>
      </c>
      <c r="Q477" s="10" t="s">
        <v>54</v>
      </c>
      <c r="R477" s="10" t="s">
        <v>28</v>
      </c>
      <c r="S477" s="10"/>
      <c r="T477" s="10"/>
      <c r="U477" s="10" t="s">
        <v>657</v>
      </c>
      <c r="V477" s="10" t="s">
        <v>657</v>
      </c>
      <c r="W477" s="50">
        <f>+J477/$W$2</f>
        <v>6.7293965852960715E-5</v>
      </c>
    </row>
    <row r="478" spans="1:23">
      <c r="A478" s="10" t="s">
        <v>764</v>
      </c>
      <c r="B478" s="10" t="s">
        <v>381</v>
      </c>
      <c r="C478" s="124">
        <v>46310</v>
      </c>
      <c r="D478" s="124" t="s">
        <v>492</v>
      </c>
      <c r="E478" s="21">
        <v>0.98574054</v>
      </c>
      <c r="F478" s="10"/>
      <c r="G478" s="14">
        <v>40000000</v>
      </c>
      <c r="H478" s="14">
        <v>39429621.609999999</v>
      </c>
      <c r="I478" s="14">
        <v>40000000</v>
      </c>
      <c r="J478" s="14">
        <v>39429621.609999999</v>
      </c>
      <c r="K478" s="12">
        <v>5</v>
      </c>
      <c r="L478" s="10" t="s">
        <v>101</v>
      </c>
      <c r="M478" s="10" t="s">
        <v>102</v>
      </c>
      <c r="N478" s="124" t="s">
        <v>536</v>
      </c>
      <c r="O478" s="124" t="s">
        <v>536</v>
      </c>
      <c r="P478" s="21">
        <v>33</v>
      </c>
      <c r="Q478" s="10" t="s">
        <v>54</v>
      </c>
      <c r="R478" s="10" t="s">
        <v>28</v>
      </c>
      <c r="S478" s="10"/>
      <c r="T478" s="10"/>
      <c r="U478" s="10" t="s">
        <v>2293</v>
      </c>
      <c r="V478" s="10" t="s">
        <v>2293</v>
      </c>
      <c r="W478" s="50">
        <f>+J478/$W$2</f>
        <v>5.2419981798409554E-4</v>
      </c>
    </row>
    <row r="479" spans="1:23">
      <c r="A479" s="10" t="s">
        <v>132</v>
      </c>
      <c r="B479" s="10" t="s">
        <v>381</v>
      </c>
      <c r="C479" s="124">
        <v>46310</v>
      </c>
      <c r="D479" s="124" t="s">
        <v>492</v>
      </c>
      <c r="E479" s="21">
        <v>0.98574055000000005</v>
      </c>
      <c r="F479" s="10"/>
      <c r="G479" s="14">
        <v>70000000</v>
      </c>
      <c r="H479" s="14">
        <v>69001838.269999996</v>
      </c>
      <c r="I479" s="14">
        <v>70000000</v>
      </c>
      <c r="J479" s="14">
        <v>69001838.269999996</v>
      </c>
      <c r="K479" s="12">
        <v>905</v>
      </c>
      <c r="L479" s="10" t="s">
        <v>101</v>
      </c>
      <c r="M479" s="10" t="s">
        <v>102</v>
      </c>
      <c r="N479" s="124" t="s">
        <v>390</v>
      </c>
      <c r="O479" s="124" t="s">
        <v>390</v>
      </c>
      <c r="P479" s="21">
        <v>33</v>
      </c>
      <c r="Q479" s="10" t="s">
        <v>54</v>
      </c>
      <c r="R479" s="10" t="s">
        <v>28</v>
      </c>
      <c r="S479" s="10"/>
      <c r="T479" s="10"/>
      <c r="U479" s="10" t="s">
        <v>2080</v>
      </c>
      <c r="V479" s="10" t="s">
        <v>2080</v>
      </c>
      <c r="W479" s="50">
        <f>+J479/$W$2</f>
        <v>9.1734968748795949E-4</v>
      </c>
    </row>
    <row r="480" spans="1:23">
      <c r="A480" s="10" t="s">
        <v>2321</v>
      </c>
      <c r="B480" s="10" t="s">
        <v>381</v>
      </c>
      <c r="C480" s="124">
        <v>46310</v>
      </c>
      <c r="D480" s="124" t="s">
        <v>492</v>
      </c>
      <c r="E480" s="21">
        <v>0.98659315999999997</v>
      </c>
      <c r="F480" s="10"/>
      <c r="G480" s="14">
        <v>50000000</v>
      </c>
      <c r="H480" s="14">
        <v>49329658.18</v>
      </c>
      <c r="I480" s="14">
        <v>50000000</v>
      </c>
      <c r="J480" s="14">
        <v>49329658.18</v>
      </c>
      <c r="K480" s="12">
        <v>16836862</v>
      </c>
      <c r="L480" s="10" t="s">
        <v>101</v>
      </c>
      <c r="M480" s="10" t="s">
        <v>102</v>
      </c>
      <c r="N480" s="124" t="s">
        <v>536</v>
      </c>
      <c r="O480" s="124" t="s">
        <v>536</v>
      </c>
      <c r="P480" s="21">
        <v>31</v>
      </c>
      <c r="Q480" s="10" t="s">
        <v>54</v>
      </c>
      <c r="R480" s="10" t="s">
        <v>28</v>
      </c>
      <c r="S480" s="10"/>
      <c r="T480" s="10"/>
      <c r="U480" s="10" t="s">
        <v>2317</v>
      </c>
      <c r="V480" s="10" t="s">
        <v>2317</v>
      </c>
      <c r="W480" s="50">
        <f>+J480/$W$2</f>
        <v>6.5581653547026387E-4</v>
      </c>
    </row>
    <row r="481" spans="1:23">
      <c r="A481" s="10" t="s">
        <v>222</v>
      </c>
      <c r="B481" s="10" t="s">
        <v>381</v>
      </c>
      <c r="C481" s="124">
        <v>46310</v>
      </c>
      <c r="D481" s="124" t="s">
        <v>492</v>
      </c>
      <c r="E481" s="21">
        <v>0.98574055000000005</v>
      </c>
      <c r="F481" s="10"/>
      <c r="G481" s="14">
        <v>25000000</v>
      </c>
      <c r="H481" s="14">
        <v>24643513.670000002</v>
      </c>
      <c r="I481" s="14">
        <v>25000000</v>
      </c>
      <c r="J481" s="14">
        <v>24643513.670000002</v>
      </c>
      <c r="K481" s="12">
        <v>475881</v>
      </c>
      <c r="L481" s="10" t="s">
        <v>101</v>
      </c>
      <c r="M481" s="10" t="s">
        <v>102</v>
      </c>
      <c r="N481" s="124" t="s">
        <v>369</v>
      </c>
      <c r="O481" s="124" t="s">
        <v>369</v>
      </c>
      <c r="P481" s="21">
        <v>33</v>
      </c>
      <c r="Q481" s="10" t="s">
        <v>54</v>
      </c>
      <c r="R481" s="10" t="s">
        <v>28</v>
      </c>
      <c r="S481" s="10"/>
      <c r="T481" s="10"/>
      <c r="U481" s="10" t="s">
        <v>687</v>
      </c>
      <c r="V481" s="10" t="s">
        <v>687</v>
      </c>
      <c r="W481" s="50">
        <f>+J481/$W$2</f>
        <v>3.2762488841704538E-4</v>
      </c>
    </row>
    <row r="482" spans="1:23">
      <c r="A482" s="10" t="s">
        <v>1152</v>
      </c>
      <c r="B482" s="10" t="s">
        <v>381</v>
      </c>
      <c r="C482" s="124">
        <v>46310</v>
      </c>
      <c r="D482" s="124" t="s">
        <v>492</v>
      </c>
      <c r="E482" s="21">
        <v>0.98531477000000001</v>
      </c>
      <c r="F482" s="10"/>
      <c r="G482" s="14">
        <v>10000000</v>
      </c>
      <c r="H482" s="14">
        <v>9853147.6600000001</v>
      </c>
      <c r="I482" s="14">
        <v>10000000</v>
      </c>
      <c r="J482" s="14">
        <v>9853147.6600000001</v>
      </c>
      <c r="K482" s="12">
        <v>6034857</v>
      </c>
      <c r="L482" s="10" t="s">
        <v>101</v>
      </c>
      <c r="M482" s="10" t="s">
        <v>102</v>
      </c>
      <c r="N482" s="124" t="s">
        <v>364</v>
      </c>
      <c r="O482" s="124" t="s">
        <v>364</v>
      </c>
      <c r="P482" s="21">
        <v>34</v>
      </c>
      <c r="Q482" s="10" t="s">
        <v>54</v>
      </c>
      <c r="R482" s="10" t="s">
        <v>28</v>
      </c>
      <c r="S482" s="10"/>
      <c r="T482" s="10"/>
      <c r="U482" s="10" t="s">
        <v>1149</v>
      </c>
      <c r="V482" s="10" t="s">
        <v>1149</v>
      </c>
      <c r="W482" s="50">
        <f>+J482/$W$2</f>
        <v>1.3099334964534592E-4</v>
      </c>
    </row>
    <row r="483" spans="1:23">
      <c r="A483" s="10" t="s">
        <v>1152</v>
      </c>
      <c r="B483" s="10" t="s">
        <v>381</v>
      </c>
      <c r="C483" s="124">
        <v>46310</v>
      </c>
      <c r="D483" s="124" t="s">
        <v>492</v>
      </c>
      <c r="E483" s="21">
        <v>0.98531477000000001</v>
      </c>
      <c r="F483" s="10"/>
      <c r="G483" s="14">
        <v>10000000</v>
      </c>
      <c r="H483" s="14">
        <v>9853147.6600000001</v>
      </c>
      <c r="I483" s="14">
        <v>10000000</v>
      </c>
      <c r="J483" s="14">
        <v>9853147.6600000001</v>
      </c>
      <c r="K483" s="12">
        <v>6034858</v>
      </c>
      <c r="L483" s="10" t="s">
        <v>101</v>
      </c>
      <c r="M483" s="10" t="s">
        <v>102</v>
      </c>
      <c r="N483" s="124" t="s">
        <v>364</v>
      </c>
      <c r="O483" s="124" t="s">
        <v>364</v>
      </c>
      <c r="P483" s="21">
        <v>34</v>
      </c>
      <c r="Q483" s="10" t="s">
        <v>54</v>
      </c>
      <c r="R483" s="10" t="s">
        <v>28</v>
      </c>
      <c r="S483" s="10"/>
      <c r="T483" s="10"/>
      <c r="U483" s="10" t="s">
        <v>1150</v>
      </c>
      <c r="V483" s="10" t="s">
        <v>1150</v>
      </c>
      <c r="W483" s="50">
        <f>+J483/$W$2</f>
        <v>1.3099334964534592E-4</v>
      </c>
    </row>
    <row r="484" spans="1:23">
      <c r="A484" s="10" t="s">
        <v>2915</v>
      </c>
      <c r="B484" s="10" t="s">
        <v>381</v>
      </c>
      <c r="C484" s="124">
        <v>46310</v>
      </c>
      <c r="D484" s="124" t="s">
        <v>492</v>
      </c>
      <c r="E484" s="21">
        <v>0.98873127999999999</v>
      </c>
      <c r="F484" s="10"/>
      <c r="G484" s="14">
        <v>2052150.6</v>
      </c>
      <c r="H484" s="14">
        <v>2029025.49</v>
      </c>
      <c r="I484" s="14">
        <v>2052150.6</v>
      </c>
      <c r="J484" s="14">
        <v>2029025.49</v>
      </c>
      <c r="K484" s="12">
        <v>69745978</v>
      </c>
      <c r="L484" s="10" t="s">
        <v>101</v>
      </c>
      <c r="M484" s="10" t="s">
        <v>102</v>
      </c>
      <c r="N484" s="124" t="s">
        <v>531</v>
      </c>
      <c r="O484" s="124" t="s">
        <v>531</v>
      </c>
      <c r="P484" s="21">
        <v>26</v>
      </c>
      <c r="Q484" s="10" t="s">
        <v>54</v>
      </c>
      <c r="R484" s="10" t="s">
        <v>28</v>
      </c>
      <c r="S484" s="10"/>
      <c r="T484" s="10"/>
      <c r="U484" s="10" t="s">
        <v>3379</v>
      </c>
      <c r="V484" s="10" t="s">
        <v>3379</v>
      </c>
      <c r="W484" s="50">
        <f>+J484/$W$2</f>
        <v>2.6975019011426173E-5</v>
      </c>
    </row>
    <row r="485" spans="1:23">
      <c r="A485" s="10" t="s">
        <v>2915</v>
      </c>
      <c r="B485" s="10" t="s">
        <v>381</v>
      </c>
      <c r="C485" s="124">
        <v>46310</v>
      </c>
      <c r="D485" s="124" t="s">
        <v>492</v>
      </c>
      <c r="E485" s="21">
        <v>0.98916006000000001</v>
      </c>
      <c r="F485" s="10"/>
      <c r="G485" s="14">
        <v>15000000</v>
      </c>
      <c r="H485" s="14">
        <v>14837400.970000001</v>
      </c>
      <c r="I485" s="14">
        <v>15000000</v>
      </c>
      <c r="J485" s="14">
        <v>14837400.970000001</v>
      </c>
      <c r="K485" s="12">
        <v>69911047</v>
      </c>
      <c r="L485" s="10" t="s">
        <v>101</v>
      </c>
      <c r="M485" s="10" t="s">
        <v>102</v>
      </c>
      <c r="N485" s="124" t="s">
        <v>472</v>
      </c>
      <c r="O485" s="124" t="s">
        <v>472</v>
      </c>
      <c r="P485" s="21">
        <v>25</v>
      </c>
      <c r="Q485" s="10" t="s">
        <v>54</v>
      </c>
      <c r="R485" s="10" t="s">
        <v>28</v>
      </c>
      <c r="S485" s="10"/>
      <c r="T485" s="10"/>
      <c r="U485" s="10" t="s">
        <v>3180</v>
      </c>
      <c r="V485" s="10" t="s">
        <v>3180</v>
      </c>
      <c r="W485" s="50">
        <f>+J485/$W$2</f>
        <v>1.9725684828429788E-4</v>
      </c>
    </row>
    <row r="486" spans="1:23">
      <c r="A486" s="10" t="s">
        <v>1524</v>
      </c>
      <c r="B486" s="10" t="s">
        <v>381</v>
      </c>
      <c r="C486" s="124">
        <v>46310</v>
      </c>
      <c r="D486" s="124" t="s">
        <v>492</v>
      </c>
      <c r="E486" s="21">
        <v>0.98488942999999995</v>
      </c>
      <c r="F486" s="10"/>
      <c r="G486" s="14">
        <v>20000000</v>
      </c>
      <c r="H486" s="14">
        <v>19697788.649999999</v>
      </c>
      <c r="I486" s="14">
        <v>20000000</v>
      </c>
      <c r="J486" s="14">
        <v>19697788.649999999</v>
      </c>
      <c r="K486" s="12">
        <v>10549352</v>
      </c>
      <c r="L486" s="10" t="s">
        <v>101</v>
      </c>
      <c r="M486" s="10" t="s">
        <v>102</v>
      </c>
      <c r="N486" s="124" t="s">
        <v>476</v>
      </c>
      <c r="O486" s="124" t="s">
        <v>476</v>
      </c>
      <c r="P486" s="21">
        <v>35</v>
      </c>
      <c r="Q486" s="10" t="s">
        <v>54</v>
      </c>
      <c r="R486" s="10" t="s">
        <v>28</v>
      </c>
      <c r="S486" s="10"/>
      <c r="T486" s="10"/>
      <c r="U486" s="10" t="s">
        <v>1509</v>
      </c>
      <c r="V486" s="10" t="s">
        <v>1509</v>
      </c>
      <c r="W486" s="50">
        <f>+J486/$W$2</f>
        <v>2.6187360678095998E-4</v>
      </c>
    </row>
    <row r="487" spans="1:23">
      <c r="A487" s="10" t="s">
        <v>675</v>
      </c>
      <c r="B487" s="10" t="s">
        <v>381</v>
      </c>
      <c r="C487" s="124">
        <v>46310</v>
      </c>
      <c r="D487" s="124" t="s">
        <v>492</v>
      </c>
      <c r="E487" s="21">
        <v>0.98702007000000003</v>
      </c>
      <c r="F487" s="10"/>
      <c r="G487" s="14">
        <v>150000000</v>
      </c>
      <c r="H487" s="14">
        <v>148053009.88999999</v>
      </c>
      <c r="I487" s="14">
        <v>150000000</v>
      </c>
      <c r="J487" s="14">
        <v>148053009.88999999</v>
      </c>
      <c r="K487" s="12">
        <v>90003993</v>
      </c>
      <c r="L487" s="10" t="s">
        <v>101</v>
      </c>
      <c r="M487" s="10" t="s">
        <v>102</v>
      </c>
      <c r="N487" s="124" t="s">
        <v>435</v>
      </c>
      <c r="O487" s="124" t="s">
        <v>435</v>
      </c>
      <c r="P487" s="21">
        <v>30</v>
      </c>
      <c r="Q487" s="10" t="s">
        <v>54</v>
      </c>
      <c r="R487" s="10" t="s">
        <v>28</v>
      </c>
      <c r="S487" s="10"/>
      <c r="T487" s="10"/>
      <c r="U487" s="10" t="s">
        <v>1328</v>
      </c>
      <c r="V487" s="10" t="s">
        <v>1328</v>
      </c>
      <c r="W487" s="50">
        <f>+J487/$W$2</f>
        <v>1.9683009287781873E-3</v>
      </c>
    </row>
    <row r="488" spans="1:23">
      <c r="A488" s="10" t="s">
        <v>730</v>
      </c>
      <c r="B488" s="10" t="s">
        <v>381</v>
      </c>
      <c r="C488" s="124">
        <v>46310</v>
      </c>
      <c r="D488" s="124" t="s">
        <v>492</v>
      </c>
      <c r="E488" s="21">
        <v>0.98702011000000001</v>
      </c>
      <c r="F488" s="10"/>
      <c r="G488" s="14">
        <v>8025439</v>
      </c>
      <c r="H488" s="14">
        <v>7921269.6600000001</v>
      </c>
      <c r="I488" s="14">
        <v>8025439</v>
      </c>
      <c r="J488" s="14">
        <v>7921269.6600000001</v>
      </c>
      <c r="K488" s="12">
        <v>90044933</v>
      </c>
      <c r="L488" s="10" t="s">
        <v>101</v>
      </c>
      <c r="M488" s="10" t="s">
        <v>102</v>
      </c>
      <c r="N488" s="124" t="s">
        <v>552</v>
      </c>
      <c r="O488" s="124" t="s">
        <v>552</v>
      </c>
      <c r="P488" s="21">
        <v>30</v>
      </c>
      <c r="Q488" s="10" t="s">
        <v>54</v>
      </c>
      <c r="R488" s="10" t="s">
        <v>28</v>
      </c>
      <c r="S488" s="10"/>
      <c r="T488" s="10"/>
      <c r="U488" s="10" t="s">
        <v>2345</v>
      </c>
      <c r="V488" s="10" t="s">
        <v>2345</v>
      </c>
      <c r="W488" s="50">
        <f>+J488/$W$2</f>
        <v>1.0530986462527553E-4</v>
      </c>
    </row>
    <row r="489" spans="1:23">
      <c r="A489" s="10" t="s">
        <v>427</v>
      </c>
      <c r="B489" s="10" t="s">
        <v>381</v>
      </c>
      <c r="C489" s="124">
        <v>46310</v>
      </c>
      <c r="D489" s="124" t="s">
        <v>492</v>
      </c>
      <c r="E489" s="21">
        <v>0.98787486999999996</v>
      </c>
      <c r="F489" s="10"/>
      <c r="G489" s="14">
        <v>2500000</v>
      </c>
      <c r="H489" s="14">
        <v>2469687.1800000002</v>
      </c>
      <c r="I489" s="14">
        <v>2500000</v>
      </c>
      <c r="J489" s="14">
        <v>2469687.1800000002</v>
      </c>
      <c r="K489" s="12">
        <v>90031815</v>
      </c>
      <c r="L489" s="10" t="s">
        <v>101</v>
      </c>
      <c r="M489" s="10" t="s">
        <v>102</v>
      </c>
      <c r="N489" s="124" t="s">
        <v>277</v>
      </c>
      <c r="O489" s="124" t="s">
        <v>277</v>
      </c>
      <c r="P489" s="21">
        <v>28</v>
      </c>
      <c r="Q489" s="10" t="s">
        <v>54</v>
      </c>
      <c r="R489" s="10" t="s">
        <v>28</v>
      </c>
      <c r="S489" s="10"/>
      <c r="T489" s="10"/>
      <c r="U489" s="10" t="s">
        <v>512</v>
      </c>
      <c r="V489" s="10" t="s">
        <v>512</v>
      </c>
      <c r="W489" s="50">
        <f>+J489/$W$2</f>
        <v>3.2833426174836031E-5</v>
      </c>
    </row>
    <row r="490" spans="1:23">
      <c r="A490" s="10" t="s">
        <v>427</v>
      </c>
      <c r="B490" s="10" t="s">
        <v>381</v>
      </c>
      <c r="C490" s="124">
        <v>46310</v>
      </c>
      <c r="D490" s="124" t="s">
        <v>492</v>
      </c>
      <c r="E490" s="21">
        <v>0.98787486000000002</v>
      </c>
      <c r="F490" s="10"/>
      <c r="G490" s="14">
        <v>25000000</v>
      </c>
      <c r="H490" s="14">
        <v>24696871.59</v>
      </c>
      <c r="I490" s="14">
        <v>25000000</v>
      </c>
      <c r="J490" s="14">
        <v>24696871.59</v>
      </c>
      <c r="K490" s="12">
        <v>360571</v>
      </c>
      <c r="L490" s="10" t="s">
        <v>101</v>
      </c>
      <c r="M490" s="10" t="s">
        <v>102</v>
      </c>
      <c r="N490" s="124" t="s">
        <v>295</v>
      </c>
      <c r="O490" s="124" t="s">
        <v>295</v>
      </c>
      <c r="P490" s="21">
        <v>28</v>
      </c>
      <c r="Q490" s="10" t="s">
        <v>54</v>
      </c>
      <c r="R490" s="10" t="s">
        <v>28</v>
      </c>
      <c r="S490" s="10"/>
      <c r="T490" s="10"/>
      <c r="U490" s="10" t="s">
        <v>484</v>
      </c>
      <c r="V490" s="10" t="s">
        <v>484</v>
      </c>
      <c r="W490" s="50">
        <f>+J490/$W$2</f>
        <v>3.2833425895650083E-4</v>
      </c>
    </row>
    <row r="491" spans="1:23">
      <c r="A491" s="10" t="s">
        <v>715</v>
      </c>
      <c r="B491" s="10" t="s">
        <v>381</v>
      </c>
      <c r="C491" s="124">
        <v>46310</v>
      </c>
      <c r="D491" s="124" t="s">
        <v>492</v>
      </c>
      <c r="E491" s="21">
        <v>0.98616667000000002</v>
      </c>
      <c r="F491" s="10"/>
      <c r="G491" s="14">
        <v>3413365</v>
      </c>
      <c r="H491" s="14">
        <v>3366146.81</v>
      </c>
      <c r="I491" s="14">
        <v>3413365</v>
      </c>
      <c r="J491" s="14">
        <v>3366146.81</v>
      </c>
      <c r="K491" s="12">
        <v>67525693</v>
      </c>
      <c r="L491" s="10" t="s">
        <v>101</v>
      </c>
      <c r="M491" s="10" t="s">
        <v>102</v>
      </c>
      <c r="N491" s="124" t="s">
        <v>318</v>
      </c>
      <c r="O491" s="124" t="s">
        <v>318</v>
      </c>
      <c r="P491" s="21">
        <v>32</v>
      </c>
      <c r="Q491" s="10" t="s">
        <v>54</v>
      </c>
      <c r="R491" s="10" t="s">
        <v>28</v>
      </c>
      <c r="S491" s="10"/>
      <c r="T491" s="10"/>
      <c r="U491" s="10" t="s">
        <v>710</v>
      </c>
      <c r="V491" s="10" t="s">
        <v>710</v>
      </c>
      <c r="W491" s="50">
        <f>+J491/$W$2</f>
        <v>4.4751470418935724E-5</v>
      </c>
    </row>
    <row r="492" spans="1:23">
      <c r="A492" s="10" t="s">
        <v>386</v>
      </c>
      <c r="B492" s="10" t="s">
        <v>381</v>
      </c>
      <c r="C492" s="124">
        <v>46310</v>
      </c>
      <c r="D492" s="124" t="s">
        <v>492</v>
      </c>
      <c r="E492" s="21">
        <v>0.98361547000000005</v>
      </c>
      <c r="F492" s="10"/>
      <c r="G492" s="14">
        <v>43000000</v>
      </c>
      <c r="H492" s="14">
        <v>42295465.420000002</v>
      </c>
      <c r="I492" s="14">
        <v>43000000</v>
      </c>
      <c r="J492" s="14">
        <v>42295465.420000002</v>
      </c>
      <c r="K492" s="12">
        <v>160223</v>
      </c>
      <c r="L492" s="10" t="s">
        <v>101</v>
      </c>
      <c r="M492" s="10" t="s">
        <v>102</v>
      </c>
      <c r="N492" s="124" t="s">
        <v>548</v>
      </c>
      <c r="O492" s="124" t="s">
        <v>548</v>
      </c>
      <c r="P492" s="21">
        <v>38</v>
      </c>
      <c r="Q492" s="10" t="s">
        <v>54</v>
      </c>
      <c r="R492" s="10" t="s">
        <v>28</v>
      </c>
      <c r="S492" s="10"/>
      <c r="T492" s="10"/>
      <c r="U492" s="10" t="s">
        <v>1367</v>
      </c>
      <c r="V492" s="10" t="s">
        <v>1367</v>
      </c>
      <c r="W492" s="50">
        <f>+J492/$W$2</f>
        <v>5.6229997573939709E-4</v>
      </c>
    </row>
    <row r="493" spans="1:23">
      <c r="A493" s="10" t="s">
        <v>392</v>
      </c>
      <c r="B493" s="10" t="s">
        <v>381</v>
      </c>
      <c r="C493" s="124">
        <v>46310</v>
      </c>
      <c r="D493" s="124" t="s">
        <v>492</v>
      </c>
      <c r="E493" s="21">
        <v>0.98531477999999995</v>
      </c>
      <c r="F493" s="10"/>
      <c r="G493" s="14">
        <v>4000000</v>
      </c>
      <c r="H493" s="14">
        <v>3941259.13</v>
      </c>
      <c r="I493" s="14">
        <v>4000000</v>
      </c>
      <c r="J493" s="14">
        <v>3941259.13</v>
      </c>
      <c r="K493" s="12">
        <v>90000051</v>
      </c>
      <c r="L493" s="10" t="s">
        <v>101</v>
      </c>
      <c r="M493" s="10" t="s">
        <v>102</v>
      </c>
      <c r="N493" s="124" t="s">
        <v>331</v>
      </c>
      <c r="O493" s="124" t="s">
        <v>331</v>
      </c>
      <c r="P493" s="21">
        <v>34</v>
      </c>
      <c r="Q493" s="10" t="s">
        <v>54</v>
      </c>
      <c r="R493" s="10" t="s">
        <v>28</v>
      </c>
      <c r="S493" s="10"/>
      <c r="T493" s="10"/>
      <c r="U493" s="10" t="s">
        <v>695</v>
      </c>
      <c r="V493" s="10" t="s">
        <v>695</v>
      </c>
      <c r="W493" s="50">
        <f>+J493/$W$2</f>
        <v>5.2397340735579908E-5</v>
      </c>
    </row>
    <row r="494" spans="1:23">
      <c r="A494" s="10" t="s">
        <v>3579</v>
      </c>
      <c r="B494" s="10" t="s">
        <v>381</v>
      </c>
      <c r="C494" s="124">
        <v>46310</v>
      </c>
      <c r="D494" s="124" t="s">
        <v>492</v>
      </c>
      <c r="E494" s="21">
        <v>0.98702018999999996</v>
      </c>
      <c r="F494" s="10"/>
      <c r="G494" s="14">
        <v>2195601.9</v>
      </c>
      <c r="H494" s="14">
        <v>2167103.41</v>
      </c>
      <c r="I494" s="14">
        <v>2195601.9</v>
      </c>
      <c r="J494" s="14">
        <v>2167103.41</v>
      </c>
      <c r="K494" s="12">
        <v>228</v>
      </c>
      <c r="L494" s="10" t="s">
        <v>101</v>
      </c>
      <c r="M494" s="10" t="s">
        <v>102</v>
      </c>
      <c r="N494" s="124" t="s">
        <v>492</v>
      </c>
      <c r="O494" s="124" t="s">
        <v>492</v>
      </c>
      <c r="P494" s="21">
        <v>30</v>
      </c>
      <c r="Q494" s="10" t="s">
        <v>54</v>
      </c>
      <c r="R494" s="10" t="s">
        <v>28</v>
      </c>
      <c r="S494" s="10"/>
      <c r="T494" s="10"/>
      <c r="U494" s="10" t="s">
        <v>3555</v>
      </c>
      <c r="V494" s="10" t="s">
        <v>3555</v>
      </c>
      <c r="W494" s="50">
        <f>+J494/$W$2</f>
        <v>2.8810705421190395E-5</v>
      </c>
    </row>
    <row r="495" spans="1:23">
      <c r="A495" s="10" t="s">
        <v>3580</v>
      </c>
      <c r="B495" s="10" t="s">
        <v>381</v>
      </c>
      <c r="C495" s="124">
        <v>46310</v>
      </c>
      <c r="D495" s="124" t="s">
        <v>492</v>
      </c>
      <c r="E495" s="21">
        <v>0.98702018999999996</v>
      </c>
      <c r="F495" s="10"/>
      <c r="G495" s="14">
        <v>6096304.9699999997</v>
      </c>
      <c r="H495" s="14">
        <v>6017176.0999999996</v>
      </c>
      <c r="I495" s="14">
        <v>6096304.9699999997</v>
      </c>
      <c r="J495" s="14">
        <v>6017176.0999999996</v>
      </c>
      <c r="K495" s="12">
        <v>1024</v>
      </c>
      <c r="L495" s="10" t="s">
        <v>101</v>
      </c>
      <c r="M495" s="10" t="s">
        <v>102</v>
      </c>
      <c r="N495" s="124" t="s">
        <v>492</v>
      </c>
      <c r="O495" s="124" t="s">
        <v>492</v>
      </c>
      <c r="P495" s="21">
        <v>30</v>
      </c>
      <c r="Q495" s="10" t="s">
        <v>54</v>
      </c>
      <c r="R495" s="10" t="s">
        <v>28</v>
      </c>
      <c r="S495" s="10"/>
      <c r="T495" s="10"/>
      <c r="U495" s="10" t="s">
        <v>3559</v>
      </c>
      <c r="V495" s="10" t="s">
        <v>3559</v>
      </c>
      <c r="W495" s="50">
        <f>+J495/$W$2</f>
        <v>7.9995761754870413E-5</v>
      </c>
    </row>
    <row r="496" spans="1:23">
      <c r="A496" s="10" t="s">
        <v>477</v>
      </c>
      <c r="B496" s="10" t="s">
        <v>381</v>
      </c>
      <c r="C496" s="124">
        <v>46311</v>
      </c>
      <c r="D496" s="124" t="s">
        <v>492</v>
      </c>
      <c r="E496" s="21">
        <v>0.98894548999999998</v>
      </c>
      <c r="F496" s="10"/>
      <c r="G496" s="14">
        <v>10000000</v>
      </c>
      <c r="H496" s="14">
        <v>9889454.9499999993</v>
      </c>
      <c r="I496" s="14">
        <v>10000000</v>
      </c>
      <c r="J496" s="14">
        <v>9889454.9499999993</v>
      </c>
      <c r="K496" s="12">
        <v>425</v>
      </c>
      <c r="L496" s="10" t="s">
        <v>101</v>
      </c>
      <c r="M496" s="10" t="s">
        <v>102</v>
      </c>
      <c r="N496" s="124" t="s">
        <v>155</v>
      </c>
      <c r="O496" s="124" t="s">
        <v>155</v>
      </c>
      <c r="P496" s="21">
        <v>24</v>
      </c>
      <c r="Q496" s="10" t="s">
        <v>54</v>
      </c>
      <c r="R496" s="10" t="s">
        <v>28</v>
      </c>
      <c r="S496" s="10"/>
      <c r="T496" s="10"/>
      <c r="U496" s="10" t="s">
        <v>1044</v>
      </c>
      <c r="V496" s="10" t="s">
        <v>1044</v>
      </c>
      <c r="W496" s="50">
        <f>+J496/$W$2</f>
        <v>1.3147603941086647E-4</v>
      </c>
    </row>
    <row r="497" spans="1:29">
      <c r="A497" s="10" t="s">
        <v>382</v>
      </c>
      <c r="B497" s="10" t="s">
        <v>381</v>
      </c>
      <c r="C497" s="124">
        <v>46311</v>
      </c>
      <c r="D497" s="124" t="s">
        <v>492</v>
      </c>
      <c r="E497" s="21">
        <v>0.98531479</v>
      </c>
      <c r="F497" s="10"/>
      <c r="G497" s="14">
        <v>4000000</v>
      </c>
      <c r="H497" s="14">
        <v>3941259.16</v>
      </c>
      <c r="I497" s="14">
        <v>4000000</v>
      </c>
      <c r="J497" s="14">
        <v>3941259.16</v>
      </c>
      <c r="K497" s="12">
        <v>1146</v>
      </c>
      <c r="L497" s="10" t="s">
        <v>101</v>
      </c>
      <c r="M497" s="10" t="s">
        <v>102</v>
      </c>
      <c r="N497" s="124" t="s">
        <v>421</v>
      </c>
      <c r="O497" s="124" t="s">
        <v>421</v>
      </c>
      <c r="P497" s="21">
        <v>32</v>
      </c>
      <c r="Q497" s="10" t="s">
        <v>54</v>
      </c>
      <c r="R497" s="10" t="s">
        <v>28</v>
      </c>
      <c r="S497" s="10"/>
      <c r="T497" s="10"/>
      <c r="U497" s="10" t="s">
        <v>2115</v>
      </c>
      <c r="V497" s="10" t="s">
        <v>2115</v>
      </c>
      <c r="W497" s="50">
        <f>+J497/$W$2</f>
        <v>5.2397341134416972E-5</v>
      </c>
    </row>
    <row r="498" spans="1:29">
      <c r="A498" s="10" t="s">
        <v>382</v>
      </c>
      <c r="B498" s="10" t="s">
        <v>381</v>
      </c>
      <c r="C498" s="124">
        <v>46311</v>
      </c>
      <c r="D498" s="124" t="s">
        <v>492</v>
      </c>
      <c r="E498" s="21">
        <v>0.98621994999999996</v>
      </c>
      <c r="F498" s="10"/>
      <c r="G498" s="14">
        <v>5000000</v>
      </c>
      <c r="H498" s="14">
        <v>4931099.76</v>
      </c>
      <c r="I498" s="14">
        <v>5000000</v>
      </c>
      <c r="J498" s="14">
        <v>4931099.76</v>
      </c>
      <c r="K498" s="12">
        <v>1240</v>
      </c>
      <c r="L498" s="10" t="s">
        <v>101</v>
      </c>
      <c r="M498" s="10" t="s">
        <v>102</v>
      </c>
      <c r="N498" s="124" t="s">
        <v>422</v>
      </c>
      <c r="O498" s="124" t="s">
        <v>422</v>
      </c>
      <c r="P498" s="21">
        <v>30</v>
      </c>
      <c r="Q498" s="10" t="s">
        <v>54</v>
      </c>
      <c r="R498" s="10" t="s">
        <v>28</v>
      </c>
      <c r="S498" s="10"/>
      <c r="T498" s="10"/>
      <c r="U498" s="10" t="s">
        <v>2736</v>
      </c>
      <c r="V498" s="10" t="s">
        <v>2736</v>
      </c>
      <c r="W498" s="50">
        <f>+J498/$W$2</f>
        <v>6.555684511052596E-5</v>
      </c>
    </row>
    <row r="499" spans="1:29">
      <c r="A499" s="10" t="s">
        <v>382</v>
      </c>
      <c r="B499" s="10" t="s">
        <v>381</v>
      </c>
      <c r="C499" s="124">
        <v>46311</v>
      </c>
      <c r="D499" s="124" t="s">
        <v>492</v>
      </c>
      <c r="E499" s="21">
        <v>0.98621996999999995</v>
      </c>
      <c r="F499" s="10"/>
      <c r="G499" s="14">
        <v>6500000</v>
      </c>
      <c r="H499" s="14">
        <v>6410429.7999999998</v>
      </c>
      <c r="I499" s="14">
        <v>6500000</v>
      </c>
      <c r="J499" s="14">
        <v>6410429.7999999998</v>
      </c>
      <c r="K499" s="12">
        <v>742</v>
      </c>
      <c r="L499" s="10" t="s">
        <v>101</v>
      </c>
      <c r="M499" s="10" t="s">
        <v>102</v>
      </c>
      <c r="N499" s="124" t="s">
        <v>399</v>
      </c>
      <c r="O499" s="124" t="s">
        <v>399</v>
      </c>
      <c r="P499" s="21">
        <v>30</v>
      </c>
      <c r="Q499" s="10" t="s">
        <v>54</v>
      </c>
      <c r="R499" s="10" t="s">
        <v>28</v>
      </c>
      <c r="S499" s="10"/>
      <c r="T499" s="10"/>
      <c r="U499" s="10" t="s">
        <v>843</v>
      </c>
      <c r="V499" s="10" t="s">
        <v>843</v>
      </c>
      <c r="W499" s="50">
        <f>+J499/$W$2</f>
        <v>8.5223900132675449E-5</v>
      </c>
    </row>
    <row r="500" spans="1:29">
      <c r="A500" s="10" t="s">
        <v>382</v>
      </c>
      <c r="B500" s="10" t="s">
        <v>381</v>
      </c>
      <c r="C500" s="124">
        <v>46311</v>
      </c>
      <c r="D500" s="124" t="s">
        <v>492</v>
      </c>
      <c r="E500" s="21">
        <v>0.98621994999999996</v>
      </c>
      <c r="F500" s="10"/>
      <c r="G500" s="14">
        <v>5000000</v>
      </c>
      <c r="H500" s="14">
        <v>4931099.7699999996</v>
      </c>
      <c r="I500" s="14">
        <v>5000000</v>
      </c>
      <c r="J500" s="14">
        <v>4931099.7699999996</v>
      </c>
      <c r="K500" s="12">
        <v>791</v>
      </c>
      <c r="L500" s="10" t="s">
        <v>101</v>
      </c>
      <c r="M500" s="10" t="s">
        <v>102</v>
      </c>
      <c r="N500" s="124" t="s">
        <v>396</v>
      </c>
      <c r="O500" s="124" t="s">
        <v>396</v>
      </c>
      <c r="P500" s="21">
        <v>30</v>
      </c>
      <c r="Q500" s="10" t="s">
        <v>54</v>
      </c>
      <c r="R500" s="10" t="s">
        <v>28</v>
      </c>
      <c r="S500" s="10"/>
      <c r="T500" s="10"/>
      <c r="U500" s="10" t="s">
        <v>889</v>
      </c>
      <c r="V500" s="10" t="s">
        <v>889</v>
      </c>
      <c r="W500" s="50">
        <f>+J500/$W$2</f>
        <v>6.5556845243471644E-5</v>
      </c>
    </row>
    <row r="501" spans="1:29">
      <c r="A501" s="10" t="s">
        <v>334</v>
      </c>
      <c r="B501" s="10" t="s">
        <v>381</v>
      </c>
      <c r="C501" s="124">
        <v>46311</v>
      </c>
      <c r="D501" s="124" t="s">
        <v>492</v>
      </c>
      <c r="E501" s="21">
        <v>0.98531475999999996</v>
      </c>
      <c r="F501" s="10"/>
      <c r="G501" s="14">
        <v>40000000</v>
      </c>
      <c r="H501" s="14">
        <v>39412590.5</v>
      </c>
      <c r="I501" s="14">
        <v>40000000</v>
      </c>
      <c r="J501" s="14">
        <v>39412590.5</v>
      </c>
      <c r="K501" s="12">
        <v>13795909</v>
      </c>
      <c r="L501" s="10" t="s">
        <v>101</v>
      </c>
      <c r="M501" s="10" t="s">
        <v>102</v>
      </c>
      <c r="N501" s="124" t="s">
        <v>368</v>
      </c>
      <c r="O501" s="124" t="s">
        <v>368</v>
      </c>
      <c r="P501" s="21">
        <v>32</v>
      </c>
      <c r="Q501" s="10" t="s">
        <v>54</v>
      </c>
      <c r="R501" s="10" t="s">
        <v>28</v>
      </c>
      <c r="S501" s="10"/>
      <c r="T501" s="10"/>
      <c r="U501" s="10" t="s">
        <v>735</v>
      </c>
      <c r="V501" s="10" t="s">
        <v>735</v>
      </c>
      <c r="W501" s="50">
        <f>+J501/$W$2</f>
        <v>5.2397339672014399E-4</v>
      </c>
    </row>
    <row r="502" spans="1:29">
      <c r="A502" s="10" t="s">
        <v>180</v>
      </c>
      <c r="B502" s="10" t="s">
        <v>381</v>
      </c>
      <c r="C502" s="124">
        <v>46311</v>
      </c>
      <c r="D502" s="124" t="s">
        <v>492</v>
      </c>
      <c r="E502" s="21">
        <v>0.98758089000000004</v>
      </c>
      <c r="F502" s="10"/>
      <c r="G502" s="14">
        <v>124590.27</v>
      </c>
      <c r="H502" s="14">
        <v>123042.97</v>
      </c>
      <c r="I502" s="14">
        <v>124590.27</v>
      </c>
      <c r="J502" s="14">
        <v>123042.97</v>
      </c>
      <c r="K502" s="12">
        <v>670001</v>
      </c>
      <c r="L502" s="10" t="s">
        <v>101</v>
      </c>
      <c r="M502" s="10" t="s">
        <v>102</v>
      </c>
      <c r="N502" s="124" t="s">
        <v>551</v>
      </c>
      <c r="O502" s="124" t="s">
        <v>551</v>
      </c>
      <c r="P502" s="21">
        <v>27</v>
      </c>
      <c r="Q502" s="10" t="s">
        <v>54</v>
      </c>
      <c r="R502" s="10" t="s">
        <v>28</v>
      </c>
      <c r="S502" s="10"/>
      <c r="T502" s="10"/>
      <c r="U502" s="10" t="s">
        <v>2205</v>
      </c>
      <c r="V502" s="10" t="s">
        <v>2205</v>
      </c>
      <c r="W502" s="50">
        <f>+J502/$W$2</f>
        <v>1.635803232305544E-6</v>
      </c>
    </row>
    <row r="503" spans="1:29">
      <c r="A503" s="10" t="s">
        <v>180</v>
      </c>
      <c r="B503" s="10" t="s">
        <v>381</v>
      </c>
      <c r="C503" s="124">
        <v>46311</v>
      </c>
      <c r="D503" s="124" t="s">
        <v>492</v>
      </c>
      <c r="E503" s="21">
        <v>0.98758089000000004</v>
      </c>
      <c r="F503" s="10"/>
      <c r="G503" s="14">
        <v>124590.27</v>
      </c>
      <c r="H503" s="14">
        <v>123042.97</v>
      </c>
      <c r="I503" s="14">
        <v>124590.27</v>
      </c>
      <c r="J503" s="14">
        <v>123042.97</v>
      </c>
      <c r="K503" s="12">
        <v>677266</v>
      </c>
      <c r="L503" s="10" t="s">
        <v>101</v>
      </c>
      <c r="M503" s="10" t="s">
        <v>102</v>
      </c>
      <c r="N503" s="124" t="s">
        <v>551</v>
      </c>
      <c r="O503" s="124" t="s">
        <v>551</v>
      </c>
      <c r="P503" s="21">
        <v>27</v>
      </c>
      <c r="Q503" s="10" t="s">
        <v>54</v>
      </c>
      <c r="R503" s="10" t="s">
        <v>28</v>
      </c>
      <c r="S503" s="10"/>
      <c r="T503" s="10"/>
      <c r="U503" s="10" t="s">
        <v>2206</v>
      </c>
      <c r="V503" s="10" t="s">
        <v>2206</v>
      </c>
      <c r="W503" s="50">
        <f>+J503/$W$2</f>
        <v>1.635803232305544E-6</v>
      </c>
    </row>
    <row r="504" spans="1:29">
      <c r="A504" s="10" t="s">
        <v>180</v>
      </c>
      <c r="B504" s="10" t="s">
        <v>381</v>
      </c>
      <c r="C504" s="124">
        <v>46311</v>
      </c>
      <c r="D504" s="124" t="s">
        <v>492</v>
      </c>
      <c r="E504" s="21">
        <v>0.98758089000000004</v>
      </c>
      <c r="F504" s="10"/>
      <c r="G504" s="14">
        <v>124590.27</v>
      </c>
      <c r="H504" s="14">
        <v>123042.97</v>
      </c>
      <c r="I504" s="14">
        <v>124590.27</v>
      </c>
      <c r="J504" s="14">
        <v>123042.97</v>
      </c>
      <c r="K504" s="12">
        <v>669999</v>
      </c>
      <c r="L504" s="10" t="s">
        <v>101</v>
      </c>
      <c r="M504" s="10" t="s">
        <v>102</v>
      </c>
      <c r="N504" s="124" t="s">
        <v>551</v>
      </c>
      <c r="O504" s="124" t="s">
        <v>551</v>
      </c>
      <c r="P504" s="21">
        <v>27</v>
      </c>
      <c r="Q504" s="10" t="s">
        <v>54</v>
      </c>
      <c r="R504" s="10" t="s">
        <v>28</v>
      </c>
      <c r="S504" s="10"/>
      <c r="T504" s="10"/>
      <c r="U504" s="10" t="s">
        <v>2213</v>
      </c>
      <c r="V504" s="10" t="s">
        <v>2213</v>
      </c>
      <c r="W504" s="50">
        <f>+J504/$W$2</f>
        <v>1.635803232305544E-6</v>
      </c>
      <c r="AC504" s="47"/>
    </row>
    <row r="505" spans="1:29">
      <c r="A505" s="10" t="s">
        <v>180</v>
      </c>
      <c r="B505" s="10" t="s">
        <v>381</v>
      </c>
      <c r="C505" s="124">
        <v>46311</v>
      </c>
      <c r="D505" s="124" t="s">
        <v>492</v>
      </c>
      <c r="E505" s="21">
        <v>0.98758089000000004</v>
      </c>
      <c r="F505" s="10"/>
      <c r="G505" s="14">
        <v>124590.27</v>
      </c>
      <c r="H505" s="14">
        <v>123042.97</v>
      </c>
      <c r="I505" s="14">
        <v>124590.27</v>
      </c>
      <c r="J505" s="14">
        <v>123042.97</v>
      </c>
      <c r="K505" s="12">
        <v>670033</v>
      </c>
      <c r="L505" s="10" t="s">
        <v>101</v>
      </c>
      <c r="M505" s="10" t="s">
        <v>102</v>
      </c>
      <c r="N505" s="124" t="s">
        <v>551</v>
      </c>
      <c r="O505" s="124" t="s">
        <v>551</v>
      </c>
      <c r="P505" s="21">
        <v>27</v>
      </c>
      <c r="Q505" s="10" t="s">
        <v>54</v>
      </c>
      <c r="R505" s="10" t="s">
        <v>28</v>
      </c>
      <c r="S505" s="10"/>
      <c r="T505" s="10"/>
      <c r="U505" s="10" t="s">
        <v>2219</v>
      </c>
      <c r="V505" s="10" t="s">
        <v>2219</v>
      </c>
      <c r="W505" s="50">
        <f>+J505/$W$2</f>
        <v>1.635803232305544E-6</v>
      </c>
    </row>
    <row r="506" spans="1:29">
      <c r="A506" s="10" t="s">
        <v>180</v>
      </c>
      <c r="B506" s="10" t="s">
        <v>381</v>
      </c>
      <c r="C506" s="124">
        <v>46311</v>
      </c>
      <c r="D506" s="124" t="s">
        <v>492</v>
      </c>
      <c r="E506" s="21">
        <v>0.98712683000000001</v>
      </c>
      <c r="F506" s="10"/>
      <c r="G506" s="14">
        <v>6838855.7400000002</v>
      </c>
      <c r="H506" s="14">
        <v>6750817.9699999997</v>
      </c>
      <c r="I506" s="14">
        <v>6838855.7400000002</v>
      </c>
      <c r="J506" s="14">
        <v>6750817.9699999997</v>
      </c>
      <c r="K506" s="12">
        <v>638547</v>
      </c>
      <c r="L506" s="10" t="s">
        <v>101</v>
      </c>
      <c r="M506" s="10" t="s">
        <v>102</v>
      </c>
      <c r="N506" s="124" t="s">
        <v>548</v>
      </c>
      <c r="O506" s="124" t="s">
        <v>548</v>
      </c>
      <c r="P506" s="21">
        <v>28</v>
      </c>
      <c r="Q506" s="10" t="s">
        <v>54</v>
      </c>
      <c r="R506" s="10" t="s">
        <v>28</v>
      </c>
      <c r="S506" s="10"/>
      <c r="T506" s="10"/>
      <c r="U506" s="10" t="s">
        <v>1380</v>
      </c>
      <c r="V506" s="10" t="s">
        <v>1380</v>
      </c>
      <c r="W506" s="50">
        <f>+J506/$W$2</f>
        <v>8.9749214083765619E-5</v>
      </c>
    </row>
    <row r="507" spans="1:29">
      <c r="A507" s="10" t="s">
        <v>180</v>
      </c>
      <c r="B507" s="10" t="s">
        <v>381</v>
      </c>
      <c r="C507" s="124">
        <v>46311</v>
      </c>
      <c r="D507" s="124" t="s">
        <v>492</v>
      </c>
      <c r="E507" s="21">
        <v>0.98712683000000001</v>
      </c>
      <c r="F507" s="10"/>
      <c r="G507" s="14">
        <v>9836282.4499999993</v>
      </c>
      <c r="H507" s="14">
        <v>9709658.3300000001</v>
      </c>
      <c r="I507" s="14">
        <v>9836282.4499999993</v>
      </c>
      <c r="J507" s="14">
        <v>9709658.3300000001</v>
      </c>
      <c r="K507" s="12">
        <v>636527</v>
      </c>
      <c r="L507" s="10" t="s">
        <v>101</v>
      </c>
      <c r="M507" s="10" t="s">
        <v>102</v>
      </c>
      <c r="N507" s="124" t="s">
        <v>548</v>
      </c>
      <c r="O507" s="124" t="s">
        <v>548</v>
      </c>
      <c r="P507" s="21">
        <v>28</v>
      </c>
      <c r="Q507" s="10" t="s">
        <v>54</v>
      </c>
      <c r="R507" s="10" t="s">
        <v>28</v>
      </c>
      <c r="S507" s="10"/>
      <c r="T507" s="10"/>
      <c r="U507" s="10" t="s">
        <v>1389</v>
      </c>
      <c r="V507" s="10" t="s">
        <v>1389</v>
      </c>
      <c r="W507" s="50">
        <f>+J507/$W$2</f>
        <v>1.2908572087293123E-4</v>
      </c>
    </row>
    <row r="508" spans="1:29">
      <c r="A508" s="10" t="s">
        <v>180</v>
      </c>
      <c r="B508" s="10" t="s">
        <v>381</v>
      </c>
      <c r="C508" s="124">
        <v>46311</v>
      </c>
      <c r="D508" s="124" t="s">
        <v>492</v>
      </c>
      <c r="E508" s="21">
        <v>0.98712683000000001</v>
      </c>
      <c r="F508" s="10"/>
      <c r="G508" s="14">
        <v>5532603.9199999999</v>
      </c>
      <c r="H508" s="14">
        <v>5461381.7599999998</v>
      </c>
      <c r="I508" s="14">
        <v>5532603.9199999999</v>
      </c>
      <c r="J508" s="14">
        <v>5461381.7599999998</v>
      </c>
      <c r="K508" s="12">
        <v>636793</v>
      </c>
      <c r="L508" s="10" t="s">
        <v>101</v>
      </c>
      <c r="M508" s="10" t="s">
        <v>102</v>
      </c>
      <c r="N508" s="124" t="s">
        <v>548</v>
      </c>
      <c r="O508" s="124" t="s">
        <v>548</v>
      </c>
      <c r="P508" s="21">
        <v>28</v>
      </c>
      <c r="Q508" s="10" t="s">
        <v>54</v>
      </c>
      <c r="R508" s="10" t="s">
        <v>28</v>
      </c>
      <c r="S508" s="10"/>
      <c r="T508" s="10"/>
      <c r="U508" s="10" t="s">
        <v>1392</v>
      </c>
      <c r="V508" s="10" t="s">
        <v>1392</v>
      </c>
      <c r="W508" s="50">
        <f>+J508/$W$2</f>
        <v>7.2606715652771882E-5</v>
      </c>
    </row>
    <row r="509" spans="1:29">
      <c r="A509" s="10" t="s">
        <v>180</v>
      </c>
      <c r="B509" s="10" t="s">
        <v>381</v>
      </c>
      <c r="C509" s="124">
        <v>46311</v>
      </c>
      <c r="D509" s="124" t="s">
        <v>492</v>
      </c>
      <c r="E509" s="21">
        <v>0.98712683000000001</v>
      </c>
      <c r="F509" s="10"/>
      <c r="G509" s="14">
        <v>6838855.7400000002</v>
      </c>
      <c r="H509" s="14">
        <v>6750817.9699999997</v>
      </c>
      <c r="I509" s="14">
        <v>6838855.7400000002</v>
      </c>
      <c r="J509" s="14">
        <v>6750817.9699999997</v>
      </c>
      <c r="K509" s="12">
        <v>638540</v>
      </c>
      <c r="L509" s="10" t="s">
        <v>101</v>
      </c>
      <c r="M509" s="10" t="s">
        <v>102</v>
      </c>
      <c r="N509" s="124" t="s">
        <v>548</v>
      </c>
      <c r="O509" s="124" t="s">
        <v>548</v>
      </c>
      <c r="P509" s="21">
        <v>28</v>
      </c>
      <c r="Q509" s="10" t="s">
        <v>54</v>
      </c>
      <c r="R509" s="10" t="s">
        <v>28</v>
      </c>
      <c r="S509" s="10"/>
      <c r="T509" s="10"/>
      <c r="U509" s="10" t="s">
        <v>1393</v>
      </c>
      <c r="V509" s="10" t="s">
        <v>1393</v>
      </c>
      <c r="W509" s="50">
        <f>+J509/$W$2</f>
        <v>8.9749214083765619E-5</v>
      </c>
    </row>
    <row r="510" spans="1:29">
      <c r="A510" s="10" t="s">
        <v>180</v>
      </c>
      <c r="B510" s="10" t="s">
        <v>381</v>
      </c>
      <c r="C510" s="124">
        <v>46311</v>
      </c>
      <c r="D510" s="124" t="s">
        <v>492</v>
      </c>
      <c r="E510" s="21">
        <v>0.98758087999999999</v>
      </c>
      <c r="F510" s="10"/>
      <c r="G510" s="14">
        <v>4764805.54</v>
      </c>
      <c r="H510" s="14">
        <v>4705630.83</v>
      </c>
      <c r="I510" s="14">
        <v>4764805.54</v>
      </c>
      <c r="J510" s="14">
        <v>4705630.83</v>
      </c>
      <c r="K510" s="12">
        <v>662330</v>
      </c>
      <c r="L510" s="10" t="s">
        <v>101</v>
      </c>
      <c r="M510" s="10" t="s">
        <v>102</v>
      </c>
      <c r="N510" s="124" t="s">
        <v>548</v>
      </c>
      <c r="O510" s="124" t="s">
        <v>548</v>
      </c>
      <c r="P510" s="21">
        <v>27</v>
      </c>
      <c r="Q510" s="10" t="s">
        <v>54</v>
      </c>
      <c r="R510" s="10" t="s">
        <v>28</v>
      </c>
      <c r="S510" s="10"/>
      <c r="T510" s="10"/>
      <c r="U510" s="10" t="s">
        <v>1369</v>
      </c>
      <c r="V510" s="10" t="s">
        <v>1369</v>
      </c>
      <c r="W510" s="50">
        <f>+J510/$W$2</f>
        <v>6.2559332904192896E-5</v>
      </c>
    </row>
    <row r="511" spans="1:29">
      <c r="A511" s="10" t="s">
        <v>353</v>
      </c>
      <c r="B511" s="10" t="s">
        <v>381</v>
      </c>
      <c r="C511" s="124">
        <v>46311</v>
      </c>
      <c r="D511" s="124" t="s">
        <v>492</v>
      </c>
      <c r="E511" s="21">
        <v>0.98350947</v>
      </c>
      <c r="F511" s="10"/>
      <c r="G511" s="14">
        <v>1874176.47</v>
      </c>
      <c r="H511" s="14">
        <v>1843270.3</v>
      </c>
      <c r="I511" s="14">
        <v>1874176.47</v>
      </c>
      <c r="J511" s="14">
        <v>1843270.3</v>
      </c>
      <c r="K511" s="12">
        <v>3458</v>
      </c>
      <c r="L511" s="10" t="s">
        <v>101</v>
      </c>
      <c r="M511" s="10" t="s">
        <v>102</v>
      </c>
      <c r="N511" s="124" t="s">
        <v>431</v>
      </c>
      <c r="O511" s="124" t="s">
        <v>431</v>
      </c>
      <c r="P511" s="21">
        <v>36</v>
      </c>
      <c r="Q511" s="10" t="s">
        <v>54</v>
      </c>
      <c r="R511" s="10" t="s">
        <v>28</v>
      </c>
      <c r="S511" s="10"/>
      <c r="T511" s="10"/>
      <c r="U511" s="10" t="s">
        <v>2281</v>
      </c>
      <c r="V511" s="10" t="s">
        <v>2281</v>
      </c>
      <c r="W511" s="50">
        <f>+J511/$W$2</f>
        <v>2.4505483854565684E-5</v>
      </c>
    </row>
    <row r="512" spans="1:29">
      <c r="A512" s="10" t="s">
        <v>2616</v>
      </c>
      <c r="B512" s="10" t="s">
        <v>381</v>
      </c>
      <c r="C512" s="124">
        <v>46311</v>
      </c>
      <c r="D512" s="124" t="s">
        <v>492</v>
      </c>
      <c r="E512" s="21">
        <v>0.98531484999999996</v>
      </c>
      <c r="F512" s="10"/>
      <c r="G512" s="14">
        <v>2112204.7400000002</v>
      </c>
      <c r="H512" s="14">
        <v>2081186.69</v>
      </c>
      <c r="I512" s="14">
        <v>2112204.7400000002</v>
      </c>
      <c r="J512" s="14">
        <v>2081186.69</v>
      </c>
      <c r="K512" s="12">
        <v>212</v>
      </c>
      <c r="L512" s="10" t="s">
        <v>101</v>
      </c>
      <c r="M512" s="10" t="s">
        <v>102</v>
      </c>
      <c r="N512" s="124" t="s">
        <v>423</v>
      </c>
      <c r="O512" s="124" t="s">
        <v>423</v>
      </c>
      <c r="P512" s="21">
        <v>32</v>
      </c>
      <c r="Q512" s="10" t="s">
        <v>54</v>
      </c>
      <c r="R512" s="10" t="s">
        <v>28</v>
      </c>
      <c r="S512" s="10"/>
      <c r="T512" s="10"/>
      <c r="U512" s="10" t="s">
        <v>2563</v>
      </c>
      <c r="V512" s="10" t="s">
        <v>2563</v>
      </c>
      <c r="W512" s="50">
        <f>+J512/$W$2</f>
        <v>2.7668479674485069E-5</v>
      </c>
      <c r="AC512"/>
    </row>
    <row r="513" spans="1:29">
      <c r="A513" s="10" t="s">
        <v>2620</v>
      </c>
      <c r="B513" s="10" t="s">
        <v>381</v>
      </c>
      <c r="C513" s="124">
        <v>46311</v>
      </c>
      <c r="D513" s="124" t="s">
        <v>492</v>
      </c>
      <c r="E513" s="21">
        <v>0.98531484000000003</v>
      </c>
      <c r="F513" s="10"/>
      <c r="G513" s="14">
        <v>1566916.35</v>
      </c>
      <c r="H513" s="14">
        <v>1543905.94</v>
      </c>
      <c r="I513" s="14">
        <v>1566916.35</v>
      </c>
      <c r="J513" s="14">
        <v>1543905.94</v>
      </c>
      <c r="K513" s="12">
        <v>1180</v>
      </c>
      <c r="L513" s="10" t="s">
        <v>101</v>
      </c>
      <c r="M513" s="10" t="s">
        <v>102</v>
      </c>
      <c r="N513" s="124" t="s">
        <v>423</v>
      </c>
      <c r="O513" s="124" t="s">
        <v>423</v>
      </c>
      <c r="P513" s="21">
        <v>32</v>
      </c>
      <c r="Q513" s="10" t="s">
        <v>54</v>
      </c>
      <c r="R513" s="10" t="s">
        <v>28</v>
      </c>
      <c r="S513" s="10"/>
      <c r="T513" s="10"/>
      <c r="U513" s="10" t="s">
        <v>2578</v>
      </c>
      <c r="V513" s="10" t="s">
        <v>2578</v>
      </c>
      <c r="W513" s="50">
        <f>+J513/$W$2</f>
        <v>2.0525563768720222E-5</v>
      </c>
    </row>
    <row r="514" spans="1:29">
      <c r="A514" s="10" t="s">
        <v>494</v>
      </c>
      <c r="B514" s="10" t="s">
        <v>381</v>
      </c>
      <c r="C514" s="124">
        <v>46311</v>
      </c>
      <c r="D514" s="124" t="s">
        <v>492</v>
      </c>
      <c r="E514" s="21">
        <v>0.98849036000000001</v>
      </c>
      <c r="F514" s="10"/>
      <c r="G514" s="14">
        <v>1123163.29</v>
      </c>
      <c r="H514" s="14">
        <v>1110236.0900000001</v>
      </c>
      <c r="I514" s="14">
        <v>1123163.29</v>
      </c>
      <c r="J514" s="14">
        <v>1110236.0900000001</v>
      </c>
      <c r="K514" s="12">
        <v>11312171</v>
      </c>
      <c r="L514" s="10" t="s">
        <v>101</v>
      </c>
      <c r="M514" s="10" t="s">
        <v>102</v>
      </c>
      <c r="N514" s="124" t="s">
        <v>677</v>
      </c>
      <c r="O514" s="124" t="s">
        <v>677</v>
      </c>
      <c r="P514" s="21">
        <v>25</v>
      </c>
      <c r="Q514" s="10" t="s">
        <v>54</v>
      </c>
      <c r="R514" s="10" t="s">
        <v>28</v>
      </c>
      <c r="S514" s="10"/>
      <c r="T514" s="10"/>
      <c r="U514" s="10" t="s">
        <v>3333</v>
      </c>
      <c r="V514" s="10" t="s">
        <v>3333</v>
      </c>
      <c r="W514" s="50">
        <f>+J514/$W$2</f>
        <v>1.4760110103358762E-5</v>
      </c>
    </row>
    <row r="515" spans="1:29">
      <c r="A515" s="10" t="s">
        <v>494</v>
      </c>
      <c r="B515" s="10" t="s">
        <v>381</v>
      </c>
      <c r="C515" s="124">
        <v>46311</v>
      </c>
      <c r="D515" s="124" t="s">
        <v>492</v>
      </c>
      <c r="E515" s="21">
        <v>0.98849021999999998</v>
      </c>
      <c r="F515" s="10"/>
      <c r="G515" s="14">
        <v>32000000</v>
      </c>
      <c r="H515" s="14">
        <v>31631687</v>
      </c>
      <c r="I515" s="14">
        <v>32000000</v>
      </c>
      <c r="J515" s="14">
        <v>31631687</v>
      </c>
      <c r="K515" s="12">
        <v>5312</v>
      </c>
      <c r="L515" s="10" t="s">
        <v>101</v>
      </c>
      <c r="M515" s="10" t="s">
        <v>102</v>
      </c>
      <c r="N515" s="124" t="s">
        <v>326</v>
      </c>
      <c r="O515" s="124" t="s">
        <v>326</v>
      </c>
      <c r="P515" s="21">
        <v>25</v>
      </c>
      <c r="Q515" s="10" t="s">
        <v>54</v>
      </c>
      <c r="R515" s="10" t="s">
        <v>28</v>
      </c>
      <c r="S515" s="10"/>
      <c r="T515" s="10"/>
      <c r="U515" s="10" t="s">
        <v>969</v>
      </c>
      <c r="V515" s="10" t="s">
        <v>969</v>
      </c>
      <c r="W515" s="50">
        <f>+J515/$W$2</f>
        <v>4.2052963966878609E-4</v>
      </c>
    </row>
    <row r="516" spans="1:29">
      <c r="A516" s="10" t="s">
        <v>1287</v>
      </c>
      <c r="B516" s="10" t="s">
        <v>381</v>
      </c>
      <c r="C516" s="124">
        <v>46311</v>
      </c>
      <c r="D516" s="124" t="s">
        <v>492</v>
      </c>
      <c r="E516" s="21">
        <v>0.98712685</v>
      </c>
      <c r="F516" s="10"/>
      <c r="G516" s="14">
        <v>55065217.939999998</v>
      </c>
      <c r="H516" s="14">
        <v>54356355.170000002</v>
      </c>
      <c r="I516" s="14">
        <v>55065217.939999998</v>
      </c>
      <c r="J516" s="14">
        <v>54356355.170000002</v>
      </c>
      <c r="K516" s="12">
        <v>40293250</v>
      </c>
      <c r="L516" s="10" t="s">
        <v>101</v>
      </c>
      <c r="M516" s="10" t="s">
        <v>102</v>
      </c>
      <c r="N516" s="124" t="s">
        <v>325</v>
      </c>
      <c r="O516" s="124" t="s">
        <v>325</v>
      </c>
      <c r="P516" s="21">
        <v>28</v>
      </c>
      <c r="Q516" s="10" t="s">
        <v>54</v>
      </c>
      <c r="R516" s="10" t="s">
        <v>28</v>
      </c>
      <c r="S516" s="10"/>
      <c r="T516" s="10"/>
      <c r="U516" s="10" t="s">
        <v>1591</v>
      </c>
      <c r="V516" s="10" t="s">
        <v>1591</v>
      </c>
      <c r="W516" s="50">
        <f>+J516/$W$2</f>
        <v>7.2264430453388903E-4</v>
      </c>
    </row>
    <row r="517" spans="1:29">
      <c r="A517" s="10" t="s">
        <v>1287</v>
      </c>
      <c r="B517" s="10" t="s">
        <v>381</v>
      </c>
      <c r="C517" s="124">
        <v>46311</v>
      </c>
      <c r="D517" s="124" t="s">
        <v>492</v>
      </c>
      <c r="E517" s="21">
        <v>0.98712685</v>
      </c>
      <c r="F517" s="10"/>
      <c r="G517" s="14">
        <v>55065217.939999998</v>
      </c>
      <c r="H517" s="14">
        <v>54356355.170000002</v>
      </c>
      <c r="I517" s="14">
        <v>55065217.939999998</v>
      </c>
      <c r="J517" s="14">
        <v>54356355.170000002</v>
      </c>
      <c r="K517" s="12">
        <v>40293233</v>
      </c>
      <c r="L517" s="10" t="s">
        <v>101</v>
      </c>
      <c r="M517" s="10" t="s">
        <v>102</v>
      </c>
      <c r="N517" s="124" t="s">
        <v>325</v>
      </c>
      <c r="O517" s="124" t="s">
        <v>325</v>
      </c>
      <c r="P517" s="21">
        <v>28</v>
      </c>
      <c r="Q517" s="10" t="s">
        <v>54</v>
      </c>
      <c r="R517" s="10" t="s">
        <v>28</v>
      </c>
      <c r="S517" s="10"/>
      <c r="T517" s="10"/>
      <c r="U517" s="10" t="s">
        <v>1592</v>
      </c>
      <c r="V517" s="10" t="s">
        <v>1592</v>
      </c>
      <c r="W517" s="50">
        <f>+J517/$W$2</f>
        <v>7.2264430453388903E-4</v>
      </c>
    </row>
    <row r="518" spans="1:29">
      <c r="A518" s="10" t="s">
        <v>273</v>
      </c>
      <c r="B518" s="10" t="s">
        <v>381</v>
      </c>
      <c r="C518" s="124">
        <v>46311</v>
      </c>
      <c r="D518" s="124" t="s">
        <v>492</v>
      </c>
      <c r="E518" s="21">
        <v>0.98849021999999998</v>
      </c>
      <c r="F518" s="10"/>
      <c r="G518" s="14">
        <v>8650000</v>
      </c>
      <c r="H518" s="14">
        <v>8550440.4199999999</v>
      </c>
      <c r="I518" s="14">
        <v>8650000</v>
      </c>
      <c r="J518" s="14">
        <v>8550440.4199999999</v>
      </c>
      <c r="K518" s="12">
        <v>34387</v>
      </c>
      <c r="L518" s="10" t="s">
        <v>101</v>
      </c>
      <c r="M518" s="10" t="s">
        <v>102</v>
      </c>
      <c r="N518" s="124" t="s">
        <v>361</v>
      </c>
      <c r="O518" s="124" t="s">
        <v>361</v>
      </c>
      <c r="P518" s="21">
        <v>25</v>
      </c>
      <c r="Q518" s="10" t="s">
        <v>54</v>
      </c>
      <c r="R518" s="10" t="s">
        <v>28</v>
      </c>
      <c r="S518" s="10"/>
      <c r="T518" s="10"/>
      <c r="U518" s="10" t="s">
        <v>1033</v>
      </c>
      <c r="V518" s="10" t="s">
        <v>1033</v>
      </c>
      <c r="W518" s="50">
        <f>+J518/$W$2</f>
        <v>1.1367441859272393E-4</v>
      </c>
    </row>
    <row r="519" spans="1:29">
      <c r="A519" s="10" t="s">
        <v>273</v>
      </c>
      <c r="B519" s="10" t="s">
        <v>381</v>
      </c>
      <c r="C519" s="124">
        <v>46311</v>
      </c>
      <c r="D519" s="124" t="s">
        <v>492</v>
      </c>
      <c r="E519" s="21">
        <v>0.98758087000000006</v>
      </c>
      <c r="F519" s="10"/>
      <c r="G519" s="14">
        <v>15000000</v>
      </c>
      <c r="H519" s="14">
        <v>14813713.07</v>
      </c>
      <c r="I519" s="14">
        <v>15000000</v>
      </c>
      <c r="J519" s="14">
        <v>14813713.07</v>
      </c>
      <c r="K519" s="12">
        <v>11338652</v>
      </c>
      <c r="L519" s="10" t="s">
        <v>101</v>
      </c>
      <c r="M519" s="10" t="s">
        <v>102</v>
      </c>
      <c r="N519" s="124" t="s">
        <v>326</v>
      </c>
      <c r="O519" s="124" t="s">
        <v>326</v>
      </c>
      <c r="P519" s="21">
        <v>27</v>
      </c>
      <c r="Q519" s="10" t="s">
        <v>54</v>
      </c>
      <c r="R519" s="10" t="s">
        <v>28</v>
      </c>
      <c r="S519" s="10"/>
      <c r="T519" s="10"/>
      <c r="U519" s="10" t="s">
        <v>974</v>
      </c>
      <c r="V519" s="10" t="s">
        <v>974</v>
      </c>
      <c r="W519" s="50">
        <f>+J519/$W$2</f>
        <v>1.969419278675806E-4</v>
      </c>
    </row>
    <row r="520" spans="1:29">
      <c r="A520" s="10" t="s">
        <v>899</v>
      </c>
      <c r="B520" s="10" t="s">
        <v>381</v>
      </c>
      <c r="C520" s="124">
        <v>46311</v>
      </c>
      <c r="D520" s="124" t="s">
        <v>492</v>
      </c>
      <c r="E520" s="21">
        <v>0.98531477000000001</v>
      </c>
      <c r="F520" s="10"/>
      <c r="G520" s="14">
        <v>475000000</v>
      </c>
      <c r="H520" s="14">
        <v>468024518.02999997</v>
      </c>
      <c r="I520" s="14">
        <v>475000000</v>
      </c>
      <c r="J520" s="14">
        <v>468024518.02999997</v>
      </c>
      <c r="K520" s="12">
        <v>930</v>
      </c>
      <c r="L520" s="10" t="s">
        <v>101</v>
      </c>
      <c r="M520" s="10" t="s">
        <v>102</v>
      </c>
      <c r="N520" s="124" t="s">
        <v>396</v>
      </c>
      <c r="O520" s="124" t="s">
        <v>396</v>
      </c>
      <c r="P520" s="21">
        <v>32</v>
      </c>
      <c r="Q520" s="10" t="s">
        <v>54</v>
      </c>
      <c r="R520" s="10" t="s">
        <v>28</v>
      </c>
      <c r="S520" s="10"/>
      <c r="T520" s="10"/>
      <c r="U520" s="10" t="s">
        <v>884</v>
      </c>
      <c r="V520" s="10" t="s">
        <v>884</v>
      </c>
      <c r="W520" s="50">
        <f>+J520/$W$2</f>
        <v>6.2221841637252282E-3</v>
      </c>
      <c r="AC520" s="47"/>
    </row>
    <row r="521" spans="1:29">
      <c r="A521" s="10" t="s">
        <v>401</v>
      </c>
      <c r="B521" s="10" t="s">
        <v>381</v>
      </c>
      <c r="C521" s="124">
        <v>46311</v>
      </c>
      <c r="D521" s="124" t="s">
        <v>492</v>
      </c>
      <c r="E521" s="21">
        <v>0.98441129000000005</v>
      </c>
      <c r="F521" s="10"/>
      <c r="G521" s="14">
        <v>100000000</v>
      </c>
      <c r="H521" s="14">
        <v>98441128.950000003</v>
      </c>
      <c r="I521" s="14">
        <v>100000000</v>
      </c>
      <c r="J521" s="14">
        <v>98441128.950000003</v>
      </c>
      <c r="K521" s="12">
        <v>1982</v>
      </c>
      <c r="L521" s="10" t="s">
        <v>101</v>
      </c>
      <c r="M521" s="10" t="s">
        <v>102</v>
      </c>
      <c r="N521" s="124" t="s">
        <v>326</v>
      </c>
      <c r="O521" s="124" t="s">
        <v>326</v>
      </c>
      <c r="P521" s="21">
        <v>34</v>
      </c>
      <c r="Q521" s="10" t="s">
        <v>54</v>
      </c>
      <c r="R521" s="10" t="s">
        <v>28</v>
      </c>
      <c r="S521" s="10"/>
      <c r="T521" s="10"/>
      <c r="U521" s="10" t="s">
        <v>944</v>
      </c>
      <c r="V521" s="10" t="s">
        <v>944</v>
      </c>
      <c r="W521" s="50">
        <f>+J521/$W$2</f>
        <v>1.3087323634029386E-3</v>
      </c>
      <c r="AC521" s="47"/>
    </row>
    <row r="522" spans="1:29">
      <c r="A522" s="10" t="s">
        <v>858</v>
      </c>
      <c r="B522" s="10" t="s">
        <v>381</v>
      </c>
      <c r="C522" s="124">
        <v>46311</v>
      </c>
      <c r="D522" s="124" t="s">
        <v>492</v>
      </c>
      <c r="E522" s="21">
        <v>0.98621994999999996</v>
      </c>
      <c r="F522" s="10"/>
      <c r="G522" s="14">
        <v>2000000</v>
      </c>
      <c r="H522" s="14">
        <v>1972439.89</v>
      </c>
      <c r="I522" s="14">
        <v>2000000</v>
      </c>
      <c r="J522" s="14">
        <v>1972439.89</v>
      </c>
      <c r="K522" s="12">
        <v>9800</v>
      </c>
      <c r="L522" s="10" t="s">
        <v>101</v>
      </c>
      <c r="M522" s="10" t="s">
        <v>102</v>
      </c>
      <c r="N522" s="124" t="s">
        <v>165</v>
      </c>
      <c r="O522" s="124" t="s">
        <v>165</v>
      </c>
      <c r="P522" s="21">
        <v>30</v>
      </c>
      <c r="Q522" s="10" t="s">
        <v>54</v>
      </c>
      <c r="R522" s="10" t="s">
        <v>28</v>
      </c>
      <c r="S522" s="10"/>
      <c r="T522" s="10"/>
      <c r="U522" s="10" t="s">
        <v>1268</v>
      </c>
      <c r="V522" s="10" t="s">
        <v>1268</v>
      </c>
      <c r="W522" s="50">
        <f>+J522/$W$2</f>
        <v>2.6222737858086419E-5</v>
      </c>
    </row>
    <row r="523" spans="1:29">
      <c r="A523" s="10" t="s">
        <v>273</v>
      </c>
      <c r="B523" s="10" t="s">
        <v>381</v>
      </c>
      <c r="C523" s="124">
        <v>46311</v>
      </c>
      <c r="D523" s="124" t="s">
        <v>492</v>
      </c>
      <c r="E523" s="21">
        <v>0.98758084999999995</v>
      </c>
      <c r="F523" s="10"/>
      <c r="G523" s="14">
        <v>24500000</v>
      </c>
      <c r="H523" s="14">
        <v>24195730.760000002</v>
      </c>
      <c r="I523" s="14">
        <v>24500000</v>
      </c>
      <c r="J523" s="14">
        <v>24195730.760000002</v>
      </c>
      <c r="K523" s="12">
        <v>34220</v>
      </c>
      <c r="L523" s="10" t="s">
        <v>101</v>
      </c>
      <c r="M523" s="10" t="s">
        <v>102</v>
      </c>
      <c r="N523" s="124" t="s">
        <v>395</v>
      </c>
      <c r="O523" s="124" t="s">
        <v>395</v>
      </c>
      <c r="P523" s="21">
        <v>27</v>
      </c>
      <c r="Q523" s="10" t="s">
        <v>54</v>
      </c>
      <c r="R523" s="10" t="s">
        <v>28</v>
      </c>
      <c r="S523" s="10"/>
      <c r="T523" s="10"/>
      <c r="U523" s="10" t="s">
        <v>825</v>
      </c>
      <c r="V523" s="10" t="s">
        <v>825</v>
      </c>
      <c r="W523" s="50">
        <f>+J523/$W$2</f>
        <v>3.2167180770427341E-4</v>
      </c>
    </row>
    <row r="524" spans="1:29">
      <c r="A524" s="10" t="s">
        <v>273</v>
      </c>
      <c r="B524" s="10" t="s">
        <v>381</v>
      </c>
      <c r="C524" s="124">
        <v>46311</v>
      </c>
      <c r="D524" s="124" t="s">
        <v>492</v>
      </c>
      <c r="E524" s="21">
        <v>0.98803538000000002</v>
      </c>
      <c r="F524" s="10"/>
      <c r="G524" s="14">
        <v>4000000</v>
      </c>
      <c r="H524" s="14">
        <v>3952141.5</v>
      </c>
      <c r="I524" s="14">
        <v>4000000</v>
      </c>
      <c r="J524" s="14">
        <v>3952141.5</v>
      </c>
      <c r="K524" s="12">
        <v>90002230</v>
      </c>
      <c r="L524" s="10" t="s">
        <v>101</v>
      </c>
      <c r="M524" s="10" t="s">
        <v>102</v>
      </c>
      <c r="N524" s="124" t="s">
        <v>532</v>
      </c>
      <c r="O524" s="124" t="s">
        <v>532</v>
      </c>
      <c r="P524" s="21">
        <v>26</v>
      </c>
      <c r="Q524" s="10" t="s">
        <v>54</v>
      </c>
      <c r="R524" s="10" t="s">
        <v>28</v>
      </c>
      <c r="S524" s="10"/>
      <c r="T524" s="10"/>
      <c r="U524" s="10" t="s">
        <v>3038</v>
      </c>
      <c r="V524" s="10" t="s">
        <v>3038</v>
      </c>
      <c r="W524" s="50">
        <f>+J524/$W$2</f>
        <v>5.2542017152453983E-5</v>
      </c>
    </row>
    <row r="525" spans="1:29">
      <c r="A525" s="10" t="s">
        <v>900</v>
      </c>
      <c r="B525" s="10" t="s">
        <v>381</v>
      </c>
      <c r="C525" s="124">
        <v>46311</v>
      </c>
      <c r="D525" s="124" t="s">
        <v>492</v>
      </c>
      <c r="E525" s="21">
        <v>0.98531477000000001</v>
      </c>
      <c r="F525" s="10"/>
      <c r="G525" s="14">
        <v>9936187.5</v>
      </c>
      <c r="H525" s="14">
        <v>9790272.3499999996</v>
      </c>
      <c r="I525" s="14">
        <v>9936187.5</v>
      </c>
      <c r="J525" s="14">
        <v>9790272.3499999996</v>
      </c>
      <c r="K525" s="12">
        <v>67195494</v>
      </c>
      <c r="L525" s="10" t="s">
        <v>101</v>
      </c>
      <c r="M525" s="10" t="s">
        <v>102</v>
      </c>
      <c r="N525" s="124" t="s">
        <v>396</v>
      </c>
      <c r="O525" s="124" t="s">
        <v>396</v>
      </c>
      <c r="P525" s="21">
        <v>32</v>
      </c>
      <c r="Q525" s="10" t="s">
        <v>54</v>
      </c>
      <c r="R525" s="10" t="s">
        <v>28</v>
      </c>
      <c r="S525" s="10"/>
      <c r="T525" s="10"/>
      <c r="U525" s="10" t="s">
        <v>874</v>
      </c>
      <c r="V525" s="10" t="s">
        <v>874</v>
      </c>
      <c r="W525" s="50">
        <f>+J525/$W$2</f>
        <v>1.3015744950956235E-4</v>
      </c>
      <c r="AC525" s="47"/>
    </row>
    <row r="526" spans="1:29">
      <c r="A526" s="10" t="s">
        <v>471</v>
      </c>
      <c r="B526" s="10" t="s">
        <v>381</v>
      </c>
      <c r="C526" s="124">
        <v>46311</v>
      </c>
      <c r="D526" s="124" t="s">
        <v>492</v>
      </c>
      <c r="E526" s="21">
        <v>0.98758089000000004</v>
      </c>
      <c r="F526" s="10"/>
      <c r="G526" s="14">
        <v>3620482.75</v>
      </c>
      <c r="H526" s="14">
        <v>3575519.56</v>
      </c>
      <c r="I526" s="14">
        <v>3620482.75</v>
      </c>
      <c r="J526" s="14">
        <v>3575519.56</v>
      </c>
      <c r="K526" s="12">
        <v>4323</v>
      </c>
      <c r="L526" s="10" t="s">
        <v>101</v>
      </c>
      <c r="M526" s="10" t="s">
        <v>102</v>
      </c>
      <c r="N526" s="124" t="s">
        <v>531</v>
      </c>
      <c r="O526" s="124" t="s">
        <v>531</v>
      </c>
      <c r="P526" s="21">
        <v>27</v>
      </c>
      <c r="Q526" s="10" t="s">
        <v>54</v>
      </c>
      <c r="R526" s="10" t="s">
        <v>28</v>
      </c>
      <c r="S526" s="10"/>
      <c r="T526" s="10"/>
      <c r="U526" s="10" t="s">
        <v>3368</v>
      </c>
      <c r="V526" s="10" t="s">
        <v>3368</v>
      </c>
      <c r="W526" s="50">
        <f>+J526/$W$2</f>
        <v>4.7534990852542786E-5</v>
      </c>
    </row>
    <row r="527" spans="1:29">
      <c r="A527" s="10" t="s">
        <v>166</v>
      </c>
      <c r="B527" s="10" t="s">
        <v>381</v>
      </c>
      <c r="C527" s="124">
        <v>46311</v>
      </c>
      <c r="D527" s="124" t="s">
        <v>492</v>
      </c>
      <c r="E527" s="21">
        <v>0.98260924999999999</v>
      </c>
      <c r="F527" s="10"/>
      <c r="G527" s="14">
        <v>269000000</v>
      </c>
      <c r="H527" s="14">
        <v>264321888.78999999</v>
      </c>
      <c r="I527" s="14">
        <v>269000000</v>
      </c>
      <c r="J527" s="14">
        <v>264321888.78999999</v>
      </c>
      <c r="K527" s="12">
        <v>70403625</v>
      </c>
      <c r="L527" s="10" t="s">
        <v>101</v>
      </c>
      <c r="M527" s="10" t="s">
        <v>102</v>
      </c>
      <c r="N527" s="124" t="s">
        <v>325</v>
      </c>
      <c r="O527" s="124" t="s">
        <v>325</v>
      </c>
      <c r="P527" s="21">
        <v>38</v>
      </c>
      <c r="Q527" s="10" t="s">
        <v>54</v>
      </c>
      <c r="R527" s="10" t="s">
        <v>28</v>
      </c>
      <c r="S527" s="10"/>
      <c r="T527" s="10"/>
      <c r="U527" s="10" t="s">
        <v>1596</v>
      </c>
      <c r="V527" s="10" t="s">
        <v>1596</v>
      </c>
      <c r="W527" s="50">
        <f>+J527/$W$2</f>
        <v>3.5140455407715577E-3</v>
      </c>
    </row>
    <row r="528" spans="1:29">
      <c r="A528" s="10" t="s">
        <v>1820</v>
      </c>
      <c r="B528" s="10" t="s">
        <v>381</v>
      </c>
      <c r="C528" s="124">
        <v>46311</v>
      </c>
      <c r="D528" s="124" t="s">
        <v>492</v>
      </c>
      <c r="E528" s="21">
        <v>0.98531484000000003</v>
      </c>
      <c r="F528" s="10"/>
      <c r="G528" s="14">
        <v>5072132.87</v>
      </c>
      <c r="H528" s="14">
        <v>4997647.7699999996</v>
      </c>
      <c r="I528" s="14">
        <v>5072132.87</v>
      </c>
      <c r="J528" s="14">
        <v>4997647.7699999996</v>
      </c>
      <c r="K528" s="12">
        <v>30043166</v>
      </c>
      <c r="L528" s="10" t="s">
        <v>101</v>
      </c>
      <c r="M528" s="10" t="s">
        <v>102</v>
      </c>
      <c r="N528" s="124" t="s">
        <v>398</v>
      </c>
      <c r="O528" s="124" t="s">
        <v>398</v>
      </c>
      <c r="P528" s="21">
        <v>32</v>
      </c>
      <c r="Q528" s="10" t="s">
        <v>54</v>
      </c>
      <c r="R528" s="10" t="s">
        <v>28</v>
      </c>
      <c r="S528" s="10"/>
      <c r="T528" s="10"/>
      <c r="U528" s="10" t="s">
        <v>1807</v>
      </c>
      <c r="V528" s="10" t="s">
        <v>1807</v>
      </c>
      <c r="W528" s="50">
        <f>+J528/$W$2</f>
        <v>6.6441572209209455E-5</v>
      </c>
    </row>
    <row r="529" spans="1:29">
      <c r="A529" s="10" t="s">
        <v>540</v>
      </c>
      <c r="B529" s="10" t="s">
        <v>381</v>
      </c>
      <c r="C529" s="124">
        <v>46311</v>
      </c>
      <c r="D529" s="124" t="s">
        <v>492</v>
      </c>
      <c r="E529" s="21">
        <v>0.98486282000000003</v>
      </c>
      <c r="F529" s="10"/>
      <c r="G529" s="14">
        <v>7261808.2000000002</v>
      </c>
      <c r="H529" s="14">
        <v>7151884.9199999999</v>
      </c>
      <c r="I529" s="14">
        <v>7261808.2000000002</v>
      </c>
      <c r="J529" s="14">
        <v>7151884.9199999999</v>
      </c>
      <c r="K529" s="12">
        <v>90000672</v>
      </c>
      <c r="L529" s="10" t="s">
        <v>101</v>
      </c>
      <c r="M529" s="10" t="s">
        <v>102</v>
      </c>
      <c r="N529" s="124" t="s">
        <v>157</v>
      </c>
      <c r="O529" s="124" t="s">
        <v>157</v>
      </c>
      <c r="P529" s="21">
        <v>33</v>
      </c>
      <c r="Q529" s="10" t="s">
        <v>54</v>
      </c>
      <c r="R529" s="10" t="s">
        <v>28</v>
      </c>
      <c r="S529" s="10"/>
      <c r="T529" s="10"/>
      <c r="U529" s="10" t="s">
        <v>656</v>
      </c>
      <c r="V529" s="10" t="s">
        <v>656</v>
      </c>
      <c r="W529" s="50">
        <f>+J529/$W$2</f>
        <v>9.5081226251392316E-5</v>
      </c>
    </row>
    <row r="530" spans="1:29">
      <c r="A530" s="10" t="s">
        <v>597</v>
      </c>
      <c r="B530" s="10" t="s">
        <v>381</v>
      </c>
      <c r="C530" s="124">
        <v>46311</v>
      </c>
      <c r="D530" s="124" t="s">
        <v>492</v>
      </c>
      <c r="E530" s="21">
        <v>0.98215967999999998</v>
      </c>
      <c r="F530" s="10"/>
      <c r="G530" s="14">
        <v>3750000</v>
      </c>
      <c r="H530" s="14">
        <v>3683098.8</v>
      </c>
      <c r="I530" s="14">
        <v>3750000</v>
      </c>
      <c r="J530" s="14">
        <v>3683098.8</v>
      </c>
      <c r="K530" s="12">
        <v>66920206</v>
      </c>
      <c r="L530" s="10" t="s">
        <v>101</v>
      </c>
      <c r="M530" s="10" t="s">
        <v>102</v>
      </c>
      <c r="N530" s="124" t="s">
        <v>304</v>
      </c>
      <c r="O530" s="124" t="s">
        <v>304</v>
      </c>
      <c r="P530" s="21">
        <v>39</v>
      </c>
      <c r="Q530" s="10" t="s">
        <v>54</v>
      </c>
      <c r="R530" s="10" t="s">
        <v>28</v>
      </c>
      <c r="S530" s="10"/>
      <c r="T530" s="10"/>
      <c r="U530" s="10" t="s">
        <v>581</v>
      </c>
      <c r="V530" s="10" t="s">
        <v>581</v>
      </c>
      <c r="W530" s="50">
        <f>+J530/$W$2</f>
        <v>4.8965210462171633E-5</v>
      </c>
    </row>
    <row r="531" spans="1:29">
      <c r="A531" s="10" t="s">
        <v>666</v>
      </c>
      <c r="B531" s="10" t="s">
        <v>381</v>
      </c>
      <c r="C531" s="124">
        <v>46311</v>
      </c>
      <c r="D531" s="124" t="s">
        <v>492</v>
      </c>
      <c r="E531" s="21">
        <v>0.98486282000000003</v>
      </c>
      <c r="F531" s="10"/>
      <c r="G531" s="14">
        <v>7190687</v>
      </c>
      <c r="H531" s="14">
        <v>7081840.2999999998</v>
      </c>
      <c r="I531" s="14">
        <v>7190687</v>
      </c>
      <c r="J531" s="14">
        <v>7081840.2999999998</v>
      </c>
      <c r="K531" s="12">
        <v>90001573</v>
      </c>
      <c r="L531" s="10" t="s">
        <v>101</v>
      </c>
      <c r="M531" s="10" t="s">
        <v>102</v>
      </c>
      <c r="N531" s="124" t="s">
        <v>157</v>
      </c>
      <c r="O531" s="124" t="s">
        <v>157</v>
      </c>
      <c r="P531" s="21">
        <v>33</v>
      </c>
      <c r="Q531" s="10" t="s">
        <v>54</v>
      </c>
      <c r="R531" s="10" t="s">
        <v>28</v>
      </c>
      <c r="S531" s="10"/>
      <c r="T531" s="10"/>
      <c r="U531" s="10" t="s">
        <v>662</v>
      </c>
      <c r="V531" s="10" t="s">
        <v>662</v>
      </c>
      <c r="W531" s="50">
        <f>+J531/$W$2</f>
        <v>9.4150013230432129E-5</v>
      </c>
    </row>
    <row r="532" spans="1:29">
      <c r="A532" s="10" t="s">
        <v>1918</v>
      </c>
      <c r="B532" s="10" t="s">
        <v>381</v>
      </c>
      <c r="C532" s="124">
        <v>46311</v>
      </c>
      <c r="D532" s="124" t="s">
        <v>492</v>
      </c>
      <c r="E532" s="21">
        <v>0.98531482000000004</v>
      </c>
      <c r="F532" s="10"/>
      <c r="G532" s="14">
        <v>30000000</v>
      </c>
      <c r="H532" s="14">
        <v>29559444.68</v>
      </c>
      <c r="I532" s="14">
        <v>30000000</v>
      </c>
      <c r="J532" s="14">
        <v>29559444.68</v>
      </c>
      <c r="K532" s="12">
        <v>10506</v>
      </c>
      <c r="L532" s="10" t="s">
        <v>101</v>
      </c>
      <c r="M532" s="10" t="s">
        <v>102</v>
      </c>
      <c r="N532" s="124" t="s">
        <v>348</v>
      </c>
      <c r="O532" s="124" t="s">
        <v>348</v>
      </c>
      <c r="P532" s="21">
        <v>32</v>
      </c>
      <c r="Q532" s="10" t="s">
        <v>54</v>
      </c>
      <c r="R532" s="10" t="s">
        <v>28</v>
      </c>
      <c r="S532" s="10"/>
      <c r="T532" s="10"/>
      <c r="U532" s="10" t="s">
        <v>1900</v>
      </c>
      <c r="V532" s="10" t="s">
        <v>1900</v>
      </c>
      <c r="W532" s="50">
        <f>+J532/$W$2</f>
        <v>3.9298007153680471E-4</v>
      </c>
      <c r="AC532" s="47"/>
    </row>
    <row r="533" spans="1:29">
      <c r="A533" s="10" t="s">
        <v>2321</v>
      </c>
      <c r="B533" s="10" t="s">
        <v>381</v>
      </c>
      <c r="C533" s="124">
        <v>46311</v>
      </c>
      <c r="D533" s="124" t="s">
        <v>492</v>
      </c>
      <c r="E533" s="21">
        <v>0.98576726000000003</v>
      </c>
      <c r="F533" s="10"/>
      <c r="G533" s="14">
        <v>50000000</v>
      </c>
      <c r="H533" s="14">
        <v>49288363.119999997</v>
      </c>
      <c r="I533" s="14">
        <v>50000000</v>
      </c>
      <c r="J533" s="14">
        <v>49288363.119999997</v>
      </c>
      <c r="K533" s="12">
        <v>16836861</v>
      </c>
      <c r="L533" s="10" t="s">
        <v>101</v>
      </c>
      <c r="M533" s="10" t="s">
        <v>102</v>
      </c>
      <c r="N533" s="124" t="s">
        <v>536</v>
      </c>
      <c r="O533" s="124" t="s">
        <v>536</v>
      </c>
      <c r="P533" s="21">
        <v>31</v>
      </c>
      <c r="Q533" s="10" t="s">
        <v>54</v>
      </c>
      <c r="R533" s="10" t="s">
        <v>28</v>
      </c>
      <c r="S533" s="10"/>
      <c r="T533" s="10"/>
      <c r="U533" s="10" t="s">
        <v>2318</v>
      </c>
      <c r="V533" s="10" t="s">
        <v>2318</v>
      </c>
      <c r="W533" s="50">
        <f>+J533/$W$2</f>
        <v>6.5526753545322718E-4</v>
      </c>
    </row>
    <row r="534" spans="1:29">
      <c r="A534" s="10" t="s">
        <v>290</v>
      </c>
      <c r="B534" s="10" t="s">
        <v>381</v>
      </c>
      <c r="C534" s="124">
        <v>46311</v>
      </c>
      <c r="D534" s="124" t="s">
        <v>492</v>
      </c>
      <c r="E534" s="21">
        <v>0.98396011999999999</v>
      </c>
      <c r="F534" s="10"/>
      <c r="G534" s="14">
        <v>3455000</v>
      </c>
      <c r="H534" s="14">
        <v>3399582.2</v>
      </c>
      <c r="I534" s="14">
        <v>3455000</v>
      </c>
      <c r="J534" s="14">
        <v>3399582.2</v>
      </c>
      <c r="K534" s="12">
        <v>40773792</v>
      </c>
      <c r="L534" s="10" t="s">
        <v>101</v>
      </c>
      <c r="M534" s="10" t="s">
        <v>102</v>
      </c>
      <c r="N534" s="124" t="s">
        <v>414</v>
      </c>
      <c r="O534" s="124" t="s">
        <v>414</v>
      </c>
      <c r="P534" s="21">
        <v>35</v>
      </c>
      <c r="Q534" s="10" t="s">
        <v>54</v>
      </c>
      <c r="R534" s="10" t="s">
        <v>28</v>
      </c>
      <c r="S534" s="10"/>
      <c r="T534" s="10"/>
      <c r="U534" s="10" t="s">
        <v>1472</v>
      </c>
      <c r="V534" s="10" t="s">
        <v>1472</v>
      </c>
      <c r="W534" s="50">
        <f>+J534/$W$2</f>
        <v>4.5195979512266263E-5</v>
      </c>
    </row>
    <row r="535" spans="1:29">
      <c r="A535" s="10" t="s">
        <v>464</v>
      </c>
      <c r="B535" s="10" t="s">
        <v>125</v>
      </c>
      <c r="C535" s="124">
        <v>46311</v>
      </c>
      <c r="D535" s="124" t="s">
        <v>492</v>
      </c>
      <c r="E535" s="21">
        <v>0.99628799000000001</v>
      </c>
      <c r="F535" s="10" t="s">
        <v>3573</v>
      </c>
      <c r="G535" s="14">
        <v>18230</v>
      </c>
      <c r="H535" s="14">
        <v>18162.330000000002</v>
      </c>
      <c r="I535" s="14">
        <v>27781968.690000001</v>
      </c>
      <c r="J535" s="14">
        <v>27678841.66</v>
      </c>
      <c r="K535" s="12">
        <v>146445</v>
      </c>
      <c r="L535" s="10" t="s">
        <v>101</v>
      </c>
      <c r="M535" s="10" t="s">
        <v>102</v>
      </c>
      <c r="N535" s="124" t="s">
        <v>301</v>
      </c>
      <c r="O535" s="124" t="s">
        <v>301</v>
      </c>
      <c r="P535" s="21">
        <v>8</v>
      </c>
      <c r="Q535" s="10" t="s">
        <v>54</v>
      </c>
      <c r="R535" s="10" t="s">
        <v>28</v>
      </c>
      <c r="S535" s="10"/>
      <c r="T535" s="10"/>
      <c r="U535" s="10" t="s">
        <v>447</v>
      </c>
      <c r="V535" s="10" t="s">
        <v>447</v>
      </c>
      <c r="W535" s="50">
        <f>+J535/$W$2</f>
        <v>3.6797826526701488E-4</v>
      </c>
    </row>
    <row r="536" spans="1:29">
      <c r="A536" s="10" t="s">
        <v>465</v>
      </c>
      <c r="B536" s="10" t="s">
        <v>381</v>
      </c>
      <c r="C536" s="124">
        <v>46311</v>
      </c>
      <c r="D536" s="124" t="s">
        <v>492</v>
      </c>
      <c r="E536" s="21">
        <v>0.98486282999999997</v>
      </c>
      <c r="F536" s="10"/>
      <c r="G536" s="14">
        <v>36666666</v>
      </c>
      <c r="H536" s="14">
        <v>36111636.57</v>
      </c>
      <c r="I536" s="14">
        <v>36666666</v>
      </c>
      <c r="J536" s="14">
        <v>36111636.57</v>
      </c>
      <c r="K536" s="12">
        <v>14537769</v>
      </c>
      <c r="L536" s="10" t="s">
        <v>101</v>
      </c>
      <c r="M536" s="10" t="s">
        <v>102</v>
      </c>
      <c r="N536" s="124" t="s">
        <v>483</v>
      </c>
      <c r="O536" s="124" t="s">
        <v>483</v>
      </c>
      <c r="P536" s="21">
        <v>33</v>
      </c>
      <c r="Q536" s="10" t="s">
        <v>54</v>
      </c>
      <c r="R536" s="10" t="s">
        <v>28</v>
      </c>
      <c r="S536" s="10"/>
      <c r="T536" s="10"/>
      <c r="U536" s="10" t="s">
        <v>2456</v>
      </c>
      <c r="V536" s="10" t="s">
        <v>2456</v>
      </c>
      <c r="W536" s="50">
        <f>+J536/$W$2</f>
        <v>4.8008863753084868E-4</v>
      </c>
    </row>
    <row r="537" spans="1:29">
      <c r="A537" s="10" t="s">
        <v>465</v>
      </c>
      <c r="B537" s="10" t="s">
        <v>381</v>
      </c>
      <c r="C537" s="124">
        <v>46311</v>
      </c>
      <c r="D537" s="124" t="s">
        <v>492</v>
      </c>
      <c r="E537" s="21">
        <v>0.98486291000000004</v>
      </c>
      <c r="F537" s="10"/>
      <c r="G537" s="14">
        <v>25000000</v>
      </c>
      <c r="H537" s="14">
        <v>24621572.77</v>
      </c>
      <c r="I537" s="14">
        <v>25000000</v>
      </c>
      <c r="J537" s="14">
        <v>24621572.77</v>
      </c>
      <c r="K537" s="12">
        <v>14422592</v>
      </c>
      <c r="L537" s="10" t="s">
        <v>101</v>
      </c>
      <c r="M537" s="10" t="s">
        <v>102</v>
      </c>
      <c r="N537" s="124" t="s">
        <v>390</v>
      </c>
      <c r="O537" s="124" t="s">
        <v>390</v>
      </c>
      <c r="P537" s="21">
        <v>33</v>
      </c>
      <c r="Q537" s="10" t="s">
        <v>54</v>
      </c>
      <c r="R537" s="10" t="s">
        <v>28</v>
      </c>
      <c r="S537" s="10"/>
      <c r="T537" s="10"/>
      <c r="U537" s="10" t="s">
        <v>2049</v>
      </c>
      <c r="V537" s="10" t="s">
        <v>2049</v>
      </c>
      <c r="W537" s="50">
        <f>+J537/$W$2</f>
        <v>3.2733319361205414E-4</v>
      </c>
    </row>
    <row r="538" spans="1:29">
      <c r="A538" s="10" t="s">
        <v>465</v>
      </c>
      <c r="B538" s="10" t="s">
        <v>381</v>
      </c>
      <c r="C538" s="124">
        <v>46311</v>
      </c>
      <c r="D538" s="124" t="s">
        <v>492</v>
      </c>
      <c r="E538" s="21">
        <v>0.98531484000000003</v>
      </c>
      <c r="F538" s="10"/>
      <c r="G538" s="14">
        <v>10000000</v>
      </c>
      <c r="H538" s="14">
        <v>9853148.4000000004</v>
      </c>
      <c r="I538" s="14">
        <v>10000000</v>
      </c>
      <c r="J538" s="14">
        <v>9853148.4000000004</v>
      </c>
      <c r="K538" s="12">
        <v>14422565</v>
      </c>
      <c r="L538" s="10" t="s">
        <v>101</v>
      </c>
      <c r="M538" s="10" t="s">
        <v>102</v>
      </c>
      <c r="N538" s="124" t="s">
        <v>164</v>
      </c>
      <c r="O538" s="124" t="s">
        <v>164</v>
      </c>
      <c r="P538" s="21">
        <v>32</v>
      </c>
      <c r="Q538" s="10" t="s">
        <v>54</v>
      </c>
      <c r="R538" s="10" t="s">
        <v>28</v>
      </c>
      <c r="S538" s="10"/>
      <c r="T538" s="10"/>
      <c r="U538" s="10" t="s">
        <v>1965</v>
      </c>
      <c r="V538" s="10" t="s">
        <v>1965</v>
      </c>
      <c r="W538" s="50">
        <f>+J538/$W$2</f>
        <v>1.3099335948332685E-4</v>
      </c>
    </row>
    <row r="539" spans="1:29">
      <c r="A539" s="10" t="s">
        <v>1152</v>
      </c>
      <c r="B539" s="10" t="s">
        <v>381</v>
      </c>
      <c r="C539" s="124">
        <v>46311</v>
      </c>
      <c r="D539" s="124" t="s">
        <v>492</v>
      </c>
      <c r="E539" s="21">
        <v>0.98441129999999999</v>
      </c>
      <c r="F539" s="10"/>
      <c r="G539" s="14">
        <v>10000000</v>
      </c>
      <c r="H539" s="14">
        <v>9844112.9600000009</v>
      </c>
      <c r="I539" s="14">
        <v>10000000</v>
      </c>
      <c r="J539" s="14">
        <v>9844112.9600000009</v>
      </c>
      <c r="K539" s="12">
        <v>6034859</v>
      </c>
      <c r="L539" s="10" t="s">
        <v>101</v>
      </c>
      <c r="M539" s="10" t="s">
        <v>102</v>
      </c>
      <c r="N539" s="124" t="s">
        <v>364</v>
      </c>
      <c r="O539" s="124" t="s">
        <v>364</v>
      </c>
      <c r="P539" s="21">
        <v>34</v>
      </c>
      <c r="Q539" s="10" t="s">
        <v>54</v>
      </c>
      <c r="R539" s="10" t="s">
        <v>28</v>
      </c>
      <c r="S539" s="10"/>
      <c r="T539" s="10"/>
      <c r="U539" s="10" t="s">
        <v>1151</v>
      </c>
      <c r="V539" s="10" t="s">
        <v>1151</v>
      </c>
      <c r="W539" s="50">
        <f>+J539/$W$2</f>
        <v>1.3087323720444084E-4</v>
      </c>
    </row>
    <row r="540" spans="1:29">
      <c r="A540" s="10" t="s">
        <v>2914</v>
      </c>
      <c r="B540" s="10" t="s">
        <v>381</v>
      </c>
      <c r="C540" s="124">
        <v>46311</v>
      </c>
      <c r="D540" s="124" t="s">
        <v>492</v>
      </c>
      <c r="E540" s="21">
        <v>0.98803549000000002</v>
      </c>
      <c r="F540" s="10"/>
      <c r="G540" s="14">
        <v>5000000</v>
      </c>
      <c r="H540" s="14">
        <v>4940177.45</v>
      </c>
      <c r="I540" s="14">
        <v>5000000</v>
      </c>
      <c r="J540" s="14">
        <v>4940177.45</v>
      </c>
      <c r="K540" s="12">
        <v>92147552</v>
      </c>
      <c r="L540" s="10" t="s">
        <v>101</v>
      </c>
      <c r="M540" s="10" t="s">
        <v>102</v>
      </c>
      <c r="N540" s="124" t="s">
        <v>677</v>
      </c>
      <c r="O540" s="124" t="s">
        <v>677</v>
      </c>
      <c r="P540" s="21">
        <v>26</v>
      </c>
      <c r="Q540" s="10" t="s">
        <v>54</v>
      </c>
      <c r="R540" s="10" t="s">
        <v>28</v>
      </c>
      <c r="S540" s="10"/>
      <c r="T540" s="10"/>
      <c r="U540" s="10" t="s">
        <v>3276</v>
      </c>
      <c r="V540" s="10" t="s">
        <v>3276</v>
      </c>
      <c r="W540" s="50">
        <f>+J540/$W$2</f>
        <v>6.5677529084944559E-5</v>
      </c>
    </row>
    <row r="541" spans="1:29">
      <c r="A541" s="10" t="s">
        <v>2915</v>
      </c>
      <c r="B541" s="10" t="s">
        <v>381</v>
      </c>
      <c r="C541" s="124">
        <v>46311</v>
      </c>
      <c r="D541" s="124" t="s">
        <v>492</v>
      </c>
      <c r="E541" s="21">
        <v>0.98803534999999998</v>
      </c>
      <c r="F541" s="10"/>
      <c r="G541" s="14">
        <v>4636054.5</v>
      </c>
      <c r="H541" s="14">
        <v>4580585.7300000004</v>
      </c>
      <c r="I541" s="14">
        <v>4636054.5</v>
      </c>
      <c r="J541" s="14">
        <v>4580585.7300000004</v>
      </c>
      <c r="K541" s="12">
        <v>69910366</v>
      </c>
      <c r="L541" s="10" t="s">
        <v>101</v>
      </c>
      <c r="M541" s="10" t="s">
        <v>102</v>
      </c>
      <c r="N541" s="124" t="s">
        <v>531</v>
      </c>
      <c r="O541" s="124" t="s">
        <v>531</v>
      </c>
      <c r="P541" s="21">
        <v>26</v>
      </c>
      <c r="Q541" s="10" t="s">
        <v>54</v>
      </c>
      <c r="R541" s="10" t="s">
        <v>28</v>
      </c>
      <c r="S541" s="10"/>
      <c r="T541" s="10"/>
      <c r="U541" s="10" t="s">
        <v>3352</v>
      </c>
      <c r="V541" s="10" t="s">
        <v>3352</v>
      </c>
      <c r="W541" s="50">
        <f>+J541/$W$2</f>
        <v>6.0896912216818651E-5</v>
      </c>
    </row>
    <row r="542" spans="1:29">
      <c r="A542" s="10" t="s">
        <v>730</v>
      </c>
      <c r="B542" s="10" t="s">
        <v>381</v>
      </c>
      <c r="C542" s="124">
        <v>46311</v>
      </c>
      <c r="D542" s="124" t="s">
        <v>492</v>
      </c>
      <c r="E542" s="21">
        <v>0.98621999999999999</v>
      </c>
      <c r="F542" s="10"/>
      <c r="G542" s="14">
        <v>5674198</v>
      </c>
      <c r="H542" s="14">
        <v>5596007.54</v>
      </c>
      <c r="I542" s="14">
        <v>5674198</v>
      </c>
      <c r="J542" s="14">
        <v>5596007.54</v>
      </c>
      <c r="K542" s="12">
        <v>90044976</v>
      </c>
      <c r="L542" s="10" t="s">
        <v>101</v>
      </c>
      <c r="M542" s="10" t="s">
        <v>102</v>
      </c>
      <c r="N542" s="124" t="s">
        <v>552</v>
      </c>
      <c r="O542" s="124" t="s">
        <v>552</v>
      </c>
      <c r="P542" s="21">
        <v>30</v>
      </c>
      <c r="Q542" s="10" t="s">
        <v>54</v>
      </c>
      <c r="R542" s="10" t="s">
        <v>28</v>
      </c>
      <c r="S542" s="10"/>
      <c r="T542" s="10"/>
      <c r="U542" s="10" t="s">
        <v>2346</v>
      </c>
      <c r="V542" s="10" t="s">
        <v>2346</v>
      </c>
      <c r="W542" s="50">
        <f>+J542/$W$2</f>
        <v>7.4396507349734785E-5</v>
      </c>
    </row>
    <row r="543" spans="1:29">
      <c r="A543" s="10" t="s">
        <v>382</v>
      </c>
      <c r="B543" s="10" t="s">
        <v>381</v>
      </c>
      <c r="C543" s="124">
        <v>46311</v>
      </c>
      <c r="D543" s="124" t="s">
        <v>492</v>
      </c>
      <c r="E543" s="21">
        <v>0.98621996000000001</v>
      </c>
      <c r="F543" s="10"/>
      <c r="G543" s="14">
        <v>4000000</v>
      </c>
      <c r="H543" s="14">
        <v>3944879.83</v>
      </c>
      <c r="I543" s="14">
        <v>4000000</v>
      </c>
      <c r="J543" s="14">
        <v>3944879.83</v>
      </c>
      <c r="K543" s="12">
        <v>860</v>
      </c>
      <c r="L543" s="10" t="s">
        <v>101</v>
      </c>
      <c r="M543" s="10" t="s">
        <v>102</v>
      </c>
      <c r="N543" s="124" t="s">
        <v>391</v>
      </c>
      <c r="O543" s="124" t="s">
        <v>391</v>
      </c>
      <c r="P543" s="21">
        <v>30</v>
      </c>
      <c r="Q543" s="10" t="s">
        <v>54</v>
      </c>
      <c r="R543" s="10" t="s">
        <v>28</v>
      </c>
      <c r="S543" s="10"/>
      <c r="T543" s="10"/>
      <c r="U543" s="10" t="s">
        <v>1280</v>
      </c>
      <c r="V543" s="10" t="s">
        <v>1280</v>
      </c>
      <c r="W543" s="50">
        <f>+J543/$W$2</f>
        <v>5.2445476380901283E-5</v>
      </c>
    </row>
    <row r="544" spans="1:29">
      <c r="A544" s="10" t="s">
        <v>382</v>
      </c>
      <c r="B544" s="10" t="s">
        <v>381</v>
      </c>
      <c r="C544" s="124">
        <v>46311</v>
      </c>
      <c r="D544" s="124" t="s">
        <v>492</v>
      </c>
      <c r="E544" s="21">
        <v>0.98621998</v>
      </c>
      <c r="F544" s="10"/>
      <c r="G544" s="14">
        <v>2500000</v>
      </c>
      <c r="H544" s="14">
        <v>2465549.9500000002</v>
      </c>
      <c r="I544" s="14">
        <v>2500000</v>
      </c>
      <c r="J544" s="14">
        <v>2465549.9500000002</v>
      </c>
      <c r="K544" s="12">
        <v>883</v>
      </c>
      <c r="L544" s="10" t="s">
        <v>101</v>
      </c>
      <c r="M544" s="10" t="s">
        <v>102</v>
      </c>
      <c r="N544" s="124" t="s">
        <v>435</v>
      </c>
      <c r="O544" s="124" t="s">
        <v>435</v>
      </c>
      <c r="P544" s="21">
        <v>30</v>
      </c>
      <c r="Q544" s="10" t="s">
        <v>54</v>
      </c>
      <c r="R544" s="10" t="s">
        <v>28</v>
      </c>
      <c r="S544" s="10"/>
      <c r="T544" s="10"/>
      <c r="U544" s="10" t="s">
        <v>1318</v>
      </c>
      <c r="V544" s="10" t="s">
        <v>1318</v>
      </c>
      <c r="W544" s="50">
        <f>+J544/$W$2</f>
        <v>3.2778423485882799E-5</v>
      </c>
    </row>
    <row r="545" spans="1:29">
      <c r="A545" s="10" t="s">
        <v>382</v>
      </c>
      <c r="B545" s="10" t="s">
        <v>381</v>
      </c>
      <c r="C545" s="124">
        <v>46311</v>
      </c>
      <c r="D545" s="124" t="s">
        <v>492</v>
      </c>
      <c r="E545" s="21">
        <v>0.98621999000000005</v>
      </c>
      <c r="F545" s="10"/>
      <c r="G545" s="14">
        <v>2500000</v>
      </c>
      <c r="H545" s="14">
        <v>2465549.98</v>
      </c>
      <c r="I545" s="14">
        <v>2500000</v>
      </c>
      <c r="J545" s="14">
        <v>2465549.98</v>
      </c>
      <c r="K545" s="12">
        <v>913</v>
      </c>
      <c r="L545" s="10" t="s">
        <v>101</v>
      </c>
      <c r="M545" s="10" t="s">
        <v>102</v>
      </c>
      <c r="N545" s="124" t="s">
        <v>548</v>
      </c>
      <c r="O545" s="124" t="s">
        <v>548</v>
      </c>
      <c r="P545" s="21">
        <v>30</v>
      </c>
      <c r="Q545" s="10" t="s">
        <v>54</v>
      </c>
      <c r="R545" s="10" t="s">
        <v>28</v>
      </c>
      <c r="S545" s="10"/>
      <c r="T545" s="10"/>
      <c r="U545" s="10" t="s">
        <v>1362</v>
      </c>
      <c r="V545" s="10" t="s">
        <v>1362</v>
      </c>
      <c r="W545" s="50">
        <f>+J545/$W$2</f>
        <v>3.2778423884719863E-5</v>
      </c>
    </row>
    <row r="546" spans="1:29">
      <c r="A546" s="10" t="s">
        <v>477</v>
      </c>
      <c r="B546" s="10" t="s">
        <v>381</v>
      </c>
      <c r="C546" s="124">
        <v>46314</v>
      </c>
      <c r="D546" s="124" t="s">
        <v>492</v>
      </c>
      <c r="E546" s="21">
        <v>0.98488940000000003</v>
      </c>
      <c r="F546" s="10"/>
      <c r="G546" s="14">
        <v>30000000</v>
      </c>
      <c r="H546" s="14">
        <v>29546681.859999999</v>
      </c>
      <c r="I546" s="14">
        <v>30000000</v>
      </c>
      <c r="J546" s="14">
        <v>29546681.859999999</v>
      </c>
      <c r="K546" s="12">
        <v>29600865</v>
      </c>
      <c r="L546" s="10" t="s">
        <v>101</v>
      </c>
      <c r="M546" s="10" t="s">
        <v>102</v>
      </c>
      <c r="N546" s="124" t="s">
        <v>395</v>
      </c>
      <c r="O546" s="124" t="s">
        <v>395</v>
      </c>
      <c r="P546" s="21">
        <v>28</v>
      </c>
      <c r="Q546" s="10" t="s">
        <v>54</v>
      </c>
      <c r="R546" s="10" t="s">
        <v>28</v>
      </c>
      <c r="S546" s="10"/>
      <c r="T546" s="10"/>
      <c r="U546" s="10" t="s">
        <v>817</v>
      </c>
      <c r="V546" s="10" t="s">
        <v>817</v>
      </c>
      <c r="W546" s="50">
        <f>+J546/$W$2</f>
        <v>3.9281039534799577E-4</v>
      </c>
    </row>
    <row r="547" spans="1:29">
      <c r="A547" s="10" t="s">
        <v>382</v>
      </c>
      <c r="B547" s="10" t="s">
        <v>381</v>
      </c>
      <c r="C547" s="124">
        <v>46314</v>
      </c>
      <c r="D547" s="124" t="s">
        <v>492</v>
      </c>
      <c r="E547" s="21">
        <v>0.98382753000000001</v>
      </c>
      <c r="F547" s="10"/>
      <c r="G547" s="14">
        <v>10000000</v>
      </c>
      <c r="H547" s="14">
        <v>9838275.25</v>
      </c>
      <c r="I547" s="14">
        <v>10000000</v>
      </c>
      <c r="J547" s="14">
        <v>9838275.25</v>
      </c>
      <c r="K547" s="12">
        <v>726</v>
      </c>
      <c r="L547" s="10" t="s">
        <v>101</v>
      </c>
      <c r="M547" s="10" t="s">
        <v>102</v>
      </c>
      <c r="N547" s="124" t="s">
        <v>156</v>
      </c>
      <c r="O547" s="124" t="s">
        <v>156</v>
      </c>
      <c r="P547" s="21">
        <v>30</v>
      </c>
      <c r="Q547" s="10" t="s">
        <v>54</v>
      </c>
      <c r="R547" s="10" t="s">
        <v>28</v>
      </c>
      <c r="S547" s="10"/>
      <c r="T547" s="10"/>
      <c r="U547" s="10" t="s">
        <v>744</v>
      </c>
      <c r="V547" s="10" t="s">
        <v>744</v>
      </c>
      <c r="W547" s="50">
        <f>+J547/$W$2</f>
        <v>1.3079562736710299E-4</v>
      </c>
    </row>
    <row r="548" spans="1:29">
      <c r="A548" s="10" t="s">
        <v>382</v>
      </c>
      <c r="B548" s="10" t="s">
        <v>381</v>
      </c>
      <c r="C548" s="124">
        <v>46314</v>
      </c>
      <c r="D548" s="124" t="s">
        <v>492</v>
      </c>
      <c r="E548" s="21">
        <v>0.98382753999999994</v>
      </c>
      <c r="F548" s="10"/>
      <c r="G548" s="14">
        <v>6500000</v>
      </c>
      <c r="H548" s="14">
        <v>6394878.9900000002</v>
      </c>
      <c r="I548" s="14">
        <v>6500000</v>
      </c>
      <c r="J548" s="14">
        <v>6394878.9900000002</v>
      </c>
      <c r="K548" s="12">
        <v>743</v>
      </c>
      <c r="L548" s="10" t="s">
        <v>101</v>
      </c>
      <c r="M548" s="10" t="s">
        <v>102</v>
      </c>
      <c r="N548" s="124" t="s">
        <v>399</v>
      </c>
      <c r="O548" s="124" t="s">
        <v>399</v>
      </c>
      <c r="P548" s="21">
        <v>30</v>
      </c>
      <c r="Q548" s="10" t="s">
        <v>54</v>
      </c>
      <c r="R548" s="10" t="s">
        <v>28</v>
      </c>
      <c r="S548" s="10"/>
      <c r="T548" s="10"/>
      <c r="U548" s="10" t="s">
        <v>841</v>
      </c>
      <c r="V548" s="10" t="s">
        <v>841</v>
      </c>
      <c r="W548" s="50">
        <f>+J548/$W$2</f>
        <v>8.5017158818946048E-5</v>
      </c>
    </row>
    <row r="549" spans="1:29">
      <c r="A549" s="10" t="s">
        <v>382</v>
      </c>
      <c r="B549" s="10" t="s">
        <v>381</v>
      </c>
      <c r="C549" s="124">
        <v>46314</v>
      </c>
      <c r="D549" s="124" t="s">
        <v>492</v>
      </c>
      <c r="E549" s="21">
        <v>0.98382751999999996</v>
      </c>
      <c r="F549" s="10"/>
      <c r="G549" s="14">
        <v>5000000</v>
      </c>
      <c r="H549" s="14">
        <v>4919137.5999999996</v>
      </c>
      <c r="I549" s="14">
        <v>5000000</v>
      </c>
      <c r="J549" s="14">
        <v>4919137.5999999996</v>
      </c>
      <c r="K549" s="12">
        <v>792</v>
      </c>
      <c r="L549" s="10" t="s">
        <v>101</v>
      </c>
      <c r="M549" s="10" t="s">
        <v>102</v>
      </c>
      <c r="N549" s="124" t="s">
        <v>396</v>
      </c>
      <c r="O549" s="124" t="s">
        <v>396</v>
      </c>
      <c r="P549" s="21">
        <v>30</v>
      </c>
      <c r="Q549" s="10" t="s">
        <v>54</v>
      </c>
      <c r="R549" s="10" t="s">
        <v>28</v>
      </c>
      <c r="S549" s="10"/>
      <c r="T549" s="10"/>
      <c r="U549" s="10" t="s">
        <v>890</v>
      </c>
      <c r="V549" s="10" t="s">
        <v>890</v>
      </c>
      <c r="W549" s="50">
        <f>+J549/$W$2</f>
        <v>6.5397813351187275E-5</v>
      </c>
      <c r="AC549" s="47"/>
    </row>
    <row r="550" spans="1:29">
      <c r="A550" s="10" t="s">
        <v>382</v>
      </c>
      <c r="B550" s="10" t="s">
        <v>381</v>
      </c>
      <c r="C550" s="124">
        <v>46314</v>
      </c>
      <c r="D550" s="124" t="s">
        <v>492</v>
      </c>
      <c r="E550" s="21">
        <v>0.98276799000000004</v>
      </c>
      <c r="F550" s="10"/>
      <c r="G550" s="14">
        <v>10000000</v>
      </c>
      <c r="H550" s="14">
        <v>9827679.9399999995</v>
      </c>
      <c r="I550" s="14">
        <v>10000000</v>
      </c>
      <c r="J550" s="14">
        <v>9827679.9399999995</v>
      </c>
      <c r="K550" s="12">
        <v>1102</v>
      </c>
      <c r="L550" s="10" t="s">
        <v>101</v>
      </c>
      <c r="M550" s="10" t="s">
        <v>102</v>
      </c>
      <c r="N550" s="124" t="s">
        <v>348</v>
      </c>
      <c r="O550" s="124" t="s">
        <v>348</v>
      </c>
      <c r="P550" s="21">
        <v>32</v>
      </c>
      <c r="Q550" s="10" t="s">
        <v>54</v>
      </c>
      <c r="R550" s="10" t="s">
        <v>28</v>
      </c>
      <c r="S550" s="10"/>
      <c r="T550" s="10"/>
      <c r="U550" s="10" t="s">
        <v>1891</v>
      </c>
      <c r="V550" s="10" t="s">
        <v>1891</v>
      </c>
      <c r="W550" s="50">
        <f>+J550/$W$2</f>
        <v>1.3065476728915397E-4</v>
      </c>
    </row>
    <row r="551" spans="1:29">
      <c r="A551" s="10" t="s">
        <v>2994</v>
      </c>
      <c r="B551" s="10" t="s">
        <v>381</v>
      </c>
      <c r="C551" s="124">
        <v>46314</v>
      </c>
      <c r="D551" s="124" t="s">
        <v>492</v>
      </c>
      <c r="E551" s="21">
        <v>0.98223903999999995</v>
      </c>
      <c r="F551" s="10"/>
      <c r="G551" s="14">
        <v>4980525.82</v>
      </c>
      <c r="H551" s="14">
        <v>4892066.91</v>
      </c>
      <c r="I551" s="14">
        <v>4980525.82</v>
      </c>
      <c r="J551" s="14">
        <v>4892066.91</v>
      </c>
      <c r="K551" s="12">
        <v>6009</v>
      </c>
      <c r="L551" s="10" t="s">
        <v>101</v>
      </c>
      <c r="M551" s="10" t="s">
        <v>102</v>
      </c>
      <c r="N551" s="124" t="s">
        <v>434</v>
      </c>
      <c r="O551" s="124" t="s">
        <v>434</v>
      </c>
      <c r="P551" s="21">
        <v>33</v>
      </c>
      <c r="Q551" s="10" t="s">
        <v>54</v>
      </c>
      <c r="R551" s="10" t="s">
        <v>28</v>
      </c>
      <c r="S551" s="10"/>
      <c r="T551" s="10"/>
      <c r="U551" s="10" t="s">
        <v>2977</v>
      </c>
      <c r="V551" s="10" t="s">
        <v>2977</v>
      </c>
      <c r="W551" s="50">
        <f>+J551/$W$2</f>
        <v>6.5037920200016264E-5</v>
      </c>
    </row>
    <row r="552" spans="1:29">
      <c r="A552" s="10" t="s">
        <v>3263</v>
      </c>
      <c r="B552" s="10" t="s">
        <v>381</v>
      </c>
      <c r="C552" s="124">
        <v>46314</v>
      </c>
      <c r="D552" s="124" t="s">
        <v>492</v>
      </c>
      <c r="E552" s="21">
        <v>0.98223916</v>
      </c>
      <c r="F552" s="10"/>
      <c r="G552" s="14">
        <v>250000</v>
      </c>
      <c r="H552" s="14">
        <v>245559.79</v>
      </c>
      <c r="I552" s="14">
        <v>250000</v>
      </c>
      <c r="J552" s="14">
        <v>245559.79</v>
      </c>
      <c r="K552" s="12">
        <v>6</v>
      </c>
      <c r="L552" s="10" t="s">
        <v>101</v>
      </c>
      <c r="M552" s="10" t="s">
        <v>102</v>
      </c>
      <c r="N552" s="124" t="s">
        <v>472</v>
      </c>
      <c r="O552" s="124" t="s">
        <v>472</v>
      </c>
      <c r="P552" s="21">
        <v>33</v>
      </c>
      <c r="Q552" s="10" t="s">
        <v>54</v>
      </c>
      <c r="R552" s="10" t="s">
        <v>28</v>
      </c>
      <c r="S552" s="10"/>
      <c r="T552" s="10"/>
      <c r="U552" s="10" t="s">
        <v>3254</v>
      </c>
      <c r="V552" s="10" t="s">
        <v>3254</v>
      </c>
      <c r="W552" s="50">
        <f>+J552/$W$2</f>
        <v>3.2646115272272005E-6</v>
      </c>
    </row>
    <row r="553" spans="1:29">
      <c r="A553" s="10" t="s">
        <v>353</v>
      </c>
      <c r="B553" s="10" t="s">
        <v>381</v>
      </c>
      <c r="C553" s="124">
        <v>46314</v>
      </c>
      <c r="D553" s="124" t="s">
        <v>492</v>
      </c>
      <c r="E553" s="21">
        <v>0.98065564999999999</v>
      </c>
      <c r="F553" s="10"/>
      <c r="G553" s="14">
        <v>2954385</v>
      </c>
      <c r="H553" s="14">
        <v>2897234.33</v>
      </c>
      <c r="I553" s="14">
        <v>2954385</v>
      </c>
      <c r="J553" s="14">
        <v>2897234.33</v>
      </c>
      <c r="K553" s="12">
        <v>3296</v>
      </c>
      <c r="L553" s="10" t="s">
        <v>101</v>
      </c>
      <c r="M553" s="10" t="s">
        <v>102</v>
      </c>
      <c r="N553" s="124" t="s">
        <v>425</v>
      </c>
      <c r="O553" s="124" t="s">
        <v>425</v>
      </c>
      <c r="P553" s="21">
        <v>36</v>
      </c>
      <c r="Q553" s="10" t="s">
        <v>54</v>
      </c>
      <c r="R553" s="10" t="s">
        <v>28</v>
      </c>
      <c r="S553" s="10"/>
      <c r="T553" s="10"/>
      <c r="U553" s="10" t="s">
        <v>1722</v>
      </c>
      <c r="V553" s="10" t="s">
        <v>1722</v>
      </c>
      <c r="W553" s="50">
        <f>+J553/$W$2</f>
        <v>3.8517481183692064E-5</v>
      </c>
    </row>
    <row r="554" spans="1:29">
      <c r="A554" s="10" t="s">
        <v>353</v>
      </c>
      <c r="B554" s="10" t="s">
        <v>381</v>
      </c>
      <c r="C554" s="124">
        <v>46314</v>
      </c>
      <c r="D554" s="124" t="s">
        <v>492</v>
      </c>
      <c r="E554" s="21">
        <v>0.98065568000000003</v>
      </c>
      <c r="F554" s="10"/>
      <c r="G554" s="14">
        <v>1874176.47</v>
      </c>
      <c r="H554" s="14">
        <v>1837921.81</v>
      </c>
      <c r="I554" s="14">
        <v>1874176.47</v>
      </c>
      <c r="J554" s="14">
        <v>1837921.81</v>
      </c>
      <c r="K554" s="12">
        <v>3459</v>
      </c>
      <c r="L554" s="10" t="s">
        <v>101</v>
      </c>
      <c r="M554" s="10" t="s">
        <v>102</v>
      </c>
      <c r="N554" s="124" t="s">
        <v>431</v>
      </c>
      <c r="O554" s="124" t="s">
        <v>431</v>
      </c>
      <c r="P554" s="21">
        <v>36</v>
      </c>
      <c r="Q554" s="10" t="s">
        <v>54</v>
      </c>
      <c r="R554" s="10" t="s">
        <v>28</v>
      </c>
      <c r="S554" s="10"/>
      <c r="T554" s="10"/>
      <c r="U554" s="10" t="s">
        <v>2282</v>
      </c>
      <c r="V554" s="10" t="s">
        <v>2282</v>
      </c>
      <c r="W554" s="50">
        <f>+J554/$W$2</f>
        <v>2.4434377986185283E-5</v>
      </c>
    </row>
    <row r="555" spans="1:29">
      <c r="A555" s="10" t="s">
        <v>2622</v>
      </c>
      <c r="B555" s="10" t="s">
        <v>381</v>
      </c>
      <c r="C555" s="124">
        <v>46314</v>
      </c>
      <c r="D555" s="124" t="s">
        <v>492</v>
      </c>
      <c r="E555" s="21">
        <v>0.98276803000000001</v>
      </c>
      <c r="F555" s="10"/>
      <c r="G555" s="14">
        <v>5000000</v>
      </c>
      <c r="H555" s="14">
        <v>4913840.1399999997</v>
      </c>
      <c r="I555" s="14">
        <v>5000000</v>
      </c>
      <c r="J555" s="14">
        <v>4913840.1399999997</v>
      </c>
      <c r="K555" s="12">
        <v>1267</v>
      </c>
      <c r="L555" s="10" t="s">
        <v>101</v>
      </c>
      <c r="M555" s="10" t="s">
        <v>102</v>
      </c>
      <c r="N555" s="124" t="s">
        <v>423</v>
      </c>
      <c r="O555" s="124" t="s">
        <v>423</v>
      </c>
      <c r="P555" s="21">
        <v>32</v>
      </c>
      <c r="Q555" s="10" t="s">
        <v>54</v>
      </c>
      <c r="R555" s="10" t="s">
        <v>28</v>
      </c>
      <c r="S555" s="10"/>
      <c r="T555" s="10"/>
      <c r="U555" s="10" t="s">
        <v>2584</v>
      </c>
      <c r="V555" s="10" t="s">
        <v>2584</v>
      </c>
      <c r="W555" s="50">
        <f>+J555/$W$2</f>
        <v>6.5327385904653685E-5</v>
      </c>
    </row>
    <row r="556" spans="1:29">
      <c r="A556" s="10" t="s">
        <v>494</v>
      </c>
      <c r="B556" s="10" t="s">
        <v>381</v>
      </c>
      <c r="C556" s="124">
        <v>46314</v>
      </c>
      <c r="D556" s="124" t="s">
        <v>492</v>
      </c>
      <c r="E556" s="21">
        <v>0.98648650999999998</v>
      </c>
      <c r="F556" s="10"/>
      <c r="G556" s="14">
        <v>882614.45</v>
      </c>
      <c r="H556" s="14">
        <v>870687.25</v>
      </c>
      <c r="I556" s="14">
        <v>882614.45</v>
      </c>
      <c r="J556" s="14">
        <v>870687.25</v>
      </c>
      <c r="K556" s="12">
        <v>3905487</v>
      </c>
      <c r="L556" s="10" t="s">
        <v>101</v>
      </c>
      <c r="M556" s="10" t="s">
        <v>102</v>
      </c>
      <c r="N556" s="124" t="s">
        <v>677</v>
      </c>
      <c r="O556" s="124" t="s">
        <v>677</v>
      </c>
      <c r="P556" s="21">
        <v>25</v>
      </c>
      <c r="Q556" s="10" t="s">
        <v>54</v>
      </c>
      <c r="R556" s="10" t="s">
        <v>28</v>
      </c>
      <c r="S556" s="10"/>
      <c r="T556" s="10"/>
      <c r="U556" s="10" t="s">
        <v>3324</v>
      </c>
      <c r="V556" s="10" t="s">
        <v>3324</v>
      </c>
      <c r="W556" s="50">
        <f>+J556/$W$2</f>
        <v>1.1575411564571509E-5</v>
      </c>
    </row>
    <row r="557" spans="1:29">
      <c r="A557" s="10" t="s">
        <v>494</v>
      </c>
      <c r="B557" s="10" t="s">
        <v>381</v>
      </c>
      <c r="C557" s="124">
        <v>46314</v>
      </c>
      <c r="D557" s="124" t="s">
        <v>492</v>
      </c>
      <c r="E557" s="21">
        <v>0.98648652000000003</v>
      </c>
      <c r="F557" s="10"/>
      <c r="G557" s="14">
        <v>5000000</v>
      </c>
      <c r="H557" s="14">
        <v>4932432.58</v>
      </c>
      <c r="I557" s="14">
        <v>5000000</v>
      </c>
      <c r="J557" s="14">
        <v>4932432.58</v>
      </c>
      <c r="K557" s="12">
        <v>11253152</v>
      </c>
      <c r="L557" s="10" t="s">
        <v>101</v>
      </c>
      <c r="M557" s="10" t="s">
        <v>102</v>
      </c>
      <c r="N557" s="124" t="s">
        <v>677</v>
      </c>
      <c r="O557" s="124" t="s">
        <v>677</v>
      </c>
      <c r="P557" s="21">
        <v>25</v>
      </c>
      <c r="Q557" s="10" t="s">
        <v>54</v>
      </c>
      <c r="R557" s="10" t="s">
        <v>28</v>
      </c>
      <c r="S557" s="10"/>
      <c r="T557" s="10"/>
      <c r="U557" s="10" t="s">
        <v>3325</v>
      </c>
      <c r="V557" s="10" t="s">
        <v>3325</v>
      </c>
      <c r="W557" s="50">
        <f>+J557/$W$2</f>
        <v>6.5574564377738722E-5</v>
      </c>
    </row>
    <row r="558" spans="1:29">
      <c r="A558" s="10" t="s">
        <v>494</v>
      </c>
      <c r="B558" s="10" t="s">
        <v>381</v>
      </c>
      <c r="C558" s="124">
        <v>46314</v>
      </c>
      <c r="D558" s="124" t="s">
        <v>492</v>
      </c>
      <c r="E558" s="21">
        <v>0.98648652000000003</v>
      </c>
      <c r="F558" s="10"/>
      <c r="G558" s="14">
        <v>1546940.82</v>
      </c>
      <c r="H558" s="14">
        <v>1526036.26</v>
      </c>
      <c r="I558" s="14">
        <v>1546940.82</v>
      </c>
      <c r="J558" s="14">
        <v>1526036.26</v>
      </c>
      <c r="K558" s="12">
        <v>10997068</v>
      </c>
      <c r="L558" s="10" t="s">
        <v>101</v>
      </c>
      <c r="M558" s="10" t="s">
        <v>102</v>
      </c>
      <c r="N558" s="124" t="s">
        <v>677</v>
      </c>
      <c r="O558" s="124" t="s">
        <v>677</v>
      </c>
      <c r="P558" s="21">
        <v>25</v>
      </c>
      <c r="Q558" s="10" t="s">
        <v>54</v>
      </c>
      <c r="R558" s="10" t="s">
        <v>28</v>
      </c>
      <c r="S558" s="10"/>
      <c r="T558" s="10"/>
      <c r="U558" s="10" t="s">
        <v>3326</v>
      </c>
      <c r="V558" s="10" t="s">
        <v>3326</v>
      </c>
      <c r="W558" s="50">
        <f>+J558/$W$2</f>
        <v>2.02879940781945E-5</v>
      </c>
    </row>
    <row r="559" spans="1:29">
      <c r="A559" s="10" t="s">
        <v>494</v>
      </c>
      <c r="B559" s="10" t="s">
        <v>381</v>
      </c>
      <c r="C559" s="124">
        <v>46314</v>
      </c>
      <c r="D559" s="124" t="s">
        <v>492</v>
      </c>
      <c r="E559" s="21">
        <v>0.98648654000000002</v>
      </c>
      <c r="F559" s="10"/>
      <c r="G559" s="14">
        <v>366054.15</v>
      </c>
      <c r="H559" s="14">
        <v>361107.49</v>
      </c>
      <c r="I559" s="14">
        <v>366054.15</v>
      </c>
      <c r="J559" s="14">
        <v>361107.49</v>
      </c>
      <c r="K559" s="12">
        <v>11392703</v>
      </c>
      <c r="L559" s="10" t="s">
        <v>101</v>
      </c>
      <c r="M559" s="10" t="s">
        <v>102</v>
      </c>
      <c r="N559" s="124" t="s">
        <v>677</v>
      </c>
      <c r="O559" s="124" t="s">
        <v>677</v>
      </c>
      <c r="P559" s="21">
        <v>25</v>
      </c>
      <c r="Q559" s="10" t="s">
        <v>54</v>
      </c>
      <c r="R559" s="10" t="s">
        <v>28</v>
      </c>
      <c r="S559" s="10"/>
      <c r="T559" s="10"/>
      <c r="U559" s="10" t="s">
        <v>3334</v>
      </c>
      <c r="V559" s="10" t="s">
        <v>3334</v>
      </c>
      <c r="W559" s="50">
        <f>+J559/$W$2</f>
        <v>4.8007683767040236E-6</v>
      </c>
    </row>
    <row r="560" spans="1:29">
      <c r="A560" s="10" t="s">
        <v>353</v>
      </c>
      <c r="B560" s="10" t="s">
        <v>381</v>
      </c>
      <c r="C560" s="124">
        <v>46314</v>
      </c>
      <c r="D560" s="124" t="s">
        <v>492</v>
      </c>
      <c r="E560" s="21">
        <v>0.98223903000000001</v>
      </c>
      <c r="F560" s="10"/>
      <c r="G560" s="14">
        <v>2502550.36</v>
      </c>
      <c r="H560" s="14">
        <v>2458102.64</v>
      </c>
      <c r="I560" s="14">
        <v>2502550.36</v>
      </c>
      <c r="J560" s="14">
        <v>2458102.64</v>
      </c>
      <c r="K560" s="12">
        <v>3126</v>
      </c>
      <c r="L560" s="10" t="s">
        <v>101</v>
      </c>
      <c r="M560" s="10" t="s">
        <v>102</v>
      </c>
      <c r="N560" s="124" t="s">
        <v>433</v>
      </c>
      <c r="O560" s="124" t="s">
        <v>433</v>
      </c>
      <c r="P560" s="21">
        <v>33</v>
      </c>
      <c r="Q560" s="10" t="s">
        <v>54</v>
      </c>
      <c r="R560" s="10" t="s">
        <v>28</v>
      </c>
      <c r="S560" s="10"/>
      <c r="T560" s="10"/>
      <c r="U560" s="10" t="s">
        <v>1093</v>
      </c>
      <c r="V560" s="10" t="s">
        <v>1093</v>
      </c>
      <c r="W560" s="50">
        <f>+J560/$W$2</f>
        <v>3.2679414710574614E-5</v>
      </c>
    </row>
    <row r="561" spans="1:29">
      <c r="A561" s="10" t="s">
        <v>353</v>
      </c>
      <c r="B561" s="10" t="s">
        <v>381</v>
      </c>
      <c r="C561" s="124">
        <v>46314</v>
      </c>
      <c r="D561" s="124" t="s">
        <v>492</v>
      </c>
      <c r="E561" s="21">
        <v>0.98223903000000001</v>
      </c>
      <c r="F561" s="10"/>
      <c r="G561" s="14">
        <v>2502550.36</v>
      </c>
      <c r="H561" s="14">
        <v>2458102.64</v>
      </c>
      <c r="I561" s="14">
        <v>2502550.36</v>
      </c>
      <c r="J561" s="14">
        <v>2458102.64</v>
      </c>
      <c r="K561" s="12">
        <v>3136</v>
      </c>
      <c r="L561" s="10" t="s">
        <v>101</v>
      </c>
      <c r="M561" s="10" t="s">
        <v>102</v>
      </c>
      <c r="N561" s="124" t="s">
        <v>433</v>
      </c>
      <c r="O561" s="124" t="s">
        <v>433</v>
      </c>
      <c r="P561" s="21">
        <v>33</v>
      </c>
      <c r="Q561" s="10" t="s">
        <v>54</v>
      </c>
      <c r="R561" s="10" t="s">
        <v>28</v>
      </c>
      <c r="S561" s="10"/>
      <c r="T561" s="10"/>
      <c r="U561" s="10" t="s">
        <v>1094</v>
      </c>
      <c r="V561" s="10" t="s">
        <v>1094</v>
      </c>
      <c r="W561" s="50">
        <f>+J561/$W$2</f>
        <v>3.2679414710574614E-5</v>
      </c>
    </row>
    <row r="562" spans="1:29">
      <c r="A562" s="10" t="s">
        <v>1940</v>
      </c>
      <c r="B562" s="10" t="s">
        <v>381</v>
      </c>
      <c r="C562" s="124">
        <v>46314</v>
      </c>
      <c r="D562" s="124" t="s">
        <v>492</v>
      </c>
      <c r="E562" s="21">
        <v>0.98329747999999995</v>
      </c>
      <c r="F562" s="10"/>
      <c r="G562" s="14">
        <v>5000000</v>
      </c>
      <c r="H562" s="14">
        <v>4916487.42</v>
      </c>
      <c r="I562" s="14">
        <v>5000000</v>
      </c>
      <c r="J562" s="14">
        <v>4916487.42</v>
      </c>
      <c r="K562" s="12">
        <v>92898</v>
      </c>
      <c r="L562" s="10" t="s">
        <v>101</v>
      </c>
      <c r="M562" s="10" t="s">
        <v>102</v>
      </c>
      <c r="N562" s="124" t="s">
        <v>436</v>
      </c>
      <c r="O562" s="124" t="s">
        <v>436</v>
      </c>
      <c r="P562" s="21">
        <v>31</v>
      </c>
      <c r="Q562" s="10" t="s">
        <v>54</v>
      </c>
      <c r="R562" s="10" t="s">
        <v>28</v>
      </c>
      <c r="S562" s="10"/>
      <c r="T562" s="10"/>
      <c r="U562" s="10" t="s">
        <v>1928</v>
      </c>
      <c r="V562" s="10" t="s">
        <v>1928</v>
      </c>
      <c r="W562" s="50">
        <f>+J562/$W$2</f>
        <v>6.5362580350795702E-5</v>
      </c>
    </row>
    <row r="563" spans="1:29">
      <c r="A563" s="10" t="s">
        <v>272</v>
      </c>
      <c r="B563" s="10" t="s">
        <v>381</v>
      </c>
      <c r="C563" s="124">
        <v>46314</v>
      </c>
      <c r="D563" s="124" t="s">
        <v>492</v>
      </c>
      <c r="E563" s="21">
        <v>0.98488938999999998</v>
      </c>
      <c r="F563" s="10"/>
      <c r="G563" s="14">
        <v>212000000</v>
      </c>
      <c r="H563" s="14">
        <v>208796550.53</v>
      </c>
      <c r="I563" s="14">
        <v>212000000</v>
      </c>
      <c r="J563" s="14">
        <v>208796550.53</v>
      </c>
      <c r="K563" s="12">
        <v>39</v>
      </c>
      <c r="L563" s="10" t="s">
        <v>101</v>
      </c>
      <c r="M563" s="10" t="s">
        <v>102</v>
      </c>
      <c r="N563" s="124" t="s">
        <v>352</v>
      </c>
      <c r="O563" s="124" t="s">
        <v>352</v>
      </c>
      <c r="P563" s="21">
        <v>28</v>
      </c>
      <c r="Q563" s="10" t="s">
        <v>54</v>
      </c>
      <c r="R563" s="10" t="s">
        <v>28</v>
      </c>
      <c r="S563" s="10"/>
      <c r="T563" s="10"/>
      <c r="U563" s="10" t="s">
        <v>786</v>
      </c>
      <c r="V563" s="10" t="s">
        <v>786</v>
      </c>
      <c r="W563" s="50">
        <f>+J563/$W$2</f>
        <v>2.7758601100999255E-3</v>
      </c>
      <c r="AC563" s="47"/>
    </row>
    <row r="564" spans="1:29">
      <c r="A564" s="10" t="s">
        <v>261</v>
      </c>
      <c r="B564" s="10" t="s">
        <v>381</v>
      </c>
      <c r="C564" s="124">
        <v>46314</v>
      </c>
      <c r="D564" s="124" t="s">
        <v>492</v>
      </c>
      <c r="E564" s="21">
        <v>0.98329741999999998</v>
      </c>
      <c r="F564" s="10"/>
      <c r="G564" s="14">
        <v>16500000</v>
      </c>
      <c r="H564" s="14">
        <v>16224407.359999999</v>
      </c>
      <c r="I564" s="14">
        <v>16500000</v>
      </c>
      <c r="J564" s="14">
        <v>16224407.359999999</v>
      </c>
      <c r="K564" s="12">
        <v>28676</v>
      </c>
      <c r="L564" s="10" t="s">
        <v>101</v>
      </c>
      <c r="M564" s="10" t="s">
        <v>102</v>
      </c>
      <c r="N564" s="124" t="s">
        <v>311</v>
      </c>
      <c r="O564" s="124" t="s">
        <v>311</v>
      </c>
      <c r="P564" s="21">
        <v>31</v>
      </c>
      <c r="Q564" s="10" t="s">
        <v>54</v>
      </c>
      <c r="R564" s="10" t="s">
        <v>28</v>
      </c>
      <c r="S564" s="10"/>
      <c r="T564" s="10"/>
      <c r="U564" s="10" t="s">
        <v>556</v>
      </c>
      <c r="V564" s="10" t="s">
        <v>556</v>
      </c>
      <c r="W564" s="50">
        <f>+J564/$W$2</f>
        <v>2.1569650018794131E-4</v>
      </c>
    </row>
    <row r="565" spans="1:29">
      <c r="A565" s="10" t="s">
        <v>273</v>
      </c>
      <c r="B565" s="10" t="s">
        <v>381</v>
      </c>
      <c r="C565" s="124">
        <v>46314</v>
      </c>
      <c r="D565" s="124" t="s">
        <v>492</v>
      </c>
      <c r="E565" s="21">
        <v>0.98542118999999995</v>
      </c>
      <c r="F565" s="10"/>
      <c r="G565" s="14">
        <v>20000000</v>
      </c>
      <c r="H565" s="14">
        <v>19708423.84</v>
      </c>
      <c r="I565" s="14">
        <v>20000000</v>
      </c>
      <c r="J565" s="14">
        <v>19708423.84</v>
      </c>
      <c r="K565" s="12">
        <v>68122791</v>
      </c>
      <c r="L565" s="10" t="s">
        <v>101</v>
      </c>
      <c r="M565" s="10" t="s">
        <v>102</v>
      </c>
      <c r="N565" s="124" t="s">
        <v>395</v>
      </c>
      <c r="O565" s="124" t="s">
        <v>395</v>
      </c>
      <c r="P565" s="21">
        <v>27</v>
      </c>
      <c r="Q565" s="10" t="s">
        <v>54</v>
      </c>
      <c r="R565" s="10" t="s">
        <v>28</v>
      </c>
      <c r="S565" s="10"/>
      <c r="T565" s="10"/>
      <c r="U565" s="10" t="s">
        <v>831</v>
      </c>
      <c r="V565" s="10" t="s">
        <v>831</v>
      </c>
      <c r="W565" s="50">
        <f>+J565/$W$2</f>
        <v>2.6201499704631349E-4</v>
      </c>
    </row>
    <row r="566" spans="1:29">
      <c r="A566" s="10" t="s">
        <v>273</v>
      </c>
      <c r="B566" s="10" t="s">
        <v>381</v>
      </c>
      <c r="C566" s="124">
        <v>46314</v>
      </c>
      <c r="D566" s="124" t="s">
        <v>492</v>
      </c>
      <c r="E566" s="21">
        <v>0.98542118999999995</v>
      </c>
      <c r="F566" s="10"/>
      <c r="G566" s="14">
        <v>1650000</v>
      </c>
      <c r="H566" s="14">
        <v>1625944.96</v>
      </c>
      <c r="I566" s="14">
        <v>1650000</v>
      </c>
      <c r="J566" s="14">
        <v>1625944.96</v>
      </c>
      <c r="K566" s="12">
        <v>582</v>
      </c>
      <c r="L566" s="10" t="s">
        <v>101</v>
      </c>
      <c r="M566" s="10" t="s">
        <v>102</v>
      </c>
      <c r="N566" s="124" t="s">
        <v>395</v>
      </c>
      <c r="O566" s="124" t="s">
        <v>395</v>
      </c>
      <c r="P566" s="21">
        <v>27</v>
      </c>
      <c r="Q566" s="10" t="s">
        <v>54</v>
      </c>
      <c r="R566" s="10" t="s">
        <v>28</v>
      </c>
      <c r="S566" s="10"/>
      <c r="T566" s="10"/>
      <c r="U566" s="10" t="s">
        <v>833</v>
      </c>
      <c r="V566" s="10" t="s">
        <v>833</v>
      </c>
      <c r="W566" s="50">
        <f>+J566/$W$2</f>
        <v>2.1616237165917796E-5</v>
      </c>
    </row>
    <row r="567" spans="1:29">
      <c r="A567" s="10" t="s">
        <v>1429</v>
      </c>
      <c r="B567" s="10" t="s">
        <v>381</v>
      </c>
      <c r="C567" s="124">
        <v>46314</v>
      </c>
      <c r="D567" s="124" t="s">
        <v>492</v>
      </c>
      <c r="E567" s="21">
        <v>0.98223903999999995</v>
      </c>
      <c r="F567" s="10"/>
      <c r="G567" s="14">
        <v>41359418</v>
      </c>
      <c r="H567" s="14">
        <v>40624835.079999998</v>
      </c>
      <c r="I567" s="14">
        <v>41359418</v>
      </c>
      <c r="J567" s="14">
        <v>40624835.079999998</v>
      </c>
      <c r="K567" s="12">
        <v>397</v>
      </c>
      <c r="L567" s="10" t="s">
        <v>101</v>
      </c>
      <c r="M567" s="10" t="s">
        <v>102</v>
      </c>
      <c r="N567" s="124" t="s">
        <v>548</v>
      </c>
      <c r="O567" s="124" t="s">
        <v>548</v>
      </c>
      <c r="P567" s="21">
        <v>33</v>
      </c>
      <c r="Q567" s="10" t="s">
        <v>54</v>
      </c>
      <c r="R567" s="10" t="s">
        <v>28</v>
      </c>
      <c r="S567" s="10"/>
      <c r="T567" s="10"/>
      <c r="U567" s="10" t="s">
        <v>1375</v>
      </c>
      <c r="V567" s="10" t="s">
        <v>1375</v>
      </c>
      <c r="W567" s="50">
        <f>+J567/$W$2</f>
        <v>5.400896657138856E-4</v>
      </c>
    </row>
    <row r="568" spans="1:29">
      <c r="A568" s="10" t="s">
        <v>404</v>
      </c>
      <c r="B568" s="10" t="s">
        <v>381</v>
      </c>
      <c r="C568" s="124">
        <v>46314</v>
      </c>
      <c r="D568" s="124" t="s">
        <v>492</v>
      </c>
      <c r="E568" s="21">
        <v>0.98595365000000001</v>
      </c>
      <c r="F568" s="10"/>
      <c r="G568" s="14">
        <v>40000000</v>
      </c>
      <c r="H568" s="14">
        <v>39438146.060000002</v>
      </c>
      <c r="I568" s="14">
        <v>40000000</v>
      </c>
      <c r="J568" s="14">
        <v>39438146.060000002</v>
      </c>
      <c r="K568" s="12">
        <v>42632</v>
      </c>
      <c r="L568" s="10" t="s">
        <v>101</v>
      </c>
      <c r="M568" s="10" t="s">
        <v>102</v>
      </c>
      <c r="N568" s="124" t="s">
        <v>532</v>
      </c>
      <c r="O568" s="124" t="s">
        <v>532</v>
      </c>
      <c r="P568" s="21">
        <v>26</v>
      </c>
      <c r="Q568" s="10" t="s">
        <v>54</v>
      </c>
      <c r="R568" s="10" t="s">
        <v>28</v>
      </c>
      <c r="S568" s="10"/>
      <c r="T568" s="10"/>
      <c r="U568" s="10" t="s">
        <v>3062</v>
      </c>
      <c r="V568" s="10" t="s">
        <v>3062</v>
      </c>
      <c r="W568" s="50">
        <f>+J568/$W$2</f>
        <v>5.2431314687126102E-4</v>
      </c>
    </row>
    <row r="569" spans="1:29">
      <c r="A569" s="10" t="s">
        <v>597</v>
      </c>
      <c r="B569" s="10" t="s">
        <v>381</v>
      </c>
      <c r="C569" s="124">
        <v>46314</v>
      </c>
      <c r="D569" s="124" t="s">
        <v>492</v>
      </c>
      <c r="E569" s="21">
        <v>0.97907727</v>
      </c>
      <c r="F569" s="10"/>
      <c r="G569" s="14">
        <v>3750000</v>
      </c>
      <c r="H569" s="14">
        <v>3671539.78</v>
      </c>
      <c r="I569" s="14">
        <v>3750000</v>
      </c>
      <c r="J569" s="14">
        <v>3671539.78</v>
      </c>
      <c r="K569" s="12">
        <v>66917997</v>
      </c>
      <c r="L569" s="10" t="s">
        <v>101</v>
      </c>
      <c r="M569" s="10" t="s">
        <v>102</v>
      </c>
      <c r="N569" s="124" t="s">
        <v>304</v>
      </c>
      <c r="O569" s="124" t="s">
        <v>304</v>
      </c>
      <c r="P569" s="21">
        <v>39</v>
      </c>
      <c r="Q569" s="10" t="s">
        <v>54</v>
      </c>
      <c r="R569" s="10" t="s">
        <v>28</v>
      </c>
      <c r="S569" s="10"/>
      <c r="T569" s="10"/>
      <c r="U569" s="10" t="s">
        <v>584</v>
      </c>
      <c r="V569" s="10" t="s">
        <v>584</v>
      </c>
      <c r="W569" s="50">
        <f>+J569/$W$2</f>
        <v>4.8811538275306473E-5</v>
      </c>
    </row>
    <row r="570" spans="1:29">
      <c r="A570" s="10" t="s">
        <v>2321</v>
      </c>
      <c r="B570" s="10" t="s">
        <v>381</v>
      </c>
      <c r="C570" s="124">
        <v>46314</v>
      </c>
      <c r="D570" s="124" t="s">
        <v>492</v>
      </c>
      <c r="E570" s="21">
        <v>0.98329741999999998</v>
      </c>
      <c r="F570" s="10"/>
      <c r="G570" s="14">
        <v>50000000</v>
      </c>
      <c r="H570" s="14">
        <v>49164871.009999998</v>
      </c>
      <c r="I570" s="14">
        <v>50000000</v>
      </c>
      <c r="J570" s="14">
        <v>49164871.009999998</v>
      </c>
      <c r="K570" s="12">
        <v>16836860</v>
      </c>
      <c r="L570" s="10" t="s">
        <v>101</v>
      </c>
      <c r="M570" s="10" t="s">
        <v>102</v>
      </c>
      <c r="N570" s="124" t="s">
        <v>536</v>
      </c>
      <c r="O570" s="124" t="s">
        <v>536</v>
      </c>
      <c r="P570" s="21">
        <v>31</v>
      </c>
      <c r="Q570" s="10" t="s">
        <v>54</v>
      </c>
      <c r="R570" s="10" t="s">
        <v>28</v>
      </c>
      <c r="S570" s="10"/>
      <c r="T570" s="10"/>
      <c r="U570" s="10" t="s">
        <v>2315</v>
      </c>
      <c r="V570" s="10" t="s">
        <v>2315</v>
      </c>
      <c r="W570" s="50">
        <f>+J570/$W$2</f>
        <v>6.536257610982824E-4</v>
      </c>
    </row>
    <row r="571" spans="1:29">
      <c r="A571" s="10" t="s">
        <v>290</v>
      </c>
      <c r="B571" s="10" t="s">
        <v>381</v>
      </c>
      <c r="C571" s="124">
        <v>46314</v>
      </c>
      <c r="D571" s="124" t="s">
        <v>492</v>
      </c>
      <c r="E571" s="21">
        <v>0.98118284</v>
      </c>
      <c r="F571" s="10"/>
      <c r="G571" s="14">
        <v>2112995</v>
      </c>
      <c r="H571" s="14">
        <v>2073234.43</v>
      </c>
      <c r="I571" s="14">
        <v>2112995</v>
      </c>
      <c r="J571" s="14">
        <v>2073234.43</v>
      </c>
      <c r="K571" s="12">
        <v>40773793</v>
      </c>
      <c r="L571" s="10" t="s">
        <v>101</v>
      </c>
      <c r="M571" s="10" t="s">
        <v>102</v>
      </c>
      <c r="N571" s="124" t="s">
        <v>414</v>
      </c>
      <c r="O571" s="124" t="s">
        <v>414</v>
      </c>
      <c r="P571" s="21">
        <v>35</v>
      </c>
      <c r="Q571" s="10" t="s">
        <v>54</v>
      </c>
      <c r="R571" s="10" t="s">
        <v>28</v>
      </c>
      <c r="S571" s="10"/>
      <c r="T571" s="10"/>
      <c r="U571" s="10" t="s">
        <v>1473</v>
      </c>
      <c r="V571" s="10" t="s">
        <v>1473</v>
      </c>
      <c r="W571" s="50">
        <f>+J571/$W$2</f>
        <v>2.7562757806651955E-5</v>
      </c>
    </row>
    <row r="572" spans="1:29">
      <c r="A572" s="10" t="s">
        <v>465</v>
      </c>
      <c r="B572" s="10" t="s">
        <v>381</v>
      </c>
      <c r="C572" s="124">
        <v>46314</v>
      </c>
      <c r="D572" s="124" t="s">
        <v>492</v>
      </c>
      <c r="E572" s="21">
        <v>0.98171067000000001</v>
      </c>
      <c r="F572" s="10"/>
      <c r="G572" s="14">
        <v>10000000</v>
      </c>
      <c r="H572" s="14">
        <v>9817106.75</v>
      </c>
      <c r="I572" s="14">
        <v>10000000</v>
      </c>
      <c r="J572" s="14">
        <v>9817106.75</v>
      </c>
      <c r="K572" s="12">
        <v>14284509</v>
      </c>
      <c r="L572" s="10" t="s">
        <v>101</v>
      </c>
      <c r="M572" s="10" t="s">
        <v>102</v>
      </c>
      <c r="N572" s="124" t="s">
        <v>425</v>
      </c>
      <c r="O572" s="124" t="s">
        <v>425</v>
      </c>
      <c r="P572" s="21">
        <v>34</v>
      </c>
      <c r="Q572" s="10" t="s">
        <v>54</v>
      </c>
      <c r="R572" s="10" t="s">
        <v>28</v>
      </c>
      <c r="S572" s="10"/>
      <c r="T572" s="10"/>
      <c r="U572" s="10" t="s">
        <v>1692</v>
      </c>
      <c r="V572" s="10" t="s">
        <v>1692</v>
      </c>
      <c r="W572" s="50">
        <f>+J572/$W$2</f>
        <v>1.3051420128706723E-4</v>
      </c>
    </row>
    <row r="573" spans="1:29">
      <c r="A573" s="10" t="s">
        <v>1524</v>
      </c>
      <c r="B573" s="10" t="s">
        <v>381</v>
      </c>
      <c r="C573" s="124">
        <v>46314</v>
      </c>
      <c r="D573" s="124" t="s">
        <v>492</v>
      </c>
      <c r="E573" s="21">
        <v>0.98118285999999999</v>
      </c>
      <c r="F573" s="10"/>
      <c r="G573" s="14">
        <v>20000000</v>
      </c>
      <c r="H573" s="14">
        <v>19623657.210000001</v>
      </c>
      <c r="I573" s="14">
        <v>20000000</v>
      </c>
      <c r="J573" s="14">
        <v>19623657.210000001</v>
      </c>
      <c r="K573" s="12">
        <v>10549353</v>
      </c>
      <c r="L573" s="10" t="s">
        <v>101</v>
      </c>
      <c r="M573" s="10" t="s">
        <v>102</v>
      </c>
      <c r="N573" s="124" t="s">
        <v>476</v>
      </c>
      <c r="O573" s="124" t="s">
        <v>476</v>
      </c>
      <c r="P573" s="21">
        <v>35</v>
      </c>
      <c r="Q573" s="10" t="s">
        <v>54</v>
      </c>
      <c r="R573" s="10" t="s">
        <v>28</v>
      </c>
      <c r="S573" s="10"/>
      <c r="T573" s="10"/>
      <c r="U573" s="10" t="s">
        <v>1510</v>
      </c>
      <c r="V573" s="10" t="s">
        <v>1510</v>
      </c>
      <c r="W573" s="50">
        <f>+J573/$W$2</f>
        <v>2.6088806125026075E-4</v>
      </c>
    </row>
    <row r="574" spans="1:29">
      <c r="A574" s="10" t="s">
        <v>1436</v>
      </c>
      <c r="B574" s="10" t="s">
        <v>381</v>
      </c>
      <c r="C574" s="124">
        <v>46314</v>
      </c>
      <c r="D574" s="124" t="s">
        <v>492</v>
      </c>
      <c r="E574" s="21">
        <v>0.98488942999999995</v>
      </c>
      <c r="F574" s="10"/>
      <c r="G574" s="14">
        <v>20600000</v>
      </c>
      <c r="H574" s="14">
        <v>20288722.309999999</v>
      </c>
      <c r="I574" s="14">
        <v>20600000</v>
      </c>
      <c r="J574" s="14">
        <v>20288722.309999999</v>
      </c>
      <c r="K574" s="12">
        <v>99803230</v>
      </c>
      <c r="L574" s="10" t="s">
        <v>101</v>
      </c>
      <c r="M574" s="10" t="s">
        <v>102</v>
      </c>
      <c r="N574" s="124" t="s">
        <v>548</v>
      </c>
      <c r="O574" s="124" t="s">
        <v>548</v>
      </c>
      <c r="P574" s="21">
        <v>28</v>
      </c>
      <c r="Q574" s="10" t="s">
        <v>54</v>
      </c>
      <c r="R574" s="10" t="s">
        <v>28</v>
      </c>
      <c r="S574" s="10"/>
      <c r="T574" s="10"/>
      <c r="U574" s="10" t="s">
        <v>1400</v>
      </c>
      <c r="V574" s="10" t="s">
        <v>1400</v>
      </c>
      <c r="W574" s="50">
        <f>+J574/$W$2</f>
        <v>2.6972981499103605E-4</v>
      </c>
    </row>
    <row r="575" spans="1:29">
      <c r="A575" s="10" t="s">
        <v>426</v>
      </c>
      <c r="B575" s="10" t="s">
        <v>381</v>
      </c>
      <c r="C575" s="124">
        <v>46314</v>
      </c>
      <c r="D575" s="124" t="s">
        <v>492</v>
      </c>
      <c r="E575" s="21">
        <v>0.98542132000000004</v>
      </c>
      <c r="F575" s="10"/>
      <c r="G575" s="14">
        <v>576780</v>
      </c>
      <c r="H575" s="14">
        <v>568371.31000000006</v>
      </c>
      <c r="I575" s="14">
        <v>576780</v>
      </c>
      <c r="J575" s="14">
        <v>568371.31000000006</v>
      </c>
      <c r="K575" s="12">
        <v>3</v>
      </c>
      <c r="L575" s="10" t="s">
        <v>101</v>
      </c>
      <c r="M575" s="10" t="s">
        <v>102</v>
      </c>
      <c r="N575" s="124" t="s">
        <v>420</v>
      </c>
      <c r="O575" s="124" t="s">
        <v>420</v>
      </c>
      <c r="P575" s="21">
        <v>27</v>
      </c>
      <c r="Q575" s="10" t="s">
        <v>54</v>
      </c>
      <c r="R575" s="10" t="s">
        <v>28</v>
      </c>
      <c r="S575" s="10"/>
      <c r="T575" s="10"/>
      <c r="U575" s="10" t="s">
        <v>2692</v>
      </c>
      <c r="V575" s="10" t="s">
        <v>2692</v>
      </c>
      <c r="W575" s="50">
        <f>+J575/$W$2</f>
        <v>7.5562514952925507E-6</v>
      </c>
    </row>
    <row r="576" spans="1:29">
      <c r="A576" s="10" t="s">
        <v>427</v>
      </c>
      <c r="B576" s="10" t="s">
        <v>381</v>
      </c>
      <c r="C576" s="124">
        <v>46314</v>
      </c>
      <c r="D576" s="124" t="s">
        <v>492</v>
      </c>
      <c r="E576" s="21">
        <v>0.98488940000000003</v>
      </c>
      <c r="F576" s="10"/>
      <c r="G576" s="14">
        <v>2500000</v>
      </c>
      <c r="H576" s="14">
        <v>2462223.4900000002</v>
      </c>
      <c r="I576" s="14">
        <v>2500000</v>
      </c>
      <c r="J576" s="14">
        <v>2462223.4900000002</v>
      </c>
      <c r="K576" s="12">
        <v>90031816</v>
      </c>
      <c r="L576" s="10" t="s">
        <v>101</v>
      </c>
      <c r="M576" s="10" t="s">
        <v>102</v>
      </c>
      <c r="N576" s="124" t="s">
        <v>277</v>
      </c>
      <c r="O576" s="124" t="s">
        <v>277</v>
      </c>
      <c r="P576" s="21">
        <v>28</v>
      </c>
      <c r="Q576" s="10" t="s">
        <v>54</v>
      </c>
      <c r="R576" s="10" t="s">
        <v>28</v>
      </c>
      <c r="S576" s="10"/>
      <c r="T576" s="10"/>
      <c r="U576" s="10" t="s">
        <v>528</v>
      </c>
      <c r="V576" s="10" t="s">
        <v>528</v>
      </c>
      <c r="W576" s="50">
        <f>+J576/$W$2</f>
        <v>3.2734199634490602E-5</v>
      </c>
    </row>
    <row r="577" spans="1:29">
      <c r="A577" s="10" t="s">
        <v>382</v>
      </c>
      <c r="B577" s="10" t="s">
        <v>381</v>
      </c>
      <c r="C577" s="124">
        <v>46314</v>
      </c>
      <c r="D577" s="124" t="s">
        <v>492</v>
      </c>
      <c r="E577" s="21">
        <v>0.98382749999999997</v>
      </c>
      <c r="F577" s="10"/>
      <c r="G577" s="14">
        <v>2500000</v>
      </c>
      <c r="H577" s="14">
        <v>2459568.7400000002</v>
      </c>
      <c r="I577" s="14">
        <v>2500000</v>
      </c>
      <c r="J577" s="14">
        <v>2459568.7400000002</v>
      </c>
      <c r="K577" s="12">
        <v>906</v>
      </c>
      <c r="L577" s="10" t="s">
        <v>101</v>
      </c>
      <c r="M577" s="10" t="s">
        <v>102</v>
      </c>
      <c r="N577" s="124" t="s">
        <v>349</v>
      </c>
      <c r="O577" s="124" t="s">
        <v>349</v>
      </c>
      <c r="P577" s="21">
        <v>30</v>
      </c>
      <c r="Q577" s="10" t="s">
        <v>54</v>
      </c>
      <c r="R577" s="10" t="s">
        <v>28</v>
      </c>
      <c r="S577" s="10"/>
      <c r="T577" s="10"/>
      <c r="U577" s="10" t="s">
        <v>1335</v>
      </c>
      <c r="V577" s="10" t="s">
        <v>1335</v>
      </c>
      <c r="W577" s="50">
        <f>+J577/$W$2</f>
        <v>3.2698905877919516E-5</v>
      </c>
    </row>
    <row r="578" spans="1:29">
      <c r="A578" s="10" t="s">
        <v>382</v>
      </c>
      <c r="B578" s="10" t="s">
        <v>381</v>
      </c>
      <c r="C578" s="124">
        <v>46314</v>
      </c>
      <c r="D578" s="124" t="s">
        <v>492</v>
      </c>
      <c r="E578" s="21">
        <v>0.98382755</v>
      </c>
      <c r="F578" s="10"/>
      <c r="G578" s="14">
        <v>2500000</v>
      </c>
      <c r="H578" s="14">
        <v>2459568.88</v>
      </c>
      <c r="I578" s="14">
        <v>2500000</v>
      </c>
      <c r="J578" s="14">
        <v>2459568.88</v>
      </c>
      <c r="K578" s="12">
        <v>603</v>
      </c>
      <c r="L578" s="10" t="s">
        <v>101</v>
      </c>
      <c r="M578" s="10" t="s">
        <v>102</v>
      </c>
      <c r="N578" s="124" t="s">
        <v>435</v>
      </c>
      <c r="O578" s="124" t="s">
        <v>435</v>
      </c>
      <c r="P578" s="21">
        <v>30</v>
      </c>
      <c r="Q578" s="10" t="s">
        <v>54</v>
      </c>
      <c r="R578" s="10" t="s">
        <v>28</v>
      </c>
      <c r="S578" s="10"/>
      <c r="T578" s="10"/>
      <c r="U578" s="10" t="s">
        <v>1309</v>
      </c>
      <c r="V578" s="10" t="s">
        <v>1309</v>
      </c>
      <c r="W578" s="50">
        <f>+J578/$W$2</f>
        <v>3.2698907739159146E-5</v>
      </c>
    </row>
    <row r="579" spans="1:29">
      <c r="A579" s="10" t="s">
        <v>382</v>
      </c>
      <c r="B579" s="10" t="s">
        <v>381</v>
      </c>
      <c r="C579" s="124">
        <v>46314</v>
      </c>
      <c r="D579" s="124" t="s">
        <v>492</v>
      </c>
      <c r="E579" s="21">
        <v>0.98382755</v>
      </c>
      <c r="F579" s="10"/>
      <c r="G579" s="14">
        <v>2000000</v>
      </c>
      <c r="H579" s="14">
        <v>1967655.11</v>
      </c>
      <c r="I579" s="14">
        <v>2000000</v>
      </c>
      <c r="J579" s="14">
        <v>1967655.11</v>
      </c>
      <c r="K579" s="12">
        <v>914</v>
      </c>
      <c r="L579" s="10" t="s">
        <v>101</v>
      </c>
      <c r="M579" s="10" t="s">
        <v>102</v>
      </c>
      <c r="N579" s="124" t="s">
        <v>548</v>
      </c>
      <c r="O579" s="124" t="s">
        <v>548</v>
      </c>
      <c r="P579" s="21">
        <v>30</v>
      </c>
      <c r="Q579" s="10" t="s">
        <v>54</v>
      </c>
      <c r="R579" s="10" t="s">
        <v>28</v>
      </c>
      <c r="S579" s="10"/>
      <c r="T579" s="10"/>
      <c r="U579" s="10" t="s">
        <v>1364</v>
      </c>
      <c r="V579" s="10" t="s">
        <v>1364</v>
      </c>
      <c r="W579" s="50">
        <f>+J579/$W$2</f>
        <v>2.6159126271094731E-5</v>
      </c>
      <c r="AC579" s="47"/>
    </row>
    <row r="580" spans="1:29">
      <c r="A580" s="10" t="s">
        <v>386</v>
      </c>
      <c r="B580" s="10" t="s">
        <v>381</v>
      </c>
      <c r="C580" s="124">
        <v>46314</v>
      </c>
      <c r="D580" s="124" t="s">
        <v>492</v>
      </c>
      <c r="E580" s="21">
        <v>0.97960289</v>
      </c>
      <c r="F580" s="10"/>
      <c r="G580" s="14">
        <v>42000000</v>
      </c>
      <c r="H580" s="14">
        <v>41143321.490000002</v>
      </c>
      <c r="I580" s="14">
        <v>42000000</v>
      </c>
      <c r="J580" s="14">
        <v>41143321.490000002</v>
      </c>
      <c r="K580" s="12">
        <v>160224</v>
      </c>
      <c r="L580" s="10" t="s">
        <v>101</v>
      </c>
      <c r="M580" s="10" t="s">
        <v>102</v>
      </c>
      <c r="N580" s="124" t="s">
        <v>322</v>
      </c>
      <c r="O580" s="124" t="s">
        <v>322</v>
      </c>
      <c r="P580" s="21">
        <v>38</v>
      </c>
      <c r="Q580" s="10" t="s">
        <v>54</v>
      </c>
      <c r="R580" s="10" t="s">
        <v>28</v>
      </c>
      <c r="S580" s="10"/>
      <c r="T580" s="10"/>
      <c r="U580" s="10" t="s">
        <v>1555</v>
      </c>
      <c r="V580" s="10" t="s">
        <v>1555</v>
      </c>
      <c r="W580" s="50">
        <f>+J580/$W$2</f>
        <v>5.4698271897312095E-4</v>
      </c>
    </row>
    <row r="581" spans="1:29">
      <c r="A581" s="10" t="s">
        <v>392</v>
      </c>
      <c r="B581" s="10" t="s">
        <v>381</v>
      </c>
      <c r="C581" s="124">
        <v>46314</v>
      </c>
      <c r="D581" s="124" t="s">
        <v>492</v>
      </c>
      <c r="E581" s="21">
        <v>0.98118282999999995</v>
      </c>
      <c r="F581" s="10"/>
      <c r="G581" s="14">
        <v>1500000</v>
      </c>
      <c r="H581" s="14">
        <v>1471774.24</v>
      </c>
      <c r="I581" s="14">
        <v>1500000</v>
      </c>
      <c r="J581" s="14">
        <v>1471774.24</v>
      </c>
      <c r="K581" s="12">
        <v>4</v>
      </c>
      <c r="L581" s="10" t="s">
        <v>101</v>
      </c>
      <c r="M581" s="10" t="s">
        <v>102</v>
      </c>
      <c r="N581" s="124" t="s">
        <v>330</v>
      </c>
      <c r="O581" s="124" t="s">
        <v>330</v>
      </c>
      <c r="P581" s="21">
        <v>35</v>
      </c>
      <c r="Q581" s="10" t="s">
        <v>54</v>
      </c>
      <c r="R581" s="10" t="s">
        <v>28</v>
      </c>
      <c r="S581" s="10"/>
      <c r="T581" s="10"/>
      <c r="U581" s="10" t="s">
        <v>542</v>
      </c>
      <c r="V581" s="10" t="s">
        <v>542</v>
      </c>
      <c r="W581" s="50">
        <f>+J581/$W$2</f>
        <v>1.9566603919070187E-5</v>
      </c>
    </row>
    <row r="582" spans="1:29">
      <c r="A582" s="10" t="s">
        <v>477</v>
      </c>
      <c r="B582" s="10" t="s">
        <v>381</v>
      </c>
      <c r="C582" s="124">
        <v>46315</v>
      </c>
      <c r="D582" s="124" t="s">
        <v>492</v>
      </c>
      <c r="E582" s="21">
        <v>0.98303260999999997</v>
      </c>
      <c r="F582" s="10"/>
      <c r="G582" s="14">
        <v>2000000</v>
      </c>
      <c r="H582" s="14">
        <v>1966065.22</v>
      </c>
      <c r="I582" s="14">
        <v>2000000</v>
      </c>
      <c r="J582" s="14">
        <v>1966065.22</v>
      </c>
      <c r="K582" s="12">
        <v>13442187</v>
      </c>
      <c r="L582" s="10" t="s">
        <v>101</v>
      </c>
      <c r="M582" s="10" t="s">
        <v>102</v>
      </c>
      <c r="N582" s="124" t="s">
        <v>270</v>
      </c>
      <c r="O582" s="124" t="s">
        <v>270</v>
      </c>
      <c r="P582" s="21">
        <v>30</v>
      </c>
      <c r="Q582" s="10" t="s">
        <v>54</v>
      </c>
      <c r="R582" s="10" t="s">
        <v>28</v>
      </c>
      <c r="S582" s="10"/>
      <c r="T582" s="10"/>
      <c r="U582" s="10" t="s">
        <v>620</v>
      </c>
      <c r="V582" s="10" t="s">
        <v>620</v>
      </c>
      <c r="W582" s="50">
        <f>+J582/$W$2</f>
        <v>2.6137989369075782E-5</v>
      </c>
    </row>
    <row r="583" spans="1:29">
      <c r="A583" s="10" t="s">
        <v>382</v>
      </c>
      <c r="B583" s="10" t="s">
        <v>381</v>
      </c>
      <c r="C583" s="124">
        <v>46315</v>
      </c>
      <c r="D583" s="124" t="s">
        <v>492</v>
      </c>
      <c r="E583" s="21">
        <v>0.98192193000000005</v>
      </c>
      <c r="F583" s="10"/>
      <c r="G583" s="14">
        <v>4000000</v>
      </c>
      <c r="H583" s="14">
        <v>3927687.74</v>
      </c>
      <c r="I583" s="14">
        <v>4000000</v>
      </c>
      <c r="J583" s="14">
        <v>3927687.74</v>
      </c>
      <c r="K583" s="12">
        <v>1147</v>
      </c>
      <c r="L583" s="10" t="s">
        <v>101</v>
      </c>
      <c r="M583" s="10" t="s">
        <v>102</v>
      </c>
      <c r="N583" s="124" t="s">
        <v>416</v>
      </c>
      <c r="O583" s="124" t="s">
        <v>416</v>
      </c>
      <c r="P583" s="21">
        <v>32</v>
      </c>
      <c r="Q583" s="10" t="s">
        <v>54</v>
      </c>
      <c r="R583" s="10" t="s">
        <v>28</v>
      </c>
      <c r="S583" s="10"/>
      <c r="T583" s="10"/>
      <c r="U583" s="10" t="s">
        <v>2148</v>
      </c>
      <c r="V583" s="10" t="s">
        <v>2148</v>
      </c>
      <c r="W583" s="50">
        <f>+J583/$W$2</f>
        <v>5.2216914957261332E-5</v>
      </c>
    </row>
    <row r="584" spans="1:29">
      <c r="A584" s="10" t="s">
        <v>382</v>
      </c>
      <c r="B584" s="10" t="s">
        <v>381</v>
      </c>
      <c r="C584" s="124">
        <v>46315</v>
      </c>
      <c r="D584" s="124" t="s">
        <v>492</v>
      </c>
      <c r="E584" s="21">
        <v>0.98303269999999998</v>
      </c>
      <c r="F584" s="10"/>
      <c r="G584" s="14">
        <v>5000000</v>
      </c>
      <c r="H584" s="14">
        <v>4915163.51</v>
      </c>
      <c r="I584" s="14">
        <v>5000000</v>
      </c>
      <c r="J584" s="14">
        <v>4915163.51</v>
      </c>
      <c r="K584" s="12">
        <v>1204</v>
      </c>
      <c r="L584" s="10" t="s">
        <v>101</v>
      </c>
      <c r="M584" s="10" t="s">
        <v>102</v>
      </c>
      <c r="N584" s="124" t="s">
        <v>536</v>
      </c>
      <c r="O584" s="124" t="s">
        <v>536</v>
      </c>
      <c r="P584" s="21">
        <v>30</v>
      </c>
      <c r="Q584" s="10" t="s">
        <v>54</v>
      </c>
      <c r="R584" s="10" t="s">
        <v>28</v>
      </c>
      <c r="S584" s="10"/>
      <c r="T584" s="10"/>
      <c r="U584" s="10" t="s">
        <v>2301</v>
      </c>
      <c r="V584" s="10" t="s">
        <v>2301</v>
      </c>
      <c r="W584" s="50">
        <f>+J584/$W$2</f>
        <v>6.5344979538191109E-5</v>
      </c>
    </row>
    <row r="585" spans="1:29">
      <c r="A585" s="10" t="s">
        <v>382</v>
      </c>
      <c r="B585" s="10" t="s">
        <v>381</v>
      </c>
      <c r="C585" s="124">
        <v>46315</v>
      </c>
      <c r="D585" s="124" t="s">
        <v>492</v>
      </c>
      <c r="E585" s="21">
        <v>0.98303271000000003</v>
      </c>
      <c r="F585" s="10"/>
      <c r="G585" s="14">
        <v>5000000</v>
      </c>
      <c r="H585" s="14">
        <v>4915163.5599999996</v>
      </c>
      <c r="I585" s="14">
        <v>5000000</v>
      </c>
      <c r="J585" s="14">
        <v>4915163.5599999996</v>
      </c>
      <c r="K585" s="12">
        <v>1226</v>
      </c>
      <c r="L585" s="10" t="s">
        <v>101</v>
      </c>
      <c r="M585" s="10" t="s">
        <v>102</v>
      </c>
      <c r="N585" s="124" t="s">
        <v>420</v>
      </c>
      <c r="O585" s="124" t="s">
        <v>420</v>
      </c>
      <c r="P585" s="21">
        <v>30</v>
      </c>
      <c r="Q585" s="10" t="s">
        <v>54</v>
      </c>
      <c r="R585" s="10" t="s">
        <v>28</v>
      </c>
      <c r="S585" s="10"/>
      <c r="T585" s="10"/>
      <c r="U585" s="10" t="s">
        <v>2650</v>
      </c>
      <c r="V585" s="10" t="s">
        <v>2650</v>
      </c>
      <c r="W585" s="50">
        <f>+J585/$W$2</f>
        <v>6.5344980202919554E-5</v>
      </c>
    </row>
    <row r="586" spans="1:29">
      <c r="A586" s="10" t="s">
        <v>382</v>
      </c>
      <c r="B586" s="10" t="s">
        <v>381</v>
      </c>
      <c r="C586" s="124">
        <v>46315</v>
      </c>
      <c r="D586" s="124" t="s">
        <v>492</v>
      </c>
      <c r="E586" s="21">
        <v>0.98192195000000004</v>
      </c>
      <c r="F586" s="10"/>
      <c r="G586" s="14">
        <v>3000000</v>
      </c>
      <c r="H586" s="14">
        <v>2945765.86</v>
      </c>
      <c r="I586" s="14">
        <v>3000000</v>
      </c>
      <c r="J586" s="14">
        <v>2945765.86</v>
      </c>
      <c r="K586" s="12">
        <v>1040</v>
      </c>
      <c r="L586" s="10" t="s">
        <v>101</v>
      </c>
      <c r="M586" s="10" t="s">
        <v>102</v>
      </c>
      <c r="N586" s="124" t="s">
        <v>398</v>
      </c>
      <c r="O586" s="124" t="s">
        <v>398</v>
      </c>
      <c r="P586" s="21">
        <v>32</v>
      </c>
      <c r="Q586" s="10" t="s">
        <v>54</v>
      </c>
      <c r="R586" s="10" t="s">
        <v>28</v>
      </c>
      <c r="S586" s="10"/>
      <c r="T586" s="10"/>
      <c r="U586" s="10" t="s">
        <v>1749</v>
      </c>
      <c r="V586" s="10" t="s">
        <v>1749</v>
      </c>
      <c r="W586" s="50">
        <f>+J586/$W$2</f>
        <v>3.9162686949147281E-5</v>
      </c>
    </row>
    <row r="587" spans="1:29">
      <c r="A587" s="10" t="s">
        <v>353</v>
      </c>
      <c r="B587" s="10" t="s">
        <v>381</v>
      </c>
      <c r="C587" s="124">
        <v>46315</v>
      </c>
      <c r="D587" s="124" t="s">
        <v>492</v>
      </c>
      <c r="E587" s="21">
        <v>0.97970805000000005</v>
      </c>
      <c r="F587" s="10"/>
      <c r="G587" s="14">
        <v>1874176.47</v>
      </c>
      <c r="H587" s="14">
        <v>1836145.78</v>
      </c>
      <c r="I587" s="14">
        <v>1874176.47</v>
      </c>
      <c r="J587" s="14">
        <v>1836145.78</v>
      </c>
      <c r="K587" s="12">
        <v>3460</v>
      </c>
      <c r="L587" s="10" t="s">
        <v>101</v>
      </c>
      <c r="M587" s="10" t="s">
        <v>102</v>
      </c>
      <c r="N587" s="124" t="s">
        <v>431</v>
      </c>
      <c r="O587" s="124" t="s">
        <v>431</v>
      </c>
      <c r="P587" s="21">
        <v>36</v>
      </c>
      <c r="Q587" s="10" t="s">
        <v>54</v>
      </c>
      <c r="R587" s="10" t="s">
        <v>28</v>
      </c>
      <c r="S587" s="10"/>
      <c r="T587" s="10"/>
      <c r="U587" s="10" t="s">
        <v>2283</v>
      </c>
      <c r="V587" s="10" t="s">
        <v>2283</v>
      </c>
      <c r="W587" s="50">
        <f>+J587/$W$2</f>
        <v>2.4410766433126446E-5</v>
      </c>
    </row>
    <row r="588" spans="1:29">
      <c r="A588" s="10" t="s">
        <v>2422</v>
      </c>
      <c r="B588" s="10" t="s">
        <v>381</v>
      </c>
      <c r="C588" s="124">
        <v>46315</v>
      </c>
      <c r="D588" s="124" t="s">
        <v>492</v>
      </c>
      <c r="E588" s="21">
        <v>0.98303264000000001</v>
      </c>
      <c r="F588" s="10"/>
      <c r="G588" s="14">
        <v>2518062.84</v>
      </c>
      <c r="H588" s="14">
        <v>2475337.9500000002</v>
      </c>
      <c r="I588" s="14">
        <v>2518062.84</v>
      </c>
      <c r="J588" s="14">
        <v>2475337.9500000002</v>
      </c>
      <c r="K588" s="12">
        <v>2257</v>
      </c>
      <c r="L588" s="10" t="s">
        <v>101</v>
      </c>
      <c r="M588" s="10" t="s">
        <v>102</v>
      </c>
      <c r="N588" s="124" t="s">
        <v>552</v>
      </c>
      <c r="O588" s="124" t="s">
        <v>552</v>
      </c>
      <c r="P588" s="21">
        <v>30</v>
      </c>
      <c r="Q588" s="10" t="s">
        <v>54</v>
      </c>
      <c r="R588" s="10" t="s">
        <v>28</v>
      </c>
      <c r="S588" s="10"/>
      <c r="T588" s="10"/>
      <c r="U588" s="10" t="s">
        <v>2377</v>
      </c>
      <c r="V588" s="10" t="s">
        <v>2377</v>
      </c>
      <c r="W588" s="50">
        <f>+J588/$W$2</f>
        <v>3.290855072547891E-5</v>
      </c>
    </row>
    <row r="589" spans="1:29">
      <c r="A589" s="10" t="s">
        <v>2601</v>
      </c>
      <c r="B589" s="10" t="s">
        <v>381</v>
      </c>
      <c r="C589" s="124">
        <v>46315</v>
      </c>
      <c r="D589" s="124" t="s">
        <v>492</v>
      </c>
      <c r="E589" s="21">
        <v>0.98136754000000004</v>
      </c>
      <c r="F589" s="10"/>
      <c r="G589" s="14">
        <v>5561000</v>
      </c>
      <c r="H589" s="14">
        <v>5457384.8899999997</v>
      </c>
      <c r="I589" s="14">
        <v>5561000</v>
      </c>
      <c r="J589" s="14">
        <v>5457384.8899999997</v>
      </c>
      <c r="K589" s="12">
        <v>14101157</v>
      </c>
      <c r="L589" s="10" t="s">
        <v>101</v>
      </c>
      <c r="M589" s="10" t="s">
        <v>102</v>
      </c>
      <c r="N589" s="124" t="s">
        <v>423</v>
      </c>
      <c r="O589" s="124" t="s">
        <v>423</v>
      </c>
      <c r="P589" s="21">
        <v>33</v>
      </c>
      <c r="Q589" s="10" t="s">
        <v>54</v>
      </c>
      <c r="R589" s="10" t="s">
        <v>28</v>
      </c>
      <c r="S589" s="10"/>
      <c r="T589" s="10"/>
      <c r="U589" s="10" t="s">
        <v>2496</v>
      </c>
      <c r="V589" s="10" t="s">
        <v>2496</v>
      </c>
      <c r="W589" s="50">
        <f>+J589/$W$2</f>
        <v>7.2553578989498023E-5</v>
      </c>
    </row>
    <row r="590" spans="1:29">
      <c r="A590" s="10" t="s">
        <v>494</v>
      </c>
      <c r="B590" s="10" t="s">
        <v>381</v>
      </c>
      <c r="C590" s="124">
        <v>46315</v>
      </c>
      <c r="D590" s="124" t="s">
        <v>492</v>
      </c>
      <c r="E590" s="21">
        <v>0.98582057000000001</v>
      </c>
      <c r="F590" s="10"/>
      <c r="G590" s="14">
        <v>600000</v>
      </c>
      <c r="H590" s="14">
        <v>591492.34</v>
      </c>
      <c r="I590" s="14">
        <v>600000</v>
      </c>
      <c r="J590" s="14">
        <v>591492.34</v>
      </c>
      <c r="K590" s="12">
        <v>20603306</v>
      </c>
      <c r="L590" s="10" t="s">
        <v>101</v>
      </c>
      <c r="M590" s="10" t="s">
        <v>102</v>
      </c>
      <c r="N590" s="124" t="s">
        <v>677</v>
      </c>
      <c r="O590" s="124" t="s">
        <v>677</v>
      </c>
      <c r="P590" s="21">
        <v>25</v>
      </c>
      <c r="Q590" s="10" t="s">
        <v>54</v>
      </c>
      <c r="R590" s="10" t="s">
        <v>28</v>
      </c>
      <c r="S590" s="10"/>
      <c r="T590" s="10"/>
      <c r="U590" s="10" t="s">
        <v>3327</v>
      </c>
      <c r="V590" s="10" t="s">
        <v>3327</v>
      </c>
      <c r="W590" s="50">
        <f>+J590/$W$2</f>
        <v>7.8636356197836394E-6</v>
      </c>
    </row>
    <row r="591" spans="1:29">
      <c r="A591" s="10" t="s">
        <v>141</v>
      </c>
      <c r="B591" s="10" t="s">
        <v>381</v>
      </c>
      <c r="C591" s="124">
        <v>46315</v>
      </c>
      <c r="D591" s="124" t="s">
        <v>492</v>
      </c>
      <c r="E591" s="21">
        <v>0.98081373999999999</v>
      </c>
      <c r="F591" s="10"/>
      <c r="G591" s="14">
        <v>20000000</v>
      </c>
      <c r="H591" s="14">
        <v>19616274.850000001</v>
      </c>
      <c r="I591" s="14">
        <v>20000000</v>
      </c>
      <c r="J591" s="14">
        <v>19616274.850000001</v>
      </c>
      <c r="K591" s="12">
        <v>4404</v>
      </c>
      <c r="L591" s="10" t="s">
        <v>101</v>
      </c>
      <c r="M591" s="10" t="s">
        <v>102</v>
      </c>
      <c r="N591" s="124" t="s">
        <v>319</v>
      </c>
      <c r="O591" s="124" t="s">
        <v>319</v>
      </c>
      <c r="P591" s="21">
        <v>34</v>
      </c>
      <c r="Q591" s="10" t="s">
        <v>54</v>
      </c>
      <c r="R591" s="10" t="s">
        <v>28</v>
      </c>
      <c r="S591" s="10"/>
      <c r="T591" s="10"/>
      <c r="U591" s="10" t="s">
        <v>1004</v>
      </c>
      <c r="V591" s="10" t="s">
        <v>1004</v>
      </c>
      <c r="W591" s="50">
        <f>+J591/$W$2</f>
        <v>2.6078991595719734E-4</v>
      </c>
    </row>
    <row r="592" spans="1:29">
      <c r="A592" s="10" t="s">
        <v>1504</v>
      </c>
      <c r="B592" s="10" t="s">
        <v>381</v>
      </c>
      <c r="C592" s="124">
        <v>46315</v>
      </c>
      <c r="D592" s="124" t="s">
        <v>492</v>
      </c>
      <c r="E592" s="21">
        <v>0.98414581999999995</v>
      </c>
      <c r="F592" s="10"/>
      <c r="G592" s="14">
        <v>150000000</v>
      </c>
      <c r="H592" s="14">
        <v>147621873.47999999</v>
      </c>
      <c r="I592" s="14">
        <v>150000000</v>
      </c>
      <c r="J592" s="14">
        <v>147621873.47999999</v>
      </c>
      <c r="K592" s="12">
        <v>82</v>
      </c>
      <c r="L592" s="10" t="s">
        <v>101</v>
      </c>
      <c r="M592" s="10" t="s">
        <v>102</v>
      </c>
      <c r="N592" s="124" t="s">
        <v>414</v>
      </c>
      <c r="O592" s="124" t="s">
        <v>414</v>
      </c>
      <c r="P592" s="21">
        <v>28</v>
      </c>
      <c r="Q592" s="10" t="s">
        <v>54</v>
      </c>
      <c r="R592" s="10" t="s">
        <v>28</v>
      </c>
      <c r="S592" s="10"/>
      <c r="T592" s="10"/>
      <c r="U592" s="10" t="s">
        <v>1493</v>
      </c>
      <c r="V592" s="10" t="s">
        <v>1493</v>
      </c>
      <c r="W592" s="50">
        <f>+J592/$W$2</f>
        <v>1.9625691561052537E-3</v>
      </c>
    </row>
    <row r="593" spans="1:29">
      <c r="A593" s="10" t="s">
        <v>273</v>
      </c>
      <c r="B593" s="10" t="s">
        <v>381</v>
      </c>
      <c r="C593" s="124">
        <v>46315</v>
      </c>
      <c r="D593" s="124" t="s">
        <v>492</v>
      </c>
      <c r="E593" s="21">
        <v>0.98526161999999995</v>
      </c>
      <c r="F593" s="10"/>
      <c r="G593" s="14">
        <v>15000000</v>
      </c>
      <c r="H593" s="14">
        <v>14778924.310000001</v>
      </c>
      <c r="I593" s="14">
        <v>15000000</v>
      </c>
      <c r="J593" s="14">
        <v>14778924.310000001</v>
      </c>
      <c r="K593" s="12">
        <v>9621092</v>
      </c>
      <c r="L593" s="10" t="s">
        <v>101</v>
      </c>
      <c r="M593" s="10" t="s">
        <v>102</v>
      </c>
      <c r="N593" s="124" t="s">
        <v>319</v>
      </c>
      <c r="O593" s="124" t="s">
        <v>319</v>
      </c>
      <c r="P593" s="21">
        <v>26</v>
      </c>
      <c r="Q593" s="10" t="s">
        <v>54</v>
      </c>
      <c r="R593" s="10" t="s">
        <v>28</v>
      </c>
      <c r="S593" s="10"/>
      <c r="T593" s="10"/>
      <c r="U593" s="10" t="s">
        <v>1009</v>
      </c>
      <c r="V593" s="10" t="s">
        <v>1009</v>
      </c>
      <c r="W593" s="50">
        <f>+J593/$W$2</f>
        <v>1.9647942630364809E-4</v>
      </c>
    </row>
    <row r="594" spans="1:29">
      <c r="A594" s="10" t="s">
        <v>273</v>
      </c>
      <c r="B594" s="10" t="s">
        <v>381</v>
      </c>
      <c r="C594" s="124">
        <v>46315</v>
      </c>
      <c r="D594" s="124" t="s">
        <v>492</v>
      </c>
      <c r="E594" s="21">
        <v>0.98582044000000002</v>
      </c>
      <c r="F594" s="10"/>
      <c r="G594" s="14">
        <v>10000000</v>
      </c>
      <c r="H594" s="14">
        <v>9858204.3699999992</v>
      </c>
      <c r="I594" s="14">
        <v>10000000</v>
      </c>
      <c r="J594" s="14">
        <v>9858204.3699999992</v>
      </c>
      <c r="K594" s="12">
        <v>68341633</v>
      </c>
      <c r="L594" s="10" t="s">
        <v>101</v>
      </c>
      <c r="M594" s="10" t="s">
        <v>102</v>
      </c>
      <c r="N594" s="124" t="s">
        <v>361</v>
      </c>
      <c r="O594" s="124" t="s">
        <v>361</v>
      </c>
      <c r="P594" s="21">
        <v>25</v>
      </c>
      <c r="Q594" s="10" t="s">
        <v>54</v>
      </c>
      <c r="R594" s="10" t="s">
        <v>28</v>
      </c>
      <c r="S594" s="10"/>
      <c r="T594" s="10"/>
      <c r="U594" s="10" t="s">
        <v>1016</v>
      </c>
      <c r="V594" s="10" t="s">
        <v>1016</v>
      </c>
      <c r="W594" s="50">
        <f>+J594/$W$2</f>
        <v>1.3106057642443643E-4</v>
      </c>
    </row>
    <row r="595" spans="1:29">
      <c r="A595" s="10" t="s">
        <v>273</v>
      </c>
      <c r="B595" s="10" t="s">
        <v>381</v>
      </c>
      <c r="C595" s="124">
        <v>46315</v>
      </c>
      <c r="D595" s="124" t="s">
        <v>492</v>
      </c>
      <c r="E595" s="21">
        <v>0.98582044000000002</v>
      </c>
      <c r="F595" s="10"/>
      <c r="G595" s="14">
        <v>10000000</v>
      </c>
      <c r="H595" s="14">
        <v>9858204.3699999992</v>
      </c>
      <c r="I595" s="14">
        <v>10000000</v>
      </c>
      <c r="J595" s="14">
        <v>9858204.3699999992</v>
      </c>
      <c r="K595" s="12">
        <v>5295</v>
      </c>
      <c r="L595" s="10" t="s">
        <v>101</v>
      </c>
      <c r="M595" s="10" t="s">
        <v>102</v>
      </c>
      <c r="N595" s="124" t="s">
        <v>361</v>
      </c>
      <c r="O595" s="124" t="s">
        <v>361</v>
      </c>
      <c r="P595" s="21">
        <v>25</v>
      </c>
      <c r="Q595" s="10" t="s">
        <v>54</v>
      </c>
      <c r="R595" s="10" t="s">
        <v>28</v>
      </c>
      <c r="S595" s="10"/>
      <c r="T595" s="10"/>
      <c r="U595" s="10" t="s">
        <v>1024</v>
      </c>
      <c r="V595" s="10" t="s">
        <v>1024</v>
      </c>
      <c r="W595" s="50">
        <f>+J595/$W$2</f>
        <v>1.3106057642443643E-4</v>
      </c>
    </row>
    <row r="596" spans="1:29">
      <c r="A596" s="10" t="s">
        <v>273</v>
      </c>
      <c r="B596" s="10" t="s">
        <v>381</v>
      </c>
      <c r="C596" s="124">
        <v>46315</v>
      </c>
      <c r="D596" s="124" t="s">
        <v>492</v>
      </c>
      <c r="E596" s="21">
        <v>0.98582042999999997</v>
      </c>
      <c r="F596" s="10"/>
      <c r="G596" s="14">
        <v>8650000</v>
      </c>
      <c r="H596" s="14">
        <v>8527346.7599999998</v>
      </c>
      <c r="I596" s="14">
        <v>8650000</v>
      </c>
      <c r="J596" s="14">
        <v>8527346.7599999998</v>
      </c>
      <c r="K596" s="12">
        <v>34388</v>
      </c>
      <c r="L596" s="10" t="s">
        <v>101</v>
      </c>
      <c r="M596" s="10" t="s">
        <v>102</v>
      </c>
      <c r="N596" s="124" t="s">
        <v>361</v>
      </c>
      <c r="O596" s="124" t="s">
        <v>361</v>
      </c>
      <c r="P596" s="21">
        <v>25</v>
      </c>
      <c r="Q596" s="10" t="s">
        <v>54</v>
      </c>
      <c r="R596" s="10" t="s">
        <v>28</v>
      </c>
      <c r="S596" s="10"/>
      <c r="T596" s="10"/>
      <c r="U596" s="10" t="s">
        <v>1026</v>
      </c>
      <c r="V596" s="10" t="s">
        <v>1026</v>
      </c>
      <c r="W596" s="50">
        <f>+J596/$W$2</f>
        <v>1.1336739834058141E-4</v>
      </c>
    </row>
    <row r="597" spans="1:29">
      <c r="A597" s="10" t="s">
        <v>273</v>
      </c>
      <c r="B597" s="10" t="s">
        <v>381</v>
      </c>
      <c r="C597" s="124">
        <v>46315</v>
      </c>
      <c r="D597" s="124" t="s">
        <v>492</v>
      </c>
      <c r="E597" s="21">
        <v>0.98470342</v>
      </c>
      <c r="F597" s="10"/>
      <c r="G597" s="14">
        <v>15000000</v>
      </c>
      <c r="H597" s="14">
        <v>14770551.23</v>
      </c>
      <c r="I597" s="14">
        <v>15000000</v>
      </c>
      <c r="J597" s="14">
        <v>14770551.23</v>
      </c>
      <c r="K597" s="12">
        <v>11349966</v>
      </c>
      <c r="L597" s="10" t="s">
        <v>101</v>
      </c>
      <c r="M597" s="10" t="s">
        <v>102</v>
      </c>
      <c r="N597" s="124" t="s">
        <v>326</v>
      </c>
      <c r="O597" s="124" t="s">
        <v>326</v>
      </c>
      <c r="P597" s="21">
        <v>27</v>
      </c>
      <c r="Q597" s="10" t="s">
        <v>54</v>
      </c>
      <c r="R597" s="10" t="s">
        <v>28</v>
      </c>
      <c r="S597" s="10"/>
      <c r="T597" s="10"/>
      <c r="U597" s="10" t="s">
        <v>980</v>
      </c>
      <c r="V597" s="10" t="s">
        <v>980</v>
      </c>
      <c r="W597" s="50">
        <f>+J597/$W$2</f>
        <v>1.9636810981536474E-4</v>
      </c>
    </row>
    <row r="598" spans="1:29">
      <c r="A598" s="10" t="s">
        <v>273</v>
      </c>
      <c r="B598" s="10" t="s">
        <v>381</v>
      </c>
      <c r="C598" s="124">
        <v>46315</v>
      </c>
      <c r="D598" s="124" t="s">
        <v>492</v>
      </c>
      <c r="E598" s="21">
        <v>0.98303264999999995</v>
      </c>
      <c r="F598" s="10"/>
      <c r="G598" s="14">
        <v>5000000</v>
      </c>
      <c r="H598" s="14">
        <v>4915163.24</v>
      </c>
      <c r="I598" s="14">
        <v>5000000</v>
      </c>
      <c r="J598" s="14">
        <v>4915163.24</v>
      </c>
      <c r="K598" s="12">
        <v>8778</v>
      </c>
      <c r="L598" s="10" t="s">
        <v>101</v>
      </c>
      <c r="M598" s="10" t="s">
        <v>102</v>
      </c>
      <c r="N598" s="124" t="s">
        <v>322</v>
      </c>
      <c r="O598" s="124" t="s">
        <v>322</v>
      </c>
      <c r="P598" s="21">
        <v>30</v>
      </c>
      <c r="Q598" s="10" t="s">
        <v>54</v>
      </c>
      <c r="R598" s="10" t="s">
        <v>28</v>
      </c>
      <c r="S598" s="10"/>
      <c r="T598" s="10"/>
      <c r="U598" s="10" t="s">
        <v>1559</v>
      </c>
      <c r="V598" s="10" t="s">
        <v>1559</v>
      </c>
      <c r="W598" s="50">
        <f>+J598/$W$2</f>
        <v>6.5344975948657531E-5</v>
      </c>
    </row>
    <row r="599" spans="1:29">
      <c r="A599" s="10" t="s">
        <v>219</v>
      </c>
      <c r="B599" s="10" t="s">
        <v>381</v>
      </c>
      <c r="C599" s="124">
        <v>46315</v>
      </c>
      <c r="D599" s="124" t="s">
        <v>492</v>
      </c>
      <c r="E599" s="21">
        <v>0.98192188000000002</v>
      </c>
      <c r="F599" s="10"/>
      <c r="G599" s="14">
        <v>50000000</v>
      </c>
      <c r="H599" s="14">
        <v>49096094.090000004</v>
      </c>
      <c r="I599" s="14">
        <v>50000000</v>
      </c>
      <c r="J599" s="14">
        <v>49096094.090000004</v>
      </c>
      <c r="K599" s="12">
        <v>5026</v>
      </c>
      <c r="L599" s="10" t="s">
        <v>101</v>
      </c>
      <c r="M599" s="10" t="s">
        <v>102</v>
      </c>
      <c r="N599" s="124" t="s">
        <v>155</v>
      </c>
      <c r="O599" s="124" t="s">
        <v>155</v>
      </c>
      <c r="P599" s="21">
        <v>32</v>
      </c>
      <c r="Q599" s="10" t="s">
        <v>54</v>
      </c>
      <c r="R599" s="10" t="s">
        <v>28</v>
      </c>
      <c r="S599" s="10"/>
      <c r="T599" s="10"/>
      <c r="U599" s="10" t="s">
        <v>1049</v>
      </c>
      <c r="V599" s="10" t="s">
        <v>1049</v>
      </c>
      <c r="W599" s="50">
        <f>+J599/$W$2</f>
        <v>6.5271140160221366E-4</v>
      </c>
    </row>
    <row r="600" spans="1:29">
      <c r="A600" s="10" t="s">
        <v>1669</v>
      </c>
      <c r="B600" s="10" t="s">
        <v>381</v>
      </c>
      <c r="C600" s="124">
        <v>46315</v>
      </c>
      <c r="D600" s="124" t="s">
        <v>492</v>
      </c>
      <c r="E600" s="21">
        <v>0.97860475000000002</v>
      </c>
      <c r="F600" s="10"/>
      <c r="G600" s="14">
        <v>215500000</v>
      </c>
      <c r="H600" s="14">
        <v>210889324.19</v>
      </c>
      <c r="I600" s="14">
        <v>215500000</v>
      </c>
      <c r="J600" s="14">
        <v>210889324.19</v>
      </c>
      <c r="K600" s="12">
        <v>70389094</v>
      </c>
      <c r="L600" s="10" t="s">
        <v>101</v>
      </c>
      <c r="M600" s="10" t="s">
        <v>102</v>
      </c>
      <c r="N600" s="124" t="s">
        <v>163</v>
      </c>
      <c r="O600" s="124" t="s">
        <v>163</v>
      </c>
      <c r="P600" s="21">
        <v>38</v>
      </c>
      <c r="Q600" s="10" t="s">
        <v>54</v>
      </c>
      <c r="R600" s="10" t="s">
        <v>28</v>
      </c>
      <c r="S600" s="10"/>
      <c r="T600" s="10"/>
      <c r="U600" s="10" t="s">
        <v>1635</v>
      </c>
      <c r="V600" s="10" t="s">
        <v>1635</v>
      </c>
      <c r="W600" s="50">
        <f>+J600/$W$2</f>
        <v>2.8036826335444743E-3</v>
      </c>
    </row>
    <row r="601" spans="1:29">
      <c r="A601" s="10" t="s">
        <v>1677</v>
      </c>
      <c r="B601" s="10" t="s">
        <v>381</v>
      </c>
      <c r="C601" s="124">
        <v>46315</v>
      </c>
      <c r="D601" s="124" t="s">
        <v>492</v>
      </c>
      <c r="E601" s="21">
        <v>0.98192190999999995</v>
      </c>
      <c r="F601" s="10"/>
      <c r="G601" s="14">
        <v>18239769.260000002</v>
      </c>
      <c r="H601" s="14">
        <v>17910029.02</v>
      </c>
      <c r="I601" s="14">
        <v>18239769.260000002</v>
      </c>
      <c r="J601" s="14">
        <v>17910029.02</v>
      </c>
      <c r="K601" s="12">
        <v>3494370</v>
      </c>
      <c r="L601" s="10" t="s">
        <v>101</v>
      </c>
      <c r="M601" s="10" t="s">
        <v>102</v>
      </c>
      <c r="N601" s="124" t="s">
        <v>424</v>
      </c>
      <c r="O601" s="124" t="s">
        <v>424</v>
      </c>
      <c r="P601" s="21">
        <v>32</v>
      </c>
      <c r="Q601" s="10" t="s">
        <v>54</v>
      </c>
      <c r="R601" s="10" t="s">
        <v>28</v>
      </c>
      <c r="S601" s="10"/>
      <c r="T601" s="10"/>
      <c r="U601" s="10" t="s">
        <v>1675</v>
      </c>
      <c r="V601" s="10" t="s">
        <v>1675</v>
      </c>
      <c r="W601" s="50">
        <f>+J601/$W$2</f>
        <v>2.3810611334887393E-4</v>
      </c>
    </row>
    <row r="602" spans="1:29">
      <c r="A602" s="10" t="s">
        <v>719</v>
      </c>
      <c r="B602" s="10" t="s">
        <v>381</v>
      </c>
      <c r="C602" s="124">
        <v>46315</v>
      </c>
      <c r="D602" s="124" t="s">
        <v>492</v>
      </c>
      <c r="E602" s="21">
        <v>0.98303264000000001</v>
      </c>
      <c r="F602" s="10"/>
      <c r="G602" s="14">
        <v>2700000</v>
      </c>
      <c r="H602" s="14">
        <v>2654188.12</v>
      </c>
      <c r="I602" s="14">
        <v>2700000</v>
      </c>
      <c r="J602" s="14">
        <v>2654188.12</v>
      </c>
      <c r="K602" s="12">
        <v>6907</v>
      </c>
      <c r="L602" s="10" t="s">
        <v>101</v>
      </c>
      <c r="M602" s="10" t="s">
        <v>102</v>
      </c>
      <c r="N602" s="124" t="s">
        <v>552</v>
      </c>
      <c r="O602" s="124" t="s">
        <v>552</v>
      </c>
      <c r="P602" s="21">
        <v>30</v>
      </c>
      <c r="Q602" s="10" t="s">
        <v>54</v>
      </c>
      <c r="R602" s="10" t="s">
        <v>28</v>
      </c>
      <c r="S602" s="10"/>
      <c r="T602" s="10"/>
      <c r="U602" s="10" t="s">
        <v>2388</v>
      </c>
      <c r="V602" s="10" t="s">
        <v>2388</v>
      </c>
      <c r="W602" s="50">
        <f>+J602/$W$2</f>
        <v>3.5286286618755829E-5</v>
      </c>
    </row>
    <row r="603" spans="1:29">
      <c r="A603" s="10" t="s">
        <v>273</v>
      </c>
      <c r="B603" s="10" t="s">
        <v>381</v>
      </c>
      <c r="C603" s="124">
        <v>46315</v>
      </c>
      <c r="D603" s="124" t="s">
        <v>492</v>
      </c>
      <c r="E603" s="21">
        <v>0.98470338999999996</v>
      </c>
      <c r="F603" s="10"/>
      <c r="G603" s="14">
        <v>15000000</v>
      </c>
      <c r="H603" s="14">
        <v>14770550.810000001</v>
      </c>
      <c r="I603" s="14">
        <v>15000000</v>
      </c>
      <c r="J603" s="14">
        <v>14770550.810000001</v>
      </c>
      <c r="K603" s="12">
        <v>68122840</v>
      </c>
      <c r="L603" s="10" t="s">
        <v>101</v>
      </c>
      <c r="M603" s="10" t="s">
        <v>102</v>
      </c>
      <c r="N603" s="124" t="s">
        <v>395</v>
      </c>
      <c r="O603" s="124" t="s">
        <v>395</v>
      </c>
      <c r="P603" s="21">
        <v>27</v>
      </c>
      <c r="Q603" s="10" t="s">
        <v>54</v>
      </c>
      <c r="R603" s="10" t="s">
        <v>28</v>
      </c>
      <c r="S603" s="10"/>
      <c r="T603" s="10"/>
      <c r="U603" s="10" t="s">
        <v>830</v>
      </c>
      <c r="V603" s="10" t="s">
        <v>830</v>
      </c>
      <c r="W603" s="50">
        <f>+J603/$W$2</f>
        <v>1.9636810423164584E-4</v>
      </c>
      <c r="AC603" s="47"/>
    </row>
    <row r="604" spans="1:29">
      <c r="A604" s="10" t="s">
        <v>273</v>
      </c>
      <c r="B604" s="10" t="s">
        <v>381</v>
      </c>
      <c r="C604" s="124">
        <v>46315</v>
      </c>
      <c r="D604" s="124" t="s">
        <v>492</v>
      </c>
      <c r="E604" s="21">
        <v>0.98470338999999996</v>
      </c>
      <c r="F604" s="10"/>
      <c r="G604" s="14">
        <v>10000000</v>
      </c>
      <c r="H604" s="14">
        <v>9847033.8699999992</v>
      </c>
      <c r="I604" s="14">
        <v>10000000</v>
      </c>
      <c r="J604" s="14">
        <v>9847033.8699999992</v>
      </c>
      <c r="K604" s="12">
        <v>2011</v>
      </c>
      <c r="L604" s="10" t="s">
        <v>101</v>
      </c>
      <c r="M604" s="10" t="s">
        <v>102</v>
      </c>
      <c r="N604" s="124" t="s">
        <v>395</v>
      </c>
      <c r="O604" s="124" t="s">
        <v>395</v>
      </c>
      <c r="P604" s="21">
        <v>27</v>
      </c>
      <c r="Q604" s="10" t="s">
        <v>54</v>
      </c>
      <c r="R604" s="10" t="s">
        <v>28</v>
      </c>
      <c r="S604" s="10"/>
      <c r="T604" s="10"/>
      <c r="U604" s="10" t="s">
        <v>835</v>
      </c>
      <c r="V604" s="10" t="s">
        <v>835</v>
      </c>
      <c r="W604" s="50">
        <f>+J604/$W$2</f>
        <v>1.3091206944344864E-4</v>
      </c>
    </row>
    <row r="605" spans="1:29">
      <c r="A605" s="10" t="s">
        <v>273</v>
      </c>
      <c r="B605" s="10" t="s">
        <v>381</v>
      </c>
      <c r="C605" s="124">
        <v>46315</v>
      </c>
      <c r="D605" s="124" t="s">
        <v>492</v>
      </c>
      <c r="E605" s="21">
        <v>0.98526161999999995</v>
      </c>
      <c r="F605" s="10"/>
      <c r="G605" s="14">
        <v>4000000</v>
      </c>
      <c r="H605" s="14">
        <v>3941046.5</v>
      </c>
      <c r="I605" s="14">
        <v>4000000</v>
      </c>
      <c r="J605" s="14">
        <v>3941046.5</v>
      </c>
      <c r="K605" s="12">
        <v>90002226</v>
      </c>
      <c r="L605" s="10" t="s">
        <v>101</v>
      </c>
      <c r="M605" s="10" t="s">
        <v>102</v>
      </c>
      <c r="N605" s="124" t="s">
        <v>532</v>
      </c>
      <c r="O605" s="124" t="s">
        <v>532</v>
      </c>
      <c r="P605" s="21">
        <v>26</v>
      </c>
      <c r="Q605" s="10" t="s">
        <v>54</v>
      </c>
      <c r="R605" s="10" t="s">
        <v>28</v>
      </c>
      <c r="S605" s="10"/>
      <c r="T605" s="10"/>
      <c r="U605" s="10" t="s">
        <v>3039</v>
      </c>
      <c r="V605" s="10" t="s">
        <v>3039</v>
      </c>
      <c r="W605" s="50">
        <f>+J605/$W$2</f>
        <v>5.2394513911412015E-5</v>
      </c>
    </row>
    <row r="606" spans="1:29">
      <c r="A606" s="10" t="s">
        <v>471</v>
      </c>
      <c r="B606" s="10" t="s">
        <v>381</v>
      </c>
      <c r="C606" s="124">
        <v>46315</v>
      </c>
      <c r="D606" s="124" t="s">
        <v>492</v>
      </c>
      <c r="E606" s="21">
        <v>0.98470340999999995</v>
      </c>
      <c r="F606" s="10"/>
      <c r="G606" s="14">
        <v>3620482.75</v>
      </c>
      <c r="H606" s="14">
        <v>3565101.7</v>
      </c>
      <c r="I606" s="14">
        <v>3620482.75</v>
      </c>
      <c r="J606" s="14">
        <v>3565101.7</v>
      </c>
      <c r="K606" s="12">
        <v>4324</v>
      </c>
      <c r="L606" s="10" t="s">
        <v>101</v>
      </c>
      <c r="M606" s="10" t="s">
        <v>102</v>
      </c>
      <c r="N606" s="124" t="s">
        <v>531</v>
      </c>
      <c r="O606" s="124" t="s">
        <v>531</v>
      </c>
      <c r="P606" s="21">
        <v>27</v>
      </c>
      <c r="Q606" s="10" t="s">
        <v>54</v>
      </c>
      <c r="R606" s="10" t="s">
        <v>28</v>
      </c>
      <c r="S606" s="10"/>
      <c r="T606" s="10"/>
      <c r="U606" s="10" t="s">
        <v>3362</v>
      </c>
      <c r="V606" s="10" t="s">
        <v>3362</v>
      </c>
      <c r="W606" s="50">
        <f>+J606/$W$2</f>
        <v>4.739648989583062E-5</v>
      </c>
    </row>
    <row r="607" spans="1:29">
      <c r="A607" s="10" t="s">
        <v>166</v>
      </c>
      <c r="B607" s="10" t="s">
        <v>381</v>
      </c>
      <c r="C607" s="124">
        <v>46315</v>
      </c>
      <c r="D607" s="124" t="s">
        <v>492</v>
      </c>
      <c r="E607" s="21">
        <v>0.97860477000000001</v>
      </c>
      <c r="F607" s="10"/>
      <c r="G607" s="14">
        <v>265500000</v>
      </c>
      <c r="H607" s="14">
        <v>259819566.65000001</v>
      </c>
      <c r="I607" s="14">
        <v>265500000</v>
      </c>
      <c r="J607" s="14">
        <v>259819566.65000001</v>
      </c>
      <c r="K607" s="12">
        <v>70406527</v>
      </c>
      <c r="L607" s="10" t="s">
        <v>101</v>
      </c>
      <c r="M607" s="10" t="s">
        <v>102</v>
      </c>
      <c r="N607" s="124" t="s">
        <v>421</v>
      </c>
      <c r="O607" s="124" t="s">
        <v>421</v>
      </c>
      <c r="P607" s="21">
        <v>38</v>
      </c>
      <c r="Q607" s="10" t="s">
        <v>54</v>
      </c>
      <c r="R607" s="10" t="s">
        <v>28</v>
      </c>
      <c r="S607" s="10"/>
      <c r="T607" s="10"/>
      <c r="U607" s="10" t="s">
        <v>2107</v>
      </c>
      <c r="V607" s="10" t="s">
        <v>2107</v>
      </c>
      <c r="W607" s="50">
        <f>+J607/$W$2</f>
        <v>3.4541891092379818E-3</v>
      </c>
    </row>
    <row r="608" spans="1:29">
      <c r="A608" s="10" t="s">
        <v>404</v>
      </c>
      <c r="B608" s="10" t="s">
        <v>381</v>
      </c>
      <c r="C608" s="124">
        <v>46315</v>
      </c>
      <c r="D608" s="124" t="s">
        <v>492</v>
      </c>
      <c r="E608" s="21">
        <v>0.98582044000000002</v>
      </c>
      <c r="F608" s="10"/>
      <c r="G608" s="14">
        <v>100000000</v>
      </c>
      <c r="H608" s="14">
        <v>98582044.359999999</v>
      </c>
      <c r="I608" s="14">
        <v>100000000</v>
      </c>
      <c r="J608" s="14">
        <v>98582044.359999999</v>
      </c>
      <c r="K608" s="12">
        <v>52811168</v>
      </c>
      <c r="L608" s="10" t="s">
        <v>101</v>
      </c>
      <c r="M608" s="10" t="s">
        <v>102</v>
      </c>
      <c r="N608" s="124" t="s">
        <v>319</v>
      </c>
      <c r="O608" s="124" t="s">
        <v>319</v>
      </c>
      <c r="P608" s="21">
        <v>25</v>
      </c>
      <c r="Q608" s="10" t="s">
        <v>54</v>
      </c>
      <c r="R608" s="10" t="s">
        <v>28</v>
      </c>
      <c r="S608" s="10"/>
      <c r="T608" s="10"/>
      <c r="U608" s="10" t="s">
        <v>988</v>
      </c>
      <c r="V608" s="10" t="s">
        <v>988</v>
      </c>
      <c r="W608" s="50">
        <f>+J608/$W$2</f>
        <v>1.3106057730187797E-3</v>
      </c>
    </row>
    <row r="609" spans="1:29">
      <c r="A609" s="10" t="s">
        <v>132</v>
      </c>
      <c r="B609" s="10" t="s">
        <v>381</v>
      </c>
      <c r="C609" s="124">
        <v>46315</v>
      </c>
      <c r="D609" s="124" t="s">
        <v>492</v>
      </c>
      <c r="E609" s="21">
        <v>0.98136760000000001</v>
      </c>
      <c r="F609" s="10"/>
      <c r="G609" s="14">
        <v>80000000</v>
      </c>
      <c r="H609" s="14">
        <v>78509407.700000003</v>
      </c>
      <c r="I609" s="14">
        <v>80000000</v>
      </c>
      <c r="J609" s="14">
        <v>78509407.700000003</v>
      </c>
      <c r="K609" s="12">
        <v>938</v>
      </c>
      <c r="L609" s="10" t="s">
        <v>101</v>
      </c>
      <c r="M609" s="10" t="s">
        <v>102</v>
      </c>
      <c r="N609" s="124" t="s">
        <v>420</v>
      </c>
      <c r="O609" s="124" t="s">
        <v>420</v>
      </c>
      <c r="P609" s="21">
        <v>33</v>
      </c>
      <c r="Q609" s="10" t="s">
        <v>54</v>
      </c>
      <c r="R609" s="10" t="s">
        <v>28</v>
      </c>
      <c r="S609" s="10"/>
      <c r="T609" s="10"/>
      <c r="U609" s="10" t="s">
        <v>2654</v>
      </c>
      <c r="V609" s="10" t="s">
        <v>2654</v>
      </c>
      <c r="W609" s="50">
        <f>+J609/$W$2</f>
        <v>1.043748723572373E-3</v>
      </c>
    </row>
    <row r="610" spans="1:29">
      <c r="A610" s="10" t="s">
        <v>290</v>
      </c>
      <c r="B610" s="10" t="s">
        <v>381</v>
      </c>
      <c r="C610" s="124">
        <v>46315</v>
      </c>
      <c r="D610" s="124" t="s">
        <v>492</v>
      </c>
      <c r="E610" s="21">
        <v>0.98026051999999997</v>
      </c>
      <c r="F610" s="10"/>
      <c r="G610" s="14">
        <v>4359563.53</v>
      </c>
      <c r="H610" s="14">
        <v>4273508</v>
      </c>
      <c r="I610" s="14">
        <v>4359563.53</v>
      </c>
      <c r="J610" s="14">
        <v>4273508</v>
      </c>
      <c r="K610" s="12">
        <v>40773794</v>
      </c>
      <c r="L610" s="10" t="s">
        <v>101</v>
      </c>
      <c r="M610" s="10" t="s">
        <v>102</v>
      </c>
      <c r="N610" s="124" t="s">
        <v>414</v>
      </c>
      <c r="O610" s="124" t="s">
        <v>414</v>
      </c>
      <c r="P610" s="21">
        <v>35</v>
      </c>
      <c r="Q610" s="10" t="s">
        <v>54</v>
      </c>
      <c r="R610" s="10" t="s">
        <v>28</v>
      </c>
      <c r="S610" s="10"/>
      <c r="T610" s="10"/>
      <c r="U610" s="10" t="s">
        <v>1474</v>
      </c>
      <c r="V610" s="10" t="s">
        <v>1474</v>
      </c>
      <c r="W610" s="50">
        <f>+J610/$W$2</f>
        <v>5.6814446202685133E-5</v>
      </c>
    </row>
    <row r="611" spans="1:29">
      <c r="A611" s="10" t="s">
        <v>465</v>
      </c>
      <c r="B611" s="10" t="s">
        <v>381</v>
      </c>
      <c r="C611" s="124">
        <v>46315</v>
      </c>
      <c r="D611" s="124" t="s">
        <v>492</v>
      </c>
      <c r="E611" s="21">
        <v>0.98192195000000004</v>
      </c>
      <c r="F611" s="10"/>
      <c r="G611" s="14">
        <v>10000000</v>
      </c>
      <c r="H611" s="14">
        <v>9819219.5399999991</v>
      </c>
      <c r="I611" s="14">
        <v>10000000</v>
      </c>
      <c r="J611" s="14">
        <v>9819219.5399999991</v>
      </c>
      <c r="K611" s="12">
        <v>14422566</v>
      </c>
      <c r="L611" s="10" t="s">
        <v>101</v>
      </c>
      <c r="M611" s="10" t="s">
        <v>102</v>
      </c>
      <c r="N611" s="124" t="s">
        <v>164</v>
      </c>
      <c r="O611" s="124" t="s">
        <v>164</v>
      </c>
      <c r="P611" s="21">
        <v>32</v>
      </c>
      <c r="Q611" s="10" t="s">
        <v>54</v>
      </c>
      <c r="R611" s="10" t="s">
        <v>28</v>
      </c>
      <c r="S611" s="10"/>
      <c r="T611" s="10"/>
      <c r="U611" s="10" t="s">
        <v>1966</v>
      </c>
      <c r="V611" s="10" t="s">
        <v>1966</v>
      </c>
      <c r="W611" s="50">
        <f>+J611/$W$2</f>
        <v>1.3054228991912138E-4</v>
      </c>
    </row>
    <row r="612" spans="1:29">
      <c r="A612" s="10" t="s">
        <v>465</v>
      </c>
      <c r="B612" s="10" t="s">
        <v>381</v>
      </c>
      <c r="C612" s="124">
        <v>46315</v>
      </c>
      <c r="D612" s="124" t="s">
        <v>492</v>
      </c>
      <c r="E612" s="21">
        <v>0.98136747999999996</v>
      </c>
      <c r="F612" s="10"/>
      <c r="G612" s="14">
        <v>25000000</v>
      </c>
      <c r="H612" s="14">
        <v>24534186.989999998</v>
      </c>
      <c r="I612" s="14">
        <v>25000000</v>
      </c>
      <c r="J612" s="14">
        <v>24534186.989999998</v>
      </c>
      <c r="K612" s="12">
        <v>14422653</v>
      </c>
      <c r="L612" s="10" t="s">
        <v>101</v>
      </c>
      <c r="M612" s="10" t="s">
        <v>102</v>
      </c>
      <c r="N612" s="124" t="s">
        <v>421</v>
      </c>
      <c r="O612" s="124" t="s">
        <v>421</v>
      </c>
      <c r="P612" s="21">
        <v>33</v>
      </c>
      <c r="Q612" s="10" t="s">
        <v>54</v>
      </c>
      <c r="R612" s="10" t="s">
        <v>28</v>
      </c>
      <c r="S612" s="10"/>
      <c r="T612" s="10"/>
      <c r="U612" s="10" t="s">
        <v>2100</v>
      </c>
      <c r="V612" s="10" t="s">
        <v>2100</v>
      </c>
      <c r="W612" s="50">
        <f>+J612/$W$2</f>
        <v>3.2617143734608019E-4</v>
      </c>
    </row>
    <row r="613" spans="1:29">
      <c r="A613" s="10" t="s">
        <v>222</v>
      </c>
      <c r="B613" s="10" t="s">
        <v>381</v>
      </c>
      <c r="C613" s="124">
        <v>46315</v>
      </c>
      <c r="D613" s="124" t="s">
        <v>492</v>
      </c>
      <c r="E613" s="21">
        <v>0.98136745999999997</v>
      </c>
      <c r="F613" s="10"/>
      <c r="G613" s="14">
        <v>45000000</v>
      </c>
      <c r="H613" s="14">
        <v>44161535.850000001</v>
      </c>
      <c r="I613" s="14">
        <v>45000000</v>
      </c>
      <c r="J613" s="14">
        <v>44161535.850000001</v>
      </c>
      <c r="K613" s="12">
        <v>67764210</v>
      </c>
      <c r="L613" s="10" t="s">
        <v>101</v>
      </c>
      <c r="M613" s="10" t="s">
        <v>102</v>
      </c>
      <c r="N613" s="124" t="s">
        <v>327</v>
      </c>
      <c r="O613" s="124" t="s">
        <v>327</v>
      </c>
      <c r="P613" s="21">
        <v>33</v>
      </c>
      <c r="Q613" s="10" t="s">
        <v>54</v>
      </c>
      <c r="R613" s="10" t="s">
        <v>28</v>
      </c>
      <c r="S613" s="10"/>
      <c r="T613" s="10"/>
      <c r="U613" s="10" t="s">
        <v>720</v>
      </c>
      <c r="V613" s="10" t="s">
        <v>720</v>
      </c>
      <c r="W613" s="50">
        <f>+J613/$W$2</f>
        <v>5.8710857749131999E-4</v>
      </c>
    </row>
    <row r="614" spans="1:29">
      <c r="A614" s="10" t="s">
        <v>2770</v>
      </c>
      <c r="B614" s="10" t="s">
        <v>381</v>
      </c>
      <c r="C614" s="124">
        <v>46315</v>
      </c>
      <c r="D614" s="124" t="s">
        <v>492</v>
      </c>
      <c r="E614" s="21">
        <v>0.98136760999999995</v>
      </c>
      <c r="F614" s="10"/>
      <c r="G614" s="14">
        <v>430202</v>
      </c>
      <c r="H614" s="14">
        <v>422186.31</v>
      </c>
      <c r="I614" s="14">
        <v>430202</v>
      </c>
      <c r="J614" s="14">
        <v>422186.31</v>
      </c>
      <c r="K614" s="12">
        <v>80314130</v>
      </c>
      <c r="L614" s="10" t="s">
        <v>101</v>
      </c>
      <c r="M614" s="10" t="s">
        <v>102</v>
      </c>
      <c r="N614" s="124" t="s">
        <v>472</v>
      </c>
      <c r="O614" s="124" t="s">
        <v>472</v>
      </c>
      <c r="P614" s="21">
        <v>33</v>
      </c>
      <c r="Q614" s="10" t="s">
        <v>54</v>
      </c>
      <c r="R614" s="10" t="s">
        <v>28</v>
      </c>
      <c r="S614" s="10"/>
      <c r="T614" s="10"/>
      <c r="U614" s="10" t="s">
        <v>3255</v>
      </c>
      <c r="V614" s="10" t="s">
        <v>3255</v>
      </c>
      <c r="W614" s="50">
        <f>+J614/$W$2</f>
        <v>5.6127849525507259E-6</v>
      </c>
    </row>
    <row r="615" spans="1:29">
      <c r="A615" s="10" t="s">
        <v>2914</v>
      </c>
      <c r="B615" s="10" t="s">
        <v>381</v>
      </c>
      <c r="C615" s="124">
        <v>46315</v>
      </c>
      <c r="D615" s="124" t="s">
        <v>492</v>
      </c>
      <c r="E615" s="21">
        <v>0.98526175000000005</v>
      </c>
      <c r="F615" s="10"/>
      <c r="G615" s="14">
        <v>5000000</v>
      </c>
      <c r="H615" s="14">
        <v>4926308.74</v>
      </c>
      <c r="I615" s="14">
        <v>5000000</v>
      </c>
      <c r="J615" s="14">
        <v>4926308.74</v>
      </c>
      <c r="K615" s="12">
        <v>92147553</v>
      </c>
      <c r="L615" s="10" t="s">
        <v>101</v>
      </c>
      <c r="M615" s="10" t="s">
        <v>102</v>
      </c>
      <c r="N615" s="124" t="s">
        <v>677</v>
      </c>
      <c r="O615" s="124" t="s">
        <v>677</v>
      </c>
      <c r="P615" s="21">
        <v>26</v>
      </c>
      <c r="Q615" s="10" t="s">
        <v>54</v>
      </c>
      <c r="R615" s="10" t="s">
        <v>28</v>
      </c>
      <c r="S615" s="10"/>
      <c r="T615" s="10"/>
      <c r="U615" s="10" t="s">
        <v>3275</v>
      </c>
      <c r="V615" s="10" t="s">
        <v>3275</v>
      </c>
      <c r="W615" s="50">
        <f>+J615/$W$2</f>
        <v>6.5493150565424852E-5</v>
      </c>
    </row>
    <row r="616" spans="1:29">
      <c r="A616" s="10" t="s">
        <v>2915</v>
      </c>
      <c r="B616" s="10" t="s">
        <v>381</v>
      </c>
      <c r="C616" s="124">
        <v>46315</v>
      </c>
      <c r="D616" s="124" t="s">
        <v>492</v>
      </c>
      <c r="E616" s="21">
        <v>0.98526159999999996</v>
      </c>
      <c r="F616" s="10"/>
      <c r="G616" s="14">
        <v>88697647.719999999</v>
      </c>
      <c r="H616" s="14">
        <v>87390386.180000007</v>
      </c>
      <c r="I616" s="14">
        <v>88697647.719999999</v>
      </c>
      <c r="J616" s="14">
        <v>87390386.180000007</v>
      </c>
      <c r="K616" s="12">
        <v>30008455</v>
      </c>
      <c r="L616" s="10" t="s">
        <v>101</v>
      </c>
      <c r="M616" s="10" t="s">
        <v>102</v>
      </c>
      <c r="N616" s="124" t="s">
        <v>531</v>
      </c>
      <c r="O616" s="124" t="s">
        <v>531</v>
      </c>
      <c r="P616" s="21">
        <v>26</v>
      </c>
      <c r="Q616" s="10" t="s">
        <v>54</v>
      </c>
      <c r="R616" s="10" t="s">
        <v>28</v>
      </c>
      <c r="S616" s="10"/>
      <c r="T616" s="10"/>
      <c r="U616" s="10" t="s">
        <v>3380</v>
      </c>
      <c r="V616" s="10" t="s">
        <v>3380</v>
      </c>
      <c r="W616" s="50">
        <f>+J616/$W$2</f>
        <v>1.1618175031509216E-3</v>
      </c>
    </row>
    <row r="617" spans="1:29">
      <c r="A617" s="10" t="s">
        <v>2915</v>
      </c>
      <c r="B617" s="10" t="s">
        <v>381</v>
      </c>
      <c r="C617" s="124">
        <v>46315</v>
      </c>
      <c r="D617" s="124" t="s">
        <v>492</v>
      </c>
      <c r="E617" s="21">
        <v>0.98526159999999996</v>
      </c>
      <c r="F617" s="10"/>
      <c r="G617" s="14">
        <v>710090.5</v>
      </c>
      <c r="H617" s="14">
        <v>699624.9</v>
      </c>
      <c r="I617" s="14">
        <v>710090.5</v>
      </c>
      <c r="J617" s="14">
        <v>699624.9</v>
      </c>
      <c r="K617" s="12">
        <v>11063103</v>
      </c>
      <c r="L617" s="10" t="s">
        <v>101</v>
      </c>
      <c r="M617" s="10" t="s">
        <v>102</v>
      </c>
      <c r="N617" s="124" t="s">
        <v>531</v>
      </c>
      <c r="O617" s="124" t="s">
        <v>531</v>
      </c>
      <c r="P617" s="21">
        <v>26</v>
      </c>
      <c r="Q617" s="10" t="s">
        <v>54</v>
      </c>
      <c r="R617" s="10" t="s">
        <v>28</v>
      </c>
      <c r="S617" s="10"/>
      <c r="T617" s="10"/>
      <c r="U617" s="10" t="s">
        <v>3354</v>
      </c>
      <c r="V617" s="10" t="s">
        <v>3354</v>
      </c>
      <c r="W617" s="50">
        <f>+J617/$W$2</f>
        <v>9.3012113802311741E-6</v>
      </c>
    </row>
    <row r="618" spans="1:29">
      <c r="A618" s="10" t="s">
        <v>717</v>
      </c>
      <c r="B618" s="10" t="s">
        <v>381</v>
      </c>
      <c r="C618" s="124">
        <v>46315</v>
      </c>
      <c r="D618" s="124" t="s">
        <v>492</v>
      </c>
      <c r="E618" s="21">
        <v>0.98247698999999999</v>
      </c>
      <c r="F618" s="10"/>
      <c r="G618" s="14">
        <v>11371524</v>
      </c>
      <c r="H618" s="14">
        <v>11172260.699999999</v>
      </c>
      <c r="I618" s="14">
        <v>11371524</v>
      </c>
      <c r="J618" s="14">
        <v>11172260.699999999</v>
      </c>
      <c r="K618" s="12">
        <v>1234</v>
      </c>
      <c r="L618" s="10" t="s">
        <v>101</v>
      </c>
      <c r="M618" s="10" t="s">
        <v>102</v>
      </c>
      <c r="N618" s="124" t="s">
        <v>165</v>
      </c>
      <c r="O618" s="124" t="s">
        <v>165</v>
      </c>
      <c r="P618" s="21">
        <v>31</v>
      </c>
      <c r="Q618" s="10" t="s">
        <v>54</v>
      </c>
      <c r="R618" s="10" t="s">
        <v>28</v>
      </c>
      <c r="S618" s="10"/>
      <c r="T618" s="10"/>
      <c r="U618" s="10" t="s">
        <v>1264</v>
      </c>
      <c r="V618" s="10" t="s">
        <v>1264</v>
      </c>
      <c r="W618" s="50">
        <f>+J618/$W$2</f>
        <v>1.4853038873509147E-4</v>
      </c>
    </row>
    <row r="619" spans="1:29">
      <c r="A619" s="10" t="s">
        <v>469</v>
      </c>
      <c r="B619" s="10" t="s">
        <v>381</v>
      </c>
      <c r="C619" s="124">
        <v>46315</v>
      </c>
      <c r="D619" s="124" t="s">
        <v>492</v>
      </c>
      <c r="E619" s="21">
        <v>0.97860477000000001</v>
      </c>
      <c r="F619" s="10"/>
      <c r="G619" s="14">
        <v>6899161.7699999996</v>
      </c>
      <c r="H619" s="14">
        <v>6751552.5999999996</v>
      </c>
      <c r="I619" s="14">
        <v>6899161.7699999996</v>
      </c>
      <c r="J619" s="14">
        <v>6751552.5999999996</v>
      </c>
      <c r="K619" s="12">
        <v>65964607</v>
      </c>
      <c r="L619" s="10" t="s">
        <v>101</v>
      </c>
      <c r="M619" s="10" t="s">
        <v>102</v>
      </c>
      <c r="N619" s="124" t="s">
        <v>277</v>
      </c>
      <c r="O619" s="124" t="s">
        <v>277</v>
      </c>
      <c r="P619" s="21">
        <v>38</v>
      </c>
      <c r="Q619" s="10" t="s">
        <v>54</v>
      </c>
      <c r="R619" s="10" t="s">
        <v>28</v>
      </c>
      <c r="S619" s="10"/>
      <c r="T619" s="10"/>
      <c r="U619" s="10" t="s">
        <v>534</v>
      </c>
      <c r="V619" s="10" t="s">
        <v>534</v>
      </c>
      <c r="W619" s="50">
        <f>+J619/$W$2</f>
        <v>8.9758980672856808E-5</v>
      </c>
    </row>
    <row r="620" spans="1:29">
      <c r="A620" s="10" t="s">
        <v>426</v>
      </c>
      <c r="B620" s="10" t="s">
        <v>381</v>
      </c>
      <c r="C620" s="124">
        <v>46315</v>
      </c>
      <c r="D620" s="124" t="s">
        <v>492</v>
      </c>
      <c r="E620" s="21">
        <v>0.98303262999999996</v>
      </c>
      <c r="F620" s="10"/>
      <c r="G620" s="14">
        <v>5580000</v>
      </c>
      <c r="H620" s="14">
        <v>5485322.0999999996</v>
      </c>
      <c r="I620" s="14">
        <v>5580000</v>
      </c>
      <c r="J620" s="14">
        <v>5485322.0999999996</v>
      </c>
      <c r="K620" s="12">
        <v>11415152</v>
      </c>
      <c r="L620" s="10" t="s">
        <v>101</v>
      </c>
      <c r="M620" s="10" t="s">
        <v>102</v>
      </c>
      <c r="N620" s="124" t="s">
        <v>486</v>
      </c>
      <c r="O620" s="124" t="s">
        <v>486</v>
      </c>
      <c r="P620" s="21">
        <v>30</v>
      </c>
      <c r="Q620" s="10" t="s">
        <v>54</v>
      </c>
      <c r="R620" s="10" t="s">
        <v>28</v>
      </c>
      <c r="S620" s="10"/>
      <c r="T620" s="10"/>
      <c r="U620" s="10" t="s">
        <v>2808</v>
      </c>
      <c r="V620" s="10" t="s">
        <v>2808</v>
      </c>
      <c r="W620" s="50">
        <f>+J620/$W$2</f>
        <v>7.29249921504417E-5</v>
      </c>
    </row>
    <row r="621" spans="1:29">
      <c r="A621" s="10" t="s">
        <v>427</v>
      </c>
      <c r="B621" s="10" t="s">
        <v>381</v>
      </c>
      <c r="C621" s="124">
        <v>46315</v>
      </c>
      <c r="D621" s="124" t="s">
        <v>492</v>
      </c>
      <c r="E621" s="21">
        <v>0.98414583</v>
      </c>
      <c r="F621" s="10"/>
      <c r="G621" s="14">
        <v>2500000</v>
      </c>
      <c r="H621" s="14">
        <v>2460364.58</v>
      </c>
      <c r="I621" s="14">
        <v>2500000</v>
      </c>
      <c r="J621" s="14">
        <v>2460364.58</v>
      </c>
      <c r="K621" s="12">
        <v>90031817</v>
      </c>
      <c r="L621" s="10" t="s">
        <v>101</v>
      </c>
      <c r="M621" s="10" t="s">
        <v>102</v>
      </c>
      <c r="N621" s="124" t="s">
        <v>277</v>
      </c>
      <c r="O621" s="124" t="s">
        <v>277</v>
      </c>
      <c r="P621" s="21">
        <v>28</v>
      </c>
      <c r="Q621" s="10" t="s">
        <v>54</v>
      </c>
      <c r="R621" s="10" t="s">
        <v>28</v>
      </c>
      <c r="S621" s="10"/>
      <c r="T621" s="10"/>
      <c r="U621" s="10" t="s">
        <v>525</v>
      </c>
      <c r="V621" s="10" t="s">
        <v>525</v>
      </c>
      <c r="W621" s="50">
        <f>+J621/$W$2</f>
        <v>3.2709486227568077E-5</v>
      </c>
    </row>
    <row r="622" spans="1:29">
      <c r="A622" s="10" t="s">
        <v>427</v>
      </c>
      <c r="B622" s="10" t="s">
        <v>381</v>
      </c>
      <c r="C622" s="124">
        <v>46315</v>
      </c>
      <c r="D622" s="124" t="s">
        <v>492</v>
      </c>
      <c r="E622" s="21">
        <v>0.98414581999999995</v>
      </c>
      <c r="F622" s="10"/>
      <c r="G622" s="14">
        <v>25000000</v>
      </c>
      <c r="H622" s="14">
        <v>24603645.5</v>
      </c>
      <c r="I622" s="14">
        <v>25000000</v>
      </c>
      <c r="J622" s="14">
        <v>24603645.5</v>
      </c>
      <c r="K622" s="12">
        <v>360572</v>
      </c>
      <c r="L622" s="10" t="s">
        <v>101</v>
      </c>
      <c r="M622" s="10" t="s">
        <v>102</v>
      </c>
      <c r="N622" s="124" t="s">
        <v>295</v>
      </c>
      <c r="O622" s="124" t="s">
        <v>295</v>
      </c>
      <c r="P622" s="21">
        <v>28</v>
      </c>
      <c r="Q622" s="10" t="s">
        <v>54</v>
      </c>
      <c r="R622" s="10" t="s">
        <v>28</v>
      </c>
      <c r="S622" s="10"/>
      <c r="T622" s="10"/>
      <c r="U622" s="10" t="s">
        <v>487</v>
      </c>
      <c r="V622" s="10" t="s">
        <v>487</v>
      </c>
      <c r="W622" s="50">
        <f>+J622/$W$2</f>
        <v>3.2709485828731014E-4</v>
      </c>
      <c r="AC622" s="47"/>
    </row>
    <row r="623" spans="1:29">
      <c r="A623" s="10" t="s">
        <v>382</v>
      </c>
      <c r="B623" s="10" t="s">
        <v>381</v>
      </c>
      <c r="C623" s="124">
        <v>46315</v>
      </c>
      <c r="D623" s="124" t="s">
        <v>492</v>
      </c>
      <c r="E623" s="21">
        <v>0.98192199000000002</v>
      </c>
      <c r="F623" s="10"/>
      <c r="G623" s="14">
        <v>2000000</v>
      </c>
      <c r="H623" s="14">
        <v>1963843.98</v>
      </c>
      <c r="I623" s="14">
        <v>2000000</v>
      </c>
      <c r="J623" s="14">
        <v>1963843.98</v>
      </c>
      <c r="K623" s="12">
        <v>1071</v>
      </c>
      <c r="L623" s="10" t="s">
        <v>101</v>
      </c>
      <c r="M623" s="10" t="s">
        <v>102</v>
      </c>
      <c r="N623" s="124" t="s">
        <v>432</v>
      </c>
      <c r="O623" s="124" t="s">
        <v>432</v>
      </c>
      <c r="P623" s="21">
        <v>32</v>
      </c>
      <c r="Q623" s="10" t="s">
        <v>54</v>
      </c>
      <c r="R623" s="10" t="s">
        <v>28</v>
      </c>
      <c r="S623" s="10"/>
      <c r="T623" s="10"/>
      <c r="U623" s="10" t="s">
        <v>1829</v>
      </c>
      <c r="V623" s="10" t="s">
        <v>1829</v>
      </c>
      <c r="W623" s="50">
        <f>+J623/$W$2</f>
        <v>2.6108458941033236E-5</v>
      </c>
    </row>
    <row r="624" spans="1:29">
      <c r="A624" s="10" t="s">
        <v>382</v>
      </c>
      <c r="B624" s="10" t="s">
        <v>381</v>
      </c>
      <c r="C624" s="124">
        <v>46315</v>
      </c>
      <c r="D624" s="124" t="s">
        <v>492</v>
      </c>
      <c r="E624" s="21">
        <v>0.98303266</v>
      </c>
      <c r="F624" s="10"/>
      <c r="G624" s="14">
        <v>3300000</v>
      </c>
      <c r="H624" s="14">
        <v>3244007.78</v>
      </c>
      <c r="I624" s="14">
        <v>3300000</v>
      </c>
      <c r="J624" s="14">
        <v>3244007.78</v>
      </c>
      <c r="K624" s="12">
        <v>925</v>
      </c>
      <c r="L624" s="10" t="s">
        <v>101</v>
      </c>
      <c r="M624" s="10" t="s">
        <v>102</v>
      </c>
      <c r="N624" s="124" t="s">
        <v>397</v>
      </c>
      <c r="O624" s="124" t="s">
        <v>397</v>
      </c>
      <c r="P624" s="21">
        <v>30</v>
      </c>
      <c r="Q624" s="10" t="s">
        <v>54</v>
      </c>
      <c r="R624" s="10" t="s">
        <v>28</v>
      </c>
      <c r="S624" s="10"/>
      <c r="T624" s="10"/>
      <c r="U624" s="10" t="s">
        <v>1451</v>
      </c>
      <c r="V624" s="10" t="s">
        <v>1451</v>
      </c>
      <c r="W624" s="50">
        <f>+J624/$W$2</f>
        <v>4.3127684679168032E-5</v>
      </c>
      <c r="AC624" s="47"/>
    </row>
    <row r="625" spans="1:29">
      <c r="A625" s="10" t="s">
        <v>382</v>
      </c>
      <c r="B625" s="10" t="s">
        <v>381</v>
      </c>
      <c r="C625" s="124">
        <v>46315</v>
      </c>
      <c r="D625" s="124" t="s">
        <v>492</v>
      </c>
      <c r="E625" s="21">
        <v>0.98303264999999995</v>
      </c>
      <c r="F625" s="10"/>
      <c r="G625" s="14">
        <v>2500000</v>
      </c>
      <c r="H625" s="14">
        <v>2457581.63</v>
      </c>
      <c r="I625" s="14">
        <v>2500000</v>
      </c>
      <c r="J625" s="14">
        <v>2457581.63</v>
      </c>
      <c r="K625" s="12">
        <v>907</v>
      </c>
      <c r="L625" s="10" t="s">
        <v>101</v>
      </c>
      <c r="M625" s="10" t="s">
        <v>102</v>
      </c>
      <c r="N625" s="124" t="s">
        <v>349</v>
      </c>
      <c r="O625" s="124" t="s">
        <v>349</v>
      </c>
      <c r="P625" s="21">
        <v>30</v>
      </c>
      <c r="Q625" s="10" t="s">
        <v>54</v>
      </c>
      <c r="R625" s="10" t="s">
        <v>28</v>
      </c>
      <c r="S625" s="10"/>
      <c r="T625" s="10"/>
      <c r="U625" s="10" t="s">
        <v>1336</v>
      </c>
      <c r="V625" s="10" t="s">
        <v>1336</v>
      </c>
      <c r="W625" s="50">
        <f>+J625/$W$2</f>
        <v>3.2672488107274456E-5</v>
      </c>
    </row>
    <row r="626" spans="1:29">
      <c r="A626" s="10" t="s">
        <v>382</v>
      </c>
      <c r="B626" s="10" t="s">
        <v>381</v>
      </c>
      <c r="C626" s="124">
        <v>46315</v>
      </c>
      <c r="D626" s="124" t="s">
        <v>492</v>
      </c>
      <c r="E626" s="21">
        <v>0.98303262000000002</v>
      </c>
      <c r="F626" s="10"/>
      <c r="G626" s="14">
        <v>2500000</v>
      </c>
      <c r="H626" s="14">
        <v>2457581.56</v>
      </c>
      <c r="I626" s="14">
        <v>2500000</v>
      </c>
      <c r="J626" s="14">
        <v>2457581.56</v>
      </c>
      <c r="K626" s="12">
        <v>456</v>
      </c>
      <c r="L626" s="10" t="s">
        <v>101</v>
      </c>
      <c r="M626" s="10" t="s">
        <v>102</v>
      </c>
      <c r="N626" s="124" t="s">
        <v>435</v>
      </c>
      <c r="O626" s="124" t="s">
        <v>435</v>
      </c>
      <c r="P626" s="21">
        <v>30</v>
      </c>
      <c r="Q626" s="10" t="s">
        <v>54</v>
      </c>
      <c r="R626" s="10" t="s">
        <v>28</v>
      </c>
      <c r="S626" s="10"/>
      <c r="T626" s="10"/>
      <c r="U626" s="10" t="s">
        <v>1319</v>
      </c>
      <c r="V626" s="10" t="s">
        <v>1319</v>
      </c>
      <c r="W626" s="50">
        <f>+J626/$W$2</f>
        <v>3.2672487176654637E-5</v>
      </c>
    </row>
    <row r="627" spans="1:29">
      <c r="A627" s="10" t="s">
        <v>1423</v>
      </c>
      <c r="B627" s="10" t="s">
        <v>381</v>
      </c>
      <c r="C627" s="124">
        <v>46315</v>
      </c>
      <c r="D627" s="124" t="s">
        <v>492</v>
      </c>
      <c r="E627" s="21">
        <v>0.98414586000000004</v>
      </c>
      <c r="F627" s="10"/>
      <c r="G627" s="14">
        <v>7098063.4299999997</v>
      </c>
      <c r="H627" s="14">
        <v>6985529.7400000002</v>
      </c>
      <c r="I627" s="14">
        <v>7098063.4299999997</v>
      </c>
      <c r="J627" s="14">
        <v>6985529.7400000002</v>
      </c>
      <c r="K627" s="12">
        <v>90027049</v>
      </c>
      <c r="L627" s="10" t="s">
        <v>101</v>
      </c>
      <c r="M627" s="10" t="s">
        <v>102</v>
      </c>
      <c r="N627" s="124" t="s">
        <v>548</v>
      </c>
      <c r="O627" s="124" t="s">
        <v>548</v>
      </c>
      <c r="P627" s="21">
        <v>28</v>
      </c>
      <c r="Q627" s="10" t="s">
        <v>54</v>
      </c>
      <c r="R627" s="10" t="s">
        <v>28</v>
      </c>
      <c r="S627" s="10"/>
      <c r="T627" s="10"/>
      <c r="U627" s="10" t="s">
        <v>1417</v>
      </c>
      <c r="V627" s="10" t="s">
        <v>1417</v>
      </c>
      <c r="W627" s="50">
        <f>+J627/$W$2</f>
        <v>9.2869605862557668E-5</v>
      </c>
    </row>
    <row r="628" spans="1:29">
      <c r="A628" s="10" t="s">
        <v>477</v>
      </c>
      <c r="B628" s="10" t="s">
        <v>381</v>
      </c>
      <c r="C628" s="124">
        <v>46316</v>
      </c>
      <c r="D628" s="124" t="s">
        <v>492</v>
      </c>
      <c r="E628" s="21">
        <v>0.98340342000000003</v>
      </c>
      <c r="F628" s="10"/>
      <c r="G628" s="14">
        <v>20000000</v>
      </c>
      <c r="H628" s="14">
        <v>19668068.440000001</v>
      </c>
      <c r="I628" s="14">
        <v>20000000</v>
      </c>
      <c r="J628" s="14">
        <v>19668068.440000001</v>
      </c>
      <c r="K628" s="12">
        <v>10262986</v>
      </c>
      <c r="L628" s="10" t="s">
        <v>101</v>
      </c>
      <c r="M628" s="10" t="s">
        <v>102</v>
      </c>
      <c r="N628" s="124" t="s">
        <v>394</v>
      </c>
      <c r="O628" s="124" t="s">
        <v>394</v>
      </c>
      <c r="P628" s="21">
        <v>28</v>
      </c>
      <c r="Q628" s="10" t="s">
        <v>54</v>
      </c>
      <c r="R628" s="10" t="s">
        <v>28</v>
      </c>
      <c r="S628" s="10"/>
      <c r="T628" s="10"/>
      <c r="U628" s="10" t="s">
        <v>805</v>
      </c>
      <c r="V628" s="10" t="s">
        <v>805</v>
      </c>
      <c r="W628" s="50">
        <f>+J628/$W$2</f>
        <v>2.6147848940381282E-4</v>
      </c>
    </row>
    <row r="629" spans="1:29">
      <c r="A629" s="10" t="s">
        <v>382</v>
      </c>
      <c r="B629" s="10" t="s">
        <v>381</v>
      </c>
      <c r="C629" s="124">
        <v>46316</v>
      </c>
      <c r="D629" s="124" t="s">
        <v>492</v>
      </c>
      <c r="E629" s="21">
        <v>0.98223897000000004</v>
      </c>
      <c r="F629" s="10"/>
      <c r="G629" s="14">
        <v>5000000</v>
      </c>
      <c r="H629" s="14">
        <v>4911194.87</v>
      </c>
      <c r="I629" s="14">
        <v>5000000</v>
      </c>
      <c r="J629" s="14">
        <v>4911194.87</v>
      </c>
      <c r="K629" s="12">
        <v>1218</v>
      </c>
      <c r="L629" s="10" t="s">
        <v>101</v>
      </c>
      <c r="M629" s="10" t="s">
        <v>102</v>
      </c>
      <c r="N629" s="124" t="s">
        <v>552</v>
      </c>
      <c r="O629" s="124" t="s">
        <v>552</v>
      </c>
      <c r="P629" s="21">
        <v>30</v>
      </c>
      <c r="Q629" s="10" t="s">
        <v>54</v>
      </c>
      <c r="R629" s="10" t="s">
        <v>28</v>
      </c>
      <c r="S629" s="10"/>
      <c r="T629" s="10"/>
      <c r="U629" s="10" t="s">
        <v>2353</v>
      </c>
      <c r="V629" s="10" t="s">
        <v>2353</v>
      </c>
      <c r="W629" s="50">
        <f>+J629/$W$2</f>
        <v>6.5292218180595008E-5</v>
      </c>
    </row>
    <row r="630" spans="1:29">
      <c r="A630" s="10" t="s">
        <v>382</v>
      </c>
      <c r="B630" s="10" t="s">
        <v>381</v>
      </c>
      <c r="C630" s="124">
        <v>46316</v>
      </c>
      <c r="D630" s="124" t="s">
        <v>492</v>
      </c>
      <c r="E630" s="21">
        <v>0.98223914999999995</v>
      </c>
      <c r="F630" s="10"/>
      <c r="G630" s="14">
        <v>5000000</v>
      </c>
      <c r="H630" s="14">
        <v>4911195.76</v>
      </c>
      <c r="I630" s="14">
        <v>5000000</v>
      </c>
      <c r="J630" s="14">
        <v>4911195.76</v>
      </c>
      <c r="K630" s="12">
        <v>1248</v>
      </c>
      <c r="L630" s="10" t="s">
        <v>101</v>
      </c>
      <c r="M630" s="10" t="s">
        <v>102</v>
      </c>
      <c r="N630" s="124" t="s">
        <v>486</v>
      </c>
      <c r="O630" s="124" t="s">
        <v>486</v>
      </c>
      <c r="P630" s="21">
        <v>30</v>
      </c>
      <c r="Q630" s="10" t="s">
        <v>54</v>
      </c>
      <c r="R630" s="10" t="s">
        <v>28</v>
      </c>
      <c r="S630" s="10"/>
      <c r="T630" s="10"/>
      <c r="U630" s="10" t="s">
        <v>2840</v>
      </c>
      <c r="V630" s="10" t="s">
        <v>2840</v>
      </c>
      <c r="W630" s="50">
        <f>+J630/$W$2</f>
        <v>6.5292230012761249E-5</v>
      </c>
    </row>
    <row r="631" spans="1:29">
      <c r="A631" s="10" t="s">
        <v>382</v>
      </c>
      <c r="B631" s="10" t="s">
        <v>381</v>
      </c>
      <c r="C631" s="124">
        <v>46316</v>
      </c>
      <c r="D631" s="124" t="s">
        <v>492</v>
      </c>
      <c r="E631" s="21">
        <v>0.98223897999999998</v>
      </c>
      <c r="F631" s="10"/>
      <c r="G631" s="14">
        <v>4500000</v>
      </c>
      <c r="H631" s="14">
        <v>4420075.3899999997</v>
      </c>
      <c r="I631" s="14">
        <v>4500000</v>
      </c>
      <c r="J631" s="14">
        <v>4420075.3899999997</v>
      </c>
      <c r="K631" s="12">
        <v>1300</v>
      </c>
      <c r="L631" s="10" t="s">
        <v>101</v>
      </c>
      <c r="M631" s="10" t="s">
        <v>102</v>
      </c>
      <c r="N631" s="124" t="s">
        <v>532</v>
      </c>
      <c r="O631" s="124" t="s">
        <v>532</v>
      </c>
      <c r="P631" s="21">
        <v>30</v>
      </c>
      <c r="Q631" s="10" t="s">
        <v>54</v>
      </c>
      <c r="R631" s="10" t="s">
        <v>28</v>
      </c>
      <c r="S631" s="10"/>
      <c r="T631" s="10"/>
      <c r="U631" s="10" t="s">
        <v>3086</v>
      </c>
      <c r="V631" s="10" t="s">
        <v>3086</v>
      </c>
      <c r="W631" s="50">
        <f>+J631/$W$2</f>
        <v>5.8762996455597483E-5</v>
      </c>
    </row>
    <row r="632" spans="1:29">
      <c r="A632" s="10" t="s">
        <v>382</v>
      </c>
      <c r="B632" s="10" t="s">
        <v>381</v>
      </c>
      <c r="C632" s="124">
        <v>46316</v>
      </c>
      <c r="D632" s="124" t="s">
        <v>492</v>
      </c>
      <c r="E632" s="21">
        <v>0.98107741999999998</v>
      </c>
      <c r="F632" s="10"/>
      <c r="G632" s="14">
        <v>10000000</v>
      </c>
      <c r="H632" s="14">
        <v>9810774.1999999993</v>
      </c>
      <c r="I632" s="14">
        <v>10000000</v>
      </c>
      <c r="J632" s="14">
        <v>9810774.1999999993</v>
      </c>
      <c r="K632" s="12">
        <v>1086</v>
      </c>
      <c r="L632" s="10" t="s">
        <v>101</v>
      </c>
      <c r="M632" s="10" t="s">
        <v>102</v>
      </c>
      <c r="N632" s="124" t="s">
        <v>533</v>
      </c>
      <c r="O632" s="124" t="s">
        <v>533</v>
      </c>
      <c r="P632" s="21">
        <v>32</v>
      </c>
      <c r="Q632" s="10" t="s">
        <v>54</v>
      </c>
      <c r="R632" s="10" t="s">
        <v>28</v>
      </c>
      <c r="S632" s="10"/>
      <c r="T632" s="10"/>
      <c r="U632" s="10" t="s">
        <v>1879</v>
      </c>
      <c r="V632" s="10" t="s">
        <v>1879</v>
      </c>
      <c r="W632" s="50">
        <f>+J632/$W$2</f>
        <v>1.3043001276529523E-4</v>
      </c>
    </row>
    <row r="633" spans="1:29">
      <c r="A633" s="10" t="s">
        <v>3266</v>
      </c>
      <c r="B633" s="10" t="s">
        <v>381</v>
      </c>
      <c r="C633" s="124">
        <v>46316</v>
      </c>
      <c r="D633" s="124" t="s">
        <v>492</v>
      </c>
      <c r="E633" s="21">
        <v>0.98165787000000004</v>
      </c>
      <c r="F633" s="10"/>
      <c r="G633" s="14">
        <v>43800553.829999998</v>
      </c>
      <c r="H633" s="14">
        <v>42997158.32</v>
      </c>
      <c r="I633" s="14">
        <v>43800553.829999998</v>
      </c>
      <c r="J633" s="14">
        <v>42997158.32</v>
      </c>
      <c r="K633" s="12">
        <v>13300908</v>
      </c>
      <c r="L633" s="10" t="s">
        <v>101</v>
      </c>
      <c r="M633" s="10" t="s">
        <v>102</v>
      </c>
      <c r="N633" s="124" t="s">
        <v>472</v>
      </c>
      <c r="O633" s="124" t="s">
        <v>472</v>
      </c>
      <c r="P633" s="21">
        <v>31</v>
      </c>
      <c r="Q633" s="10" t="s">
        <v>54</v>
      </c>
      <c r="R633" s="10" t="s">
        <v>28</v>
      </c>
      <c r="S633" s="10"/>
      <c r="T633" s="10"/>
      <c r="U633" s="10" t="s">
        <v>3199</v>
      </c>
      <c r="V633" s="10" t="s">
        <v>3199</v>
      </c>
      <c r="W633" s="50">
        <f>+J633/$W$2</f>
        <v>5.7162868028794503E-4</v>
      </c>
    </row>
    <row r="634" spans="1:29">
      <c r="A634" s="10" t="s">
        <v>3347</v>
      </c>
      <c r="B634" s="10" t="s">
        <v>381</v>
      </c>
      <c r="C634" s="124">
        <v>46316</v>
      </c>
      <c r="D634" s="124" t="s">
        <v>492</v>
      </c>
      <c r="E634" s="21">
        <v>0.98223910999999997</v>
      </c>
      <c r="F634" s="10"/>
      <c r="G634" s="14">
        <v>11523612.33</v>
      </c>
      <c r="H634" s="14">
        <v>11318942.699999999</v>
      </c>
      <c r="I634" s="14">
        <v>11523612.33</v>
      </c>
      <c r="J634" s="14">
        <v>11318942.699999999</v>
      </c>
      <c r="K634" s="12">
        <v>69808189</v>
      </c>
      <c r="L634" s="10" t="s">
        <v>101</v>
      </c>
      <c r="M634" s="10" t="s">
        <v>102</v>
      </c>
      <c r="N634" s="124" t="s">
        <v>677</v>
      </c>
      <c r="O634" s="124" t="s">
        <v>677</v>
      </c>
      <c r="P634" s="21">
        <v>30</v>
      </c>
      <c r="Q634" s="10" t="s">
        <v>54</v>
      </c>
      <c r="R634" s="10" t="s">
        <v>28</v>
      </c>
      <c r="S634" s="10"/>
      <c r="T634" s="10"/>
      <c r="U634" s="10" t="s">
        <v>3306</v>
      </c>
      <c r="V634" s="10" t="s">
        <v>3306</v>
      </c>
      <c r="W634" s="50">
        <f>+J634/$W$2</f>
        <v>1.5048046267853612E-4</v>
      </c>
    </row>
    <row r="635" spans="1:29">
      <c r="A635" s="10" t="s">
        <v>3458</v>
      </c>
      <c r="B635" s="10" t="s">
        <v>381</v>
      </c>
      <c r="C635" s="124">
        <v>46316</v>
      </c>
      <c r="D635" s="124" t="s">
        <v>492</v>
      </c>
      <c r="E635" s="21">
        <v>0.98223917999999999</v>
      </c>
      <c r="F635" s="10"/>
      <c r="G635" s="14">
        <v>1060000</v>
      </c>
      <c r="H635" s="14">
        <v>1041173.53</v>
      </c>
      <c r="I635" s="14">
        <v>1060000</v>
      </c>
      <c r="J635" s="14">
        <v>1041173.53</v>
      </c>
      <c r="K635" s="12">
        <v>11204208</v>
      </c>
      <c r="L635" s="10" t="s">
        <v>101</v>
      </c>
      <c r="M635" s="10" t="s">
        <v>102</v>
      </c>
      <c r="N635" s="124" t="s">
        <v>531</v>
      </c>
      <c r="O635" s="124" t="s">
        <v>531</v>
      </c>
      <c r="P635" s="21">
        <v>30</v>
      </c>
      <c r="Q635" s="10" t="s">
        <v>54</v>
      </c>
      <c r="R635" s="10" t="s">
        <v>28</v>
      </c>
      <c r="S635" s="10"/>
      <c r="T635" s="10"/>
      <c r="U635" s="10" t="s">
        <v>3422</v>
      </c>
      <c r="V635" s="10" t="s">
        <v>3422</v>
      </c>
      <c r="W635" s="50">
        <f>+J635/$W$2</f>
        <v>1.3841953146652534E-5</v>
      </c>
    </row>
    <row r="636" spans="1:29">
      <c r="A636" s="10" t="s">
        <v>596</v>
      </c>
      <c r="B636" s="10" t="s">
        <v>381</v>
      </c>
      <c r="C636" s="124">
        <v>46316</v>
      </c>
      <c r="D636" s="124" t="s">
        <v>492</v>
      </c>
      <c r="E636" s="21">
        <v>0.98107734999999996</v>
      </c>
      <c r="F636" s="10"/>
      <c r="G636" s="14">
        <v>27150000</v>
      </c>
      <c r="H636" s="14">
        <v>26636249.989999998</v>
      </c>
      <c r="I636" s="14">
        <v>27150000</v>
      </c>
      <c r="J636" s="14">
        <v>26636249.989999998</v>
      </c>
      <c r="K636" s="12">
        <v>29768697</v>
      </c>
      <c r="L636" s="10" t="s">
        <v>101</v>
      </c>
      <c r="M636" s="10" t="s">
        <v>102</v>
      </c>
      <c r="N636" s="124" t="s">
        <v>321</v>
      </c>
      <c r="O636" s="124" t="s">
        <v>321</v>
      </c>
      <c r="P636" s="21">
        <v>32</v>
      </c>
      <c r="Q636" s="10" t="s">
        <v>54</v>
      </c>
      <c r="R636" s="10" t="s">
        <v>28</v>
      </c>
      <c r="S636" s="10"/>
      <c r="T636" s="10"/>
      <c r="U636" s="10" t="s">
        <v>1228</v>
      </c>
      <c r="V636" s="10" t="s">
        <v>1228</v>
      </c>
      <c r="W636" s="50">
        <f>+J636/$W$2</f>
        <v>3.5411745856053794E-4</v>
      </c>
    </row>
    <row r="637" spans="1:29">
      <c r="A637" s="10" t="s">
        <v>1819</v>
      </c>
      <c r="B637" s="10" t="s">
        <v>1191</v>
      </c>
      <c r="C637" s="124">
        <v>46316</v>
      </c>
      <c r="D637" s="124" t="s">
        <v>492</v>
      </c>
      <c r="E637" s="21">
        <v>0.99104011999999997</v>
      </c>
      <c r="F637" s="10" t="s">
        <v>3464</v>
      </c>
      <c r="G637" s="14">
        <v>20534.87</v>
      </c>
      <c r="H637" s="14">
        <v>20350.88</v>
      </c>
      <c r="I637" s="14">
        <v>31726373.710000001</v>
      </c>
      <c r="J637" s="14">
        <v>31442109.16</v>
      </c>
      <c r="K637" s="12">
        <v>70</v>
      </c>
      <c r="L637" s="10" t="s">
        <v>101</v>
      </c>
      <c r="M637" s="10" t="s">
        <v>102</v>
      </c>
      <c r="N637" s="124" t="s">
        <v>420</v>
      </c>
      <c r="O637" s="124" t="s">
        <v>420</v>
      </c>
      <c r="P637" s="21">
        <v>15</v>
      </c>
      <c r="Q637" s="10" t="s">
        <v>54</v>
      </c>
      <c r="R637" s="10" t="s">
        <v>28</v>
      </c>
      <c r="S637" s="10"/>
      <c r="T637" s="10"/>
      <c r="U637" s="10" t="s">
        <v>2693</v>
      </c>
      <c r="V637" s="10" t="s">
        <v>2693</v>
      </c>
      <c r="W637" s="50">
        <f>+J637/$W$2</f>
        <v>4.1800928402843131E-4</v>
      </c>
      <c r="AC637" s="47"/>
    </row>
    <row r="638" spans="1:29">
      <c r="A638" s="10" t="s">
        <v>1819</v>
      </c>
      <c r="B638" s="10" t="s">
        <v>1191</v>
      </c>
      <c r="C638" s="124">
        <v>46316</v>
      </c>
      <c r="D638" s="124" t="s">
        <v>492</v>
      </c>
      <c r="E638" s="21">
        <v>0.99103984000000001</v>
      </c>
      <c r="F638" s="10" t="s">
        <v>3464</v>
      </c>
      <c r="G638" s="14">
        <v>24316.54</v>
      </c>
      <c r="H638" s="14">
        <v>24098.66</v>
      </c>
      <c r="I638" s="14">
        <v>37569053.770000003</v>
      </c>
      <c r="J638" s="14">
        <v>37232429.18</v>
      </c>
      <c r="K638" s="12">
        <v>71</v>
      </c>
      <c r="L638" s="10" t="s">
        <v>101</v>
      </c>
      <c r="M638" s="10" t="s">
        <v>102</v>
      </c>
      <c r="N638" s="124" t="s">
        <v>420</v>
      </c>
      <c r="O638" s="124" t="s">
        <v>420</v>
      </c>
      <c r="P638" s="21">
        <v>15</v>
      </c>
      <c r="Q638" s="10" t="s">
        <v>54</v>
      </c>
      <c r="R638" s="10" t="s">
        <v>28</v>
      </c>
      <c r="S638" s="10"/>
      <c r="T638" s="10"/>
      <c r="U638" s="10" t="s">
        <v>2694</v>
      </c>
      <c r="V638" s="10" t="s">
        <v>2694</v>
      </c>
      <c r="W638" s="50">
        <f>+J638/$W$2</f>
        <v>4.9498909201583195E-4</v>
      </c>
      <c r="AC638" s="47"/>
    </row>
    <row r="639" spans="1:29">
      <c r="A639" s="10" t="s">
        <v>1819</v>
      </c>
      <c r="B639" s="10" t="s">
        <v>1191</v>
      </c>
      <c r="C639" s="124">
        <v>46316</v>
      </c>
      <c r="D639" s="124" t="s">
        <v>492</v>
      </c>
      <c r="E639" s="21">
        <v>0.99104004999999995</v>
      </c>
      <c r="F639" s="10" t="s">
        <v>3464</v>
      </c>
      <c r="G639" s="14">
        <v>16608.349999999999</v>
      </c>
      <c r="H639" s="14">
        <v>16459.54</v>
      </c>
      <c r="I639" s="14">
        <v>25659900.390000001</v>
      </c>
      <c r="J639" s="14">
        <v>25429988.940000001</v>
      </c>
      <c r="K639" s="12">
        <v>74</v>
      </c>
      <c r="L639" s="10" t="s">
        <v>101</v>
      </c>
      <c r="M639" s="10" t="s">
        <v>102</v>
      </c>
      <c r="N639" s="124" t="s">
        <v>420</v>
      </c>
      <c r="O639" s="124" t="s">
        <v>420</v>
      </c>
      <c r="P639" s="21">
        <v>15</v>
      </c>
      <c r="Q639" s="10" t="s">
        <v>54</v>
      </c>
      <c r="R639" s="10" t="s">
        <v>28</v>
      </c>
      <c r="S639" s="10"/>
      <c r="T639" s="10"/>
      <c r="U639" s="10" t="s">
        <v>2697</v>
      </c>
      <c r="V639" s="10" t="s">
        <v>2697</v>
      </c>
      <c r="W639" s="50">
        <f>+J639/$W$2</f>
        <v>3.3808073801815932E-4</v>
      </c>
    </row>
    <row r="640" spans="1:29">
      <c r="A640" s="10" t="s">
        <v>2598</v>
      </c>
      <c r="B640" s="10" t="s">
        <v>381</v>
      </c>
      <c r="C640" s="124">
        <v>46316</v>
      </c>
      <c r="D640" s="124" t="s">
        <v>492</v>
      </c>
      <c r="E640" s="21">
        <v>0.98049752999999995</v>
      </c>
      <c r="F640" s="10"/>
      <c r="G640" s="14">
        <v>284785</v>
      </c>
      <c r="H640" s="14">
        <v>279230.99</v>
      </c>
      <c r="I640" s="14">
        <v>284785</v>
      </c>
      <c r="J640" s="14">
        <v>279230.99</v>
      </c>
      <c r="K640" s="12">
        <v>13757767</v>
      </c>
      <c r="L640" s="10" t="s">
        <v>101</v>
      </c>
      <c r="M640" s="10" t="s">
        <v>102</v>
      </c>
      <c r="N640" s="124" t="s">
        <v>423</v>
      </c>
      <c r="O640" s="124" t="s">
        <v>423</v>
      </c>
      <c r="P640" s="21">
        <v>33</v>
      </c>
      <c r="Q640" s="10" t="s">
        <v>54</v>
      </c>
      <c r="R640" s="10" t="s">
        <v>28</v>
      </c>
      <c r="S640" s="10"/>
      <c r="T640" s="10"/>
      <c r="U640" s="10" t="s">
        <v>2507</v>
      </c>
      <c r="V640" s="10" t="s">
        <v>2507</v>
      </c>
      <c r="W640" s="50">
        <f>+J640/$W$2</f>
        <v>3.7122556128308431E-6</v>
      </c>
    </row>
    <row r="641" spans="1:29">
      <c r="A641" s="10" t="s">
        <v>2599</v>
      </c>
      <c r="B641" s="10" t="s">
        <v>381</v>
      </c>
      <c r="C641" s="124">
        <v>46316</v>
      </c>
      <c r="D641" s="124" t="s">
        <v>492</v>
      </c>
      <c r="E641" s="21">
        <v>0.98165782000000001</v>
      </c>
      <c r="F641" s="10"/>
      <c r="G641" s="14">
        <v>30000000</v>
      </c>
      <c r="H641" s="14">
        <v>29449734.489999998</v>
      </c>
      <c r="I641" s="14">
        <v>30000000</v>
      </c>
      <c r="J641" s="14">
        <v>29449734.489999998</v>
      </c>
      <c r="K641" s="12">
        <v>8713</v>
      </c>
      <c r="L641" s="10" t="s">
        <v>101</v>
      </c>
      <c r="M641" s="10" t="s">
        <v>102</v>
      </c>
      <c r="N641" s="124" t="s">
        <v>423</v>
      </c>
      <c r="O641" s="124" t="s">
        <v>423</v>
      </c>
      <c r="P641" s="21">
        <v>31</v>
      </c>
      <c r="Q641" s="10" t="s">
        <v>54</v>
      </c>
      <c r="R641" s="10" t="s">
        <v>28</v>
      </c>
      <c r="S641" s="10"/>
      <c r="T641" s="10"/>
      <c r="U641" s="10" t="s">
        <v>2469</v>
      </c>
      <c r="V641" s="10" t="s">
        <v>2469</v>
      </c>
      <c r="W641" s="50">
        <f>+J641/$W$2</f>
        <v>3.9152152186575193E-4</v>
      </c>
    </row>
    <row r="642" spans="1:29">
      <c r="A642" s="10" t="s">
        <v>2599</v>
      </c>
      <c r="B642" s="10" t="s">
        <v>381</v>
      </c>
      <c r="C642" s="124">
        <v>46316</v>
      </c>
      <c r="D642" s="124" t="s">
        <v>492</v>
      </c>
      <c r="E642" s="21">
        <v>0.98165782000000001</v>
      </c>
      <c r="F642" s="10"/>
      <c r="G642" s="14">
        <v>30000000</v>
      </c>
      <c r="H642" s="14">
        <v>29449734.489999998</v>
      </c>
      <c r="I642" s="14">
        <v>30000000</v>
      </c>
      <c r="J642" s="14">
        <v>29449734.489999998</v>
      </c>
      <c r="K642" s="12">
        <v>8712</v>
      </c>
      <c r="L642" s="10" t="s">
        <v>101</v>
      </c>
      <c r="M642" s="10" t="s">
        <v>102</v>
      </c>
      <c r="N642" s="124" t="s">
        <v>423</v>
      </c>
      <c r="O642" s="124" t="s">
        <v>423</v>
      </c>
      <c r="P642" s="21">
        <v>31</v>
      </c>
      <c r="Q642" s="10" t="s">
        <v>54</v>
      </c>
      <c r="R642" s="10" t="s">
        <v>28</v>
      </c>
      <c r="S642" s="10"/>
      <c r="T642" s="10"/>
      <c r="U642" s="10" t="s">
        <v>2470</v>
      </c>
      <c r="V642" s="10" t="s">
        <v>2470</v>
      </c>
      <c r="W642" s="50">
        <f>+J642/$W$2</f>
        <v>3.9152152186575193E-4</v>
      </c>
    </row>
    <row r="643" spans="1:29">
      <c r="A643" s="10" t="s">
        <v>2599</v>
      </c>
      <c r="B643" s="10" t="s">
        <v>381</v>
      </c>
      <c r="C643" s="124">
        <v>46316</v>
      </c>
      <c r="D643" s="124" t="s">
        <v>492</v>
      </c>
      <c r="E643" s="21">
        <v>0.98165782000000001</v>
      </c>
      <c r="F643" s="10"/>
      <c r="G643" s="14">
        <v>30000000</v>
      </c>
      <c r="H643" s="14">
        <v>29449734.489999998</v>
      </c>
      <c r="I643" s="14">
        <v>30000000</v>
      </c>
      <c r="J643" s="14">
        <v>29449734.489999998</v>
      </c>
      <c r="K643" s="12">
        <v>8714</v>
      </c>
      <c r="L643" s="10" t="s">
        <v>101</v>
      </c>
      <c r="M643" s="10" t="s">
        <v>102</v>
      </c>
      <c r="N643" s="124" t="s">
        <v>423</v>
      </c>
      <c r="O643" s="124" t="s">
        <v>423</v>
      </c>
      <c r="P643" s="21">
        <v>31</v>
      </c>
      <c r="Q643" s="10" t="s">
        <v>54</v>
      </c>
      <c r="R643" s="10" t="s">
        <v>28</v>
      </c>
      <c r="S643" s="10"/>
      <c r="T643" s="10"/>
      <c r="U643" s="10" t="s">
        <v>2471</v>
      </c>
      <c r="V643" s="10" t="s">
        <v>2471</v>
      </c>
      <c r="W643" s="50">
        <f>+J643/$W$2</f>
        <v>3.9152152186575193E-4</v>
      </c>
    </row>
    <row r="644" spans="1:29">
      <c r="A644" s="10" t="s">
        <v>2599</v>
      </c>
      <c r="B644" s="10" t="s">
        <v>381</v>
      </c>
      <c r="C644" s="124">
        <v>46316</v>
      </c>
      <c r="D644" s="124" t="s">
        <v>492</v>
      </c>
      <c r="E644" s="21">
        <v>0.98165782000000001</v>
      </c>
      <c r="F644" s="10"/>
      <c r="G644" s="14">
        <v>30000000</v>
      </c>
      <c r="H644" s="14">
        <v>29449734.489999998</v>
      </c>
      <c r="I644" s="14">
        <v>30000000</v>
      </c>
      <c r="J644" s="14">
        <v>29449734.489999998</v>
      </c>
      <c r="K644" s="12">
        <v>8715</v>
      </c>
      <c r="L644" s="10" t="s">
        <v>101</v>
      </c>
      <c r="M644" s="10" t="s">
        <v>102</v>
      </c>
      <c r="N644" s="124" t="s">
        <v>423</v>
      </c>
      <c r="O644" s="124" t="s">
        <v>423</v>
      </c>
      <c r="P644" s="21">
        <v>31</v>
      </c>
      <c r="Q644" s="10" t="s">
        <v>54</v>
      </c>
      <c r="R644" s="10" t="s">
        <v>28</v>
      </c>
      <c r="S644" s="10"/>
      <c r="T644" s="10"/>
      <c r="U644" s="10" t="s">
        <v>2472</v>
      </c>
      <c r="V644" s="10" t="s">
        <v>2472</v>
      </c>
      <c r="W644" s="50">
        <f>+J644/$W$2</f>
        <v>3.9152152186575193E-4</v>
      </c>
    </row>
    <row r="645" spans="1:29">
      <c r="A645" s="10" t="s">
        <v>494</v>
      </c>
      <c r="B645" s="10" t="s">
        <v>381</v>
      </c>
      <c r="C645" s="124">
        <v>46316</v>
      </c>
      <c r="D645" s="124" t="s">
        <v>492</v>
      </c>
      <c r="E645" s="21">
        <v>0.98515531000000001</v>
      </c>
      <c r="F645" s="10"/>
      <c r="G645" s="14">
        <v>599708.56000000006</v>
      </c>
      <c r="H645" s="14">
        <v>590806.06999999995</v>
      </c>
      <c r="I645" s="14">
        <v>599708.56000000006</v>
      </c>
      <c r="J645" s="14">
        <v>590806.06999999995</v>
      </c>
      <c r="K645" s="12">
        <v>40791017</v>
      </c>
      <c r="L645" s="10" t="s">
        <v>101</v>
      </c>
      <c r="M645" s="10" t="s">
        <v>102</v>
      </c>
      <c r="N645" s="124" t="s">
        <v>677</v>
      </c>
      <c r="O645" s="124" t="s">
        <v>677</v>
      </c>
      <c r="P645" s="21">
        <v>25</v>
      </c>
      <c r="Q645" s="10" t="s">
        <v>54</v>
      </c>
      <c r="R645" s="10" t="s">
        <v>28</v>
      </c>
      <c r="S645" s="10"/>
      <c r="T645" s="10"/>
      <c r="U645" s="10" t="s">
        <v>3328</v>
      </c>
      <c r="V645" s="10" t="s">
        <v>3328</v>
      </c>
      <c r="W645" s="50">
        <f>+J645/$W$2</f>
        <v>7.8545119560405234E-6</v>
      </c>
    </row>
    <row r="646" spans="1:29">
      <c r="A646" s="10" t="s">
        <v>494</v>
      </c>
      <c r="B646" s="10" t="s">
        <v>381</v>
      </c>
      <c r="C646" s="124">
        <v>46316</v>
      </c>
      <c r="D646" s="124" t="s">
        <v>492</v>
      </c>
      <c r="E646" s="21">
        <v>0.98515531999999995</v>
      </c>
      <c r="F646" s="10"/>
      <c r="G646" s="14">
        <v>899857.14</v>
      </c>
      <c r="H646" s="14">
        <v>886499.05</v>
      </c>
      <c r="I646" s="14">
        <v>899857.14</v>
      </c>
      <c r="J646" s="14">
        <v>886499.05</v>
      </c>
      <c r="K646" s="12">
        <v>1150215</v>
      </c>
      <c r="L646" s="10" t="s">
        <v>101</v>
      </c>
      <c r="M646" s="10" t="s">
        <v>102</v>
      </c>
      <c r="N646" s="124" t="s">
        <v>677</v>
      </c>
      <c r="O646" s="124" t="s">
        <v>677</v>
      </c>
      <c r="P646" s="21">
        <v>25</v>
      </c>
      <c r="Q646" s="10" t="s">
        <v>54</v>
      </c>
      <c r="R646" s="10" t="s">
        <v>28</v>
      </c>
      <c r="S646" s="10"/>
      <c r="T646" s="10"/>
      <c r="U646" s="10" t="s">
        <v>3329</v>
      </c>
      <c r="V646" s="10" t="s">
        <v>3329</v>
      </c>
      <c r="W646" s="50">
        <f>+J646/$W$2</f>
        <v>1.1785622627816885E-5</v>
      </c>
    </row>
    <row r="647" spans="1:29">
      <c r="A647" s="10" t="s">
        <v>389</v>
      </c>
      <c r="B647" s="10" t="s">
        <v>381</v>
      </c>
      <c r="C647" s="124">
        <v>46316</v>
      </c>
      <c r="D647" s="124" t="s">
        <v>492</v>
      </c>
      <c r="E647" s="21">
        <v>0.98107736000000001</v>
      </c>
      <c r="F647" s="10"/>
      <c r="G647" s="14">
        <v>10655603.25</v>
      </c>
      <c r="H647" s="14">
        <v>10453971.15</v>
      </c>
      <c r="I647" s="14">
        <v>10655603.25</v>
      </c>
      <c r="J647" s="14">
        <v>10453971.15</v>
      </c>
      <c r="K647" s="12">
        <v>30826</v>
      </c>
      <c r="L647" s="10" t="s">
        <v>101</v>
      </c>
      <c r="M647" s="10" t="s">
        <v>102</v>
      </c>
      <c r="N647" s="124" t="s">
        <v>396</v>
      </c>
      <c r="O647" s="124" t="s">
        <v>396</v>
      </c>
      <c r="P647" s="21">
        <v>32</v>
      </c>
      <c r="Q647" s="10" t="s">
        <v>54</v>
      </c>
      <c r="R647" s="10" t="s">
        <v>28</v>
      </c>
      <c r="S647" s="10"/>
      <c r="T647" s="10"/>
      <c r="U647" s="10" t="s">
        <v>866</v>
      </c>
      <c r="V647" s="10" t="s">
        <v>866</v>
      </c>
      <c r="W647" s="50">
        <f>+J647/$W$2</f>
        <v>1.3898103888096091E-4</v>
      </c>
    </row>
    <row r="648" spans="1:29">
      <c r="A648" s="10" t="s">
        <v>353</v>
      </c>
      <c r="B648" s="10" t="s">
        <v>381</v>
      </c>
      <c r="C648" s="124">
        <v>46316</v>
      </c>
      <c r="D648" s="124" t="s">
        <v>492</v>
      </c>
      <c r="E648" s="21">
        <v>0.98049752999999995</v>
      </c>
      <c r="F648" s="10"/>
      <c r="G648" s="14">
        <v>2502550.36</v>
      </c>
      <c r="H648" s="14">
        <v>2453744.44</v>
      </c>
      <c r="I648" s="14">
        <v>2502550.36</v>
      </c>
      <c r="J648" s="14">
        <v>2453744.44</v>
      </c>
      <c r="K648" s="12">
        <v>3127</v>
      </c>
      <c r="L648" s="10" t="s">
        <v>101</v>
      </c>
      <c r="M648" s="10" t="s">
        <v>102</v>
      </c>
      <c r="N648" s="124" t="s">
        <v>433</v>
      </c>
      <c r="O648" s="124" t="s">
        <v>433</v>
      </c>
      <c r="P648" s="21">
        <v>33</v>
      </c>
      <c r="Q648" s="10" t="s">
        <v>54</v>
      </c>
      <c r="R648" s="10" t="s">
        <v>28</v>
      </c>
      <c r="S648" s="10"/>
      <c r="T648" s="10"/>
      <c r="U648" s="10" t="s">
        <v>1088</v>
      </c>
      <c r="V648" s="10" t="s">
        <v>1088</v>
      </c>
      <c r="W648" s="50">
        <f>+J648/$W$2</f>
        <v>3.2621474320749546E-5</v>
      </c>
    </row>
    <row r="649" spans="1:29">
      <c r="A649" s="10" t="s">
        <v>353</v>
      </c>
      <c r="B649" s="10" t="s">
        <v>381</v>
      </c>
      <c r="C649" s="124">
        <v>46316</v>
      </c>
      <c r="D649" s="124" t="s">
        <v>492</v>
      </c>
      <c r="E649" s="21">
        <v>0.98049752999999995</v>
      </c>
      <c r="F649" s="10"/>
      <c r="G649" s="14">
        <v>2502550.36</v>
      </c>
      <c r="H649" s="14">
        <v>2453744.44</v>
      </c>
      <c r="I649" s="14">
        <v>2502550.36</v>
      </c>
      <c r="J649" s="14">
        <v>2453744.44</v>
      </c>
      <c r="K649" s="12">
        <v>3137</v>
      </c>
      <c r="L649" s="10" t="s">
        <v>101</v>
      </c>
      <c r="M649" s="10" t="s">
        <v>102</v>
      </c>
      <c r="N649" s="124" t="s">
        <v>433</v>
      </c>
      <c r="O649" s="124" t="s">
        <v>433</v>
      </c>
      <c r="P649" s="21">
        <v>33</v>
      </c>
      <c r="Q649" s="10" t="s">
        <v>54</v>
      </c>
      <c r="R649" s="10" t="s">
        <v>28</v>
      </c>
      <c r="S649" s="10"/>
      <c r="T649" s="10"/>
      <c r="U649" s="10" t="s">
        <v>1095</v>
      </c>
      <c r="V649" s="10" t="s">
        <v>1095</v>
      </c>
      <c r="W649" s="50">
        <f>+J649/$W$2</f>
        <v>3.2621474320749546E-5</v>
      </c>
    </row>
    <row r="650" spans="1:29">
      <c r="A650" s="10" t="s">
        <v>273</v>
      </c>
      <c r="B650" s="10" t="s">
        <v>381</v>
      </c>
      <c r="C650" s="124">
        <v>46316</v>
      </c>
      <c r="D650" s="124" t="s">
        <v>492</v>
      </c>
      <c r="E650" s="21">
        <v>0.98515523000000005</v>
      </c>
      <c r="F650" s="10"/>
      <c r="G650" s="14">
        <v>28000000</v>
      </c>
      <c r="H650" s="14">
        <v>27584346.559999999</v>
      </c>
      <c r="I650" s="14">
        <v>28000000</v>
      </c>
      <c r="J650" s="14">
        <v>27584346.559999999</v>
      </c>
      <c r="K650" s="12">
        <v>68393695</v>
      </c>
      <c r="L650" s="10" t="s">
        <v>101</v>
      </c>
      <c r="M650" s="10" t="s">
        <v>102</v>
      </c>
      <c r="N650" s="124" t="s">
        <v>319</v>
      </c>
      <c r="O650" s="124" t="s">
        <v>319</v>
      </c>
      <c r="P650" s="21">
        <v>25</v>
      </c>
      <c r="Q650" s="10" t="s">
        <v>54</v>
      </c>
      <c r="R650" s="10" t="s">
        <v>28</v>
      </c>
      <c r="S650" s="10"/>
      <c r="T650" s="10"/>
      <c r="U650" s="10" t="s">
        <v>1014</v>
      </c>
      <c r="V650" s="10" t="s">
        <v>1014</v>
      </c>
      <c r="W650" s="50">
        <f>+J650/$W$2</f>
        <v>3.6672199365704773E-4</v>
      </c>
    </row>
    <row r="651" spans="1:29">
      <c r="A651" s="10" t="s">
        <v>273</v>
      </c>
      <c r="B651" s="10" t="s">
        <v>381</v>
      </c>
      <c r="C651" s="124">
        <v>46316</v>
      </c>
      <c r="D651" s="124" t="s">
        <v>492</v>
      </c>
      <c r="E651" s="21">
        <v>0.98398664999999996</v>
      </c>
      <c r="F651" s="10"/>
      <c r="G651" s="14">
        <v>15000000</v>
      </c>
      <c r="H651" s="14">
        <v>14759799.810000001</v>
      </c>
      <c r="I651" s="14">
        <v>15000000</v>
      </c>
      <c r="J651" s="14">
        <v>14759799.810000001</v>
      </c>
      <c r="K651" s="12">
        <v>11349967</v>
      </c>
      <c r="L651" s="10" t="s">
        <v>101</v>
      </c>
      <c r="M651" s="10" t="s">
        <v>102</v>
      </c>
      <c r="N651" s="124" t="s">
        <v>326</v>
      </c>
      <c r="O651" s="124" t="s">
        <v>326</v>
      </c>
      <c r="P651" s="21">
        <v>27</v>
      </c>
      <c r="Q651" s="10" t="s">
        <v>54</v>
      </c>
      <c r="R651" s="10" t="s">
        <v>28</v>
      </c>
      <c r="S651" s="10"/>
      <c r="T651" s="10"/>
      <c r="U651" s="10" t="s">
        <v>979</v>
      </c>
      <c r="V651" s="10" t="s">
        <v>979</v>
      </c>
      <c r="W651" s="50">
        <f>+J651/$W$2</f>
        <v>1.9622517432227746E-4</v>
      </c>
      <c r="AC651" s="47"/>
    </row>
    <row r="652" spans="1:29">
      <c r="A652" s="10" t="s">
        <v>273</v>
      </c>
      <c r="B652" s="10" t="s">
        <v>381</v>
      </c>
      <c r="C652" s="124">
        <v>46316</v>
      </c>
      <c r="D652" s="124" t="s">
        <v>492</v>
      </c>
      <c r="E652" s="21">
        <v>0.98398664999999996</v>
      </c>
      <c r="F652" s="10"/>
      <c r="G652" s="14">
        <v>20000000</v>
      </c>
      <c r="H652" s="14">
        <v>19679733.07</v>
      </c>
      <c r="I652" s="14">
        <v>20000000</v>
      </c>
      <c r="J652" s="14">
        <v>19679733.07</v>
      </c>
      <c r="K652" s="12">
        <v>13869224</v>
      </c>
      <c r="L652" s="10" t="s">
        <v>101</v>
      </c>
      <c r="M652" s="10" t="s">
        <v>102</v>
      </c>
      <c r="N652" s="124" t="s">
        <v>326</v>
      </c>
      <c r="O652" s="124" t="s">
        <v>326</v>
      </c>
      <c r="P652" s="21">
        <v>27</v>
      </c>
      <c r="Q652" s="10" t="s">
        <v>54</v>
      </c>
      <c r="R652" s="10" t="s">
        <v>28</v>
      </c>
      <c r="S652" s="10"/>
      <c r="T652" s="10"/>
      <c r="U652" s="10" t="s">
        <v>985</v>
      </c>
      <c r="V652" s="10" t="s">
        <v>985</v>
      </c>
      <c r="W652" s="50">
        <f>+J652/$W$2</f>
        <v>2.6163356563009094E-4</v>
      </c>
    </row>
    <row r="653" spans="1:29">
      <c r="A653" s="10" t="s">
        <v>219</v>
      </c>
      <c r="B653" s="10" t="s">
        <v>381</v>
      </c>
      <c r="C653" s="124">
        <v>46316</v>
      </c>
      <c r="D653" s="124" t="s">
        <v>492</v>
      </c>
      <c r="E653" s="21">
        <v>0.98107736000000001</v>
      </c>
      <c r="F653" s="10"/>
      <c r="G653" s="14">
        <v>50000000</v>
      </c>
      <c r="H653" s="14">
        <v>49053868.109999999</v>
      </c>
      <c r="I653" s="14">
        <v>50000000</v>
      </c>
      <c r="J653" s="14">
        <v>49053868.109999999</v>
      </c>
      <c r="K653" s="12">
        <v>5027</v>
      </c>
      <c r="L653" s="10" t="s">
        <v>101</v>
      </c>
      <c r="M653" s="10" t="s">
        <v>102</v>
      </c>
      <c r="N653" s="124" t="s">
        <v>155</v>
      </c>
      <c r="O653" s="124" t="s">
        <v>155</v>
      </c>
      <c r="P653" s="21">
        <v>32</v>
      </c>
      <c r="Q653" s="10" t="s">
        <v>54</v>
      </c>
      <c r="R653" s="10" t="s">
        <v>28</v>
      </c>
      <c r="S653" s="10"/>
      <c r="T653" s="10"/>
      <c r="U653" s="10" t="s">
        <v>1050</v>
      </c>
      <c r="V653" s="10" t="s">
        <v>1050</v>
      </c>
      <c r="W653" s="50">
        <f>+J653/$W$2</f>
        <v>6.5215002540517221E-4</v>
      </c>
    </row>
    <row r="654" spans="1:29">
      <c r="A654" s="10" t="s">
        <v>762</v>
      </c>
      <c r="B654" s="10" t="s">
        <v>381</v>
      </c>
      <c r="C654" s="124">
        <v>46316</v>
      </c>
      <c r="D654" s="124" t="s">
        <v>492</v>
      </c>
      <c r="E654" s="21">
        <v>0.98457068999999997</v>
      </c>
      <c r="F654" s="10"/>
      <c r="G654" s="14">
        <v>17995040.260000002</v>
      </c>
      <c r="H654" s="14">
        <v>17717389.190000001</v>
      </c>
      <c r="I654" s="14">
        <v>17995040.260000002</v>
      </c>
      <c r="J654" s="14">
        <v>17717389.190000001</v>
      </c>
      <c r="K654" s="12">
        <v>19284</v>
      </c>
      <c r="L654" s="10" t="s">
        <v>101</v>
      </c>
      <c r="M654" s="10" t="s">
        <v>102</v>
      </c>
      <c r="N654" s="124" t="s">
        <v>677</v>
      </c>
      <c r="O654" s="124" t="s">
        <v>677</v>
      </c>
      <c r="P654" s="21">
        <v>26</v>
      </c>
      <c r="Q654" s="10" t="s">
        <v>54</v>
      </c>
      <c r="R654" s="10" t="s">
        <v>28</v>
      </c>
      <c r="S654" s="10"/>
      <c r="T654" s="10"/>
      <c r="U654" s="10" t="s">
        <v>3278</v>
      </c>
      <c r="V654" s="10" t="s">
        <v>3278</v>
      </c>
      <c r="W654" s="50">
        <f>+J654/$W$2</f>
        <v>2.3554504987174243E-4</v>
      </c>
    </row>
    <row r="655" spans="1:29">
      <c r="A655" s="10" t="s">
        <v>762</v>
      </c>
      <c r="B655" s="10" t="s">
        <v>381</v>
      </c>
      <c r="C655" s="124">
        <v>46316</v>
      </c>
      <c r="D655" s="124" t="s">
        <v>492</v>
      </c>
      <c r="E655" s="21">
        <v>0.98457068999999997</v>
      </c>
      <c r="F655" s="10"/>
      <c r="G655" s="14">
        <v>17995040.260000002</v>
      </c>
      <c r="H655" s="14">
        <v>17717389.190000001</v>
      </c>
      <c r="I655" s="14">
        <v>17995040.260000002</v>
      </c>
      <c r="J655" s="14">
        <v>17717389.190000001</v>
      </c>
      <c r="K655" s="12">
        <v>19283</v>
      </c>
      <c r="L655" s="10" t="s">
        <v>101</v>
      </c>
      <c r="M655" s="10" t="s">
        <v>102</v>
      </c>
      <c r="N655" s="124" t="s">
        <v>677</v>
      </c>
      <c r="O655" s="124" t="s">
        <v>677</v>
      </c>
      <c r="P655" s="21">
        <v>26</v>
      </c>
      <c r="Q655" s="10" t="s">
        <v>54</v>
      </c>
      <c r="R655" s="10" t="s">
        <v>28</v>
      </c>
      <c r="S655" s="10"/>
      <c r="T655" s="10"/>
      <c r="U655" s="10" t="s">
        <v>3279</v>
      </c>
      <c r="V655" s="10" t="s">
        <v>3279</v>
      </c>
      <c r="W655" s="50">
        <f>+J655/$W$2</f>
        <v>2.3554504987174243E-4</v>
      </c>
    </row>
    <row r="656" spans="1:29">
      <c r="A656" s="10" t="s">
        <v>1815</v>
      </c>
      <c r="B656" s="10" t="s">
        <v>381</v>
      </c>
      <c r="C656" s="124">
        <v>46316</v>
      </c>
      <c r="D656" s="124" t="s">
        <v>492</v>
      </c>
      <c r="E656" s="21">
        <v>0.98107734999999996</v>
      </c>
      <c r="F656" s="10"/>
      <c r="G656" s="14">
        <v>6331582.3099999996</v>
      </c>
      <c r="H656" s="14">
        <v>6211771.9900000002</v>
      </c>
      <c r="I656" s="14">
        <v>6331582.3099999996</v>
      </c>
      <c r="J656" s="14">
        <v>6211771.9900000002</v>
      </c>
      <c r="K656" s="12">
        <v>11231838</v>
      </c>
      <c r="L656" s="10" t="s">
        <v>101</v>
      </c>
      <c r="M656" s="10" t="s">
        <v>102</v>
      </c>
      <c r="N656" s="124" t="s">
        <v>398</v>
      </c>
      <c r="O656" s="124" t="s">
        <v>398</v>
      </c>
      <c r="P656" s="21">
        <v>32</v>
      </c>
      <c r="Q656" s="10" t="s">
        <v>54</v>
      </c>
      <c r="R656" s="10" t="s">
        <v>28</v>
      </c>
      <c r="S656" s="10"/>
      <c r="T656" s="10"/>
      <c r="U656" s="10" t="s">
        <v>1794</v>
      </c>
      <c r="V656" s="10" t="s">
        <v>1794</v>
      </c>
      <c r="W656" s="50">
        <f>+J656/$W$2</f>
        <v>8.2582830206285191E-5</v>
      </c>
    </row>
    <row r="657" spans="1:29">
      <c r="A657" s="10" t="s">
        <v>1816</v>
      </c>
      <c r="B657" s="10" t="s">
        <v>381</v>
      </c>
      <c r="C657" s="124">
        <v>46316</v>
      </c>
      <c r="D657" s="124" t="s">
        <v>492</v>
      </c>
      <c r="E657" s="21">
        <v>0.98107734999999996</v>
      </c>
      <c r="F657" s="10"/>
      <c r="G657" s="14">
        <v>12000000</v>
      </c>
      <c r="H657" s="14">
        <v>11772928.18</v>
      </c>
      <c r="I657" s="14">
        <v>12000000</v>
      </c>
      <c r="J657" s="14">
        <v>11772928.18</v>
      </c>
      <c r="K657" s="12">
        <v>68962672</v>
      </c>
      <c r="L657" s="10" t="s">
        <v>101</v>
      </c>
      <c r="M657" s="10" t="s">
        <v>102</v>
      </c>
      <c r="N657" s="124" t="s">
        <v>398</v>
      </c>
      <c r="O657" s="124" t="s">
        <v>398</v>
      </c>
      <c r="P657" s="21">
        <v>32</v>
      </c>
      <c r="Q657" s="10" t="s">
        <v>54</v>
      </c>
      <c r="R657" s="10" t="s">
        <v>28</v>
      </c>
      <c r="S657" s="10"/>
      <c r="T657" s="10"/>
      <c r="U657" s="10" t="s">
        <v>1798</v>
      </c>
      <c r="V657" s="10" t="s">
        <v>1798</v>
      </c>
      <c r="W657" s="50">
        <f>+J657/$W$2</f>
        <v>1.5651600388502508E-4</v>
      </c>
    </row>
    <row r="658" spans="1:29">
      <c r="A658" s="10" t="s">
        <v>1818</v>
      </c>
      <c r="B658" s="10" t="s">
        <v>381</v>
      </c>
      <c r="C658" s="124">
        <v>46316</v>
      </c>
      <c r="D658" s="124" t="s">
        <v>492</v>
      </c>
      <c r="E658" s="21">
        <v>0.98107734999999996</v>
      </c>
      <c r="F658" s="10"/>
      <c r="G658" s="14">
        <v>8475000</v>
      </c>
      <c r="H658" s="14">
        <v>8314630.54</v>
      </c>
      <c r="I658" s="14">
        <v>8475000</v>
      </c>
      <c r="J658" s="14">
        <v>8314630.54</v>
      </c>
      <c r="K658" s="12">
        <v>29838177</v>
      </c>
      <c r="L658" s="10" t="s">
        <v>101</v>
      </c>
      <c r="M658" s="10" t="s">
        <v>102</v>
      </c>
      <c r="N658" s="124" t="s">
        <v>398</v>
      </c>
      <c r="O658" s="124" t="s">
        <v>398</v>
      </c>
      <c r="P658" s="21">
        <v>32</v>
      </c>
      <c r="Q658" s="10" t="s">
        <v>54</v>
      </c>
      <c r="R658" s="10" t="s">
        <v>28</v>
      </c>
      <c r="S658" s="10"/>
      <c r="T658" s="10"/>
      <c r="U658" s="10" t="s">
        <v>1805</v>
      </c>
      <c r="V658" s="10" t="s">
        <v>1805</v>
      </c>
      <c r="W658" s="50">
        <f>+J658/$W$2</f>
        <v>1.1053942791496654E-4</v>
      </c>
      <c r="AC658" s="47"/>
    </row>
    <row r="659" spans="1:29">
      <c r="A659" s="10" t="s">
        <v>2083</v>
      </c>
      <c r="B659" s="10" t="s">
        <v>381</v>
      </c>
      <c r="C659" s="124">
        <v>46316</v>
      </c>
      <c r="D659" s="124" t="s">
        <v>492</v>
      </c>
      <c r="E659" s="21">
        <v>0.98165785999999999</v>
      </c>
      <c r="F659" s="10"/>
      <c r="G659" s="14">
        <v>482400</v>
      </c>
      <c r="H659" s="14">
        <v>473551.75</v>
      </c>
      <c r="I659" s="14">
        <v>482400</v>
      </c>
      <c r="J659" s="14">
        <v>473551.75</v>
      </c>
      <c r="K659" s="12">
        <v>3977</v>
      </c>
      <c r="L659" s="10" t="s">
        <v>101</v>
      </c>
      <c r="M659" s="10" t="s">
        <v>102</v>
      </c>
      <c r="N659" s="124" t="s">
        <v>390</v>
      </c>
      <c r="O659" s="124" t="s">
        <v>390</v>
      </c>
      <c r="P659" s="21">
        <v>31</v>
      </c>
      <c r="Q659" s="10" t="s">
        <v>54</v>
      </c>
      <c r="R659" s="10" t="s">
        <v>28</v>
      </c>
      <c r="S659" s="10"/>
      <c r="T659" s="10"/>
      <c r="U659" s="10" t="s">
        <v>2063</v>
      </c>
      <c r="V659" s="10" t="s">
        <v>2063</v>
      </c>
      <c r="W659" s="50">
        <f>+J659/$W$2</f>
        <v>6.2956663295265621E-6</v>
      </c>
    </row>
    <row r="660" spans="1:29">
      <c r="A660" s="10" t="s">
        <v>404</v>
      </c>
      <c r="B660" s="10" t="s">
        <v>381</v>
      </c>
      <c r="C660" s="124">
        <v>46316</v>
      </c>
      <c r="D660" s="124" t="s">
        <v>492</v>
      </c>
      <c r="E660" s="21">
        <v>0.98457063</v>
      </c>
      <c r="F660" s="10"/>
      <c r="G660" s="14">
        <v>30000000</v>
      </c>
      <c r="H660" s="14">
        <v>29537118.91</v>
      </c>
      <c r="I660" s="14">
        <v>30000000</v>
      </c>
      <c r="J660" s="14">
        <v>29537118.91</v>
      </c>
      <c r="K660" s="12">
        <v>14554440</v>
      </c>
      <c r="L660" s="10" t="s">
        <v>101</v>
      </c>
      <c r="M660" s="10" t="s">
        <v>102</v>
      </c>
      <c r="N660" s="124" t="s">
        <v>472</v>
      </c>
      <c r="O660" s="124" t="s">
        <v>472</v>
      </c>
      <c r="P660" s="21">
        <v>26</v>
      </c>
      <c r="Q660" s="10" t="s">
        <v>54</v>
      </c>
      <c r="R660" s="10" t="s">
        <v>28</v>
      </c>
      <c r="S660" s="10"/>
      <c r="T660" s="10"/>
      <c r="U660" s="10" t="s">
        <v>3158</v>
      </c>
      <c r="V660" s="10" t="s">
        <v>3158</v>
      </c>
      <c r="W660" s="50">
        <f>+J660/$W$2</f>
        <v>3.9268326005111227E-4</v>
      </c>
    </row>
    <row r="661" spans="1:29">
      <c r="A661" s="10" t="s">
        <v>595</v>
      </c>
      <c r="B661" s="10" t="s">
        <v>381</v>
      </c>
      <c r="C661" s="124">
        <v>46316</v>
      </c>
      <c r="D661" s="124" t="s">
        <v>492</v>
      </c>
      <c r="E661" s="21">
        <v>0.98107736000000001</v>
      </c>
      <c r="F661" s="10"/>
      <c r="G661" s="14">
        <v>100000000</v>
      </c>
      <c r="H661" s="14">
        <v>98107736.209999993</v>
      </c>
      <c r="I661" s="14">
        <v>100000000</v>
      </c>
      <c r="J661" s="14">
        <v>98107736.209999993</v>
      </c>
      <c r="K661" s="12">
        <v>160</v>
      </c>
      <c r="L661" s="10" t="s">
        <v>101</v>
      </c>
      <c r="M661" s="10" t="s">
        <v>102</v>
      </c>
      <c r="N661" s="124" t="s">
        <v>155</v>
      </c>
      <c r="O661" s="124" t="s">
        <v>155</v>
      </c>
      <c r="P661" s="21">
        <v>32</v>
      </c>
      <c r="Q661" s="10" t="s">
        <v>54</v>
      </c>
      <c r="R661" s="10" t="s">
        <v>28</v>
      </c>
      <c r="S661" s="10"/>
      <c r="T661" s="10"/>
      <c r="U661" s="10" t="s">
        <v>1051</v>
      </c>
      <c r="V661" s="10" t="s">
        <v>1051</v>
      </c>
      <c r="W661" s="50">
        <f>+J661/$W$2</f>
        <v>1.3043000506773987E-3</v>
      </c>
    </row>
    <row r="662" spans="1:29">
      <c r="A662" s="10" t="s">
        <v>135</v>
      </c>
      <c r="B662" s="10" t="s">
        <v>381</v>
      </c>
      <c r="C662" s="124">
        <v>46316</v>
      </c>
      <c r="D662" s="124" t="s">
        <v>492</v>
      </c>
      <c r="E662" s="21">
        <v>0.98049754</v>
      </c>
      <c r="F662" s="10"/>
      <c r="G662" s="14">
        <v>125000000</v>
      </c>
      <c r="H662" s="14">
        <v>122562192.58</v>
      </c>
      <c r="I662" s="14">
        <v>125000000</v>
      </c>
      <c r="J662" s="14">
        <v>122562192.58</v>
      </c>
      <c r="K662" s="12">
        <v>9451</v>
      </c>
      <c r="L662" s="10" t="s">
        <v>101</v>
      </c>
      <c r="M662" s="10" t="s">
        <v>102</v>
      </c>
      <c r="N662" s="124" t="s">
        <v>361</v>
      </c>
      <c r="O662" s="124" t="s">
        <v>361</v>
      </c>
      <c r="P662" s="21">
        <v>33</v>
      </c>
      <c r="Q662" s="10" t="s">
        <v>54</v>
      </c>
      <c r="R662" s="10" t="s">
        <v>28</v>
      </c>
      <c r="S662" s="10"/>
      <c r="T662" s="10"/>
      <c r="U662" s="10" t="s">
        <v>1042</v>
      </c>
      <c r="V662" s="10" t="s">
        <v>1042</v>
      </c>
      <c r="W662" s="50">
        <f>+J662/$W$2</f>
        <v>1.6294115038089421E-3</v>
      </c>
    </row>
    <row r="663" spans="1:29">
      <c r="A663" s="10" t="s">
        <v>471</v>
      </c>
      <c r="B663" s="10" t="s">
        <v>381</v>
      </c>
      <c r="C663" s="124">
        <v>46316</v>
      </c>
      <c r="D663" s="124" t="s">
        <v>492</v>
      </c>
      <c r="E663" s="21">
        <v>0.98223897999999998</v>
      </c>
      <c r="F663" s="10"/>
      <c r="G663" s="14">
        <v>11923076.92</v>
      </c>
      <c r="H663" s="14">
        <v>11711310.91</v>
      </c>
      <c r="I663" s="14">
        <v>11923076.92</v>
      </c>
      <c r="J663" s="14">
        <v>11711310.91</v>
      </c>
      <c r="K663" s="12">
        <v>90021989</v>
      </c>
      <c r="L663" s="10" t="s">
        <v>101</v>
      </c>
      <c r="M663" s="10" t="s">
        <v>102</v>
      </c>
      <c r="N663" s="124" t="s">
        <v>300</v>
      </c>
      <c r="O663" s="124" t="s">
        <v>300</v>
      </c>
      <c r="P663" s="21">
        <v>30</v>
      </c>
      <c r="Q663" s="10" t="s">
        <v>54</v>
      </c>
      <c r="R663" s="10" t="s">
        <v>28</v>
      </c>
      <c r="S663" s="10"/>
      <c r="T663" s="10"/>
      <c r="U663" s="10" t="s">
        <v>575</v>
      </c>
      <c r="V663" s="10" t="s">
        <v>575</v>
      </c>
      <c r="W663" s="50">
        <f>+J663/$W$2</f>
        <v>1.5569682884859803E-4</v>
      </c>
    </row>
    <row r="664" spans="1:29">
      <c r="A664" s="10" t="s">
        <v>614</v>
      </c>
      <c r="B664" s="10" t="s">
        <v>381</v>
      </c>
      <c r="C664" s="124">
        <v>46316</v>
      </c>
      <c r="D664" s="124" t="s">
        <v>492</v>
      </c>
      <c r="E664" s="21">
        <v>0.98107734999999996</v>
      </c>
      <c r="F664" s="10"/>
      <c r="G664" s="14">
        <v>2558197.12</v>
      </c>
      <c r="H664" s="14">
        <v>2509789.25</v>
      </c>
      <c r="I664" s="14">
        <v>2558197.12</v>
      </c>
      <c r="J664" s="14">
        <v>2509789.25</v>
      </c>
      <c r="K664" s="12">
        <v>355</v>
      </c>
      <c r="L664" s="10" t="s">
        <v>101</v>
      </c>
      <c r="M664" s="10" t="s">
        <v>102</v>
      </c>
      <c r="N664" s="124" t="s">
        <v>321</v>
      </c>
      <c r="O664" s="124" t="s">
        <v>321</v>
      </c>
      <c r="P664" s="21">
        <v>32</v>
      </c>
      <c r="Q664" s="10" t="s">
        <v>54</v>
      </c>
      <c r="R664" s="10" t="s">
        <v>28</v>
      </c>
      <c r="S664" s="10"/>
      <c r="T664" s="10"/>
      <c r="U664" s="10" t="s">
        <v>1230</v>
      </c>
      <c r="V664" s="10" t="s">
        <v>1230</v>
      </c>
      <c r="W664" s="50">
        <f>+J664/$W$2</f>
        <v>3.3366565904217908E-5</v>
      </c>
    </row>
    <row r="665" spans="1:29">
      <c r="A665" s="10" t="s">
        <v>699</v>
      </c>
      <c r="B665" s="10" t="s">
        <v>381</v>
      </c>
      <c r="C665" s="124">
        <v>46316</v>
      </c>
      <c r="D665" s="124" t="s">
        <v>492</v>
      </c>
      <c r="E665" s="21">
        <v>0.98049766999999999</v>
      </c>
      <c r="F665" s="10"/>
      <c r="G665" s="14">
        <v>10000000</v>
      </c>
      <c r="H665" s="14">
        <v>9804976.6600000001</v>
      </c>
      <c r="I665" s="14">
        <v>10000000</v>
      </c>
      <c r="J665" s="14">
        <v>9804976.6600000001</v>
      </c>
      <c r="K665" s="12">
        <v>409</v>
      </c>
      <c r="L665" s="10" t="s">
        <v>101</v>
      </c>
      <c r="M665" s="10" t="s">
        <v>102</v>
      </c>
      <c r="N665" s="124" t="s">
        <v>483</v>
      </c>
      <c r="O665" s="124" t="s">
        <v>483</v>
      </c>
      <c r="P665" s="21">
        <v>33</v>
      </c>
      <c r="Q665" s="10" t="s">
        <v>54</v>
      </c>
      <c r="R665" s="10" t="s">
        <v>28</v>
      </c>
      <c r="S665" s="10"/>
      <c r="T665" s="10"/>
      <c r="U665" s="10" t="s">
        <v>2434</v>
      </c>
      <c r="V665" s="10" t="s">
        <v>2434</v>
      </c>
      <c r="W665" s="50">
        <f>+J665/$W$2</f>
        <v>1.3035293697078685E-4</v>
      </c>
    </row>
    <row r="666" spans="1:29">
      <c r="A666" s="10" t="s">
        <v>132</v>
      </c>
      <c r="B666" s="10" t="s">
        <v>381</v>
      </c>
      <c r="C666" s="124">
        <v>46316</v>
      </c>
      <c r="D666" s="124" t="s">
        <v>492</v>
      </c>
      <c r="E666" s="21">
        <v>0.98049757999999998</v>
      </c>
      <c r="F666" s="10"/>
      <c r="G666" s="14">
        <v>70000000</v>
      </c>
      <c r="H666" s="14">
        <v>68634830.849999994</v>
      </c>
      <c r="I666" s="14">
        <v>70000000</v>
      </c>
      <c r="J666" s="14">
        <v>68634830.849999994</v>
      </c>
      <c r="K666" s="12">
        <v>906</v>
      </c>
      <c r="L666" s="10" t="s">
        <v>101</v>
      </c>
      <c r="M666" s="10" t="s">
        <v>102</v>
      </c>
      <c r="N666" s="124" t="s">
        <v>390</v>
      </c>
      <c r="O666" s="124" t="s">
        <v>390</v>
      </c>
      <c r="P666" s="21">
        <v>33</v>
      </c>
      <c r="Q666" s="10" t="s">
        <v>54</v>
      </c>
      <c r="R666" s="10" t="s">
        <v>28</v>
      </c>
      <c r="S666" s="10"/>
      <c r="T666" s="10"/>
      <c r="U666" s="10" t="s">
        <v>2081</v>
      </c>
      <c r="V666" s="10" t="s">
        <v>2081</v>
      </c>
      <c r="W666" s="50">
        <f>+J666/$W$2</f>
        <v>9.1247048208584582E-4</v>
      </c>
      <c r="AC666" s="47"/>
    </row>
    <row r="667" spans="1:29">
      <c r="A667" s="10" t="s">
        <v>402</v>
      </c>
      <c r="B667" s="10" t="s">
        <v>381</v>
      </c>
      <c r="C667" s="124">
        <v>46316</v>
      </c>
      <c r="D667" s="124" t="s">
        <v>492</v>
      </c>
      <c r="E667" s="21">
        <v>0.98049766000000005</v>
      </c>
      <c r="F667" s="10"/>
      <c r="G667" s="14">
        <v>20000000</v>
      </c>
      <c r="H667" s="14">
        <v>19609953.289999999</v>
      </c>
      <c r="I667" s="14">
        <v>20000000</v>
      </c>
      <c r="J667" s="14">
        <v>19609953.289999999</v>
      </c>
      <c r="K667" s="12">
        <v>678</v>
      </c>
      <c r="L667" s="10" t="s">
        <v>101</v>
      </c>
      <c r="M667" s="10" t="s">
        <v>102</v>
      </c>
      <c r="N667" s="124" t="s">
        <v>483</v>
      </c>
      <c r="O667" s="124" t="s">
        <v>483</v>
      </c>
      <c r="P667" s="21">
        <v>33</v>
      </c>
      <c r="Q667" s="10" t="s">
        <v>54</v>
      </c>
      <c r="R667" s="10" t="s">
        <v>28</v>
      </c>
      <c r="S667" s="10"/>
      <c r="T667" s="10"/>
      <c r="U667" s="10" t="s">
        <v>2432</v>
      </c>
      <c r="V667" s="10" t="s">
        <v>2432</v>
      </c>
      <c r="W667" s="50">
        <f>+J667/$W$2</f>
        <v>2.6070587354273665E-4</v>
      </c>
    </row>
    <row r="668" spans="1:29">
      <c r="A668" s="10" t="s">
        <v>465</v>
      </c>
      <c r="B668" s="10" t="s">
        <v>381</v>
      </c>
      <c r="C668" s="124">
        <v>46316</v>
      </c>
      <c r="D668" s="124" t="s">
        <v>492</v>
      </c>
      <c r="E668" s="21">
        <v>0.98107734999999996</v>
      </c>
      <c r="F668" s="10"/>
      <c r="G668" s="14">
        <v>10000000</v>
      </c>
      <c r="H668" s="14">
        <v>9810773.4600000009</v>
      </c>
      <c r="I668" s="14">
        <v>10000000</v>
      </c>
      <c r="J668" s="14">
        <v>9810773.4600000009</v>
      </c>
      <c r="K668" s="12">
        <v>14422567</v>
      </c>
      <c r="L668" s="10" t="s">
        <v>101</v>
      </c>
      <c r="M668" s="10" t="s">
        <v>102</v>
      </c>
      <c r="N668" s="124" t="s">
        <v>164</v>
      </c>
      <c r="O668" s="124" t="s">
        <v>164</v>
      </c>
      <c r="P668" s="21">
        <v>32</v>
      </c>
      <c r="Q668" s="10" t="s">
        <v>54</v>
      </c>
      <c r="R668" s="10" t="s">
        <v>28</v>
      </c>
      <c r="S668" s="10"/>
      <c r="T668" s="10"/>
      <c r="U668" s="10" t="s">
        <v>1979</v>
      </c>
      <c r="V668" s="10" t="s">
        <v>1979</v>
      </c>
      <c r="W668" s="50">
        <f>+J668/$W$2</f>
        <v>1.3043000292731433E-4</v>
      </c>
    </row>
    <row r="669" spans="1:29">
      <c r="A669" s="10" t="s">
        <v>2915</v>
      </c>
      <c r="B669" s="10" t="s">
        <v>381</v>
      </c>
      <c r="C669" s="124">
        <v>46316</v>
      </c>
      <c r="D669" s="124" t="s">
        <v>492</v>
      </c>
      <c r="E669" s="21">
        <v>0.98457075000000005</v>
      </c>
      <c r="F669" s="10"/>
      <c r="G669" s="14">
        <v>5072274</v>
      </c>
      <c r="H669" s="14">
        <v>4994012.63</v>
      </c>
      <c r="I669" s="14">
        <v>5072274</v>
      </c>
      <c r="J669" s="14">
        <v>4994012.63</v>
      </c>
      <c r="K669" s="12">
        <v>69911322</v>
      </c>
      <c r="L669" s="10" t="s">
        <v>101</v>
      </c>
      <c r="M669" s="10" t="s">
        <v>102</v>
      </c>
      <c r="N669" s="124" t="s">
        <v>531</v>
      </c>
      <c r="O669" s="124" t="s">
        <v>531</v>
      </c>
      <c r="P669" s="21">
        <v>26</v>
      </c>
      <c r="Q669" s="10" t="s">
        <v>54</v>
      </c>
      <c r="R669" s="10" t="s">
        <v>28</v>
      </c>
      <c r="S669" s="10"/>
      <c r="T669" s="10"/>
      <c r="U669" s="10" t="s">
        <v>3351</v>
      </c>
      <c r="V669" s="10" t="s">
        <v>3351</v>
      </c>
      <c r="W669" s="50">
        <f>+J669/$W$2</f>
        <v>6.6393244590314351E-5</v>
      </c>
    </row>
    <row r="670" spans="1:29">
      <c r="A670" s="10" t="s">
        <v>2915</v>
      </c>
      <c r="B670" s="10" t="s">
        <v>381</v>
      </c>
      <c r="C670" s="124">
        <v>46316</v>
      </c>
      <c r="D670" s="124" t="s">
        <v>492</v>
      </c>
      <c r="E670" s="21">
        <v>0.98457075000000005</v>
      </c>
      <c r="F670" s="10"/>
      <c r="G670" s="14">
        <v>891425.08</v>
      </c>
      <c r="H670" s="14">
        <v>877671.06</v>
      </c>
      <c r="I670" s="14">
        <v>891425.08</v>
      </c>
      <c r="J670" s="14">
        <v>877671.06</v>
      </c>
      <c r="K670" s="12">
        <v>1050</v>
      </c>
      <c r="L670" s="10" t="s">
        <v>101</v>
      </c>
      <c r="M670" s="10" t="s">
        <v>102</v>
      </c>
      <c r="N670" s="124" t="s">
        <v>531</v>
      </c>
      <c r="O670" s="124" t="s">
        <v>531</v>
      </c>
      <c r="P670" s="21">
        <v>26</v>
      </c>
      <c r="Q670" s="10" t="s">
        <v>54</v>
      </c>
      <c r="R670" s="10" t="s">
        <v>28</v>
      </c>
      <c r="S670" s="10"/>
      <c r="T670" s="10"/>
      <c r="U670" s="10" t="s">
        <v>3355</v>
      </c>
      <c r="V670" s="10" t="s">
        <v>3355</v>
      </c>
      <c r="W670" s="50">
        <f>+J670/$W$2</f>
        <v>1.1668258307232287E-5</v>
      </c>
    </row>
    <row r="671" spans="1:29">
      <c r="A671" s="10" t="s">
        <v>2915</v>
      </c>
      <c r="B671" s="10" t="s">
        <v>381</v>
      </c>
      <c r="C671" s="124">
        <v>46316</v>
      </c>
      <c r="D671" s="124" t="s">
        <v>492</v>
      </c>
      <c r="E671" s="21">
        <v>0.98457057000000003</v>
      </c>
      <c r="F671" s="10"/>
      <c r="G671" s="14">
        <v>6250000</v>
      </c>
      <c r="H671" s="14">
        <v>6153566.0899999999</v>
      </c>
      <c r="I671" s="14">
        <v>6250000</v>
      </c>
      <c r="J671" s="14">
        <v>6153566.0899999999</v>
      </c>
      <c r="K671" s="12">
        <v>21469</v>
      </c>
      <c r="L671" s="10" t="s">
        <v>101</v>
      </c>
      <c r="M671" s="10" t="s">
        <v>102</v>
      </c>
      <c r="N671" s="124" t="s">
        <v>532</v>
      </c>
      <c r="O671" s="124" t="s">
        <v>532</v>
      </c>
      <c r="P671" s="21">
        <v>26</v>
      </c>
      <c r="Q671" s="10" t="s">
        <v>54</v>
      </c>
      <c r="R671" s="10" t="s">
        <v>28</v>
      </c>
      <c r="S671" s="10"/>
      <c r="T671" s="10"/>
      <c r="U671" s="10" t="s">
        <v>3137</v>
      </c>
      <c r="V671" s="10" t="s">
        <v>3137</v>
      </c>
      <c r="W671" s="50">
        <f>+J671/$W$2</f>
        <v>8.1809007863088709E-5</v>
      </c>
    </row>
    <row r="672" spans="1:29">
      <c r="A672" s="10" t="s">
        <v>2915</v>
      </c>
      <c r="B672" s="10" t="s">
        <v>381</v>
      </c>
      <c r="C672" s="124">
        <v>46316</v>
      </c>
      <c r="D672" s="124" t="s">
        <v>492</v>
      </c>
      <c r="E672" s="21">
        <v>0.98457057000000003</v>
      </c>
      <c r="F672" s="10"/>
      <c r="G672" s="14">
        <v>6250000</v>
      </c>
      <c r="H672" s="14">
        <v>6153566.0899999999</v>
      </c>
      <c r="I672" s="14">
        <v>6250000</v>
      </c>
      <c r="J672" s="14">
        <v>6153566.0899999999</v>
      </c>
      <c r="K672" s="12">
        <v>21466</v>
      </c>
      <c r="L672" s="10" t="s">
        <v>101</v>
      </c>
      <c r="M672" s="10" t="s">
        <v>102</v>
      </c>
      <c r="N672" s="124" t="s">
        <v>532</v>
      </c>
      <c r="O672" s="124" t="s">
        <v>532</v>
      </c>
      <c r="P672" s="21">
        <v>26</v>
      </c>
      <c r="Q672" s="10" t="s">
        <v>54</v>
      </c>
      <c r="R672" s="10" t="s">
        <v>28</v>
      </c>
      <c r="S672" s="10"/>
      <c r="T672" s="10"/>
      <c r="U672" s="10" t="s">
        <v>3138</v>
      </c>
      <c r="V672" s="10" t="s">
        <v>3138</v>
      </c>
      <c r="W672" s="50">
        <f>+J672/$W$2</f>
        <v>8.1809007863088709E-5</v>
      </c>
    </row>
    <row r="673" spans="1:29">
      <c r="A673" s="10" t="s">
        <v>2915</v>
      </c>
      <c r="B673" s="10" t="s">
        <v>381</v>
      </c>
      <c r="C673" s="124">
        <v>46316</v>
      </c>
      <c r="D673" s="124" t="s">
        <v>492</v>
      </c>
      <c r="E673" s="21">
        <v>0.98457057000000003</v>
      </c>
      <c r="F673" s="10"/>
      <c r="G673" s="14">
        <v>6250000</v>
      </c>
      <c r="H673" s="14">
        <v>6153566.0899999999</v>
      </c>
      <c r="I673" s="14">
        <v>6250000</v>
      </c>
      <c r="J673" s="14">
        <v>6153566.0899999999</v>
      </c>
      <c r="K673" s="12">
        <v>21468</v>
      </c>
      <c r="L673" s="10" t="s">
        <v>101</v>
      </c>
      <c r="M673" s="10" t="s">
        <v>102</v>
      </c>
      <c r="N673" s="124" t="s">
        <v>532</v>
      </c>
      <c r="O673" s="124" t="s">
        <v>532</v>
      </c>
      <c r="P673" s="21">
        <v>26</v>
      </c>
      <c r="Q673" s="10" t="s">
        <v>54</v>
      </c>
      <c r="R673" s="10" t="s">
        <v>28</v>
      </c>
      <c r="S673" s="10"/>
      <c r="T673" s="10"/>
      <c r="U673" s="10" t="s">
        <v>3139</v>
      </c>
      <c r="V673" s="10" t="s">
        <v>3139</v>
      </c>
      <c r="W673" s="50">
        <f>+J673/$W$2</f>
        <v>8.1809007863088709E-5</v>
      </c>
    </row>
    <row r="674" spans="1:29">
      <c r="A674" s="10" t="s">
        <v>2915</v>
      </c>
      <c r="B674" s="10" t="s">
        <v>381</v>
      </c>
      <c r="C674" s="124">
        <v>46316</v>
      </c>
      <c r="D674" s="124" t="s">
        <v>492</v>
      </c>
      <c r="E674" s="21">
        <v>0.98457057000000003</v>
      </c>
      <c r="F674" s="10"/>
      <c r="G674" s="14">
        <v>6250000</v>
      </c>
      <c r="H674" s="14">
        <v>6153566.0899999999</v>
      </c>
      <c r="I674" s="14">
        <v>6250000</v>
      </c>
      <c r="J674" s="14">
        <v>6153566.0899999999</v>
      </c>
      <c r="K674" s="12">
        <v>21467</v>
      </c>
      <c r="L674" s="10" t="s">
        <v>101</v>
      </c>
      <c r="M674" s="10" t="s">
        <v>102</v>
      </c>
      <c r="N674" s="124" t="s">
        <v>532</v>
      </c>
      <c r="O674" s="124" t="s">
        <v>532</v>
      </c>
      <c r="P674" s="21">
        <v>26</v>
      </c>
      <c r="Q674" s="10" t="s">
        <v>54</v>
      </c>
      <c r="R674" s="10" t="s">
        <v>28</v>
      </c>
      <c r="S674" s="10"/>
      <c r="T674" s="10"/>
      <c r="U674" s="10" t="s">
        <v>3140</v>
      </c>
      <c r="V674" s="10" t="s">
        <v>3140</v>
      </c>
      <c r="W674" s="50">
        <f>+J674/$W$2</f>
        <v>8.1809007863088709E-5</v>
      </c>
    </row>
    <row r="675" spans="1:29">
      <c r="A675" s="10" t="s">
        <v>470</v>
      </c>
      <c r="B675" s="10" t="s">
        <v>381</v>
      </c>
      <c r="C675" s="124">
        <v>46316</v>
      </c>
      <c r="D675" s="124" t="s">
        <v>492</v>
      </c>
      <c r="E675" s="21">
        <v>0.97760873999999998</v>
      </c>
      <c r="F675" s="10"/>
      <c r="G675" s="14">
        <v>7133529.1399999997</v>
      </c>
      <c r="H675" s="14">
        <v>6973800.46</v>
      </c>
      <c r="I675" s="14">
        <v>7133529.1399999997</v>
      </c>
      <c r="J675" s="14">
        <v>6973800.46</v>
      </c>
      <c r="K675" s="12">
        <v>90000170</v>
      </c>
      <c r="L675" s="10" t="s">
        <v>101</v>
      </c>
      <c r="M675" s="10" t="s">
        <v>102</v>
      </c>
      <c r="N675" s="124" t="s">
        <v>277</v>
      </c>
      <c r="O675" s="124" t="s">
        <v>277</v>
      </c>
      <c r="P675" s="21">
        <v>38</v>
      </c>
      <c r="Q675" s="10" t="s">
        <v>54</v>
      </c>
      <c r="R675" s="10" t="s">
        <v>28</v>
      </c>
      <c r="S675" s="10"/>
      <c r="T675" s="10"/>
      <c r="U675" s="10" t="s">
        <v>537</v>
      </c>
      <c r="V675" s="10" t="s">
        <v>537</v>
      </c>
      <c r="W675" s="50">
        <f>+J675/$W$2</f>
        <v>9.2713670142405454E-5</v>
      </c>
    </row>
    <row r="676" spans="1:29">
      <c r="A676" s="10" t="s">
        <v>427</v>
      </c>
      <c r="B676" s="10" t="s">
        <v>381</v>
      </c>
      <c r="C676" s="124">
        <v>46316</v>
      </c>
      <c r="D676" s="124" t="s">
        <v>492</v>
      </c>
      <c r="E676" s="21">
        <v>0.98340340999999998</v>
      </c>
      <c r="F676" s="10"/>
      <c r="G676" s="14">
        <v>25000000</v>
      </c>
      <c r="H676" s="14">
        <v>24585085.300000001</v>
      </c>
      <c r="I676" s="14">
        <v>25000000</v>
      </c>
      <c r="J676" s="14">
        <v>24585085.300000001</v>
      </c>
      <c r="K676" s="12">
        <v>360573</v>
      </c>
      <c r="L676" s="10" t="s">
        <v>101</v>
      </c>
      <c r="M676" s="10" t="s">
        <v>102</v>
      </c>
      <c r="N676" s="124" t="s">
        <v>295</v>
      </c>
      <c r="O676" s="124" t="s">
        <v>295</v>
      </c>
      <c r="P676" s="21">
        <v>28</v>
      </c>
      <c r="Q676" s="10" t="s">
        <v>54</v>
      </c>
      <c r="R676" s="10" t="s">
        <v>28</v>
      </c>
      <c r="S676" s="10"/>
      <c r="T676" s="10"/>
      <c r="U676" s="10" t="s">
        <v>489</v>
      </c>
      <c r="V676" s="10" t="s">
        <v>489</v>
      </c>
      <c r="W676" s="50">
        <f>+J676/$W$2</f>
        <v>3.2684810843112386E-4</v>
      </c>
    </row>
    <row r="677" spans="1:29">
      <c r="A677" s="10" t="s">
        <v>427</v>
      </c>
      <c r="B677" s="10" t="s">
        <v>381</v>
      </c>
      <c r="C677" s="124">
        <v>46316</v>
      </c>
      <c r="D677" s="124" t="s">
        <v>492</v>
      </c>
      <c r="E677" s="21">
        <v>0.98340358000000005</v>
      </c>
      <c r="F677" s="10"/>
      <c r="G677" s="14">
        <v>534556.75</v>
      </c>
      <c r="H677" s="14">
        <v>525685.02</v>
      </c>
      <c r="I677" s="14">
        <v>534556.75</v>
      </c>
      <c r="J677" s="14">
        <v>525685.02</v>
      </c>
      <c r="K677" s="12">
        <v>80015518</v>
      </c>
      <c r="L677" s="10" t="s">
        <v>101</v>
      </c>
      <c r="M677" s="10" t="s">
        <v>102</v>
      </c>
      <c r="N677" s="124" t="s">
        <v>486</v>
      </c>
      <c r="O677" s="124" t="s">
        <v>486</v>
      </c>
      <c r="P677" s="21">
        <v>28</v>
      </c>
      <c r="Q677" s="10" t="s">
        <v>54</v>
      </c>
      <c r="R677" s="10" t="s">
        <v>28</v>
      </c>
      <c r="S677" s="10"/>
      <c r="T677" s="10"/>
      <c r="U677" s="10" t="s">
        <v>2789</v>
      </c>
      <c r="V677" s="10" t="s">
        <v>2789</v>
      </c>
      <c r="W677" s="50">
        <f>+J677/$W$2</f>
        <v>6.9887556752783564E-6</v>
      </c>
    </row>
    <row r="678" spans="1:29">
      <c r="A678" s="10" t="s">
        <v>427</v>
      </c>
      <c r="B678" s="10" t="s">
        <v>381</v>
      </c>
      <c r="C678" s="124">
        <v>46316</v>
      </c>
      <c r="D678" s="124" t="s">
        <v>492</v>
      </c>
      <c r="E678" s="21">
        <v>0.98340355999999995</v>
      </c>
      <c r="F678" s="10"/>
      <c r="G678" s="14">
        <v>18000000</v>
      </c>
      <c r="H678" s="14">
        <v>17701264.030000001</v>
      </c>
      <c r="I678" s="14">
        <v>18000000</v>
      </c>
      <c r="J678" s="14">
        <v>17701264.030000001</v>
      </c>
      <c r="K678" s="12">
        <v>90036203</v>
      </c>
      <c r="L678" s="10" t="s">
        <v>101</v>
      </c>
      <c r="M678" s="10" t="s">
        <v>102</v>
      </c>
      <c r="N678" s="124" t="s">
        <v>486</v>
      </c>
      <c r="O678" s="124" t="s">
        <v>486</v>
      </c>
      <c r="P678" s="21">
        <v>28</v>
      </c>
      <c r="Q678" s="10" t="s">
        <v>54</v>
      </c>
      <c r="R678" s="10" t="s">
        <v>28</v>
      </c>
      <c r="S678" s="10"/>
      <c r="T678" s="10"/>
      <c r="U678" s="10" t="s">
        <v>2790</v>
      </c>
      <c r="V678" s="10" t="s">
        <v>2790</v>
      </c>
      <c r="W678" s="50">
        <f>+J678/$W$2</f>
        <v>2.3533067282241205E-4</v>
      </c>
    </row>
    <row r="679" spans="1:29">
      <c r="A679" s="10" t="s">
        <v>382</v>
      </c>
      <c r="B679" s="10" t="s">
        <v>381</v>
      </c>
      <c r="C679" s="124">
        <v>46316</v>
      </c>
      <c r="D679" s="124" t="s">
        <v>492</v>
      </c>
      <c r="E679" s="21">
        <v>0.98107738</v>
      </c>
      <c r="F679" s="10"/>
      <c r="G679" s="14">
        <v>2000000</v>
      </c>
      <c r="H679" s="14">
        <v>1962154.76</v>
      </c>
      <c r="I679" s="14">
        <v>2000000</v>
      </c>
      <c r="J679" s="14">
        <v>1962154.76</v>
      </c>
      <c r="K679" s="12">
        <v>1074</v>
      </c>
      <c r="L679" s="10" t="s">
        <v>101</v>
      </c>
      <c r="M679" s="10" t="s">
        <v>102</v>
      </c>
      <c r="N679" s="124" t="s">
        <v>432</v>
      </c>
      <c r="O679" s="124" t="s">
        <v>432</v>
      </c>
      <c r="P679" s="21">
        <v>32</v>
      </c>
      <c r="Q679" s="10" t="s">
        <v>54</v>
      </c>
      <c r="R679" s="10" t="s">
        <v>28</v>
      </c>
      <c r="S679" s="10"/>
      <c r="T679" s="10"/>
      <c r="U679" s="10" t="s">
        <v>1824</v>
      </c>
      <c r="V679" s="10" t="s">
        <v>1824</v>
      </c>
      <c r="W679" s="50">
        <f>+J679/$W$2</f>
        <v>2.608600148949354E-5</v>
      </c>
    </row>
    <row r="680" spans="1:29">
      <c r="A680" s="10" t="s">
        <v>382</v>
      </c>
      <c r="B680" s="10" t="s">
        <v>381</v>
      </c>
      <c r="C680" s="124">
        <v>46316</v>
      </c>
      <c r="D680" s="124" t="s">
        <v>492</v>
      </c>
      <c r="E680" s="21">
        <v>0.98223901999999996</v>
      </c>
      <c r="F680" s="10"/>
      <c r="G680" s="14">
        <v>3300000</v>
      </c>
      <c r="H680" s="14">
        <v>3241388.76</v>
      </c>
      <c r="I680" s="14">
        <v>3300000</v>
      </c>
      <c r="J680" s="14">
        <v>3241388.76</v>
      </c>
      <c r="K680" s="12">
        <v>926</v>
      </c>
      <c r="L680" s="10" t="s">
        <v>101</v>
      </c>
      <c r="M680" s="10" t="s">
        <v>102</v>
      </c>
      <c r="N680" s="124" t="s">
        <v>397</v>
      </c>
      <c r="O680" s="124" t="s">
        <v>397</v>
      </c>
      <c r="P680" s="21">
        <v>30</v>
      </c>
      <c r="Q680" s="10" t="s">
        <v>54</v>
      </c>
      <c r="R680" s="10" t="s">
        <v>28</v>
      </c>
      <c r="S680" s="10"/>
      <c r="T680" s="10"/>
      <c r="U680" s="10" t="s">
        <v>1447</v>
      </c>
      <c r="V680" s="10" t="s">
        <v>1447</v>
      </c>
      <c r="W680" s="50">
        <f>+J680/$W$2</f>
        <v>4.3092865937540836E-5</v>
      </c>
    </row>
    <row r="681" spans="1:29">
      <c r="A681" s="10" t="s">
        <v>386</v>
      </c>
      <c r="B681" s="10" t="s">
        <v>381</v>
      </c>
      <c r="C681" s="124">
        <v>46316</v>
      </c>
      <c r="D681" s="124" t="s">
        <v>492</v>
      </c>
      <c r="E681" s="21">
        <v>0.97760879000000001</v>
      </c>
      <c r="F681" s="10"/>
      <c r="G681" s="14">
        <v>40400000</v>
      </c>
      <c r="H681" s="14">
        <v>39495394.93</v>
      </c>
      <c r="I681" s="14">
        <v>40400000</v>
      </c>
      <c r="J681" s="14">
        <v>39495394.93</v>
      </c>
      <c r="K681" s="12">
        <v>160226</v>
      </c>
      <c r="L681" s="10" t="s">
        <v>101</v>
      </c>
      <c r="M681" s="10" t="s">
        <v>102</v>
      </c>
      <c r="N681" s="124" t="s">
        <v>322</v>
      </c>
      <c r="O681" s="124" t="s">
        <v>322</v>
      </c>
      <c r="P681" s="21">
        <v>38</v>
      </c>
      <c r="Q681" s="10" t="s">
        <v>54</v>
      </c>
      <c r="R681" s="10" t="s">
        <v>28</v>
      </c>
      <c r="S681" s="10"/>
      <c r="T681" s="10"/>
      <c r="U681" s="10" t="s">
        <v>1556</v>
      </c>
      <c r="V681" s="10" t="s">
        <v>1556</v>
      </c>
      <c r="W681" s="50">
        <f>+J681/$W$2</f>
        <v>5.2507424591326105E-4</v>
      </c>
    </row>
    <row r="682" spans="1:29">
      <c r="A682" s="10" t="s">
        <v>386</v>
      </c>
      <c r="B682" s="10" t="s">
        <v>381</v>
      </c>
      <c r="C682" s="124">
        <v>46316</v>
      </c>
      <c r="D682" s="124" t="s">
        <v>492</v>
      </c>
      <c r="E682" s="21">
        <v>0.97760879000000001</v>
      </c>
      <c r="F682" s="10"/>
      <c r="G682" s="14">
        <v>40400000</v>
      </c>
      <c r="H682" s="14">
        <v>39495394.93</v>
      </c>
      <c r="I682" s="14">
        <v>40400000</v>
      </c>
      <c r="J682" s="14">
        <v>39495394.93</v>
      </c>
      <c r="K682" s="12">
        <v>160227</v>
      </c>
      <c r="L682" s="10" t="s">
        <v>101</v>
      </c>
      <c r="M682" s="10" t="s">
        <v>102</v>
      </c>
      <c r="N682" s="124" t="s">
        <v>322</v>
      </c>
      <c r="O682" s="124" t="s">
        <v>322</v>
      </c>
      <c r="P682" s="21">
        <v>38</v>
      </c>
      <c r="Q682" s="10" t="s">
        <v>54</v>
      </c>
      <c r="R682" s="10" t="s">
        <v>28</v>
      </c>
      <c r="S682" s="10"/>
      <c r="T682" s="10"/>
      <c r="U682" s="10" t="s">
        <v>1557</v>
      </c>
      <c r="V682" s="10" t="s">
        <v>1557</v>
      </c>
      <c r="W682" s="50">
        <f>+J682/$W$2</f>
        <v>5.2507424591326105E-4</v>
      </c>
    </row>
    <row r="683" spans="1:29">
      <c r="A683" s="10" t="s">
        <v>3511</v>
      </c>
      <c r="B683" s="10" t="s">
        <v>381</v>
      </c>
      <c r="C683" s="124">
        <v>46316</v>
      </c>
      <c r="D683" s="124" t="s">
        <v>492</v>
      </c>
      <c r="E683" s="21">
        <v>0.98049770999999997</v>
      </c>
      <c r="F683" s="10"/>
      <c r="G683" s="14">
        <v>40000000</v>
      </c>
      <c r="H683" s="14">
        <v>39219908.549999997</v>
      </c>
      <c r="I683" s="14">
        <v>40000000</v>
      </c>
      <c r="J683" s="14">
        <v>39219908.549999997</v>
      </c>
      <c r="K683" s="12">
        <v>20862</v>
      </c>
      <c r="L683" s="10" t="s">
        <v>101</v>
      </c>
      <c r="M683" s="10" t="s">
        <v>102</v>
      </c>
      <c r="N683" s="124" t="s">
        <v>678</v>
      </c>
      <c r="O683" s="124" t="s">
        <v>678</v>
      </c>
      <c r="P683" s="21">
        <v>33</v>
      </c>
      <c r="Q683" s="10" t="s">
        <v>54</v>
      </c>
      <c r="R683" s="10" t="s">
        <v>28</v>
      </c>
      <c r="S683" s="10"/>
      <c r="T683" s="10"/>
      <c r="U683" s="10" t="s">
        <v>3495</v>
      </c>
      <c r="V683" s="10" t="s">
        <v>3495</v>
      </c>
      <c r="W683" s="50">
        <f>+J683/$W$2</f>
        <v>5.2141177327577376E-4</v>
      </c>
    </row>
    <row r="684" spans="1:29">
      <c r="A684" s="10" t="s">
        <v>382</v>
      </c>
      <c r="B684" s="10" t="s">
        <v>381</v>
      </c>
      <c r="C684" s="124">
        <v>46317</v>
      </c>
      <c r="D684" s="124" t="s">
        <v>492</v>
      </c>
      <c r="E684" s="21">
        <v>0.98144666999999997</v>
      </c>
      <c r="F684" s="10"/>
      <c r="G684" s="14">
        <v>10000000</v>
      </c>
      <c r="H684" s="14">
        <v>9814466.6899999995</v>
      </c>
      <c r="I684" s="14">
        <v>10000000</v>
      </c>
      <c r="J684" s="14">
        <v>9814466.6899999995</v>
      </c>
      <c r="K684" s="12">
        <v>727</v>
      </c>
      <c r="L684" s="10" t="s">
        <v>101</v>
      </c>
      <c r="M684" s="10" t="s">
        <v>102</v>
      </c>
      <c r="N684" s="124" t="s">
        <v>156</v>
      </c>
      <c r="O684" s="124" t="s">
        <v>156</v>
      </c>
      <c r="P684" s="21">
        <v>30</v>
      </c>
      <c r="Q684" s="10" t="s">
        <v>54</v>
      </c>
      <c r="R684" s="10" t="s">
        <v>28</v>
      </c>
      <c r="S684" s="10"/>
      <c r="T684" s="10"/>
      <c r="U684" s="10" t="s">
        <v>745</v>
      </c>
      <c r="V684" s="10" t="s">
        <v>745</v>
      </c>
      <c r="W684" s="50">
        <f>+J684/$W$2</f>
        <v>1.3047910282771208E-4</v>
      </c>
    </row>
    <row r="685" spans="1:29">
      <c r="A685" s="10" t="s">
        <v>382</v>
      </c>
      <c r="B685" s="10" t="s">
        <v>381</v>
      </c>
      <c r="C685" s="124">
        <v>46317</v>
      </c>
      <c r="D685" s="124" t="s">
        <v>492</v>
      </c>
      <c r="E685" s="21">
        <v>0.98144668999999995</v>
      </c>
      <c r="F685" s="10"/>
      <c r="G685" s="14">
        <v>6500000</v>
      </c>
      <c r="H685" s="14">
        <v>6379403.4699999997</v>
      </c>
      <c r="I685" s="14">
        <v>6500000</v>
      </c>
      <c r="J685" s="14">
        <v>6379403.4699999997</v>
      </c>
      <c r="K685" s="12">
        <v>744</v>
      </c>
      <c r="L685" s="10" t="s">
        <v>101</v>
      </c>
      <c r="M685" s="10" t="s">
        <v>102</v>
      </c>
      <c r="N685" s="124" t="s">
        <v>399</v>
      </c>
      <c r="O685" s="124" t="s">
        <v>399</v>
      </c>
      <c r="P685" s="21">
        <v>30</v>
      </c>
      <c r="Q685" s="10" t="s">
        <v>54</v>
      </c>
      <c r="R685" s="10" t="s">
        <v>28</v>
      </c>
      <c r="S685" s="10"/>
      <c r="T685" s="10"/>
      <c r="U685" s="10" t="s">
        <v>844</v>
      </c>
      <c r="V685" s="10" t="s">
        <v>844</v>
      </c>
      <c r="W685" s="50">
        <f>+J685/$W$2</f>
        <v>8.4811418453302972E-5</v>
      </c>
    </row>
    <row r="686" spans="1:29">
      <c r="A686" s="10" t="s">
        <v>382</v>
      </c>
      <c r="B686" s="10" t="s">
        <v>381</v>
      </c>
      <c r="C686" s="124">
        <v>46317</v>
      </c>
      <c r="D686" s="124" t="s">
        <v>492</v>
      </c>
      <c r="E686" s="21">
        <v>0.98144666000000003</v>
      </c>
      <c r="F686" s="10"/>
      <c r="G686" s="14">
        <v>5000000</v>
      </c>
      <c r="H686" s="14">
        <v>4907233.32</v>
      </c>
      <c r="I686" s="14">
        <v>5000000</v>
      </c>
      <c r="J686" s="14">
        <v>4907233.32</v>
      </c>
      <c r="K686" s="12">
        <v>793</v>
      </c>
      <c r="L686" s="10" t="s">
        <v>101</v>
      </c>
      <c r="M686" s="10" t="s">
        <v>102</v>
      </c>
      <c r="N686" s="124" t="s">
        <v>396</v>
      </c>
      <c r="O686" s="124" t="s">
        <v>396</v>
      </c>
      <c r="P686" s="21">
        <v>30</v>
      </c>
      <c r="Q686" s="10" t="s">
        <v>54</v>
      </c>
      <c r="R686" s="10" t="s">
        <v>28</v>
      </c>
      <c r="S686" s="10"/>
      <c r="T686" s="10"/>
      <c r="U686" s="10" t="s">
        <v>891</v>
      </c>
      <c r="V686" s="10" t="s">
        <v>891</v>
      </c>
      <c r="W686" s="50">
        <f>+J686/$W$2</f>
        <v>6.5239551081491831E-5</v>
      </c>
    </row>
    <row r="687" spans="1:29">
      <c r="A687" s="10" t="s">
        <v>382</v>
      </c>
      <c r="B687" s="10" t="s">
        <v>381</v>
      </c>
      <c r="C687" s="124">
        <v>46317</v>
      </c>
      <c r="D687" s="124" t="s">
        <v>492</v>
      </c>
      <c r="E687" s="21">
        <v>0.98023419000000001</v>
      </c>
      <c r="F687" s="10"/>
      <c r="G687" s="14">
        <v>3000000</v>
      </c>
      <c r="H687" s="14">
        <v>2940702.58</v>
      </c>
      <c r="I687" s="14">
        <v>3000000</v>
      </c>
      <c r="J687" s="14">
        <v>2940702.58</v>
      </c>
      <c r="K687" s="12">
        <v>1041</v>
      </c>
      <c r="L687" s="10" t="s">
        <v>101</v>
      </c>
      <c r="M687" s="10" t="s">
        <v>102</v>
      </c>
      <c r="N687" s="124" t="s">
        <v>398</v>
      </c>
      <c r="O687" s="124" t="s">
        <v>398</v>
      </c>
      <c r="P687" s="21">
        <v>32</v>
      </c>
      <c r="Q687" s="10" t="s">
        <v>54</v>
      </c>
      <c r="R687" s="10" t="s">
        <v>28</v>
      </c>
      <c r="S687" s="10"/>
      <c r="T687" s="10"/>
      <c r="U687" s="10" t="s">
        <v>1750</v>
      </c>
      <c r="V687" s="10" t="s">
        <v>1750</v>
      </c>
      <c r="W687" s="50">
        <f>+J687/$W$2</f>
        <v>3.9095372824739625E-5</v>
      </c>
    </row>
    <row r="688" spans="1:29">
      <c r="A688" s="10" t="s">
        <v>2774</v>
      </c>
      <c r="B688" s="10" t="s">
        <v>381</v>
      </c>
      <c r="C688" s="124">
        <v>46317</v>
      </c>
      <c r="D688" s="124" t="s">
        <v>492</v>
      </c>
      <c r="E688" s="21">
        <v>0.98449091</v>
      </c>
      <c r="F688" s="10"/>
      <c r="G688" s="14">
        <v>40000000</v>
      </c>
      <c r="H688" s="14">
        <v>39379636.289999999</v>
      </c>
      <c r="I688" s="14">
        <v>40000000</v>
      </c>
      <c r="J688" s="14">
        <v>39379636.289999999</v>
      </c>
      <c r="K688" s="12">
        <v>1637</v>
      </c>
      <c r="L688" s="10" t="s">
        <v>101</v>
      </c>
      <c r="M688" s="10" t="s">
        <v>102</v>
      </c>
      <c r="N688" s="124" t="s">
        <v>472</v>
      </c>
      <c r="O688" s="124" t="s">
        <v>472</v>
      </c>
      <c r="P688" s="21">
        <v>25</v>
      </c>
      <c r="Q688" s="10" t="s">
        <v>54</v>
      </c>
      <c r="R688" s="10" t="s">
        <v>28</v>
      </c>
      <c r="S688" s="10"/>
      <c r="T688" s="10"/>
      <c r="U688" s="10" t="s">
        <v>3174</v>
      </c>
      <c r="V688" s="10" t="s">
        <v>3174</v>
      </c>
      <c r="W688" s="50">
        <f>+J688/$W$2</f>
        <v>5.2353528470743752E-4</v>
      </c>
      <c r="AC688" s="47"/>
    </row>
    <row r="689" spans="1:29">
      <c r="A689" s="10" t="s">
        <v>1425</v>
      </c>
      <c r="B689" s="10" t="s">
        <v>381</v>
      </c>
      <c r="C689" s="124">
        <v>46317</v>
      </c>
      <c r="D689" s="124" t="s">
        <v>492</v>
      </c>
      <c r="E689" s="21">
        <v>0.98023419000000001</v>
      </c>
      <c r="F689" s="10"/>
      <c r="G689" s="14">
        <v>7485785.1900000004</v>
      </c>
      <c r="H689" s="14">
        <v>7337822.6100000003</v>
      </c>
      <c r="I689" s="14">
        <v>7485785.1900000004</v>
      </c>
      <c r="J689" s="14">
        <v>7337822.6100000003</v>
      </c>
      <c r="K689" s="12">
        <v>72607219</v>
      </c>
      <c r="L689" s="10" t="s">
        <v>101</v>
      </c>
      <c r="M689" s="10" t="s">
        <v>102</v>
      </c>
      <c r="N689" s="124" t="s">
        <v>398</v>
      </c>
      <c r="O689" s="124" t="s">
        <v>398</v>
      </c>
      <c r="P689" s="21">
        <v>32</v>
      </c>
      <c r="Q689" s="10" t="s">
        <v>54</v>
      </c>
      <c r="R689" s="10" t="s">
        <v>28</v>
      </c>
      <c r="S689" s="10"/>
      <c r="T689" s="10"/>
      <c r="U689" s="10" t="s">
        <v>1801</v>
      </c>
      <c r="V689" s="10" t="s">
        <v>1801</v>
      </c>
      <c r="W689" s="50">
        <f>+J689/$W$2</f>
        <v>9.7553187667062194E-5</v>
      </c>
    </row>
    <row r="690" spans="1:29">
      <c r="A690" s="10" t="s">
        <v>353</v>
      </c>
      <c r="B690" s="10" t="s">
        <v>381</v>
      </c>
      <c r="C690" s="124">
        <v>46317</v>
      </c>
      <c r="D690" s="124" t="s">
        <v>492</v>
      </c>
      <c r="E690" s="21">
        <v>0.97781843000000002</v>
      </c>
      <c r="F690" s="10"/>
      <c r="G690" s="14">
        <v>1874176.47</v>
      </c>
      <c r="H690" s="14">
        <v>1832604.29</v>
      </c>
      <c r="I690" s="14">
        <v>1874176.47</v>
      </c>
      <c r="J690" s="14">
        <v>1832604.29</v>
      </c>
      <c r="K690" s="12">
        <v>3461</v>
      </c>
      <c r="L690" s="10" t="s">
        <v>101</v>
      </c>
      <c r="M690" s="10" t="s">
        <v>102</v>
      </c>
      <c r="N690" s="124" t="s">
        <v>431</v>
      </c>
      <c r="O690" s="124" t="s">
        <v>431</v>
      </c>
      <c r="P690" s="21">
        <v>36</v>
      </c>
      <c r="Q690" s="10" t="s">
        <v>54</v>
      </c>
      <c r="R690" s="10" t="s">
        <v>28</v>
      </c>
      <c r="S690" s="10"/>
      <c r="T690" s="10"/>
      <c r="U690" s="10" t="s">
        <v>2284</v>
      </c>
      <c r="V690" s="10" t="s">
        <v>2284</v>
      </c>
      <c r="W690" s="50">
        <f>+J690/$W$2</f>
        <v>2.4363683850601191E-5</v>
      </c>
    </row>
    <row r="691" spans="1:29">
      <c r="A691" s="10" t="s">
        <v>494</v>
      </c>
      <c r="B691" s="10" t="s">
        <v>381</v>
      </c>
      <c r="C691" s="124">
        <v>46317</v>
      </c>
      <c r="D691" s="124" t="s">
        <v>492</v>
      </c>
      <c r="E691" s="21">
        <v>0.98449096000000003</v>
      </c>
      <c r="F691" s="10"/>
      <c r="G691" s="14">
        <v>3056279.77</v>
      </c>
      <c r="H691" s="14">
        <v>3008879.81</v>
      </c>
      <c r="I691" s="14">
        <v>3056279.77</v>
      </c>
      <c r="J691" s="14">
        <v>3008879.81</v>
      </c>
      <c r="K691" s="12">
        <v>10607141</v>
      </c>
      <c r="L691" s="10" t="s">
        <v>101</v>
      </c>
      <c r="M691" s="10" t="s">
        <v>102</v>
      </c>
      <c r="N691" s="124" t="s">
        <v>677</v>
      </c>
      <c r="O691" s="124" t="s">
        <v>677</v>
      </c>
      <c r="P691" s="21">
        <v>25</v>
      </c>
      <c r="Q691" s="10" t="s">
        <v>54</v>
      </c>
      <c r="R691" s="10" t="s">
        <v>28</v>
      </c>
      <c r="S691" s="10"/>
      <c r="T691" s="10"/>
      <c r="U691" s="10" t="s">
        <v>3330</v>
      </c>
      <c r="V691" s="10" t="s">
        <v>3330</v>
      </c>
      <c r="W691" s="50">
        <f>+J691/$W$2</f>
        <v>4.0001759700833714E-5</v>
      </c>
    </row>
    <row r="692" spans="1:29">
      <c r="A692" s="10" t="s">
        <v>494</v>
      </c>
      <c r="B692" s="10" t="s">
        <v>381</v>
      </c>
      <c r="C692" s="124">
        <v>46317</v>
      </c>
      <c r="D692" s="124" t="s">
        <v>492</v>
      </c>
      <c r="E692" s="21">
        <v>0.98449094999999998</v>
      </c>
      <c r="F692" s="10"/>
      <c r="G692" s="14">
        <v>180149.61</v>
      </c>
      <c r="H692" s="14">
        <v>177355.66</v>
      </c>
      <c r="I692" s="14">
        <v>180149.61</v>
      </c>
      <c r="J692" s="14">
        <v>177355.66</v>
      </c>
      <c r="K692" s="12">
        <v>60527402</v>
      </c>
      <c r="L692" s="10" t="s">
        <v>101</v>
      </c>
      <c r="M692" s="10" t="s">
        <v>102</v>
      </c>
      <c r="N692" s="124" t="s">
        <v>677</v>
      </c>
      <c r="O692" s="124" t="s">
        <v>677</v>
      </c>
      <c r="P692" s="21">
        <v>25</v>
      </c>
      <c r="Q692" s="10" t="s">
        <v>54</v>
      </c>
      <c r="R692" s="10" t="s">
        <v>28</v>
      </c>
      <c r="S692" s="10"/>
      <c r="T692" s="10"/>
      <c r="U692" s="10" t="s">
        <v>3331</v>
      </c>
      <c r="V692" s="10" t="s">
        <v>3331</v>
      </c>
      <c r="W692" s="50">
        <f>+J692/$W$2</f>
        <v>2.3578670272318937E-6</v>
      </c>
    </row>
    <row r="693" spans="1:29">
      <c r="A693" s="10" t="s">
        <v>494</v>
      </c>
      <c r="B693" s="10" t="s">
        <v>381</v>
      </c>
      <c r="C693" s="124">
        <v>46317</v>
      </c>
      <c r="D693" s="124" t="s">
        <v>492</v>
      </c>
      <c r="E693" s="21">
        <v>0.98388056000000002</v>
      </c>
      <c r="F693" s="10"/>
      <c r="G693" s="14">
        <v>20000000</v>
      </c>
      <c r="H693" s="14">
        <v>19677611.170000002</v>
      </c>
      <c r="I693" s="14">
        <v>20000000</v>
      </c>
      <c r="J693" s="14">
        <v>19677611.170000002</v>
      </c>
      <c r="K693" s="12">
        <v>9508921</v>
      </c>
      <c r="L693" s="10" t="s">
        <v>101</v>
      </c>
      <c r="M693" s="10" t="s">
        <v>102</v>
      </c>
      <c r="N693" s="124" t="s">
        <v>319</v>
      </c>
      <c r="O693" s="124" t="s">
        <v>319</v>
      </c>
      <c r="P693" s="21">
        <v>26</v>
      </c>
      <c r="Q693" s="10" t="s">
        <v>54</v>
      </c>
      <c r="R693" s="10" t="s">
        <v>28</v>
      </c>
      <c r="S693" s="10"/>
      <c r="T693" s="10"/>
      <c r="U693" s="10" t="s">
        <v>995</v>
      </c>
      <c r="V693" s="10" t="s">
        <v>995</v>
      </c>
      <c r="W693" s="50">
        <f>+J693/$W$2</f>
        <v>2.6160535588451482E-4</v>
      </c>
    </row>
    <row r="694" spans="1:29">
      <c r="A694" s="10" t="s">
        <v>389</v>
      </c>
      <c r="B694" s="10" t="s">
        <v>381</v>
      </c>
      <c r="C694" s="124">
        <v>46317</v>
      </c>
      <c r="D694" s="124" t="s">
        <v>492</v>
      </c>
      <c r="E694" s="21">
        <v>0.98023422999999998</v>
      </c>
      <c r="F694" s="10"/>
      <c r="G694" s="14">
        <v>10655603.279999999</v>
      </c>
      <c r="H694" s="14">
        <v>10444987.02</v>
      </c>
      <c r="I694" s="14">
        <v>10655603.279999999</v>
      </c>
      <c r="J694" s="14">
        <v>10444987.02</v>
      </c>
      <c r="K694" s="12">
        <v>30827</v>
      </c>
      <c r="L694" s="10" t="s">
        <v>101</v>
      </c>
      <c r="M694" s="10" t="s">
        <v>102</v>
      </c>
      <c r="N694" s="124" t="s">
        <v>396</v>
      </c>
      <c r="O694" s="124" t="s">
        <v>396</v>
      </c>
      <c r="P694" s="21">
        <v>32</v>
      </c>
      <c r="Q694" s="10" t="s">
        <v>54</v>
      </c>
      <c r="R694" s="10" t="s">
        <v>28</v>
      </c>
      <c r="S694" s="10"/>
      <c r="T694" s="10"/>
      <c r="U694" s="10" t="s">
        <v>867</v>
      </c>
      <c r="V694" s="10" t="s">
        <v>867</v>
      </c>
      <c r="W694" s="50">
        <f>+J694/$W$2</f>
        <v>1.3886159874640095E-4</v>
      </c>
    </row>
    <row r="695" spans="1:29">
      <c r="A695" s="10" t="s">
        <v>353</v>
      </c>
      <c r="B695" s="10" t="s">
        <v>381</v>
      </c>
      <c r="C695" s="124">
        <v>46317</v>
      </c>
      <c r="D695" s="124" t="s">
        <v>492</v>
      </c>
      <c r="E695" s="21">
        <v>0.97902480999999997</v>
      </c>
      <c r="F695" s="10"/>
      <c r="G695" s="14">
        <v>990902.64</v>
      </c>
      <c r="H695" s="14">
        <v>970118.27</v>
      </c>
      <c r="I695" s="14">
        <v>990902.64</v>
      </c>
      <c r="J695" s="14">
        <v>970118.27</v>
      </c>
      <c r="K695" s="12">
        <v>2951</v>
      </c>
      <c r="L695" s="10" t="s">
        <v>101</v>
      </c>
      <c r="M695" s="10" t="s">
        <v>102</v>
      </c>
      <c r="N695" s="124" t="s">
        <v>323</v>
      </c>
      <c r="O695" s="124" t="s">
        <v>323</v>
      </c>
      <c r="P695" s="21">
        <v>34</v>
      </c>
      <c r="Q695" s="10" t="s">
        <v>54</v>
      </c>
      <c r="R695" s="10" t="s">
        <v>28</v>
      </c>
      <c r="S695" s="10"/>
      <c r="T695" s="10"/>
      <c r="U695" s="10" t="s">
        <v>910</v>
      </c>
      <c r="V695" s="10" t="s">
        <v>910</v>
      </c>
      <c r="W695" s="50">
        <f>+J695/$W$2</f>
        <v>1.2897304102661554E-5</v>
      </c>
    </row>
    <row r="696" spans="1:29">
      <c r="A696" s="10" t="s">
        <v>353</v>
      </c>
      <c r="B696" s="10" t="s">
        <v>381</v>
      </c>
      <c r="C696" s="124">
        <v>46317</v>
      </c>
      <c r="D696" s="124" t="s">
        <v>492</v>
      </c>
      <c r="E696" s="21">
        <v>0.97902478000000004</v>
      </c>
      <c r="F696" s="10"/>
      <c r="G696" s="14">
        <v>1020845.65</v>
      </c>
      <c r="H696" s="14">
        <v>999433.19</v>
      </c>
      <c r="I696" s="14">
        <v>1020845.65</v>
      </c>
      <c r="J696" s="14">
        <v>999433.19</v>
      </c>
      <c r="K696" s="12">
        <v>2901</v>
      </c>
      <c r="L696" s="10" t="s">
        <v>101</v>
      </c>
      <c r="M696" s="10" t="s">
        <v>102</v>
      </c>
      <c r="N696" s="124" t="s">
        <v>323</v>
      </c>
      <c r="O696" s="124" t="s">
        <v>323</v>
      </c>
      <c r="P696" s="21">
        <v>34</v>
      </c>
      <c r="Q696" s="10" t="s">
        <v>54</v>
      </c>
      <c r="R696" s="10" t="s">
        <v>28</v>
      </c>
      <c r="S696" s="10"/>
      <c r="T696" s="10"/>
      <c r="U696" s="10" t="s">
        <v>911</v>
      </c>
      <c r="V696" s="10" t="s">
        <v>911</v>
      </c>
      <c r="W696" s="50">
        <f>+J696/$W$2</f>
        <v>1.3287033324012261E-5</v>
      </c>
    </row>
    <row r="697" spans="1:29">
      <c r="A697" s="10" t="s">
        <v>273</v>
      </c>
      <c r="B697" s="10" t="s">
        <v>381</v>
      </c>
      <c r="C697" s="124">
        <v>46317</v>
      </c>
      <c r="D697" s="124" t="s">
        <v>492</v>
      </c>
      <c r="E697" s="21">
        <v>0.98449091</v>
      </c>
      <c r="F697" s="10"/>
      <c r="G697" s="14">
        <v>8650000</v>
      </c>
      <c r="H697" s="14">
        <v>8515846.3699999992</v>
      </c>
      <c r="I697" s="14">
        <v>8650000</v>
      </c>
      <c r="J697" s="14">
        <v>8515846.3699999992</v>
      </c>
      <c r="K697" s="12">
        <v>34389</v>
      </c>
      <c r="L697" s="10" t="s">
        <v>101</v>
      </c>
      <c r="M697" s="10" t="s">
        <v>102</v>
      </c>
      <c r="N697" s="124" t="s">
        <v>361</v>
      </c>
      <c r="O697" s="124" t="s">
        <v>361</v>
      </c>
      <c r="P697" s="21">
        <v>25</v>
      </c>
      <c r="Q697" s="10" t="s">
        <v>54</v>
      </c>
      <c r="R697" s="10" t="s">
        <v>28</v>
      </c>
      <c r="S697" s="10"/>
      <c r="T697" s="10"/>
      <c r="U697" s="10" t="s">
        <v>1027</v>
      </c>
      <c r="V697" s="10" t="s">
        <v>1027</v>
      </c>
      <c r="W697" s="50">
        <f>+J697/$W$2</f>
        <v>1.1321450561428607E-4</v>
      </c>
      <c r="AC697" s="47"/>
    </row>
    <row r="698" spans="1:29">
      <c r="A698" s="10" t="s">
        <v>273</v>
      </c>
      <c r="B698" s="10" t="s">
        <v>381</v>
      </c>
      <c r="C698" s="124">
        <v>46317</v>
      </c>
      <c r="D698" s="124" t="s">
        <v>492</v>
      </c>
      <c r="E698" s="21">
        <v>0.98327092999999999</v>
      </c>
      <c r="F698" s="10"/>
      <c r="G698" s="14">
        <v>15000000</v>
      </c>
      <c r="H698" s="14">
        <v>14749064.02</v>
      </c>
      <c r="I698" s="14">
        <v>15000000</v>
      </c>
      <c r="J698" s="14">
        <v>14749064.02</v>
      </c>
      <c r="K698" s="12">
        <v>11349968</v>
      </c>
      <c r="L698" s="10" t="s">
        <v>101</v>
      </c>
      <c r="M698" s="10" t="s">
        <v>102</v>
      </c>
      <c r="N698" s="124" t="s">
        <v>326</v>
      </c>
      <c r="O698" s="124" t="s">
        <v>326</v>
      </c>
      <c r="P698" s="21">
        <v>27</v>
      </c>
      <c r="Q698" s="10" t="s">
        <v>54</v>
      </c>
      <c r="R698" s="10" t="s">
        <v>28</v>
      </c>
      <c r="S698" s="10"/>
      <c r="T698" s="10"/>
      <c r="U698" s="10" t="s">
        <v>978</v>
      </c>
      <c r="V698" s="10" t="s">
        <v>978</v>
      </c>
      <c r="W698" s="50">
        <f>+J698/$W$2</f>
        <v>1.960824466233008E-4</v>
      </c>
    </row>
    <row r="699" spans="1:29">
      <c r="A699" s="10" t="s">
        <v>273</v>
      </c>
      <c r="B699" s="10" t="s">
        <v>381</v>
      </c>
      <c r="C699" s="124">
        <v>46317</v>
      </c>
      <c r="D699" s="124" t="s">
        <v>492</v>
      </c>
      <c r="E699" s="21">
        <v>0.98449092000000005</v>
      </c>
      <c r="F699" s="10"/>
      <c r="G699" s="14">
        <v>11000000</v>
      </c>
      <c r="H699" s="14">
        <v>10829400.140000001</v>
      </c>
      <c r="I699" s="14">
        <v>11000000</v>
      </c>
      <c r="J699" s="14">
        <v>10829400.140000001</v>
      </c>
      <c r="K699" s="12">
        <v>189</v>
      </c>
      <c r="L699" s="10" t="s">
        <v>101</v>
      </c>
      <c r="M699" s="10" t="s">
        <v>102</v>
      </c>
      <c r="N699" s="124" t="s">
        <v>319</v>
      </c>
      <c r="O699" s="124" t="s">
        <v>319</v>
      </c>
      <c r="P699" s="21">
        <v>25</v>
      </c>
      <c r="Q699" s="10" t="s">
        <v>54</v>
      </c>
      <c r="R699" s="10" t="s">
        <v>28</v>
      </c>
      <c r="S699" s="10"/>
      <c r="T699" s="10"/>
      <c r="U699" s="10" t="s">
        <v>989</v>
      </c>
      <c r="V699" s="10" t="s">
        <v>989</v>
      </c>
      <c r="W699" s="50">
        <f>+J699/$W$2</f>
        <v>1.4397220542500001E-4</v>
      </c>
    </row>
    <row r="700" spans="1:29">
      <c r="A700" s="10" t="s">
        <v>273</v>
      </c>
      <c r="B700" s="10" t="s">
        <v>381</v>
      </c>
      <c r="C700" s="124">
        <v>46317</v>
      </c>
      <c r="D700" s="124" t="s">
        <v>492</v>
      </c>
      <c r="E700" s="21">
        <v>0.98144662999999999</v>
      </c>
      <c r="F700" s="10"/>
      <c r="G700" s="14">
        <v>3000000</v>
      </c>
      <c r="H700" s="14">
        <v>2944339.89</v>
      </c>
      <c r="I700" s="14">
        <v>3000000</v>
      </c>
      <c r="J700" s="14">
        <v>2944339.89</v>
      </c>
      <c r="K700" s="12">
        <v>12759458</v>
      </c>
      <c r="L700" s="10" t="s">
        <v>101</v>
      </c>
      <c r="M700" s="10" t="s">
        <v>102</v>
      </c>
      <c r="N700" s="124" t="s">
        <v>322</v>
      </c>
      <c r="O700" s="124" t="s">
        <v>322</v>
      </c>
      <c r="P700" s="21">
        <v>30</v>
      </c>
      <c r="Q700" s="10" t="s">
        <v>54</v>
      </c>
      <c r="R700" s="10" t="s">
        <v>28</v>
      </c>
      <c r="S700" s="10"/>
      <c r="T700" s="10"/>
      <c r="U700" s="10" t="s">
        <v>1571</v>
      </c>
      <c r="V700" s="10" t="s">
        <v>1571</v>
      </c>
      <c r="W700" s="50">
        <f>+J700/$W$2</f>
        <v>3.9143729292849074E-5</v>
      </c>
    </row>
    <row r="701" spans="1:29">
      <c r="A701" s="10" t="s">
        <v>762</v>
      </c>
      <c r="B701" s="10" t="s">
        <v>381</v>
      </c>
      <c r="C701" s="124">
        <v>46317</v>
      </c>
      <c r="D701" s="124" t="s">
        <v>492</v>
      </c>
      <c r="E701" s="21">
        <v>0.98327100000000001</v>
      </c>
      <c r="F701" s="10"/>
      <c r="G701" s="14">
        <v>3000000</v>
      </c>
      <c r="H701" s="14">
        <v>2949812.99</v>
      </c>
      <c r="I701" s="14">
        <v>3000000</v>
      </c>
      <c r="J701" s="14">
        <v>2949812.99</v>
      </c>
      <c r="K701" s="12">
        <v>90023129</v>
      </c>
      <c r="L701" s="10" t="s">
        <v>101</v>
      </c>
      <c r="M701" s="10" t="s">
        <v>102</v>
      </c>
      <c r="N701" s="124" t="s">
        <v>677</v>
      </c>
      <c r="O701" s="124" t="s">
        <v>677</v>
      </c>
      <c r="P701" s="21">
        <v>27</v>
      </c>
      <c r="Q701" s="10" t="s">
        <v>54</v>
      </c>
      <c r="R701" s="10" t="s">
        <v>28</v>
      </c>
      <c r="S701" s="10"/>
      <c r="T701" s="10"/>
      <c r="U701" s="10" t="s">
        <v>3282</v>
      </c>
      <c r="V701" s="10" t="s">
        <v>3282</v>
      </c>
      <c r="W701" s="50">
        <f>+J701/$W$2</f>
        <v>3.9216491797449965E-5</v>
      </c>
    </row>
    <row r="702" spans="1:29">
      <c r="A702" s="10" t="s">
        <v>1726</v>
      </c>
      <c r="B702" s="10" t="s">
        <v>381</v>
      </c>
      <c r="C702" s="124">
        <v>46317</v>
      </c>
      <c r="D702" s="124" t="s">
        <v>492</v>
      </c>
      <c r="E702" s="21">
        <v>0.97781837000000005</v>
      </c>
      <c r="F702" s="10"/>
      <c r="G702" s="14">
        <v>3250000</v>
      </c>
      <c r="H702" s="14">
        <v>3177909.71</v>
      </c>
      <c r="I702" s="14">
        <v>3250000</v>
      </c>
      <c r="J702" s="14">
        <v>3177909.71</v>
      </c>
      <c r="K702" s="12">
        <v>65</v>
      </c>
      <c r="L702" s="10" t="s">
        <v>101</v>
      </c>
      <c r="M702" s="10" t="s">
        <v>102</v>
      </c>
      <c r="N702" s="124" t="s">
        <v>425</v>
      </c>
      <c r="O702" s="124" t="s">
        <v>425</v>
      </c>
      <c r="P702" s="21">
        <v>36</v>
      </c>
      <c r="Q702" s="10" t="s">
        <v>54</v>
      </c>
      <c r="R702" s="10" t="s">
        <v>28</v>
      </c>
      <c r="S702" s="10"/>
      <c r="T702" s="10"/>
      <c r="U702" s="10" t="s">
        <v>1718</v>
      </c>
      <c r="V702" s="10" t="s">
        <v>1718</v>
      </c>
      <c r="W702" s="50">
        <f>+J702/$W$2</f>
        <v>4.2248939338778757E-5</v>
      </c>
      <c r="AC702" s="47"/>
    </row>
    <row r="703" spans="1:29">
      <c r="A703" s="10" t="s">
        <v>2241</v>
      </c>
      <c r="B703" s="10" t="s">
        <v>381</v>
      </c>
      <c r="C703" s="124">
        <v>46317</v>
      </c>
      <c r="D703" s="124" t="s">
        <v>492</v>
      </c>
      <c r="E703" s="21">
        <v>0.98084013000000003</v>
      </c>
      <c r="F703" s="10"/>
      <c r="G703" s="14">
        <v>5487424.6799999997</v>
      </c>
      <c r="H703" s="14">
        <v>5382286.3300000001</v>
      </c>
      <c r="I703" s="14">
        <v>5487424.6799999997</v>
      </c>
      <c r="J703" s="14">
        <v>5382286.3300000001</v>
      </c>
      <c r="K703" s="12">
        <v>2393564</v>
      </c>
      <c r="L703" s="10" t="s">
        <v>101</v>
      </c>
      <c r="M703" s="10" t="s">
        <v>102</v>
      </c>
      <c r="N703" s="124" t="s">
        <v>551</v>
      </c>
      <c r="O703" s="124" t="s">
        <v>551</v>
      </c>
      <c r="P703" s="21">
        <v>31</v>
      </c>
      <c r="Q703" s="10" t="s">
        <v>54</v>
      </c>
      <c r="R703" s="10" t="s">
        <v>28</v>
      </c>
      <c r="S703" s="10"/>
      <c r="T703" s="10"/>
      <c r="U703" s="10" t="s">
        <v>2194</v>
      </c>
      <c r="V703" s="10" t="s">
        <v>2194</v>
      </c>
      <c r="W703" s="50">
        <f>+J703/$W$2</f>
        <v>7.1555176015402952E-5</v>
      </c>
    </row>
    <row r="704" spans="1:29">
      <c r="A704" s="10" t="s">
        <v>273</v>
      </c>
      <c r="B704" s="10" t="s">
        <v>381</v>
      </c>
      <c r="C704" s="124">
        <v>46317</v>
      </c>
      <c r="D704" s="124" t="s">
        <v>492</v>
      </c>
      <c r="E704" s="21">
        <v>0.98388067999999995</v>
      </c>
      <c r="F704" s="10"/>
      <c r="G704" s="14">
        <v>4000000</v>
      </c>
      <c r="H704" s="14">
        <v>3935522.72</v>
      </c>
      <c r="I704" s="14">
        <v>4000000</v>
      </c>
      <c r="J704" s="14">
        <v>3935522.72</v>
      </c>
      <c r="K704" s="12">
        <v>90002225</v>
      </c>
      <c r="L704" s="10" t="s">
        <v>101</v>
      </c>
      <c r="M704" s="10" t="s">
        <v>102</v>
      </c>
      <c r="N704" s="124" t="s">
        <v>532</v>
      </c>
      <c r="O704" s="124" t="s">
        <v>532</v>
      </c>
      <c r="P704" s="21">
        <v>26</v>
      </c>
      <c r="Q704" s="10" t="s">
        <v>54</v>
      </c>
      <c r="R704" s="10" t="s">
        <v>28</v>
      </c>
      <c r="S704" s="10"/>
      <c r="T704" s="10"/>
      <c r="U704" s="10" t="s">
        <v>3026</v>
      </c>
      <c r="V704" s="10" t="s">
        <v>3026</v>
      </c>
      <c r="W704" s="50">
        <f>+J704/$W$2</f>
        <v>5.2321077638063407E-5</v>
      </c>
    </row>
    <row r="705" spans="1:29">
      <c r="A705" s="10" t="s">
        <v>933</v>
      </c>
      <c r="B705" s="10" t="s">
        <v>381</v>
      </c>
      <c r="C705" s="124">
        <v>46317</v>
      </c>
      <c r="D705" s="124" t="s">
        <v>492</v>
      </c>
      <c r="E705" s="21">
        <v>0.98144677000000002</v>
      </c>
      <c r="F705" s="10"/>
      <c r="G705" s="14">
        <v>351325.81</v>
      </c>
      <c r="H705" s="14">
        <v>344807.58</v>
      </c>
      <c r="I705" s="14">
        <v>351325.81</v>
      </c>
      <c r="J705" s="14">
        <v>344807.58</v>
      </c>
      <c r="K705" s="12">
        <v>2074</v>
      </c>
      <c r="L705" s="10" t="s">
        <v>101</v>
      </c>
      <c r="M705" s="10" t="s">
        <v>102</v>
      </c>
      <c r="N705" s="124" t="s">
        <v>552</v>
      </c>
      <c r="O705" s="124" t="s">
        <v>552</v>
      </c>
      <c r="P705" s="21">
        <v>30</v>
      </c>
      <c r="Q705" s="10" t="s">
        <v>54</v>
      </c>
      <c r="R705" s="10" t="s">
        <v>28</v>
      </c>
      <c r="S705" s="10"/>
      <c r="T705" s="10"/>
      <c r="U705" s="10" t="s">
        <v>2401</v>
      </c>
      <c r="V705" s="10" t="s">
        <v>2401</v>
      </c>
      <c r="W705" s="50">
        <f>+J705/$W$2</f>
        <v>4.5840681014726199E-6</v>
      </c>
    </row>
    <row r="706" spans="1:29">
      <c r="A706" s="10" t="s">
        <v>1189</v>
      </c>
      <c r="B706" s="10" t="s">
        <v>381</v>
      </c>
      <c r="C706" s="124">
        <v>46317</v>
      </c>
      <c r="D706" s="124" t="s">
        <v>492</v>
      </c>
      <c r="E706" s="21">
        <v>0.97842116999999995</v>
      </c>
      <c r="F706" s="10"/>
      <c r="G706" s="14">
        <v>1066766.07</v>
      </c>
      <c r="H706" s="14">
        <v>1043746.51</v>
      </c>
      <c r="I706" s="14">
        <v>1066766.07</v>
      </c>
      <c r="J706" s="14">
        <v>1043746.51</v>
      </c>
      <c r="K706" s="12">
        <v>30095688</v>
      </c>
      <c r="L706" s="10" t="s">
        <v>101</v>
      </c>
      <c r="M706" s="10" t="s">
        <v>102</v>
      </c>
      <c r="N706" s="124" t="s">
        <v>163</v>
      </c>
      <c r="O706" s="124" t="s">
        <v>163</v>
      </c>
      <c r="P706" s="21">
        <v>35</v>
      </c>
      <c r="Q706" s="10" t="s">
        <v>54</v>
      </c>
      <c r="R706" s="10" t="s">
        <v>28</v>
      </c>
      <c r="S706" s="10"/>
      <c r="T706" s="10"/>
      <c r="U706" s="10" t="s">
        <v>1618</v>
      </c>
      <c r="V706" s="10" t="s">
        <v>1618</v>
      </c>
      <c r="W706" s="50">
        <f>+J706/$W$2</f>
        <v>1.3876159806331324E-5</v>
      </c>
    </row>
    <row r="707" spans="1:29">
      <c r="A707" s="10" t="s">
        <v>471</v>
      </c>
      <c r="B707" s="10" t="s">
        <v>381</v>
      </c>
      <c r="C707" s="124">
        <v>46317</v>
      </c>
      <c r="D707" s="124" t="s">
        <v>492</v>
      </c>
      <c r="E707" s="21">
        <v>0.98266207000000005</v>
      </c>
      <c r="F707" s="10"/>
      <c r="G707" s="14">
        <v>20000000</v>
      </c>
      <c r="H707" s="14">
        <v>19653241.440000001</v>
      </c>
      <c r="I707" s="14">
        <v>20000000</v>
      </c>
      <c r="J707" s="14">
        <v>19653241.440000001</v>
      </c>
      <c r="K707" s="12">
        <v>11092146</v>
      </c>
      <c r="L707" s="10" t="s">
        <v>101</v>
      </c>
      <c r="M707" s="10" t="s">
        <v>102</v>
      </c>
      <c r="N707" s="124" t="s">
        <v>270</v>
      </c>
      <c r="O707" s="124" t="s">
        <v>270</v>
      </c>
      <c r="P707" s="21">
        <v>28</v>
      </c>
      <c r="Q707" s="10" t="s">
        <v>54</v>
      </c>
      <c r="R707" s="10" t="s">
        <v>28</v>
      </c>
      <c r="S707" s="10"/>
      <c r="T707" s="10"/>
      <c r="U707" s="10" t="s">
        <v>616</v>
      </c>
      <c r="V707" s="10" t="s">
        <v>616</v>
      </c>
      <c r="W707" s="50">
        <f>+J707/$W$2</f>
        <v>2.6128137083194001E-4</v>
      </c>
      <c r="AC707" s="47"/>
    </row>
    <row r="708" spans="1:29">
      <c r="A708" s="10" t="s">
        <v>597</v>
      </c>
      <c r="B708" s="10" t="s">
        <v>381</v>
      </c>
      <c r="C708" s="124">
        <v>46317</v>
      </c>
      <c r="D708" s="124" t="s">
        <v>492</v>
      </c>
      <c r="E708" s="21">
        <v>0.97601415000000002</v>
      </c>
      <c r="F708" s="10"/>
      <c r="G708" s="14">
        <v>3750000</v>
      </c>
      <c r="H708" s="14">
        <v>3660053.06</v>
      </c>
      <c r="I708" s="14">
        <v>3750000</v>
      </c>
      <c r="J708" s="14">
        <v>3660053.06</v>
      </c>
      <c r="K708" s="12">
        <v>66918105</v>
      </c>
      <c r="L708" s="10" t="s">
        <v>101</v>
      </c>
      <c r="M708" s="10" t="s">
        <v>102</v>
      </c>
      <c r="N708" s="124" t="s">
        <v>304</v>
      </c>
      <c r="O708" s="124" t="s">
        <v>304</v>
      </c>
      <c r="P708" s="21">
        <v>39</v>
      </c>
      <c r="Q708" s="10" t="s">
        <v>54</v>
      </c>
      <c r="R708" s="10" t="s">
        <v>28</v>
      </c>
      <c r="S708" s="10"/>
      <c r="T708" s="10"/>
      <c r="U708" s="10" t="s">
        <v>588</v>
      </c>
      <c r="V708" s="10" t="s">
        <v>588</v>
      </c>
      <c r="W708" s="50">
        <f>+J708/$W$2</f>
        <v>4.8658827285766897E-5</v>
      </c>
      <c r="AC708" s="47"/>
    </row>
    <row r="709" spans="1:29">
      <c r="A709" s="10" t="s">
        <v>607</v>
      </c>
      <c r="B709" s="10" t="s">
        <v>381</v>
      </c>
      <c r="C709" s="124">
        <v>46317</v>
      </c>
      <c r="D709" s="124" t="s">
        <v>492</v>
      </c>
      <c r="E709" s="21">
        <v>0.97962910999999997</v>
      </c>
      <c r="F709" s="10"/>
      <c r="G709" s="14">
        <v>1000000</v>
      </c>
      <c r="H709" s="14">
        <v>979629.11</v>
      </c>
      <c r="I709" s="14">
        <v>1000000</v>
      </c>
      <c r="J709" s="14">
        <v>979629.11</v>
      </c>
      <c r="K709" s="12">
        <v>519</v>
      </c>
      <c r="L709" s="10" t="s">
        <v>101</v>
      </c>
      <c r="M709" s="10" t="s">
        <v>102</v>
      </c>
      <c r="N709" s="124" t="s">
        <v>397</v>
      </c>
      <c r="O709" s="124" t="s">
        <v>397</v>
      </c>
      <c r="P709" s="21">
        <v>33</v>
      </c>
      <c r="Q709" s="10" t="s">
        <v>54</v>
      </c>
      <c r="R709" s="10" t="s">
        <v>28</v>
      </c>
      <c r="S709" s="10"/>
      <c r="T709" s="10"/>
      <c r="U709" s="10" t="s">
        <v>1440</v>
      </c>
      <c r="V709" s="10" t="s">
        <v>1440</v>
      </c>
      <c r="W709" s="50">
        <f>+J709/$W$2</f>
        <v>1.3023746619563907E-5</v>
      </c>
    </row>
    <row r="710" spans="1:29">
      <c r="A710" s="10" t="s">
        <v>222</v>
      </c>
      <c r="B710" s="10" t="s">
        <v>381</v>
      </c>
      <c r="C710" s="124">
        <v>46317</v>
      </c>
      <c r="D710" s="124" t="s">
        <v>492</v>
      </c>
      <c r="E710" s="21">
        <v>0.97962912000000002</v>
      </c>
      <c r="F710" s="10"/>
      <c r="G710" s="14">
        <v>45000000</v>
      </c>
      <c r="H710" s="14">
        <v>44083310.280000001</v>
      </c>
      <c r="I710" s="14">
        <v>45000000</v>
      </c>
      <c r="J710" s="14">
        <v>44083310.280000001</v>
      </c>
      <c r="K710" s="12">
        <v>67838018</v>
      </c>
      <c r="L710" s="10" t="s">
        <v>101</v>
      </c>
      <c r="M710" s="10" t="s">
        <v>102</v>
      </c>
      <c r="N710" s="124" t="s">
        <v>320</v>
      </c>
      <c r="O710" s="124" t="s">
        <v>320</v>
      </c>
      <c r="P710" s="21">
        <v>33</v>
      </c>
      <c r="Q710" s="10" t="s">
        <v>54</v>
      </c>
      <c r="R710" s="10" t="s">
        <v>28</v>
      </c>
      <c r="S710" s="10"/>
      <c r="T710" s="10"/>
      <c r="U710" s="10" t="s">
        <v>723</v>
      </c>
      <c r="V710" s="10" t="s">
        <v>723</v>
      </c>
      <c r="W710" s="50">
        <f>+J710/$W$2</f>
        <v>5.860686022675836E-4</v>
      </c>
    </row>
    <row r="711" spans="1:29">
      <c r="A711" s="10" t="s">
        <v>2915</v>
      </c>
      <c r="B711" s="10" t="s">
        <v>381</v>
      </c>
      <c r="C711" s="124">
        <v>46317</v>
      </c>
      <c r="D711" s="124" t="s">
        <v>492</v>
      </c>
      <c r="E711" s="21">
        <v>0.98388065999999996</v>
      </c>
      <c r="F711" s="10"/>
      <c r="G711" s="14">
        <v>843353.38</v>
      </c>
      <c r="H711" s="14">
        <v>829759.08</v>
      </c>
      <c r="I711" s="14">
        <v>843353.38</v>
      </c>
      <c r="J711" s="14">
        <v>829759.08</v>
      </c>
      <c r="K711" s="12">
        <v>14488011</v>
      </c>
      <c r="L711" s="10" t="s">
        <v>101</v>
      </c>
      <c r="M711" s="10" t="s">
        <v>102</v>
      </c>
      <c r="N711" s="124" t="s">
        <v>531</v>
      </c>
      <c r="O711" s="124" t="s">
        <v>531</v>
      </c>
      <c r="P711" s="21">
        <v>26</v>
      </c>
      <c r="Q711" s="10" t="s">
        <v>54</v>
      </c>
      <c r="R711" s="10" t="s">
        <v>28</v>
      </c>
      <c r="S711" s="10"/>
      <c r="T711" s="10"/>
      <c r="U711" s="10" t="s">
        <v>3356</v>
      </c>
      <c r="V711" s="10" t="s">
        <v>3356</v>
      </c>
      <c r="W711" s="50">
        <f>+J711/$W$2</f>
        <v>1.103128919188861E-5</v>
      </c>
    </row>
    <row r="712" spans="1:29">
      <c r="A712" s="10" t="s">
        <v>2915</v>
      </c>
      <c r="B712" s="10" t="s">
        <v>381</v>
      </c>
      <c r="C712" s="124">
        <v>46317</v>
      </c>
      <c r="D712" s="124" t="s">
        <v>492</v>
      </c>
      <c r="E712" s="21">
        <v>0.98449091</v>
      </c>
      <c r="F712" s="10"/>
      <c r="G712" s="14">
        <v>15000000</v>
      </c>
      <c r="H712" s="14">
        <v>14767363.609999999</v>
      </c>
      <c r="I712" s="14">
        <v>15000000</v>
      </c>
      <c r="J712" s="14">
        <v>14767363.609999999</v>
      </c>
      <c r="K712" s="12">
        <v>69911087</v>
      </c>
      <c r="L712" s="10" t="s">
        <v>101</v>
      </c>
      <c r="M712" s="10" t="s">
        <v>102</v>
      </c>
      <c r="N712" s="124" t="s">
        <v>472</v>
      </c>
      <c r="O712" s="124" t="s">
        <v>472</v>
      </c>
      <c r="P712" s="21">
        <v>25</v>
      </c>
      <c r="Q712" s="10" t="s">
        <v>54</v>
      </c>
      <c r="R712" s="10" t="s">
        <v>28</v>
      </c>
      <c r="S712" s="10"/>
      <c r="T712" s="10"/>
      <c r="U712" s="10" t="s">
        <v>3182</v>
      </c>
      <c r="V712" s="10" t="s">
        <v>3182</v>
      </c>
      <c r="W712" s="50">
        <f>+J712/$W$2</f>
        <v>1.963257317819073E-4</v>
      </c>
    </row>
    <row r="713" spans="1:29">
      <c r="A713" s="10" t="s">
        <v>495</v>
      </c>
      <c r="B713" s="10" t="s">
        <v>381</v>
      </c>
      <c r="C713" s="124">
        <v>46317</v>
      </c>
      <c r="D713" s="124" t="s">
        <v>492</v>
      </c>
      <c r="E713" s="21">
        <v>0.97541431999999995</v>
      </c>
      <c r="F713" s="10"/>
      <c r="G713" s="14">
        <v>189000000</v>
      </c>
      <c r="H713" s="14">
        <v>184353306.38999999</v>
      </c>
      <c r="I713" s="14">
        <v>189000000</v>
      </c>
      <c r="J713" s="14">
        <v>184353306.38999999</v>
      </c>
      <c r="K713" s="12">
        <v>70397200</v>
      </c>
      <c r="L713" s="10" t="s">
        <v>101</v>
      </c>
      <c r="M713" s="10" t="s">
        <v>102</v>
      </c>
      <c r="N713" s="124" t="s">
        <v>421</v>
      </c>
      <c r="O713" s="124" t="s">
        <v>421</v>
      </c>
      <c r="P713" s="21">
        <v>40</v>
      </c>
      <c r="Q713" s="10" t="s">
        <v>54</v>
      </c>
      <c r="R713" s="10" t="s">
        <v>28</v>
      </c>
      <c r="S713" s="10"/>
      <c r="T713" s="10"/>
      <c r="U713" s="10" t="s">
        <v>2116</v>
      </c>
      <c r="V713" s="10" t="s">
        <v>2116</v>
      </c>
      <c r="W713" s="50">
        <f>+J713/$W$2</f>
        <v>2.4508977187317265E-3</v>
      </c>
    </row>
    <row r="714" spans="1:29">
      <c r="A714" s="10" t="s">
        <v>427</v>
      </c>
      <c r="B714" s="10" t="s">
        <v>381</v>
      </c>
      <c r="C714" s="124">
        <v>46317</v>
      </c>
      <c r="D714" s="124" t="s">
        <v>492</v>
      </c>
      <c r="E714" s="21">
        <v>0.98266209999999998</v>
      </c>
      <c r="F714" s="10"/>
      <c r="G714" s="14">
        <v>2500000</v>
      </c>
      <c r="H714" s="14">
        <v>2456655.25</v>
      </c>
      <c r="I714" s="14">
        <v>2500000</v>
      </c>
      <c r="J714" s="14">
        <v>2456655.25</v>
      </c>
      <c r="K714" s="12">
        <v>90031818</v>
      </c>
      <c r="L714" s="10" t="s">
        <v>101</v>
      </c>
      <c r="M714" s="10" t="s">
        <v>102</v>
      </c>
      <c r="N714" s="124" t="s">
        <v>277</v>
      </c>
      <c r="O714" s="124" t="s">
        <v>277</v>
      </c>
      <c r="P714" s="21">
        <v>28</v>
      </c>
      <c r="Q714" s="10" t="s">
        <v>54</v>
      </c>
      <c r="R714" s="10" t="s">
        <v>28</v>
      </c>
      <c r="S714" s="10"/>
      <c r="T714" s="10"/>
      <c r="U714" s="10" t="s">
        <v>513</v>
      </c>
      <c r="V714" s="10" t="s">
        <v>513</v>
      </c>
      <c r="W714" s="50">
        <f>+J714/$W$2</f>
        <v>3.2660172284612313E-5</v>
      </c>
    </row>
    <row r="715" spans="1:29">
      <c r="A715" s="10" t="s">
        <v>382</v>
      </c>
      <c r="B715" s="10" t="s">
        <v>381</v>
      </c>
      <c r="C715" s="124">
        <v>46318</v>
      </c>
      <c r="D715" s="124" t="s">
        <v>492</v>
      </c>
      <c r="E715" s="21">
        <v>0.97939259000000001</v>
      </c>
      <c r="F715" s="10"/>
      <c r="G715" s="14">
        <v>4000000</v>
      </c>
      <c r="H715" s="14">
        <v>3917570.36</v>
      </c>
      <c r="I715" s="14">
        <v>4000000</v>
      </c>
      <c r="J715" s="14">
        <v>3917570.36</v>
      </c>
      <c r="K715" s="12">
        <v>1148</v>
      </c>
      <c r="L715" s="10" t="s">
        <v>101</v>
      </c>
      <c r="M715" s="10" t="s">
        <v>102</v>
      </c>
      <c r="N715" s="124" t="s">
        <v>416</v>
      </c>
      <c r="O715" s="124" t="s">
        <v>416</v>
      </c>
      <c r="P715" s="21">
        <v>32</v>
      </c>
      <c r="Q715" s="10" t="s">
        <v>54</v>
      </c>
      <c r="R715" s="10" t="s">
        <v>28</v>
      </c>
      <c r="S715" s="10"/>
      <c r="T715" s="10"/>
      <c r="U715" s="10" t="s">
        <v>2149</v>
      </c>
      <c r="V715" s="10" t="s">
        <v>2149</v>
      </c>
      <c r="W715" s="50">
        <f>+J715/$W$2</f>
        <v>5.208240875258776E-5</v>
      </c>
    </row>
    <row r="716" spans="1:29">
      <c r="A716" s="10" t="s">
        <v>382</v>
      </c>
      <c r="B716" s="10" t="s">
        <v>381</v>
      </c>
      <c r="C716" s="124">
        <v>46318</v>
      </c>
      <c r="D716" s="124" t="s">
        <v>492</v>
      </c>
      <c r="E716" s="21">
        <v>0.98065564000000005</v>
      </c>
      <c r="F716" s="10"/>
      <c r="G716" s="14">
        <v>5000000</v>
      </c>
      <c r="H716" s="14">
        <v>4903278.21</v>
      </c>
      <c r="I716" s="14">
        <v>5000000</v>
      </c>
      <c r="J716" s="14">
        <v>4903278.21</v>
      </c>
      <c r="K716" s="12">
        <v>1219</v>
      </c>
      <c r="L716" s="10" t="s">
        <v>101</v>
      </c>
      <c r="M716" s="10" t="s">
        <v>102</v>
      </c>
      <c r="N716" s="124" t="s">
        <v>552</v>
      </c>
      <c r="O716" s="124" t="s">
        <v>552</v>
      </c>
      <c r="P716" s="21">
        <v>30</v>
      </c>
      <c r="Q716" s="10" t="s">
        <v>54</v>
      </c>
      <c r="R716" s="10" t="s">
        <v>28</v>
      </c>
      <c r="S716" s="10"/>
      <c r="T716" s="10"/>
      <c r="U716" s="10" t="s">
        <v>2358</v>
      </c>
      <c r="V716" s="10" t="s">
        <v>2358</v>
      </c>
      <c r="W716" s="50">
        <f>+J716/$W$2</f>
        <v>6.5186969599411837E-5</v>
      </c>
      <c r="AC716" s="47"/>
    </row>
    <row r="717" spans="1:29">
      <c r="A717" s="10" t="s">
        <v>382</v>
      </c>
      <c r="B717" s="10" t="s">
        <v>381</v>
      </c>
      <c r="C717" s="124">
        <v>46318</v>
      </c>
      <c r="D717" s="124" t="s">
        <v>492</v>
      </c>
      <c r="E717" s="21">
        <v>0.98065557000000003</v>
      </c>
      <c r="F717" s="10"/>
      <c r="G717" s="14">
        <v>4500000</v>
      </c>
      <c r="H717" s="14">
        <v>4412950.08</v>
      </c>
      <c r="I717" s="14">
        <v>4500000</v>
      </c>
      <c r="J717" s="14">
        <v>4412950.08</v>
      </c>
      <c r="K717" s="12">
        <v>1299</v>
      </c>
      <c r="L717" s="10" t="s">
        <v>101</v>
      </c>
      <c r="M717" s="10" t="s">
        <v>102</v>
      </c>
      <c r="N717" s="124" t="s">
        <v>677</v>
      </c>
      <c r="O717" s="124" t="s">
        <v>677</v>
      </c>
      <c r="P717" s="21">
        <v>30</v>
      </c>
      <c r="Q717" s="10" t="s">
        <v>54</v>
      </c>
      <c r="R717" s="10" t="s">
        <v>28</v>
      </c>
      <c r="S717" s="10"/>
      <c r="T717" s="10"/>
      <c r="U717" s="10" t="s">
        <v>3302</v>
      </c>
      <c r="V717" s="10" t="s">
        <v>3302</v>
      </c>
      <c r="W717" s="50">
        <f>+J717/$W$2</f>
        <v>5.8668268531448882E-5</v>
      </c>
    </row>
    <row r="718" spans="1:29">
      <c r="A718" s="10" t="s">
        <v>382</v>
      </c>
      <c r="B718" s="10" t="s">
        <v>381</v>
      </c>
      <c r="C718" s="124">
        <v>46318</v>
      </c>
      <c r="D718" s="124" t="s">
        <v>492</v>
      </c>
      <c r="E718" s="21">
        <v>0.98065559000000002</v>
      </c>
      <c r="F718" s="10"/>
      <c r="G718" s="14">
        <v>5000000</v>
      </c>
      <c r="H718" s="14">
        <v>4903277.9400000004</v>
      </c>
      <c r="I718" s="14">
        <v>5000000</v>
      </c>
      <c r="J718" s="14">
        <v>4903277.9400000004</v>
      </c>
      <c r="K718" s="12">
        <v>794</v>
      </c>
      <c r="L718" s="10" t="s">
        <v>101</v>
      </c>
      <c r="M718" s="10" t="s">
        <v>102</v>
      </c>
      <c r="N718" s="124" t="s">
        <v>396</v>
      </c>
      <c r="O718" s="124" t="s">
        <v>396</v>
      </c>
      <c r="P718" s="21">
        <v>30</v>
      </c>
      <c r="Q718" s="10" t="s">
        <v>54</v>
      </c>
      <c r="R718" s="10" t="s">
        <v>28</v>
      </c>
      <c r="S718" s="10"/>
      <c r="T718" s="10"/>
      <c r="U718" s="10" t="s">
        <v>894</v>
      </c>
      <c r="V718" s="10" t="s">
        <v>894</v>
      </c>
      <c r="W718" s="50">
        <f>+J718/$W$2</f>
        <v>6.5186966009878259E-5</v>
      </c>
    </row>
    <row r="719" spans="1:29">
      <c r="A719" s="10" t="s">
        <v>382</v>
      </c>
      <c r="B719" s="10" t="s">
        <v>381</v>
      </c>
      <c r="C719" s="124">
        <v>46318</v>
      </c>
      <c r="D719" s="124" t="s">
        <v>492</v>
      </c>
      <c r="E719" s="21">
        <v>0.97939261</v>
      </c>
      <c r="F719" s="10"/>
      <c r="G719" s="14">
        <v>3000000</v>
      </c>
      <c r="H719" s="14">
        <v>2938177.84</v>
      </c>
      <c r="I719" s="14">
        <v>3000000</v>
      </c>
      <c r="J719" s="14">
        <v>2938177.84</v>
      </c>
      <c r="K719" s="12">
        <v>1042</v>
      </c>
      <c r="L719" s="10" t="s">
        <v>101</v>
      </c>
      <c r="M719" s="10" t="s">
        <v>102</v>
      </c>
      <c r="N719" s="124" t="s">
        <v>398</v>
      </c>
      <c r="O719" s="124" t="s">
        <v>398</v>
      </c>
      <c r="P719" s="21">
        <v>32</v>
      </c>
      <c r="Q719" s="10" t="s">
        <v>54</v>
      </c>
      <c r="R719" s="10" t="s">
        <v>28</v>
      </c>
      <c r="S719" s="10"/>
      <c r="T719" s="10"/>
      <c r="U719" s="10" t="s">
        <v>1737</v>
      </c>
      <c r="V719" s="10" t="s">
        <v>1737</v>
      </c>
      <c r="W719" s="50">
        <f>+J719/$W$2</f>
        <v>3.9061807495060636E-5</v>
      </c>
    </row>
    <row r="720" spans="1:29">
      <c r="A720" s="10" t="s">
        <v>3345</v>
      </c>
      <c r="B720" s="10" t="s">
        <v>381</v>
      </c>
      <c r="C720" s="124">
        <v>46318</v>
      </c>
      <c r="D720" s="124" t="s">
        <v>492</v>
      </c>
      <c r="E720" s="21">
        <v>0.98065557000000003</v>
      </c>
      <c r="F720" s="10"/>
      <c r="G720" s="14">
        <v>10000000</v>
      </c>
      <c r="H720" s="14">
        <v>9806555.7400000002</v>
      </c>
      <c r="I720" s="14">
        <v>10000000</v>
      </c>
      <c r="J720" s="14">
        <v>9806555.7400000002</v>
      </c>
      <c r="K720" s="12">
        <v>69717662</v>
      </c>
      <c r="L720" s="10" t="s">
        <v>101</v>
      </c>
      <c r="M720" s="10" t="s">
        <v>102</v>
      </c>
      <c r="N720" s="124" t="s">
        <v>677</v>
      </c>
      <c r="O720" s="124" t="s">
        <v>677</v>
      </c>
      <c r="P720" s="21">
        <v>30</v>
      </c>
      <c r="Q720" s="10" t="s">
        <v>54</v>
      </c>
      <c r="R720" s="10" t="s">
        <v>28</v>
      </c>
      <c r="S720" s="10"/>
      <c r="T720" s="10"/>
      <c r="U720" s="10" t="s">
        <v>3304</v>
      </c>
      <c r="V720" s="10" t="s">
        <v>3304</v>
      </c>
      <c r="W720" s="50">
        <f>+J720/$W$2</f>
        <v>1.3037393015851687E-4</v>
      </c>
    </row>
    <row r="721" spans="1:29">
      <c r="A721" s="10" t="s">
        <v>596</v>
      </c>
      <c r="B721" s="10" t="s">
        <v>381</v>
      </c>
      <c r="C721" s="124">
        <v>46318</v>
      </c>
      <c r="D721" s="124" t="s">
        <v>492</v>
      </c>
      <c r="E721" s="21">
        <v>0.97939259000000001</v>
      </c>
      <c r="F721" s="10"/>
      <c r="G721" s="14">
        <v>27125210.43</v>
      </c>
      <c r="H721" s="14">
        <v>26566230.219999999</v>
      </c>
      <c r="I721" s="14">
        <v>27125210.43</v>
      </c>
      <c r="J721" s="14">
        <v>26566230.219999999</v>
      </c>
      <c r="K721" s="12">
        <v>29768698</v>
      </c>
      <c r="L721" s="10" t="s">
        <v>101</v>
      </c>
      <c r="M721" s="10" t="s">
        <v>102</v>
      </c>
      <c r="N721" s="124" t="s">
        <v>321</v>
      </c>
      <c r="O721" s="124" t="s">
        <v>321</v>
      </c>
      <c r="P721" s="21">
        <v>32</v>
      </c>
      <c r="Q721" s="10" t="s">
        <v>54</v>
      </c>
      <c r="R721" s="10" t="s">
        <v>28</v>
      </c>
      <c r="S721" s="10"/>
      <c r="T721" s="10"/>
      <c r="U721" s="10" t="s">
        <v>1229</v>
      </c>
      <c r="V721" s="10" t="s">
        <v>1229</v>
      </c>
      <c r="W721" s="50">
        <f>+J721/$W$2</f>
        <v>3.5318657590961288E-4</v>
      </c>
    </row>
    <row r="722" spans="1:29">
      <c r="A722" s="10" t="s">
        <v>389</v>
      </c>
      <c r="B722" s="10" t="s">
        <v>381</v>
      </c>
      <c r="C722" s="124">
        <v>46318</v>
      </c>
      <c r="D722" s="124" t="s">
        <v>492</v>
      </c>
      <c r="E722" s="21">
        <v>0.97939253000000004</v>
      </c>
      <c r="F722" s="10"/>
      <c r="G722" s="14">
        <v>10655603.279999999</v>
      </c>
      <c r="H722" s="14">
        <v>10436018.279999999</v>
      </c>
      <c r="I722" s="14">
        <v>10655603.279999999</v>
      </c>
      <c r="J722" s="14">
        <v>10436018.279999999</v>
      </c>
      <c r="K722" s="12">
        <v>30828</v>
      </c>
      <c r="L722" s="10" t="s">
        <v>101</v>
      </c>
      <c r="M722" s="10" t="s">
        <v>102</v>
      </c>
      <c r="N722" s="124" t="s">
        <v>396</v>
      </c>
      <c r="O722" s="124" t="s">
        <v>396</v>
      </c>
      <c r="P722" s="21">
        <v>32</v>
      </c>
      <c r="Q722" s="10" t="s">
        <v>54</v>
      </c>
      <c r="R722" s="10" t="s">
        <v>28</v>
      </c>
      <c r="S722" s="10"/>
      <c r="T722" s="10"/>
      <c r="U722" s="10" t="s">
        <v>868</v>
      </c>
      <c r="V722" s="10" t="s">
        <v>868</v>
      </c>
      <c r="W722" s="50">
        <f>+J722/$W$2</f>
        <v>1.3874236321525515E-4</v>
      </c>
      <c r="AC722" s="47"/>
    </row>
    <row r="723" spans="1:29">
      <c r="A723" s="10" t="s">
        <v>141</v>
      </c>
      <c r="B723" s="10" t="s">
        <v>381</v>
      </c>
      <c r="C723" s="124">
        <v>46318</v>
      </c>
      <c r="D723" s="124" t="s">
        <v>492</v>
      </c>
      <c r="E723" s="21">
        <v>0.97813275</v>
      </c>
      <c r="F723" s="10"/>
      <c r="G723" s="14">
        <v>10000000</v>
      </c>
      <c r="H723" s="14">
        <v>9781327.5</v>
      </c>
      <c r="I723" s="14">
        <v>10000000</v>
      </c>
      <c r="J723" s="14">
        <v>9781327.5</v>
      </c>
      <c r="K723" s="12">
        <v>4408</v>
      </c>
      <c r="L723" s="10" t="s">
        <v>101</v>
      </c>
      <c r="M723" s="10" t="s">
        <v>102</v>
      </c>
      <c r="N723" s="124" t="s">
        <v>365</v>
      </c>
      <c r="O723" s="124" t="s">
        <v>365</v>
      </c>
      <c r="P723" s="21">
        <v>34</v>
      </c>
      <c r="Q723" s="10" t="s">
        <v>54</v>
      </c>
      <c r="R723" s="10" t="s">
        <v>28</v>
      </c>
      <c r="S723" s="10"/>
      <c r="T723" s="10"/>
      <c r="U723" s="10" t="s">
        <v>1067</v>
      </c>
      <c r="V723" s="10" t="s">
        <v>1067</v>
      </c>
      <c r="W723" s="50">
        <f>+J723/$W$2</f>
        <v>1.3003853158566561E-4</v>
      </c>
    </row>
    <row r="724" spans="1:29">
      <c r="A724" s="10" t="s">
        <v>353</v>
      </c>
      <c r="B724" s="10" t="s">
        <v>381</v>
      </c>
      <c r="C724" s="124">
        <v>46318</v>
      </c>
      <c r="D724" s="124" t="s">
        <v>492</v>
      </c>
      <c r="E724" s="21">
        <v>0.97876226</v>
      </c>
      <c r="F724" s="10"/>
      <c r="G724" s="14">
        <v>2502550.36</v>
      </c>
      <c r="H724" s="14">
        <v>2449401.85</v>
      </c>
      <c r="I724" s="14">
        <v>2502550.36</v>
      </c>
      <c r="J724" s="14">
        <v>2449401.85</v>
      </c>
      <c r="K724" s="12">
        <v>3138</v>
      </c>
      <c r="L724" s="10" t="s">
        <v>101</v>
      </c>
      <c r="M724" s="10" t="s">
        <v>102</v>
      </c>
      <c r="N724" s="124" t="s">
        <v>433</v>
      </c>
      <c r="O724" s="124" t="s">
        <v>433</v>
      </c>
      <c r="P724" s="21">
        <v>33</v>
      </c>
      <c r="Q724" s="10" t="s">
        <v>54</v>
      </c>
      <c r="R724" s="10" t="s">
        <v>28</v>
      </c>
      <c r="S724" s="10"/>
      <c r="T724" s="10"/>
      <c r="U724" s="10" t="s">
        <v>1096</v>
      </c>
      <c r="V724" s="10" t="s">
        <v>1096</v>
      </c>
      <c r="W724" s="50">
        <f>+J724/$W$2</f>
        <v>3.2563741459143743E-5</v>
      </c>
    </row>
    <row r="725" spans="1:29">
      <c r="A725" s="10" t="s">
        <v>353</v>
      </c>
      <c r="B725" s="10" t="s">
        <v>381</v>
      </c>
      <c r="C725" s="124">
        <v>46318</v>
      </c>
      <c r="D725" s="124" t="s">
        <v>492</v>
      </c>
      <c r="E725" s="21">
        <v>0.97876226</v>
      </c>
      <c r="F725" s="10"/>
      <c r="G725" s="14">
        <v>2502550.36</v>
      </c>
      <c r="H725" s="14">
        <v>2449401.85</v>
      </c>
      <c r="I725" s="14">
        <v>2502550.36</v>
      </c>
      <c r="J725" s="14">
        <v>2449401.85</v>
      </c>
      <c r="K725" s="12">
        <v>3128</v>
      </c>
      <c r="L725" s="10" t="s">
        <v>101</v>
      </c>
      <c r="M725" s="10" t="s">
        <v>102</v>
      </c>
      <c r="N725" s="124" t="s">
        <v>433</v>
      </c>
      <c r="O725" s="124" t="s">
        <v>433</v>
      </c>
      <c r="P725" s="21">
        <v>33</v>
      </c>
      <c r="Q725" s="10" t="s">
        <v>54</v>
      </c>
      <c r="R725" s="10" t="s">
        <v>28</v>
      </c>
      <c r="S725" s="10"/>
      <c r="T725" s="10"/>
      <c r="U725" s="10" t="s">
        <v>1097</v>
      </c>
      <c r="V725" s="10" t="s">
        <v>1097</v>
      </c>
      <c r="W725" s="50">
        <f>+J725/$W$2</f>
        <v>3.2563741459143743E-5</v>
      </c>
    </row>
    <row r="726" spans="1:29">
      <c r="A726" s="10" t="s">
        <v>353</v>
      </c>
      <c r="B726" s="10" t="s">
        <v>381</v>
      </c>
      <c r="C726" s="124">
        <v>46318</v>
      </c>
      <c r="D726" s="124" t="s">
        <v>492</v>
      </c>
      <c r="E726" s="21">
        <v>0.97813273000000001</v>
      </c>
      <c r="F726" s="10"/>
      <c r="G726" s="14">
        <v>1020845.65</v>
      </c>
      <c r="H726" s="14">
        <v>998522.54</v>
      </c>
      <c r="I726" s="14">
        <v>1020845.65</v>
      </c>
      <c r="J726" s="14">
        <v>998522.54</v>
      </c>
      <c r="K726" s="12">
        <v>2902</v>
      </c>
      <c r="L726" s="10" t="s">
        <v>101</v>
      </c>
      <c r="M726" s="10" t="s">
        <v>102</v>
      </c>
      <c r="N726" s="124" t="s">
        <v>323</v>
      </c>
      <c r="O726" s="124" t="s">
        <v>323</v>
      </c>
      <c r="P726" s="21">
        <v>34</v>
      </c>
      <c r="Q726" s="10" t="s">
        <v>54</v>
      </c>
      <c r="R726" s="10" t="s">
        <v>28</v>
      </c>
      <c r="S726" s="10"/>
      <c r="T726" s="10"/>
      <c r="U726" s="10" t="s">
        <v>916</v>
      </c>
      <c r="V726" s="10" t="s">
        <v>916</v>
      </c>
      <c r="W726" s="50">
        <f>+J726/$W$2</f>
        <v>1.3274926624917635E-5</v>
      </c>
    </row>
    <row r="727" spans="1:29">
      <c r="A727" s="10" t="s">
        <v>353</v>
      </c>
      <c r="B727" s="10" t="s">
        <v>381</v>
      </c>
      <c r="C727" s="124">
        <v>46318</v>
      </c>
      <c r="D727" s="124" t="s">
        <v>492</v>
      </c>
      <c r="E727" s="21">
        <v>0.97813278000000003</v>
      </c>
      <c r="F727" s="10"/>
      <c r="G727" s="14">
        <v>990902.64</v>
      </c>
      <c r="H727" s="14">
        <v>969234.35</v>
      </c>
      <c r="I727" s="14">
        <v>990902.64</v>
      </c>
      <c r="J727" s="14">
        <v>969234.35</v>
      </c>
      <c r="K727" s="12">
        <v>2952</v>
      </c>
      <c r="L727" s="10" t="s">
        <v>101</v>
      </c>
      <c r="M727" s="10" t="s">
        <v>102</v>
      </c>
      <c r="N727" s="124" t="s">
        <v>323</v>
      </c>
      <c r="O727" s="124" t="s">
        <v>323</v>
      </c>
      <c r="P727" s="21">
        <v>34</v>
      </c>
      <c r="Q727" s="10" t="s">
        <v>54</v>
      </c>
      <c r="R727" s="10" t="s">
        <v>28</v>
      </c>
      <c r="S727" s="10"/>
      <c r="T727" s="10"/>
      <c r="U727" s="10" t="s">
        <v>917</v>
      </c>
      <c r="V727" s="10" t="s">
        <v>917</v>
      </c>
      <c r="W727" s="50">
        <f>+J727/$W$2</f>
        <v>1.2885552767391448E-5</v>
      </c>
    </row>
    <row r="728" spans="1:29">
      <c r="A728" s="10" t="s">
        <v>273</v>
      </c>
      <c r="B728" s="10" t="s">
        <v>381</v>
      </c>
      <c r="C728" s="124">
        <v>46318</v>
      </c>
      <c r="D728" s="124" t="s">
        <v>492</v>
      </c>
      <c r="E728" s="21">
        <v>0.98255632000000004</v>
      </c>
      <c r="F728" s="10"/>
      <c r="G728" s="14">
        <v>20000000</v>
      </c>
      <c r="H728" s="14">
        <v>19651126.329999998</v>
      </c>
      <c r="I728" s="14">
        <v>20000000</v>
      </c>
      <c r="J728" s="14">
        <v>19651126.329999998</v>
      </c>
      <c r="K728" s="12">
        <v>885</v>
      </c>
      <c r="L728" s="10" t="s">
        <v>101</v>
      </c>
      <c r="M728" s="10" t="s">
        <v>102</v>
      </c>
      <c r="N728" s="124" t="s">
        <v>326</v>
      </c>
      <c r="O728" s="124" t="s">
        <v>326</v>
      </c>
      <c r="P728" s="21">
        <v>27</v>
      </c>
      <c r="Q728" s="10" t="s">
        <v>54</v>
      </c>
      <c r="R728" s="10" t="s">
        <v>28</v>
      </c>
      <c r="S728" s="10"/>
      <c r="T728" s="10"/>
      <c r="U728" s="10" t="s">
        <v>983</v>
      </c>
      <c r="V728" s="10" t="s">
        <v>983</v>
      </c>
      <c r="W728" s="50">
        <f>+J728/$W$2</f>
        <v>2.6125325135648611E-4</v>
      </c>
    </row>
    <row r="729" spans="1:29">
      <c r="A729" s="10" t="s">
        <v>1726</v>
      </c>
      <c r="B729" s="10" t="s">
        <v>381</v>
      </c>
      <c r="C729" s="124">
        <v>46318</v>
      </c>
      <c r="D729" s="124" t="s">
        <v>492</v>
      </c>
      <c r="E729" s="21">
        <v>0.97687621000000002</v>
      </c>
      <c r="F729" s="10"/>
      <c r="G729" s="14">
        <v>3250000</v>
      </c>
      <c r="H729" s="14">
        <v>3174847.69</v>
      </c>
      <c r="I729" s="14">
        <v>3250000</v>
      </c>
      <c r="J729" s="14">
        <v>3174847.69</v>
      </c>
      <c r="K729" s="12">
        <v>66</v>
      </c>
      <c r="L729" s="10" t="s">
        <v>101</v>
      </c>
      <c r="M729" s="10" t="s">
        <v>102</v>
      </c>
      <c r="N729" s="124" t="s">
        <v>425</v>
      </c>
      <c r="O729" s="124" t="s">
        <v>425</v>
      </c>
      <c r="P729" s="21">
        <v>36</v>
      </c>
      <c r="Q729" s="10" t="s">
        <v>54</v>
      </c>
      <c r="R729" s="10" t="s">
        <v>28</v>
      </c>
      <c r="S729" s="10"/>
      <c r="T729" s="10"/>
      <c r="U729" s="10" t="s">
        <v>1720</v>
      </c>
      <c r="V729" s="10" t="s">
        <v>1720</v>
      </c>
      <c r="W729" s="50">
        <f>+J729/$W$2</f>
        <v>4.2208231103164932E-5</v>
      </c>
    </row>
    <row r="730" spans="1:29">
      <c r="A730" s="10" t="s">
        <v>1917</v>
      </c>
      <c r="B730" s="10" t="s">
        <v>381</v>
      </c>
      <c r="C730" s="124">
        <v>46318</v>
      </c>
      <c r="D730" s="124" t="s">
        <v>492</v>
      </c>
      <c r="E730" s="21">
        <v>0.97813280000000002</v>
      </c>
      <c r="F730" s="10"/>
      <c r="G730" s="14">
        <v>40000000</v>
      </c>
      <c r="H730" s="14">
        <v>39125311.850000001</v>
      </c>
      <c r="I730" s="14">
        <v>40000000</v>
      </c>
      <c r="J730" s="14">
        <v>39125311.850000001</v>
      </c>
      <c r="K730" s="12">
        <v>69085654</v>
      </c>
      <c r="L730" s="10" t="s">
        <v>101</v>
      </c>
      <c r="M730" s="10" t="s">
        <v>102</v>
      </c>
      <c r="N730" s="124" t="s">
        <v>348</v>
      </c>
      <c r="O730" s="124" t="s">
        <v>348</v>
      </c>
      <c r="P730" s="21">
        <v>34</v>
      </c>
      <c r="Q730" s="10" t="s">
        <v>54</v>
      </c>
      <c r="R730" s="10" t="s">
        <v>28</v>
      </c>
      <c r="S730" s="10"/>
      <c r="T730" s="10"/>
      <c r="U730" s="10" t="s">
        <v>1914</v>
      </c>
      <c r="V730" s="10" t="s">
        <v>1914</v>
      </c>
      <c r="W730" s="50">
        <f>+J730/$W$2</f>
        <v>5.2015415093761483E-4</v>
      </c>
    </row>
    <row r="731" spans="1:29">
      <c r="A731" s="10" t="s">
        <v>2161</v>
      </c>
      <c r="B731" s="10" t="s">
        <v>381</v>
      </c>
      <c r="C731" s="124">
        <v>46318</v>
      </c>
      <c r="D731" s="124" t="s">
        <v>492</v>
      </c>
      <c r="E731" s="21">
        <v>0.98128839000000001</v>
      </c>
      <c r="F731" s="10"/>
      <c r="G731" s="14">
        <v>23503916.969999999</v>
      </c>
      <c r="H731" s="14">
        <v>23064120.82</v>
      </c>
      <c r="I731" s="14">
        <v>23503916.969999999</v>
      </c>
      <c r="J731" s="14">
        <v>23064120.82</v>
      </c>
      <c r="K731" s="12">
        <v>2497</v>
      </c>
      <c r="L731" s="10" t="s">
        <v>101</v>
      </c>
      <c r="M731" s="10" t="s">
        <v>102</v>
      </c>
      <c r="N731" s="124" t="s">
        <v>531</v>
      </c>
      <c r="O731" s="124" t="s">
        <v>531</v>
      </c>
      <c r="P731" s="21">
        <v>29</v>
      </c>
      <c r="Q731" s="10" t="s">
        <v>54</v>
      </c>
      <c r="R731" s="10" t="s">
        <v>28</v>
      </c>
      <c r="S731" s="10"/>
      <c r="T731" s="10"/>
      <c r="U731" s="10" t="s">
        <v>3404</v>
      </c>
      <c r="V731" s="10" t="s">
        <v>3404</v>
      </c>
      <c r="W731" s="50">
        <f>+J731/$W$2</f>
        <v>3.0662754148117193E-4</v>
      </c>
    </row>
    <row r="732" spans="1:29">
      <c r="A732" s="10" t="s">
        <v>2161</v>
      </c>
      <c r="B732" s="10" t="s">
        <v>381</v>
      </c>
      <c r="C732" s="124">
        <v>46318</v>
      </c>
      <c r="D732" s="124" t="s">
        <v>492</v>
      </c>
      <c r="E732" s="21">
        <v>0.98128839000000001</v>
      </c>
      <c r="F732" s="10"/>
      <c r="G732" s="14">
        <v>1365265160.71</v>
      </c>
      <c r="H732" s="14">
        <v>1339718850.25</v>
      </c>
      <c r="I732" s="14">
        <v>1365265160.71</v>
      </c>
      <c r="J732" s="14">
        <v>1339718850.25</v>
      </c>
      <c r="K732" s="12">
        <v>2498</v>
      </c>
      <c r="L732" s="10" t="s">
        <v>101</v>
      </c>
      <c r="M732" s="10" t="s">
        <v>102</v>
      </c>
      <c r="N732" s="124" t="s">
        <v>531</v>
      </c>
      <c r="O732" s="124" t="s">
        <v>531</v>
      </c>
      <c r="P732" s="21">
        <v>29</v>
      </c>
      <c r="Q732" s="10" t="s">
        <v>54</v>
      </c>
      <c r="R732" s="10" t="s">
        <v>28</v>
      </c>
      <c r="S732" s="10"/>
      <c r="T732" s="10"/>
      <c r="U732" s="10" t="s">
        <v>3405</v>
      </c>
      <c r="V732" s="10" t="s">
        <v>3405</v>
      </c>
      <c r="W732" s="50">
        <f>+J732/$W$2</f>
        <v>1.7810984452176479E-2</v>
      </c>
    </row>
    <row r="733" spans="1:29">
      <c r="A733" s="10" t="s">
        <v>2161</v>
      </c>
      <c r="B733" s="10" t="s">
        <v>381</v>
      </c>
      <c r="C733" s="124">
        <v>46318</v>
      </c>
      <c r="D733" s="124" t="s">
        <v>492</v>
      </c>
      <c r="E733" s="21">
        <v>0.98128839000000001</v>
      </c>
      <c r="F733" s="10"/>
      <c r="G733" s="14">
        <v>80351763.060000002</v>
      </c>
      <c r="H733" s="14">
        <v>78848252.129999995</v>
      </c>
      <c r="I733" s="14">
        <v>80351763.060000002</v>
      </c>
      <c r="J733" s="14">
        <v>78848252.129999995</v>
      </c>
      <c r="K733" s="12">
        <v>2499</v>
      </c>
      <c r="L733" s="10" t="s">
        <v>101</v>
      </c>
      <c r="M733" s="10" t="s">
        <v>102</v>
      </c>
      <c r="N733" s="124" t="s">
        <v>531</v>
      </c>
      <c r="O733" s="124" t="s">
        <v>531</v>
      </c>
      <c r="P733" s="21">
        <v>29</v>
      </c>
      <c r="Q733" s="10" t="s">
        <v>54</v>
      </c>
      <c r="R733" s="10" t="s">
        <v>28</v>
      </c>
      <c r="S733" s="10"/>
      <c r="T733" s="10"/>
      <c r="U733" s="10" t="s">
        <v>3406</v>
      </c>
      <c r="V733" s="10" t="s">
        <v>3406</v>
      </c>
      <c r="W733" s="50">
        <f>+J733/$W$2</f>
        <v>1.0482535141657951E-3</v>
      </c>
    </row>
    <row r="734" spans="1:29">
      <c r="A734" s="10" t="s">
        <v>858</v>
      </c>
      <c r="B734" s="10" t="s">
        <v>381</v>
      </c>
      <c r="C734" s="124">
        <v>46318</v>
      </c>
      <c r="D734" s="124" t="s">
        <v>492</v>
      </c>
      <c r="E734" s="21">
        <v>0.98065557000000003</v>
      </c>
      <c r="F734" s="10"/>
      <c r="G734" s="14">
        <v>1556161.8</v>
      </c>
      <c r="H734" s="14">
        <v>1526058.74</v>
      </c>
      <c r="I734" s="14">
        <v>1556161.8</v>
      </c>
      <c r="J734" s="14">
        <v>1526058.74</v>
      </c>
      <c r="K734" s="12">
        <v>9802</v>
      </c>
      <c r="L734" s="10" t="s">
        <v>101</v>
      </c>
      <c r="M734" s="10" t="s">
        <v>102</v>
      </c>
      <c r="N734" s="124" t="s">
        <v>165</v>
      </c>
      <c r="O734" s="124" t="s">
        <v>165</v>
      </c>
      <c r="P734" s="21">
        <v>30</v>
      </c>
      <c r="Q734" s="10" t="s">
        <v>54</v>
      </c>
      <c r="R734" s="10" t="s">
        <v>28</v>
      </c>
      <c r="S734" s="10"/>
      <c r="T734" s="10"/>
      <c r="U734" s="10" t="s">
        <v>1267</v>
      </c>
      <c r="V734" s="10" t="s">
        <v>1267</v>
      </c>
      <c r="W734" s="50">
        <f>+J734/$W$2</f>
        <v>2.0288292940101541E-5</v>
      </c>
    </row>
    <row r="735" spans="1:29">
      <c r="A735" s="10" t="s">
        <v>719</v>
      </c>
      <c r="B735" s="10" t="s">
        <v>381</v>
      </c>
      <c r="C735" s="124">
        <v>46318</v>
      </c>
      <c r="D735" s="124" t="s">
        <v>492</v>
      </c>
      <c r="E735" s="21">
        <v>0.98065564000000005</v>
      </c>
      <c r="F735" s="10"/>
      <c r="G735" s="14">
        <v>2700000</v>
      </c>
      <c r="H735" s="14">
        <v>2647770.23</v>
      </c>
      <c r="I735" s="14">
        <v>2700000</v>
      </c>
      <c r="J735" s="14">
        <v>2647770.23</v>
      </c>
      <c r="K735" s="12">
        <v>6908</v>
      </c>
      <c r="L735" s="10" t="s">
        <v>101</v>
      </c>
      <c r="M735" s="10" t="s">
        <v>102</v>
      </c>
      <c r="N735" s="124" t="s">
        <v>552</v>
      </c>
      <c r="O735" s="124" t="s">
        <v>552</v>
      </c>
      <c r="P735" s="21">
        <v>30</v>
      </c>
      <c r="Q735" s="10" t="s">
        <v>54</v>
      </c>
      <c r="R735" s="10" t="s">
        <v>28</v>
      </c>
      <c r="S735" s="10"/>
      <c r="T735" s="10"/>
      <c r="U735" s="10" t="s">
        <v>2389</v>
      </c>
      <c r="V735" s="10" t="s">
        <v>2389</v>
      </c>
      <c r="W735" s="50">
        <f>+J735/$W$2</f>
        <v>3.5200963538480857E-5</v>
      </c>
    </row>
    <row r="736" spans="1:29">
      <c r="A736" s="10" t="s">
        <v>273</v>
      </c>
      <c r="B736" s="10" t="s">
        <v>381</v>
      </c>
      <c r="C736" s="124">
        <v>46318</v>
      </c>
      <c r="D736" s="124" t="s">
        <v>492</v>
      </c>
      <c r="E736" s="21">
        <v>0.98255629</v>
      </c>
      <c r="F736" s="10"/>
      <c r="G736" s="14">
        <v>24500000</v>
      </c>
      <c r="H736" s="14">
        <v>24072629</v>
      </c>
      <c r="I736" s="14">
        <v>24500000</v>
      </c>
      <c r="J736" s="14">
        <v>24072629</v>
      </c>
      <c r="K736" s="12">
        <v>34221</v>
      </c>
      <c r="L736" s="10" t="s">
        <v>101</v>
      </c>
      <c r="M736" s="10" t="s">
        <v>102</v>
      </c>
      <c r="N736" s="124" t="s">
        <v>395</v>
      </c>
      <c r="O736" s="124" t="s">
        <v>395</v>
      </c>
      <c r="P736" s="21">
        <v>27</v>
      </c>
      <c r="Q736" s="10" t="s">
        <v>54</v>
      </c>
      <c r="R736" s="10" t="s">
        <v>28</v>
      </c>
      <c r="S736" s="10"/>
      <c r="T736" s="10"/>
      <c r="U736" s="10" t="s">
        <v>828</v>
      </c>
      <c r="V736" s="10" t="s">
        <v>828</v>
      </c>
      <c r="W736" s="50">
        <f>+J736/$W$2</f>
        <v>3.2003522288426696E-4</v>
      </c>
    </row>
    <row r="737" spans="1:29">
      <c r="A737" s="10" t="s">
        <v>273</v>
      </c>
      <c r="B737" s="10" t="s">
        <v>381</v>
      </c>
      <c r="C737" s="124">
        <v>46318</v>
      </c>
      <c r="D737" s="124" t="s">
        <v>492</v>
      </c>
      <c r="E737" s="21">
        <v>0.98319157000000001</v>
      </c>
      <c r="F737" s="10"/>
      <c r="G737" s="14">
        <v>4000000</v>
      </c>
      <c r="H737" s="14">
        <v>3932766.26</v>
      </c>
      <c r="I737" s="14">
        <v>4000000</v>
      </c>
      <c r="J737" s="14">
        <v>3932766.26</v>
      </c>
      <c r="K737" s="12">
        <v>90002229</v>
      </c>
      <c r="L737" s="10" t="s">
        <v>101</v>
      </c>
      <c r="M737" s="10" t="s">
        <v>102</v>
      </c>
      <c r="N737" s="124" t="s">
        <v>532</v>
      </c>
      <c r="O737" s="124" t="s">
        <v>532</v>
      </c>
      <c r="P737" s="21">
        <v>26</v>
      </c>
      <c r="Q737" s="10" t="s">
        <v>54</v>
      </c>
      <c r="R737" s="10" t="s">
        <v>28</v>
      </c>
      <c r="S737" s="10"/>
      <c r="T737" s="10"/>
      <c r="U737" s="10" t="s">
        <v>3028</v>
      </c>
      <c r="V737" s="10" t="s">
        <v>3028</v>
      </c>
      <c r="W737" s="50">
        <f>+J737/$W$2</f>
        <v>5.228443169089778E-5</v>
      </c>
    </row>
    <row r="738" spans="1:29">
      <c r="A738" s="10" t="s">
        <v>1118</v>
      </c>
      <c r="B738" s="10" t="s">
        <v>381</v>
      </c>
      <c r="C738" s="124">
        <v>46318</v>
      </c>
      <c r="D738" s="124" t="s">
        <v>492</v>
      </c>
      <c r="E738" s="21">
        <v>0.97876220999999997</v>
      </c>
      <c r="F738" s="10"/>
      <c r="G738" s="14">
        <v>24012581.18</v>
      </c>
      <c r="H738" s="14">
        <v>23502606.940000001</v>
      </c>
      <c r="I738" s="14">
        <v>24012581.18</v>
      </c>
      <c r="J738" s="14">
        <v>23502606.940000001</v>
      </c>
      <c r="K738" s="12">
        <v>10180813</v>
      </c>
      <c r="L738" s="10" t="s">
        <v>101</v>
      </c>
      <c r="M738" s="10" t="s">
        <v>102</v>
      </c>
      <c r="N738" s="124" t="s">
        <v>362</v>
      </c>
      <c r="O738" s="124" t="s">
        <v>362</v>
      </c>
      <c r="P738" s="21">
        <v>33</v>
      </c>
      <c r="Q738" s="10" t="s">
        <v>54</v>
      </c>
      <c r="R738" s="10" t="s">
        <v>28</v>
      </c>
      <c r="S738" s="10"/>
      <c r="T738" s="10"/>
      <c r="U738" s="10" t="s">
        <v>1111</v>
      </c>
      <c r="V738" s="10" t="s">
        <v>1111</v>
      </c>
      <c r="W738" s="50">
        <f>+J738/$W$2</f>
        <v>3.124570253794972E-4</v>
      </c>
    </row>
    <row r="739" spans="1:29">
      <c r="A739" s="10" t="s">
        <v>604</v>
      </c>
      <c r="B739" s="10" t="s">
        <v>381</v>
      </c>
      <c r="C739" s="124">
        <v>46318</v>
      </c>
      <c r="D739" s="124" t="s">
        <v>492</v>
      </c>
      <c r="E739" s="21">
        <v>0.97813275</v>
      </c>
      <c r="F739" s="10"/>
      <c r="G739" s="14">
        <v>5000300.25</v>
      </c>
      <c r="H739" s="14">
        <v>4890957.4400000004</v>
      </c>
      <c r="I739" s="14">
        <v>5000300.25</v>
      </c>
      <c r="J739" s="14">
        <v>4890957.4400000004</v>
      </c>
      <c r="K739" s="12">
        <v>372</v>
      </c>
      <c r="L739" s="10" t="s">
        <v>101</v>
      </c>
      <c r="M739" s="10" t="s">
        <v>102</v>
      </c>
      <c r="N739" s="124" t="s">
        <v>323</v>
      </c>
      <c r="O739" s="124" t="s">
        <v>323</v>
      </c>
      <c r="P739" s="21">
        <v>34</v>
      </c>
      <c r="Q739" s="10" t="s">
        <v>54</v>
      </c>
      <c r="R739" s="10" t="s">
        <v>28</v>
      </c>
      <c r="S739" s="10"/>
      <c r="T739" s="10"/>
      <c r="U739" s="10" t="s">
        <v>937</v>
      </c>
      <c r="V739" s="10" t="s">
        <v>937</v>
      </c>
      <c r="W739" s="50">
        <f>+J739/$W$2</f>
        <v>6.5023170274749139E-5</v>
      </c>
    </row>
    <row r="740" spans="1:29">
      <c r="A740" s="10" t="s">
        <v>607</v>
      </c>
      <c r="B740" s="10" t="s">
        <v>381</v>
      </c>
      <c r="C740" s="124">
        <v>46318</v>
      </c>
      <c r="D740" s="124" t="s">
        <v>492</v>
      </c>
      <c r="E740" s="21">
        <v>0.97876222000000002</v>
      </c>
      <c r="F740" s="10"/>
      <c r="G740" s="14">
        <v>1000000</v>
      </c>
      <c r="H740" s="14">
        <v>978762.22</v>
      </c>
      <c r="I740" s="14">
        <v>1000000</v>
      </c>
      <c r="J740" s="14">
        <v>978762.22</v>
      </c>
      <c r="K740" s="12">
        <v>520</v>
      </c>
      <c r="L740" s="10" t="s">
        <v>101</v>
      </c>
      <c r="M740" s="10" t="s">
        <v>102</v>
      </c>
      <c r="N740" s="124" t="s">
        <v>397</v>
      </c>
      <c r="O740" s="124" t="s">
        <v>397</v>
      </c>
      <c r="P740" s="21">
        <v>33</v>
      </c>
      <c r="Q740" s="10" t="s">
        <v>54</v>
      </c>
      <c r="R740" s="10" t="s">
        <v>28</v>
      </c>
      <c r="S740" s="10"/>
      <c r="T740" s="10"/>
      <c r="U740" s="10" t="s">
        <v>1441</v>
      </c>
      <c r="V740" s="10" t="s">
        <v>1441</v>
      </c>
      <c r="W740" s="50">
        <f>+J740/$W$2</f>
        <v>1.3012221690800783E-5</v>
      </c>
    </row>
    <row r="741" spans="1:29">
      <c r="A741" s="10" t="s">
        <v>465</v>
      </c>
      <c r="B741" s="10" t="s">
        <v>381</v>
      </c>
      <c r="C741" s="124">
        <v>46318</v>
      </c>
      <c r="D741" s="124" t="s">
        <v>492</v>
      </c>
      <c r="E741" s="21">
        <v>0.97813278000000003</v>
      </c>
      <c r="F741" s="10"/>
      <c r="G741" s="14">
        <v>10000000</v>
      </c>
      <c r="H741" s="14">
        <v>9781327.7699999996</v>
      </c>
      <c r="I741" s="14">
        <v>10000000</v>
      </c>
      <c r="J741" s="14">
        <v>9781327.7699999996</v>
      </c>
      <c r="K741" s="12">
        <v>14284510</v>
      </c>
      <c r="L741" s="10" t="s">
        <v>101</v>
      </c>
      <c r="M741" s="10" t="s">
        <v>102</v>
      </c>
      <c r="N741" s="124" t="s">
        <v>425</v>
      </c>
      <c r="O741" s="124" t="s">
        <v>425</v>
      </c>
      <c r="P741" s="21">
        <v>34</v>
      </c>
      <c r="Q741" s="10" t="s">
        <v>54</v>
      </c>
      <c r="R741" s="10" t="s">
        <v>28</v>
      </c>
      <c r="S741" s="10"/>
      <c r="T741" s="10"/>
      <c r="U741" s="10" t="s">
        <v>1694</v>
      </c>
      <c r="V741" s="10" t="s">
        <v>1694</v>
      </c>
      <c r="W741" s="50">
        <f>+J741/$W$2</f>
        <v>1.3003853517519918E-4</v>
      </c>
    </row>
    <row r="742" spans="1:29">
      <c r="A742" s="10" t="s">
        <v>2914</v>
      </c>
      <c r="B742" s="10" t="s">
        <v>381</v>
      </c>
      <c r="C742" s="124">
        <v>46318</v>
      </c>
      <c r="D742" s="124" t="s">
        <v>492</v>
      </c>
      <c r="E742" s="21">
        <v>0.98319148000000001</v>
      </c>
      <c r="F742" s="10"/>
      <c r="G742" s="14">
        <v>6987220.3399999999</v>
      </c>
      <c r="H742" s="14">
        <v>6869775.4900000002</v>
      </c>
      <c r="I742" s="14">
        <v>6987220.3399999999</v>
      </c>
      <c r="J742" s="14">
        <v>6869775.4900000002</v>
      </c>
      <c r="K742" s="12">
        <v>92147554</v>
      </c>
      <c r="L742" s="10" t="s">
        <v>101</v>
      </c>
      <c r="M742" s="10" t="s">
        <v>102</v>
      </c>
      <c r="N742" s="124" t="s">
        <v>677</v>
      </c>
      <c r="O742" s="124" t="s">
        <v>677</v>
      </c>
      <c r="P742" s="21">
        <v>26</v>
      </c>
      <c r="Q742" s="10" t="s">
        <v>54</v>
      </c>
      <c r="R742" s="10" t="s">
        <v>28</v>
      </c>
      <c r="S742" s="10"/>
      <c r="T742" s="10"/>
      <c r="U742" s="10" t="s">
        <v>3274</v>
      </c>
      <c r="V742" s="10" t="s">
        <v>3274</v>
      </c>
      <c r="W742" s="50">
        <f>+J742/$W$2</f>
        <v>9.1330703019891374E-5</v>
      </c>
    </row>
    <row r="743" spans="1:29">
      <c r="A743" s="10" t="s">
        <v>2915</v>
      </c>
      <c r="B743" s="10" t="s">
        <v>381</v>
      </c>
      <c r="C743" s="124">
        <v>46318</v>
      </c>
      <c r="D743" s="124" t="s">
        <v>492</v>
      </c>
      <c r="E743" s="21">
        <v>0.98319153000000004</v>
      </c>
      <c r="F743" s="10"/>
      <c r="G743" s="14">
        <v>1024932</v>
      </c>
      <c r="H743" s="14">
        <v>1007704.46</v>
      </c>
      <c r="I743" s="14">
        <v>1024932</v>
      </c>
      <c r="J743" s="14">
        <v>1007704.46</v>
      </c>
      <c r="K743" s="12">
        <v>29973265</v>
      </c>
      <c r="L743" s="10" t="s">
        <v>101</v>
      </c>
      <c r="M743" s="10" t="s">
        <v>102</v>
      </c>
      <c r="N743" s="124" t="s">
        <v>531</v>
      </c>
      <c r="O743" s="124" t="s">
        <v>531</v>
      </c>
      <c r="P743" s="21">
        <v>26</v>
      </c>
      <c r="Q743" s="10" t="s">
        <v>54</v>
      </c>
      <c r="R743" s="10" t="s">
        <v>28</v>
      </c>
      <c r="S743" s="10"/>
      <c r="T743" s="10"/>
      <c r="U743" s="10" t="s">
        <v>3357</v>
      </c>
      <c r="V743" s="10" t="s">
        <v>3357</v>
      </c>
      <c r="W743" s="50">
        <f>+J743/$W$2</f>
        <v>1.3396996292244186E-5</v>
      </c>
    </row>
    <row r="744" spans="1:29">
      <c r="A744" s="10" t="s">
        <v>427</v>
      </c>
      <c r="B744" s="10" t="s">
        <v>381</v>
      </c>
      <c r="C744" s="124">
        <v>46318</v>
      </c>
      <c r="D744" s="124" t="s">
        <v>492</v>
      </c>
      <c r="E744" s="21">
        <v>0.98192190000000001</v>
      </c>
      <c r="F744" s="10"/>
      <c r="G744" s="14">
        <v>2500000</v>
      </c>
      <c r="H744" s="14">
        <v>2454804.7599999998</v>
      </c>
      <c r="I744" s="14">
        <v>2500000</v>
      </c>
      <c r="J744" s="14">
        <v>2454804.7599999998</v>
      </c>
      <c r="K744" s="12">
        <v>90031819</v>
      </c>
      <c r="L744" s="10" t="s">
        <v>101</v>
      </c>
      <c r="M744" s="10" t="s">
        <v>102</v>
      </c>
      <c r="N744" s="124" t="s">
        <v>277</v>
      </c>
      <c r="O744" s="124" t="s">
        <v>277</v>
      </c>
      <c r="P744" s="21">
        <v>28</v>
      </c>
      <c r="Q744" s="10" t="s">
        <v>54</v>
      </c>
      <c r="R744" s="10" t="s">
        <v>28</v>
      </c>
      <c r="S744" s="10"/>
      <c r="T744" s="10"/>
      <c r="U744" s="10" t="s">
        <v>515</v>
      </c>
      <c r="V744" s="10" t="s">
        <v>515</v>
      </c>
      <c r="W744" s="50">
        <f>+J744/$W$2</f>
        <v>3.2635570817959247E-5</v>
      </c>
    </row>
    <row r="745" spans="1:29">
      <c r="A745" s="10" t="s">
        <v>382</v>
      </c>
      <c r="B745" s="10" t="s">
        <v>381</v>
      </c>
      <c r="C745" s="124">
        <v>46318</v>
      </c>
      <c r="D745" s="124" t="s">
        <v>492</v>
      </c>
      <c r="E745" s="21">
        <v>0.97939253000000004</v>
      </c>
      <c r="F745" s="10"/>
      <c r="G745" s="14">
        <v>2000000</v>
      </c>
      <c r="H745" s="14">
        <v>1958785.06</v>
      </c>
      <c r="I745" s="14">
        <v>2000000</v>
      </c>
      <c r="J745" s="14">
        <v>1958785.06</v>
      </c>
      <c r="K745" s="12">
        <v>1078</v>
      </c>
      <c r="L745" s="10" t="s">
        <v>101</v>
      </c>
      <c r="M745" s="10" t="s">
        <v>102</v>
      </c>
      <c r="N745" s="124" t="s">
        <v>432</v>
      </c>
      <c r="O745" s="124" t="s">
        <v>432</v>
      </c>
      <c r="P745" s="21">
        <v>32</v>
      </c>
      <c r="Q745" s="10" t="s">
        <v>54</v>
      </c>
      <c r="R745" s="10" t="s">
        <v>28</v>
      </c>
      <c r="S745" s="10"/>
      <c r="T745" s="10"/>
      <c r="U745" s="10" t="s">
        <v>1840</v>
      </c>
      <c r="V745" s="10" t="s">
        <v>1840</v>
      </c>
      <c r="W745" s="50">
        <f>+J745/$W$2</f>
        <v>2.6041202780945623E-5</v>
      </c>
    </row>
    <row r="746" spans="1:29">
      <c r="A746" s="10" t="s">
        <v>382</v>
      </c>
      <c r="B746" s="10" t="s">
        <v>381</v>
      </c>
      <c r="C746" s="124">
        <v>46318</v>
      </c>
      <c r="D746" s="124" t="s">
        <v>492</v>
      </c>
      <c r="E746" s="21">
        <v>0.98065559000000002</v>
      </c>
      <c r="F746" s="10"/>
      <c r="G746" s="14">
        <v>4000000</v>
      </c>
      <c r="H746" s="14">
        <v>3922622.37</v>
      </c>
      <c r="I746" s="14">
        <v>4000000</v>
      </c>
      <c r="J746" s="14">
        <v>3922622.37</v>
      </c>
      <c r="K746" s="12">
        <v>861</v>
      </c>
      <c r="L746" s="10" t="s">
        <v>101</v>
      </c>
      <c r="M746" s="10" t="s">
        <v>102</v>
      </c>
      <c r="N746" s="124" t="s">
        <v>391</v>
      </c>
      <c r="O746" s="124" t="s">
        <v>391</v>
      </c>
      <c r="P746" s="21">
        <v>30</v>
      </c>
      <c r="Q746" s="10" t="s">
        <v>54</v>
      </c>
      <c r="R746" s="10" t="s">
        <v>28</v>
      </c>
      <c r="S746" s="10"/>
      <c r="T746" s="10"/>
      <c r="U746" s="10" t="s">
        <v>1282</v>
      </c>
      <c r="V746" s="10" t="s">
        <v>1282</v>
      </c>
      <c r="W746" s="50">
        <f>+J746/$W$2</f>
        <v>5.214957304720484E-5</v>
      </c>
    </row>
    <row r="747" spans="1:29">
      <c r="A747" s="10" t="s">
        <v>382</v>
      </c>
      <c r="B747" s="10" t="s">
        <v>381</v>
      </c>
      <c r="C747" s="124">
        <v>46318</v>
      </c>
      <c r="D747" s="124" t="s">
        <v>492</v>
      </c>
      <c r="E747" s="21">
        <v>0.98065561999999995</v>
      </c>
      <c r="F747" s="10"/>
      <c r="G747" s="14">
        <v>2500000</v>
      </c>
      <c r="H747" s="14">
        <v>2451639.0499999998</v>
      </c>
      <c r="I747" s="14">
        <v>2500000</v>
      </c>
      <c r="J747" s="14">
        <v>2451639.0499999998</v>
      </c>
      <c r="K747" s="12">
        <v>895</v>
      </c>
      <c r="L747" s="10" t="s">
        <v>101</v>
      </c>
      <c r="M747" s="10" t="s">
        <v>102</v>
      </c>
      <c r="N747" s="124" t="s">
        <v>435</v>
      </c>
      <c r="O747" s="124" t="s">
        <v>435</v>
      </c>
      <c r="P747" s="21">
        <v>30</v>
      </c>
      <c r="Q747" s="10" t="s">
        <v>54</v>
      </c>
      <c r="R747" s="10" t="s">
        <v>28</v>
      </c>
      <c r="S747" s="10"/>
      <c r="T747" s="10"/>
      <c r="U747" s="10" t="s">
        <v>1311</v>
      </c>
      <c r="V747" s="10" t="s">
        <v>1311</v>
      </c>
      <c r="W747" s="50">
        <f>+J747/$W$2</f>
        <v>3.2593484068504632E-5</v>
      </c>
    </row>
    <row r="748" spans="1:29">
      <c r="A748" s="10" t="s">
        <v>386</v>
      </c>
      <c r="B748" s="10" t="s">
        <v>381</v>
      </c>
      <c r="C748" s="124">
        <v>46318</v>
      </c>
      <c r="D748" s="124" t="s">
        <v>492</v>
      </c>
      <c r="E748" s="21">
        <v>0.97562291999999995</v>
      </c>
      <c r="F748" s="10"/>
      <c r="G748" s="14">
        <v>25000000</v>
      </c>
      <c r="H748" s="14">
        <v>24390573.02</v>
      </c>
      <c r="I748" s="14">
        <v>25000000</v>
      </c>
      <c r="J748" s="14">
        <v>24390573.02</v>
      </c>
      <c r="K748" s="12">
        <v>70219572</v>
      </c>
      <c r="L748" s="10" t="s">
        <v>101</v>
      </c>
      <c r="M748" s="10" t="s">
        <v>102</v>
      </c>
      <c r="N748" s="124" t="s">
        <v>164</v>
      </c>
      <c r="O748" s="124" t="s">
        <v>164</v>
      </c>
      <c r="P748" s="21">
        <v>38</v>
      </c>
      <c r="Q748" s="10" t="s">
        <v>54</v>
      </c>
      <c r="R748" s="10" t="s">
        <v>28</v>
      </c>
      <c r="S748" s="10"/>
      <c r="T748" s="10"/>
      <c r="U748" s="10" t="s">
        <v>1990</v>
      </c>
      <c r="V748" s="10" t="s">
        <v>1990</v>
      </c>
      <c r="W748" s="50">
        <f>+J748/$W$2</f>
        <v>3.2426215153860796E-4</v>
      </c>
    </row>
    <row r="749" spans="1:29">
      <c r="A749" s="10" t="s">
        <v>382</v>
      </c>
      <c r="B749" s="10" t="s">
        <v>381</v>
      </c>
      <c r="C749" s="124">
        <v>46321</v>
      </c>
      <c r="D749" s="124" t="s">
        <v>492</v>
      </c>
      <c r="E749" s="21">
        <v>0.97829016000000002</v>
      </c>
      <c r="F749" s="10"/>
      <c r="G749" s="14">
        <v>4500000</v>
      </c>
      <c r="H749" s="14">
        <v>4402305.71</v>
      </c>
      <c r="I749" s="14">
        <v>4500000</v>
      </c>
      <c r="J749" s="14">
        <v>4402305.71</v>
      </c>
      <c r="K749" s="12">
        <v>1256</v>
      </c>
      <c r="L749" s="10" t="s">
        <v>101</v>
      </c>
      <c r="M749" s="10" t="s">
        <v>102</v>
      </c>
      <c r="N749" s="124" t="s">
        <v>532</v>
      </c>
      <c r="O749" s="124" t="s">
        <v>532</v>
      </c>
      <c r="P749" s="21">
        <v>30</v>
      </c>
      <c r="Q749" s="10" t="s">
        <v>54</v>
      </c>
      <c r="R749" s="10" t="s">
        <v>28</v>
      </c>
      <c r="S749" s="10"/>
      <c r="T749" s="10"/>
      <c r="U749" s="10" t="s">
        <v>3087</v>
      </c>
      <c r="V749" s="10" t="s">
        <v>3087</v>
      </c>
      <c r="W749" s="50">
        <f>+J749/$W$2</f>
        <v>5.8526756221953623E-5</v>
      </c>
    </row>
    <row r="750" spans="1:29">
      <c r="A750" s="10" t="s">
        <v>382</v>
      </c>
      <c r="B750" s="10" t="s">
        <v>381</v>
      </c>
      <c r="C750" s="124">
        <v>46321</v>
      </c>
      <c r="D750" s="124" t="s">
        <v>492</v>
      </c>
      <c r="E750" s="21">
        <v>0.97829005999999996</v>
      </c>
      <c r="F750" s="10"/>
      <c r="G750" s="14">
        <v>6500000</v>
      </c>
      <c r="H750" s="14">
        <v>6358885.4199999999</v>
      </c>
      <c r="I750" s="14">
        <v>6500000</v>
      </c>
      <c r="J750" s="14">
        <v>6358885.4199999999</v>
      </c>
      <c r="K750" s="12">
        <v>745</v>
      </c>
      <c r="L750" s="10" t="s">
        <v>101</v>
      </c>
      <c r="M750" s="10" t="s">
        <v>102</v>
      </c>
      <c r="N750" s="124" t="s">
        <v>399</v>
      </c>
      <c r="O750" s="124" t="s">
        <v>399</v>
      </c>
      <c r="P750" s="21">
        <v>30</v>
      </c>
      <c r="Q750" s="10" t="s">
        <v>54</v>
      </c>
      <c r="R750" s="10" t="s">
        <v>28</v>
      </c>
      <c r="S750" s="10"/>
      <c r="T750" s="10"/>
      <c r="U750" s="10" t="s">
        <v>842</v>
      </c>
      <c r="V750" s="10" t="s">
        <v>842</v>
      </c>
      <c r="W750" s="50">
        <f>+J750/$W$2</f>
        <v>8.4538639825555232E-5</v>
      </c>
    </row>
    <row r="751" spans="1:29">
      <c r="A751" s="10" t="s">
        <v>382</v>
      </c>
      <c r="B751" s="10" t="s">
        <v>381</v>
      </c>
      <c r="C751" s="124">
        <v>46321</v>
      </c>
      <c r="D751" s="124" t="s">
        <v>492</v>
      </c>
      <c r="E751" s="21">
        <v>0.97829003999999997</v>
      </c>
      <c r="F751" s="10"/>
      <c r="G751" s="14">
        <v>5000000</v>
      </c>
      <c r="H751" s="14">
        <v>4891450.1900000004</v>
      </c>
      <c r="I751" s="14">
        <v>5000000</v>
      </c>
      <c r="J751" s="14">
        <v>4891450.1900000004</v>
      </c>
      <c r="K751" s="12">
        <v>795</v>
      </c>
      <c r="L751" s="10" t="s">
        <v>101</v>
      </c>
      <c r="M751" s="10" t="s">
        <v>102</v>
      </c>
      <c r="N751" s="124" t="s">
        <v>396</v>
      </c>
      <c r="O751" s="124" t="s">
        <v>396</v>
      </c>
      <c r="P751" s="21">
        <v>30</v>
      </c>
      <c r="Q751" s="10" t="s">
        <v>54</v>
      </c>
      <c r="R751" s="10" t="s">
        <v>28</v>
      </c>
      <c r="S751" s="10"/>
      <c r="T751" s="10"/>
      <c r="U751" s="10" t="s">
        <v>895</v>
      </c>
      <c r="V751" s="10" t="s">
        <v>895</v>
      </c>
      <c r="W751" s="50">
        <f>+J751/$W$2</f>
        <v>6.5029721173534482E-5</v>
      </c>
    </row>
    <row r="752" spans="1:29">
      <c r="A752" s="10" t="s">
        <v>382</v>
      </c>
      <c r="B752" s="10" t="s">
        <v>381</v>
      </c>
      <c r="C752" s="124">
        <v>46321</v>
      </c>
      <c r="D752" s="124" t="s">
        <v>492</v>
      </c>
      <c r="E752" s="21">
        <v>0.97687625</v>
      </c>
      <c r="F752" s="10"/>
      <c r="G752" s="14">
        <v>10000000</v>
      </c>
      <c r="H752" s="14">
        <v>9768762.5500000007</v>
      </c>
      <c r="I752" s="14">
        <v>10000000</v>
      </c>
      <c r="J752" s="14">
        <v>9768762.5500000007</v>
      </c>
      <c r="K752" s="12">
        <v>1103</v>
      </c>
      <c r="L752" s="10" t="s">
        <v>101</v>
      </c>
      <c r="M752" s="10" t="s">
        <v>102</v>
      </c>
      <c r="N752" s="124" t="s">
        <v>348</v>
      </c>
      <c r="O752" s="124" t="s">
        <v>348</v>
      </c>
      <c r="P752" s="21">
        <v>32</v>
      </c>
      <c r="Q752" s="10" t="s">
        <v>54</v>
      </c>
      <c r="R752" s="10" t="s">
        <v>28</v>
      </c>
      <c r="S752" s="10"/>
      <c r="T752" s="10"/>
      <c r="U752" s="10" t="s">
        <v>1892</v>
      </c>
      <c r="V752" s="10" t="s">
        <v>1892</v>
      </c>
      <c r="W752" s="50">
        <f>+J752/$W$2</f>
        <v>1.298714859931888E-4</v>
      </c>
      <c r="AC752" s="47"/>
    </row>
    <row r="753" spans="1:23">
      <c r="A753" s="10" t="s">
        <v>382</v>
      </c>
      <c r="B753" s="10" t="s">
        <v>381</v>
      </c>
      <c r="C753" s="124">
        <v>46321</v>
      </c>
      <c r="D753" s="124" t="s">
        <v>492</v>
      </c>
      <c r="E753" s="21">
        <v>0.97687615000000005</v>
      </c>
      <c r="F753" s="10"/>
      <c r="G753" s="14">
        <v>3000000</v>
      </c>
      <c r="H753" s="14">
        <v>2930628.45</v>
      </c>
      <c r="I753" s="14">
        <v>3000000</v>
      </c>
      <c r="J753" s="14">
        <v>2930628.45</v>
      </c>
      <c r="K753" s="12">
        <v>1043</v>
      </c>
      <c r="L753" s="10" t="s">
        <v>101</v>
      </c>
      <c r="M753" s="10" t="s">
        <v>102</v>
      </c>
      <c r="N753" s="124" t="s">
        <v>398</v>
      </c>
      <c r="O753" s="124" t="s">
        <v>398</v>
      </c>
      <c r="P753" s="21">
        <v>32</v>
      </c>
      <c r="Q753" s="10" t="s">
        <v>54</v>
      </c>
      <c r="R753" s="10" t="s">
        <v>28</v>
      </c>
      <c r="S753" s="10"/>
      <c r="T753" s="10"/>
      <c r="U753" s="10" t="s">
        <v>1751</v>
      </c>
      <c r="V753" s="10" t="s">
        <v>1751</v>
      </c>
      <c r="W753" s="50">
        <f>+J753/$W$2</f>
        <v>3.8961441610167463E-5</v>
      </c>
    </row>
    <row r="754" spans="1:23">
      <c r="A754" s="10" t="s">
        <v>353</v>
      </c>
      <c r="B754" s="10" t="s">
        <v>381</v>
      </c>
      <c r="C754" s="124">
        <v>46321</v>
      </c>
      <c r="D754" s="124" t="s">
        <v>492</v>
      </c>
      <c r="E754" s="21">
        <v>0.97406079000000001</v>
      </c>
      <c r="F754" s="10"/>
      <c r="G754" s="14">
        <v>1874176.47</v>
      </c>
      <c r="H754" s="14">
        <v>1825561.82</v>
      </c>
      <c r="I754" s="14">
        <v>1874176.47</v>
      </c>
      <c r="J754" s="14">
        <v>1825561.82</v>
      </c>
      <c r="K754" s="12">
        <v>3463</v>
      </c>
      <c r="L754" s="10" t="s">
        <v>101</v>
      </c>
      <c r="M754" s="10" t="s">
        <v>102</v>
      </c>
      <c r="N754" s="124" t="s">
        <v>431</v>
      </c>
      <c r="O754" s="124" t="s">
        <v>431</v>
      </c>
      <c r="P754" s="21">
        <v>36</v>
      </c>
      <c r="Q754" s="10" t="s">
        <v>54</v>
      </c>
      <c r="R754" s="10" t="s">
        <v>28</v>
      </c>
      <c r="S754" s="10"/>
      <c r="T754" s="10"/>
      <c r="U754" s="10" t="s">
        <v>2285</v>
      </c>
      <c r="V754" s="10" t="s">
        <v>2285</v>
      </c>
      <c r="W754" s="50">
        <f>+J754/$W$2</f>
        <v>2.4270057248533516E-5</v>
      </c>
    </row>
    <row r="755" spans="1:23">
      <c r="A755" s="10" t="s">
        <v>494</v>
      </c>
      <c r="B755" s="10" t="s">
        <v>381</v>
      </c>
      <c r="C755" s="124">
        <v>46321</v>
      </c>
      <c r="D755" s="124" t="s">
        <v>492</v>
      </c>
      <c r="E755" s="21">
        <v>0.98113017999999996</v>
      </c>
      <c r="F755" s="10"/>
      <c r="G755" s="14">
        <v>30000000</v>
      </c>
      <c r="H755" s="14">
        <v>29433905.48</v>
      </c>
      <c r="I755" s="14">
        <v>30000000</v>
      </c>
      <c r="J755" s="14">
        <v>29433905.48</v>
      </c>
      <c r="K755" s="12">
        <v>90000873</v>
      </c>
      <c r="L755" s="10" t="s">
        <v>101</v>
      </c>
      <c r="M755" s="10" t="s">
        <v>102</v>
      </c>
      <c r="N755" s="124" t="s">
        <v>532</v>
      </c>
      <c r="O755" s="124" t="s">
        <v>532</v>
      </c>
      <c r="P755" s="21">
        <v>26</v>
      </c>
      <c r="Q755" s="10" t="s">
        <v>54</v>
      </c>
      <c r="R755" s="10" t="s">
        <v>28</v>
      </c>
      <c r="S755" s="10"/>
      <c r="T755" s="10"/>
      <c r="U755" s="10" t="s">
        <v>3080</v>
      </c>
      <c r="V755" s="10" t="s">
        <v>3080</v>
      </c>
      <c r="W755" s="50">
        <f>+J755/$W$2</f>
        <v>3.913110820029772E-4</v>
      </c>
    </row>
    <row r="756" spans="1:23">
      <c r="A756" s="10" t="s">
        <v>494</v>
      </c>
      <c r="B756" s="10" t="s">
        <v>381</v>
      </c>
      <c r="C756" s="124">
        <v>46321</v>
      </c>
      <c r="D756" s="124" t="s">
        <v>492</v>
      </c>
      <c r="E756" s="21">
        <v>0.98113017999999996</v>
      </c>
      <c r="F756" s="10"/>
      <c r="G756" s="14">
        <v>43000000</v>
      </c>
      <c r="H756" s="14">
        <v>42188597.859999999</v>
      </c>
      <c r="I756" s="14">
        <v>43000000</v>
      </c>
      <c r="J756" s="14">
        <v>42188597.859999999</v>
      </c>
      <c r="K756" s="12">
        <v>90000874</v>
      </c>
      <c r="L756" s="10" t="s">
        <v>101</v>
      </c>
      <c r="M756" s="10" t="s">
        <v>102</v>
      </c>
      <c r="N756" s="124" t="s">
        <v>532</v>
      </c>
      <c r="O756" s="124" t="s">
        <v>532</v>
      </c>
      <c r="P756" s="21">
        <v>26</v>
      </c>
      <c r="Q756" s="10" t="s">
        <v>54</v>
      </c>
      <c r="R756" s="10" t="s">
        <v>28</v>
      </c>
      <c r="S756" s="10"/>
      <c r="T756" s="10"/>
      <c r="U756" s="10" t="s">
        <v>3081</v>
      </c>
      <c r="V756" s="10" t="s">
        <v>3081</v>
      </c>
      <c r="W756" s="50">
        <f>+J756/$W$2</f>
        <v>5.6087921760850502E-4</v>
      </c>
    </row>
    <row r="757" spans="1:23">
      <c r="A757" s="10" t="s">
        <v>494</v>
      </c>
      <c r="B757" s="10" t="s">
        <v>381</v>
      </c>
      <c r="C757" s="124">
        <v>46321</v>
      </c>
      <c r="D757" s="124" t="s">
        <v>492</v>
      </c>
      <c r="E757" s="21">
        <v>0.98113017999999996</v>
      </c>
      <c r="F757" s="10"/>
      <c r="G757" s="14">
        <v>30000000</v>
      </c>
      <c r="H757" s="14">
        <v>29433905.48</v>
      </c>
      <c r="I757" s="14">
        <v>30000000</v>
      </c>
      <c r="J757" s="14">
        <v>29433905.48</v>
      </c>
      <c r="K757" s="12">
        <v>90000872</v>
      </c>
      <c r="L757" s="10" t="s">
        <v>101</v>
      </c>
      <c r="M757" s="10" t="s">
        <v>102</v>
      </c>
      <c r="N757" s="124" t="s">
        <v>532</v>
      </c>
      <c r="O757" s="124" t="s">
        <v>532</v>
      </c>
      <c r="P757" s="21">
        <v>26</v>
      </c>
      <c r="Q757" s="10" t="s">
        <v>54</v>
      </c>
      <c r="R757" s="10" t="s">
        <v>28</v>
      </c>
      <c r="S757" s="10"/>
      <c r="T757" s="10"/>
      <c r="U757" s="10" t="s">
        <v>3082</v>
      </c>
      <c r="V757" s="10" t="s">
        <v>3082</v>
      </c>
      <c r="W757" s="50">
        <f>+J757/$W$2</f>
        <v>3.913110820029772E-4</v>
      </c>
    </row>
    <row r="758" spans="1:23">
      <c r="A758" s="10" t="s">
        <v>1287</v>
      </c>
      <c r="B758" s="10" t="s">
        <v>381</v>
      </c>
      <c r="C758" s="124">
        <v>46321</v>
      </c>
      <c r="D758" s="124" t="s">
        <v>492</v>
      </c>
      <c r="E758" s="21">
        <v>0.97829007999999995</v>
      </c>
      <c r="F758" s="10"/>
      <c r="G758" s="14">
        <v>35466704.420000002</v>
      </c>
      <c r="H758" s="14">
        <v>34696725</v>
      </c>
      <c r="I758" s="14">
        <v>35466704.420000002</v>
      </c>
      <c r="J758" s="14">
        <v>34696725</v>
      </c>
      <c r="K758" s="12">
        <v>40293687</v>
      </c>
      <c r="L758" s="10" t="s">
        <v>101</v>
      </c>
      <c r="M758" s="10" t="s">
        <v>102</v>
      </c>
      <c r="N758" s="124" t="s">
        <v>424</v>
      </c>
      <c r="O758" s="124" t="s">
        <v>424</v>
      </c>
      <c r="P758" s="21">
        <v>30</v>
      </c>
      <c r="Q758" s="10" t="s">
        <v>54</v>
      </c>
      <c r="R758" s="10" t="s">
        <v>28</v>
      </c>
      <c r="S758" s="10"/>
      <c r="T758" s="10"/>
      <c r="U758" s="10" t="s">
        <v>1676</v>
      </c>
      <c r="V758" s="10" t="s">
        <v>1676</v>
      </c>
      <c r="W758" s="50">
        <f>+J758/$W$2</f>
        <v>4.6127799829130082E-4</v>
      </c>
    </row>
    <row r="759" spans="1:23">
      <c r="A759" s="10" t="s">
        <v>389</v>
      </c>
      <c r="B759" s="10" t="s">
        <v>381</v>
      </c>
      <c r="C759" s="124">
        <v>46321</v>
      </c>
      <c r="D759" s="124" t="s">
        <v>492</v>
      </c>
      <c r="E759" s="21">
        <v>0.97687617999999998</v>
      </c>
      <c r="F759" s="10"/>
      <c r="G759" s="14">
        <v>10655603.279999999</v>
      </c>
      <c r="H759" s="14">
        <v>10409205</v>
      </c>
      <c r="I759" s="14">
        <v>10655603.279999999</v>
      </c>
      <c r="J759" s="14">
        <v>10409205</v>
      </c>
      <c r="K759" s="12">
        <v>30829</v>
      </c>
      <c r="L759" s="10" t="s">
        <v>101</v>
      </c>
      <c r="M759" s="10" t="s">
        <v>102</v>
      </c>
      <c r="N759" s="124" t="s">
        <v>396</v>
      </c>
      <c r="O759" s="124" t="s">
        <v>396</v>
      </c>
      <c r="P759" s="21">
        <v>32</v>
      </c>
      <c r="Q759" s="10" t="s">
        <v>54</v>
      </c>
      <c r="R759" s="10" t="s">
        <v>28</v>
      </c>
      <c r="S759" s="10"/>
      <c r="T759" s="10"/>
      <c r="U759" s="10" t="s">
        <v>869</v>
      </c>
      <c r="V759" s="10" t="s">
        <v>869</v>
      </c>
      <c r="W759" s="50">
        <f>+J759/$W$2</f>
        <v>1.3838589221904372E-4</v>
      </c>
    </row>
    <row r="760" spans="1:23">
      <c r="A760" s="10" t="s">
        <v>141</v>
      </c>
      <c r="B760" s="10" t="s">
        <v>381</v>
      </c>
      <c r="C760" s="124">
        <v>46321</v>
      </c>
      <c r="D760" s="124" t="s">
        <v>492</v>
      </c>
      <c r="E760" s="21">
        <v>0.97476302999999997</v>
      </c>
      <c r="F760" s="10"/>
      <c r="G760" s="14">
        <v>20000000</v>
      </c>
      <c r="H760" s="14">
        <v>19495260.5</v>
      </c>
      <c r="I760" s="14">
        <v>20000000</v>
      </c>
      <c r="J760" s="14">
        <v>19495260.5</v>
      </c>
      <c r="K760" s="12">
        <v>4407</v>
      </c>
      <c r="L760" s="10" t="s">
        <v>101</v>
      </c>
      <c r="M760" s="10" t="s">
        <v>102</v>
      </c>
      <c r="N760" s="124" t="s">
        <v>155</v>
      </c>
      <c r="O760" s="124" t="s">
        <v>155</v>
      </c>
      <c r="P760" s="21">
        <v>35</v>
      </c>
      <c r="Q760" s="10" t="s">
        <v>54</v>
      </c>
      <c r="R760" s="10" t="s">
        <v>28</v>
      </c>
      <c r="S760" s="10"/>
      <c r="T760" s="10"/>
      <c r="U760" s="10" t="s">
        <v>1052</v>
      </c>
      <c r="V760" s="10" t="s">
        <v>1052</v>
      </c>
      <c r="W760" s="50">
        <f>+J760/$W$2</f>
        <v>2.5918108235308847E-4</v>
      </c>
    </row>
    <row r="761" spans="1:23">
      <c r="A761" s="10" t="s">
        <v>141</v>
      </c>
      <c r="B761" s="10" t="s">
        <v>381</v>
      </c>
      <c r="C761" s="124">
        <v>46321</v>
      </c>
      <c r="D761" s="124" t="s">
        <v>492</v>
      </c>
      <c r="E761" s="21">
        <v>0.97546644000000005</v>
      </c>
      <c r="F761" s="10"/>
      <c r="G761" s="14">
        <v>10000000</v>
      </c>
      <c r="H761" s="14">
        <v>9754664.4299999997</v>
      </c>
      <c r="I761" s="14">
        <v>10000000</v>
      </c>
      <c r="J761" s="14">
        <v>9754664.4299999997</v>
      </c>
      <c r="K761" s="12">
        <v>4409</v>
      </c>
      <c r="L761" s="10" t="s">
        <v>101</v>
      </c>
      <c r="M761" s="10" t="s">
        <v>102</v>
      </c>
      <c r="N761" s="124" t="s">
        <v>433</v>
      </c>
      <c r="O761" s="124" t="s">
        <v>433</v>
      </c>
      <c r="P761" s="21">
        <v>34</v>
      </c>
      <c r="Q761" s="10" t="s">
        <v>54</v>
      </c>
      <c r="R761" s="10" t="s">
        <v>28</v>
      </c>
      <c r="S761" s="10"/>
      <c r="T761" s="10"/>
      <c r="U761" s="10" t="s">
        <v>1099</v>
      </c>
      <c r="V761" s="10" t="s">
        <v>1099</v>
      </c>
      <c r="W761" s="50">
        <f>+J761/$W$2</f>
        <v>1.2968405756663641E-4</v>
      </c>
    </row>
    <row r="762" spans="1:23">
      <c r="A762" s="10" t="s">
        <v>353</v>
      </c>
      <c r="B762" s="10" t="s">
        <v>381</v>
      </c>
      <c r="C762" s="124">
        <v>46321</v>
      </c>
      <c r="D762" s="124" t="s">
        <v>492</v>
      </c>
      <c r="E762" s="21">
        <v>0.97617081999999999</v>
      </c>
      <c r="F762" s="10"/>
      <c r="G762" s="14">
        <v>2502550.36</v>
      </c>
      <c r="H762" s="14">
        <v>2442916.64</v>
      </c>
      <c r="I762" s="14">
        <v>2502550.36</v>
      </c>
      <c r="J762" s="14">
        <v>2442916.64</v>
      </c>
      <c r="K762" s="12">
        <v>3129</v>
      </c>
      <c r="L762" s="10" t="s">
        <v>101</v>
      </c>
      <c r="M762" s="10" t="s">
        <v>102</v>
      </c>
      <c r="N762" s="124" t="s">
        <v>433</v>
      </c>
      <c r="O762" s="124" t="s">
        <v>433</v>
      </c>
      <c r="P762" s="21">
        <v>33</v>
      </c>
      <c r="Q762" s="10" t="s">
        <v>54</v>
      </c>
      <c r="R762" s="10" t="s">
        <v>28</v>
      </c>
      <c r="S762" s="10"/>
      <c r="T762" s="10"/>
      <c r="U762" s="10" t="s">
        <v>1089</v>
      </c>
      <c r="V762" s="10" t="s">
        <v>1089</v>
      </c>
      <c r="W762" s="50">
        <f>+J762/$W$2</f>
        <v>3.2477523388495901E-5</v>
      </c>
    </row>
    <row r="763" spans="1:23">
      <c r="A763" s="10" t="s">
        <v>353</v>
      </c>
      <c r="B763" s="10" t="s">
        <v>381</v>
      </c>
      <c r="C763" s="124">
        <v>46321</v>
      </c>
      <c r="D763" s="124" t="s">
        <v>492</v>
      </c>
      <c r="E763" s="21">
        <v>0.97617081999999999</v>
      </c>
      <c r="F763" s="10"/>
      <c r="G763" s="14">
        <v>2502550.36</v>
      </c>
      <c r="H763" s="14">
        <v>2442916.64</v>
      </c>
      <c r="I763" s="14">
        <v>2502550.36</v>
      </c>
      <c r="J763" s="14">
        <v>2442916.64</v>
      </c>
      <c r="K763" s="12">
        <v>3139</v>
      </c>
      <c r="L763" s="10" t="s">
        <v>101</v>
      </c>
      <c r="M763" s="10" t="s">
        <v>102</v>
      </c>
      <c r="N763" s="124" t="s">
        <v>433</v>
      </c>
      <c r="O763" s="124" t="s">
        <v>433</v>
      </c>
      <c r="P763" s="21">
        <v>33</v>
      </c>
      <c r="Q763" s="10" t="s">
        <v>54</v>
      </c>
      <c r="R763" s="10" t="s">
        <v>28</v>
      </c>
      <c r="S763" s="10"/>
      <c r="T763" s="10"/>
      <c r="U763" s="10" t="s">
        <v>1098</v>
      </c>
      <c r="V763" s="10" t="s">
        <v>1098</v>
      </c>
      <c r="W763" s="50">
        <f>+J763/$W$2</f>
        <v>3.2477523388495901E-5</v>
      </c>
    </row>
    <row r="764" spans="1:23">
      <c r="A764" s="10" t="s">
        <v>353</v>
      </c>
      <c r="B764" s="10" t="s">
        <v>381</v>
      </c>
      <c r="C764" s="124">
        <v>46321</v>
      </c>
      <c r="D764" s="124" t="s">
        <v>492</v>
      </c>
      <c r="E764" s="21">
        <v>0.97546641999999995</v>
      </c>
      <c r="F764" s="10"/>
      <c r="G764" s="14">
        <v>1020845.65</v>
      </c>
      <c r="H764" s="14">
        <v>995800.65</v>
      </c>
      <c r="I764" s="14">
        <v>1020845.65</v>
      </c>
      <c r="J764" s="14">
        <v>995800.65</v>
      </c>
      <c r="K764" s="12">
        <v>2903</v>
      </c>
      <c r="L764" s="10" t="s">
        <v>101</v>
      </c>
      <c r="M764" s="10" t="s">
        <v>102</v>
      </c>
      <c r="N764" s="124" t="s">
        <v>323</v>
      </c>
      <c r="O764" s="124" t="s">
        <v>323</v>
      </c>
      <c r="P764" s="21">
        <v>34</v>
      </c>
      <c r="Q764" s="10" t="s">
        <v>54</v>
      </c>
      <c r="R764" s="10" t="s">
        <v>28</v>
      </c>
      <c r="S764" s="10"/>
      <c r="T764" s="10"/>
      <c r="U764" s="10" t="s">
        <v>918</v>
      </c>
      <c r="V764" s="10" t="s">
        <v>918</v>
      </c>
      <c r="W764" s="50">
        <f>+J764/$W$2</f>
        <v>1.3238740270996074E-5</v>
      </c>
    </row>
    <row r="765" spans="1:23">
      <c r="A765" s="10" t="s">
        <v>353</v>
      </c>
      <c r="B765" s="10" t="s">
        <v>381</v>
      </c>
      <c r="C765" s="124">
        <v>46321</v>
      </c>
      <c r="D765" s="124" t="s">
        <v>492</v>
      </c>
      <c r="E765" s="21">
        <v>0.97546641000000001</v>
      </c>
      <c r="F765" s="10"/>
      <c r="G765" s="14">
        <v>990902.64</v>
      </c>
      <c r="H765" s="14">
        <v>966592.24</v>
      </c>
      <c r="I765" s="14">
        <v>990902.64</v>
      </c>
      <c r="J765" s="14">
        <v>966592.24</v>
      </c>
      <c r="K765" s="12">
        <v>2953</v>
      </c>
      <c r="L765" s="10" t="s">
        <v>101</v>
      </c>
      <c r="M765" s="10" t="s">
        <v>102</v>
      </c>
      <c r="N765" s="124" t="s">
        <v>323</v>
      </c>
      <c r="O765" s="124" t="s">
        <v>323</v>
      </c>
      <c r="P765" s="21">
        <v>34</v>
      </c>
      <c r="Q765" s="10" t="s">
        <v>54</v>
      </c>
      <c r="R765" s="10" t="s">
        <v>28</v>
      </c>
      <c r="S765" s="10"/>
      <c r="T765" s="10"/>
      <c r="U765" s="10" t="s">
        <v>919</v>
      </c>
      <c r="V765" s="10" t="s">
        <v>919</v>
      </c>
      <c r="W765" s="50">
        <f>+J765/$W$2</f>
        <v>1.2850427054170231E-5</v>
      </c>
    </row>
    <row r="766" spans="1:23">
      <c r="A766" s="10" t="s">
        <v>273</v>
      </c>
      <c r="B766" s="10" t="s">
        <v>381</v>
      </c>
      <c r="C766" s="124">
        <v>46321</v>
      </c>
      <c r="D766" s="124" t="s">
        <v>492</v>
      </c>
      <c r="E766" s="21">
        <v>0.98184265000000004</v>
      </c>
      <c r="F766" s="10"/>
      <c r="G766" s="14">
        <v>12500000</v>
      </c>
      <c r="H766" s="14">
        <v>12273033.08</v>
      </c>
      <c r="I766" s="14">
        <v>12500000</v>
      </c>
      <c r="J766" s="14">
        <v>12273033.08</v>
      </c>
      <c r="K766" s="12">
        <v>5296</v>
      </c>
      <c r="L766" s="10" t="s">
        <v>101</v>
      </c>
      <c r="M766" s="10" t="s">
        <v>102</v>
      </c>
      <c r="N766" s="124" t="s">
        <v>361</v>
      </c>
      <c r="O766" s="124" t="s">
        <v>361</v>
      </c>
      <c r="P766" s="21">
        <v>25</v>
      </c>
      <c r="Q766" s="10" t="s">
        <v>54</v>
      </c>
      <c r="R766" s="10" t="s">
        <v>28</v>
      </c>
      <c r="S766" s="10"/>
      <c r="T766" s="10"/>
      <c r="U766" s="10" t="s">
        <v>1025</v>
      </c>
      <c r="V766" s="10" t="s">
        <v>1025</v>
      </c>
      <c r="W766" s="50">
        <f>+J766/$W$2</f>
        <v>1.6316468289457632E-4</v>
      </c>
    </row>
    <row r="767" spans="1:23">
      <c r="A767" s="10" t="s">
        <v>273</v>
      </c>
      <c r="B767" s="10" t="s">
        <v>381</v>
      </c>
      <c r="C767" s="124">
        <v>46321</v>
      </c>
      <c r="D767" s="124" t="s">
        <v>492</v>
      </c>
      <c r="E767" s="21">
        <v>0.98184265000000004</v>
      </c>
      <c r="F767" s="10"/>
      <c r="G767" s="14">
        <v>8650000</v>
      </c>
      <c r="H767" s="14">
        <v>8492938.8900000006</v>
      </c>
      <c r="I767" s="14">
        <v>8650000</v>
      </c>
      <c r="J767" s="14">
        <v>8492938.8900000006</v>
      </c>
      <c r="K767" s="12">
        <v>34390</v>
      </c>
      <c r="L767" s="10" t="s">
        <v>101</v>
      </c>
      <c r="M767" s="10" t="s">
        <v>102</v>
      </c>
      <c r="N767" s="124" t="s">
        <v>361</v>
      </c>
      <c r="O767" s="124" t="s">
        <v>361</v>
      </c>
      <c r="P767" s="21">
        <v>25</v>
      </c>
      <c r="Q767" s="10" t="s">
        <v>54</v>
      </c>
      <c r="R767" s="10" t="s">
        <v>28</v>
      </c>
      <c r="S767" s="10"/>
      <c r="T767" s="10"/>
      <c r="U767" s="10" t="s">
        <v>1028</v>
      </c>
      <c r="V767" s="10" t="s">
        <v>1028</v>
      </c>
      <c r="W767" s="50">
        <f>+J767/$W$2</f>
        <v>1.129099605449662E-4</v>
      </c>
    </row>
    <row r="768" spans="1:23">
      <c r="A768" s="10" t="s">
        <v>273</v>
      </c>
      <c r="B768" s="10" t="s">
        <v>381</v>
      </c>
      <c r="C768" s="124">
        <v>46321</v>
      </c>
      <c r="D768" s="124" t="s">
        <v>492</v>
      </c>
      <c r="E768" s="21">
        <v>0.98041849000000003</v>
      </c>
      <c r="F768" s="10"/>
      <c r="G768" s="14">
        <v>15000000</v>
      </c>
      <c r="H768" s="14">
        <v>14706277.42</v>
      </c>
      <c r="I768" s="14">
        <v>15000000</v>
      </c>
      <c r="J768" s="14">
        <v>14706277.42</v>
      </c>
      <c r="K768" s="12">
        <v>11349969</v>
      </c>
      <c r="L768" s="10" t="s">
        <v>101</v>
      </c>
      <c r="M768" s="10" t="s">
        <v>102</v>
      </c>
      <c r="N768" s="124" t="s">
        <v>326</v>
      </c>
      <c r="O768" s="124" t="s">
        <v>326</v>
      </c>
      <c r="P768" s="21">
        <v>27</v>
      </c>
      <c r="Q768" s="10" t="s">
        <v>54</v>
      </c>
      <c r="R768" s="10" t="s">
        <v>28</v>
      </c>
      <c r="S768" s="10"/>
      <c r="T768" s="10"/>
      <c r="U768" s="10" t="s">
        <v>977</v>
      </c>
      <c r="V768" s="10" t="s">
        <v>977</v>
      </c>
      <c r="W768" s="50">
        <f>+J768/$W$2</f>
        <v>1.9551361722508842E-4</v>
      </c>
    </row>
    <row r="769" spans="1:29">
      <c r="A769" s="10" t="s">
        <v>383</v>
      </c>
      <c r="B769" s="10" t="s">
        <v>381</v>
      </c>
      <c r="C769" s="124">
        <v>46321</v>
      </c>
      <c r="D769" s="124" t="s">
        <v>492</v>
      </c>
      <c r="E769" s="21">
        <v>0.97476300999999999</v>
      </c>
      <c r="F769" s="10"/>
      <c r="G769" s="14">
        <v>50000000</v>
      </c>
      <c r="H769" s="14">
        <v>48738150.479999997</v>
      </c>
      <c r="I769" s="14">
        <v>50000000</v>
      </c>
      <c r="J769" s="14">
        <v>48738150.479999997</v>
      </c>
      <c r="K769" s="12">
        <v>68527643</v>
      </c>
      <c r="L769" s="10" t="s">
        <v>101</v>
      </c>
      <c r="M769" s="10" t="s">
        <v>102</v>
      </c>
      <c r="N769" s="124" t="s">
        <v>362</v>
      </c>
      <c r="O769" s="124" t="s">
        <v>362</v>
      </c>
      <c r="P769" s="21">
        <v>35</v>
      </c>
      <c r="Q769" s="10" t="s">
        <v>54</v>
      </c>
      <c r="R769" s="10" t="s">
        <v>28</v>
      </c>
      <c r="S769" s="10"/>
      <c r="T769" s="10"/>
      <c r="U769" s="10" t="s">
        <v>1114</v>
      </c>
      <c r="V769" s="10" t="s">
        <v>1114</v>
      </c>
      <c r="W769" s="50">
        <f>+J769/$W$2</f>
        <v>6.4795269564590322E-4</v>
      </c>
      <c r="AC769" s="47"/>
    </row>
    <row r="770" spans="1:29">
      <c r="A770" s="10" t="s">
        <v>1726</v>
      </c>
      <c r="B770" s="10" t="s">
        <v>381</v>
      </c>
      <c r="C770" s="124">
        <v>46321</v>
      </c>
      <c r="D770" s="124" t="s">
        <v>492</v>
      </c>
      <c r="E770" s="21">
        <v>0.97406073999999998</v>
      </c>
      <c r="F770" s="10"/>
      <c r="G770" s="14">
        <v>3250000</v>
      </c>
      <c r="H770" s="14">
        <v>3165697.42</v>
      </c>
      <c r="I770" s="14">
        <v>3250000</v>
      </c>
      <c r="J770" s="14">
        <v>3165697.42</v>
      </c>
      <c r="K770" s="12">
        <v>67</v>
      </c>
      <c r="L770" s="10" t="s">
        <v>101</v>
      </c>
      <c r="M770" s="10" t="s">
        <v>102</v>
      </c>
      <c r="N770" s="124" t="s">
        <v>425</v>
      </c>
      <c r="O770" s="124" t="s">
        <v>425</v>
      </c>
      <c r="P770" s="21">
        <v>36</v>
      </c>
      <c r="Q770" s="10" t="s">
        <v>54</v>
      </c>
      <c r="R770" s="10" t="s">
        <v>28</v>
      </c>
      <c r="S770" s="10"/>
      <c r="T770" s="10"/>
      <c r="U770" s="10" t="s">
        <v>1719</v>
      </c>
      <c r="V770" s="10" t="s">
        <v>1719</v>
      </c>
      <c r="W770" s="50">
        <f>+J770/$W$2</f>
        <v>4.2086582208941488E-5</v>
      </c>
    </row>
    <row r="771" spans="1:29">
      <c r="A771" s="10" t="s">
        <v>595</v>
      </c>
      <c r="B771" s="10" t="s">
        <v>381</v>
      </c>
      <c r="C771" s="124">
        <v>46321</v>
      </c>
      <c r="D771" s="124" t="s">
        <v>492</v>
      </c>
      <c r="E771" s="21">
        <v>0.97687615999999999</v>
      </c>
      <c r="F771" s="10"/>
      <c r="G771" s="14">
        <v>100000000</v>
      </c>
      <c r="H771" s="14">
        <v>97687615.930000007</v>
      </c>
      <c r="I771" s="14">
        <v>100000000</v>
      </c>
      <c r="J771" s="14">
        <v>97687615.930000007</v>
      </c>
      <c r="K771" s="12">
        <v>161</v>
      </c>
      <c r="L771" s="10" t="s">
        <v>101</v>
      </c>
      <c r="M771" s="10" t="s">
        <v>102</v>
      </c>
      <c r="N771" s="124" t="s">
        <v>362</v>
      </c>
      <c r="O771" s="124" t="s">
        <v>362</v>
      </c>
      <c r="P771" s="21">
        <v>32</v>
      </c>
      <c r="Q771" s="10" t="s">
        <v>54</v>
      </c>
      <c r="R771" s="10" t="s">
        <v>28</v>
      </c>
      <c r="S771" s="10"/>
      <c r="T771" s="10"/>
      <c r="U771" s="10" t="s">
        <v>1105</v>
      </c>
      <c r="V771" s="10" t="s">
        <v>1105</v>
      </c>
      <c r="W771" s="50">
        <f>+J771/$W$2</f>
        <v>1.2987147327028644E-3</v>
      </c>
    </row>
    <row r="772" spans="1:29">
      <c r="A772" s="10" t="s">
        <v>2413</v>
      </c>
      <c r="B772" s="10" t="s">
        <v>381</v>
      </c>
      <c r="C772" s="124">
        <v>46321</v>
      </c>
      <c r="D772" s="124" t="s">
        <v>492</v>
      </c>
      <c r="E772" s="21">
        <v>0.97829012000000004</v>
      </c>
      <c r="F772" s="10"/>
      <c r="G772" s="14">
        <v>3000000</v>
      </c>
      <c r="H772" s="14">
        <v>2934870.36</v>
      </c>
      <c r="I772" s="14">
        <v>3000000</v>
      </c>
      <c r="J772" s="14">
        <v>2934870.36</v>
      </c>
      <c r="K772" s="12">
        <v>1299</v>
      </c>
      <c r="L772" s="10" t="s">
        <v>101</v>
      </c>
      <c r="M772" s="10" t="s">
        <v>102</v>
      </c>
      <c r="N772" s="124" t="s">
        <v>552</v>
      </c>
      <c r="O772" s="124" t="s">
        <v>552</v>
      </c>
      <c r="P772" s="21">
        <v>30</v>
      </c>
      <c r="Q772" s="10" t="s">
        <v>54</v>
      </c>
      <c r="R772" s="10" t="s">
        <v>28</v>
      </c>
      <c r="S772" s="10"/>
      <c r="T772" s="10"/>
      <c r="U772" s="10" t="s">
        <v>2403</v>
      </c>
      <c r="V772" s="10" t="s">
        <v>2403</v>
      </c>
      <c r="W772" s="50">
        <f>+J772/$W$2</f>
        <v>3.9017835974584617E-5</v>
      </c>
    </row>
    <row r="773" spans="1:29">
      <c r="A773" s="10" t="s">
        <v>272</v>
      </c>
      <c r="B773" s="10" t="s">
        <v>381</v>
      </c>
      <c r="C773" s="124">
        <v>46321</v>
      </c>
      <c r="D773" s="124" t="s">
        <v>492</v>
      </c>
      <c r="E773" s="21">
        <v>0.97899849999999999</v>
      </c>
      <c r="F773" s="10"/>
      <c r="G773" s="14">
        <v>7511409.4699999997</v>
      </c>
      <c r="H773" s="14">
        <v>7353658.6299999999</v>
      </c>
      <c r="I773" s="14">
        <v>7511409.4699999997</v>
      </c>
      <c r="J773" s="14">
        <v>7353658.6299999999</v>
      </c>
      <c r="K773" s="12">
        <v>90000775</v>
      </c>
      <c r="L773" s="10" t="s">
        <v>101</v>
      </c>
      <c r="M773" s="10" t="s">
        <v>102</v>
      </c>
      <c r="N773" s="124" t="s">
        <v>352</v>
      </c>
      <c r="O773" s="124" t="s">
        <v>352</v>
      </c>
      <c r="P773" s="21">
        <v>29</v>
      </c>
      <c r="Q773" s="10" t="s">
        <v>54</v>
      </c>
      <c r="R773" s="10" t="s">
        <v>28</v>
      </c>
      <c r="S773" s="10"/>
      <c r="T773" s="10"/>
      <c r="U773" s="10" t="s">
        <v>791</v>
      </c>
      <c r="V773" s="10" t="s">
        <v>791</v>
      </c>
      <c r="W773" s="50">
        <f>+J773/$W$2</f>
        <v>9.7763720724764353E-5</v>
      </c>
    </row>
    <row r="774" spans="1:29">
      <c r="A774" s="10" t="s">
        <v>166</v>
      </c>
      <c r="B774" s="10" t="s">
        <v>381</v>
      </c>
      <c r="C774" s="124">
        <v>46321</v>
      </c>
      <c r="D774" s="124" t="s">
        <v>492</v>
      </c>
      <c r="E774" s="21">
        <v>0.97265906999999996</v>
      </c>
      <c r="F774" s="10"/>
      <c r="G774" s="14">
        <v>150000000</v>
      </c>
      <c r="H774" s="14">
        <v>145898860.58000001</v>
      </c>
      <c r="I774" s="14">
        <v>150000000</v>
      </c>
      <c r="J774" s="14">
        <v>145898860.58000001</v>
      </c>
      <c r="K774" s="12">
        <v>70406568</v>
      </c>
      <c r="L774" s="10" t="s">
        <v>101</v>
      </c>
      <c r="M774" s="10" t="s">
        <v>102</v>
      </c>
      <c r="N774" s="124" t="s">
        <v>551</v>
      </c>
      <c r="O774" s="124" t="s">
        <v>551</v>
      </c>
      <c r="P774" s="21">
        <v>38</v>
      </c>
      <c r="Q774" s="10" t="s">
        <v>54</v>
      </c>
      <c r="R774" s="10" t="s">
        <v>28</v>
      </c>
      <c r="S774" s="10"/>
      <c r="T774" s="10"/>
      <c r="U774" s="10" t="s">
        <v>2224</v>
      </c>
      <c r="V774" s="10" t="s">
        <v>2224</v>
      </c>
      <c r="W774" s="50">
        <f>+J774/$W$2</f>
        <v>1.9396624425309301E-3</v>
      </c>
    </row>
    <row r="775" spans="1:29">
      <c r="A775" s="10" t="s">
        <v>688</v>
      </c>
      <c r="B775" s="10" t="s">
        <v>125</v>
      </c>
      <c r="C775" s="124">
        <v>46321</v>
      </c>
      <c r="D775" s="124" t="s">
        <v>492</v>
      </c>
      <c r="E775" s="21">
        <v>0.99852277</v>
      </c>
      <c r="F775" s="10" t="s">
        <v>3573</v>
      </c>
      <c r="G775" s="14">
        <v>101000</v>
      </c>
      <c r="H775" s="14">
        <v>100850.8</v>
      </c>
      <c r="I775" s="14">
        <v>153920945.59</v>
      </c>
      <c r="J775" s="14">
        <v>153693569.30000001</v>
      </c>
      <c r="K775" s="12">
        <v>161880</v>
      </c>
      <c r="L775" s="10" t="s">
        <v>101</v>
      </c>
      <c r="M775" s="10" t="s">
        <v>102</v>
      </c>
      <c r="N775" s="124" t="s">
        <v>425</v>
      </c>
      <c r="O775" s="124" t="s">
        <v>425</v>
      </c>
      <c r="P775" s="21">
        <v>2</v>
      </c>
      <c r="Q775" s="10" t="s">
        <v>54</v>
      </c>
      <c r="R775" s="10" t="s">
        <v>28</v>
      </c>
      <c r="S775" s="10"/>
      <c r="T775" s="10"/>
      <c r="U775" s="10" t="s">
        <v>1723</v>
      </c>
      <c r="V775" s="10" t="s">
        <v>1723</v>
      </c>
      <c r="W775" s="50">
        <f>+J775/$W$2</f>
        <v>2.0432897340296333E-3</v>
      </c>
      <c r="AC775" s="47"/>
    </row>
    <row r="776" spans="1:29">
      <c r="A776" s="10" t="s">
        <v>597</v>
      </c>
      <c r="B776" s="10" t="s">
        <v>381</v>
      </c>
      <c r="C776" s="124">
        <v>46321</v>
      </c>
      <c r="D776" s="124" t="s">
        <v>492</v>
      </c>
      <c r="E776" s="21">
        <v>0.97195967000000005</v>
      </c>
      <c r="F776" s="10"/>
      <c r="G776" s="14">
        <v>3750000</v>
      </c>
      <c r="H776" s="14">
        <v>3644848.75</v>
      </c>
      <c r="I776" s="14">
        <v>3750000</v>
      </c>
      <c r="J776" s="14">
        <v>3644848.75</v>
      </c>
      <c r="K776" s="12">
        <v>66918134</v>
      </c>
      <c r="L776" s="10" t="s">
        <v>101</v>
      </c>
      <c r="M776" s="10" t="s">
        <v>102</v>
      </c>
      <c r="N776" s="124" t="s">
        <v>304</v>
      </c>
      <c r="O776" s="124" t="s">
        <v>304</v>
      </c>
      <c r="P776" s="21">
        <v>39</v>
      </c>
      <c r="Q776" s="10" t="s">
        <v>54</v>
      </c>
      <c r="R776" s="10" t="s">
        <v>28</v>
      </c>
      <c r="S776" s="10"/>
      <c r="T776" s="10"/>
      <c r="U776" s="10" t="s">
        <v>589</v>
      </c>
      <c r="V776" s="10" t="s">
        <v>589</v>
      </c>
      <c r="W776" s="50">
        <f>+J776/$W$2</f>
        <v>4.8456692540133108E-5</v>
      </c>
    </row>
    <row r="777" spans="1:29">
      <c r="A777" s="10" t="s">
        <v>604</v>
      </c>
      <c r="B777" s="10" t="s">
        <v>381</v>
      </c>
      <c r="C777" s="124">
        <v>46321</v>
      </c>
      <c r="D777" s="124" t="s">
        <v>492</v>
      </c>
      <c r="E777" s="21">
        <v>0.97546641999999995</v>
      </c>
      <c r="F777" s="10"/>
      <c r="G777" s="14">
        <v>5000300.25</v>
      </c>
      <c r="H777" s="14">
        <v>4877624.9800000004</v>
      </c>
      <c r="I777" s="14">
        <v>5000300.25</v>
      </c>
      <c r="J777" s="14">
        <v>4877624.9800000004</v>
      </c>
      <c r="K777" s="12">
        <v>373</v>
      </c>
      <c r="L777" s="10" t="s">
        <v>101</v>
      </c>
      <c r="M777" s="10" t="s">
        <v>102</v>
      </c>
      <c r="N777" s="124" t="s">
        <v>323</v>
      </c>
      <c r="O777" s="124" t="s">
        <v>323</v>
      </c>
      <c r="P777" s="21">
        <v>34</v>
      </c>
      <c r="Q777" s="10" t="s">
        <v>54</v>
      </c>
      <c r="R777" s="10" t="s">
        <v>28</v>
      </c>
      <c r="S777" s="10"/>
      <c r="T777" s="10"/>
      <c r="U777" s="10" t="s">
        <v>938</v>
      </c>
      <c r="V777" s="10" t="s">
        <v>938</v>
      </c>
      <c r="W777" s="50">
        <f>+J777/$W$2</f>
        <v>6.4845920967758375E-5</v>
      </c>
    </row>
    <row r="778" spans="1:29">
      <c r="A778" s="10" t="s">
        <v>607</v>
      </c>
      <c r="B778" s="10" t="s">
        <v>381</v>
      </c>
      <c r="C778" s="124">
        <v>46321</v>
      </c>
      <c r="D778" s="124" t="s">
        <v>492</v>
      </c>
      <c r="E778" s="21">
        <v>0.97617074999999998</v>
      </c>
      <c r="F778" s="10"/>
      <c r="G778" s="14">
        <v>1000000</v>
      </c>
      <c r="H778" s="14">
        <v>976170.75</v>
      </c>
      <c r="I778" s="14">
        <v>1000000</v>
      </c>
      <c r="J778" s="14">
        <v>976170.75</v>
      </c>
      <c r="K778" s="12">
        <v>521</v>
      </c>
      <c r="L778" s="10" t="s">
        <v>101</v>
      </c>
      <c r="M778" s="10" t="s">
        <v>102</v>
      </c>
      <c r="N778" s="124" t="s">
        <v>397</v>
      </c>
      <c r="O778" s="124" t="s">
        <v>397</v>
      </c>
      <c r="P778" s="21">
        <v>33</v>
      </c>
      <c r="Q778" s="10" t="s">
        <v>54</v>
      </c>
      <c r="R778" s="10" t="s">
        <v>28</v>
      </c>
      <c r="S778" s="10"/>
      <c r="T778" s="10"/>
      <c r="U778" s="10" t="s">
        <v>1442</v>
      </c>
      <c r="V778" s="10" t="s">
        <v>1442</v>
      </c>
      <c r="W778" s="50">
        <f>+J778/$W$2</f>
        <v>1.2977769214544538E-5</v>
      </c>
    </row>
    <row r="779" spans="1:29">
      <c r="A779" s="10" t="s">
        <v>608</v>
      </c>
      <c r="B779" s="10" t="s">
        <v>381</v>
      </c>
      <c r="C779" s="124">
        <v>46321</v>
      </c>
      <c r="D779" s="124" t="s">
        <v>492</v>
      </c>
      <c r="E779" s="21">
        <v>0.97546653000000005</v>
      </c>
      <c r="F779" s="10"/>
      <c r="G779" s="14">
        <v>564000000</v>
      </c>
      <c r="H779" s="14">
        <v>550163122.40999997</v>
      </c>
      <c r="I779" s="14">
        <v>564000000</v>
      </c>
      <c r="J779" s="14">
        <v>550163122.40999997</v>
      </c>
      <c r="K779" s="12">
        <v>165910</v>
      </c>
      <c r="L779" s="10" t="s">
        <v>101</v>
      </c>
      <c r="M779" s="10" t="s">
        <v>102</v>
      </c>
      <c r="N779" s="124" t="s">
        <v>532</v>
      </c>
      <c r="O779" s="124" t="s">
        <v>532</v>
      </c>
      <c r="P779" s="21">
        <v>34</v>
      </c>
      <c r="Q779" s="10" t="s">
        <v>54</v>
      </c>
      <c r="R779" s="10" t="s">
        <v>28</v>
      </c>
      <c r="S779" s="10"/>
      <c r="T779" s="10"/>
      <c r="U779" s="10" t="s">
        <v>3083</v>
      </c>
      <c r="V779" s="10" t="s">
        <v>3083</v>
      </c>
      <c r="W779" s="50">
        <f>+J779/$W$2</f>
        <v>7.3141814923159661E-3</v>
      </c>
    </row>
    <row r="780" spans="1:29">
      <c r="A780" s="10" t="s">
        <v>132</v>
      </c>
      <c r="B780" s="10" t="s">
        <v>381</v>
      </c>
      <c r="C780" s="124">
        <v>46321</v>
      </c>
      <c r="D780" s="124" t="s">
        <v>492</v>
      </c>
      <c r="E780" s="21">
        <v>0.97617083999999998</v>
      </c>
      <c r="F780" s="10"/>
      <c r="G780" s="14">
        <v>90000000</v>
      </c>
      <c r="H780" s="14">
        <v>87855375.209999993</v>
      </c>
      <c r="I780" s="14">
        <v>90000000</v>
      </c>
      <c r="J780" s="14">
        <v>87855375.209999993</v>
      </c>
      <c r="K780" s="12">
        <v>921</v>
      </c>
      <c r="L780" s="10" t="s">
        <v>101</v>
      </c>
      <c r="M780" s="10" t="s">
        <v>102</v>
      </c>
      <c r="N780" s="124" t="s">
        <v>551</v>
      </c>
      <c r="O780" s="124" t="s">
        <v>551</v>
      </c>
      <c r="P780" s="21">
        <v>33</v>
      </c>
      <c r="Q780" s="10" t="s">
        <v>54</v>
      </c>
      <c r="R780" s="10" t="s">
        <v>28</v>
      </c>
      <c r="S780" s="10"/>
      <c r="T780" s="10"/>
      <c r="U780" s="10" t="s">
        <v>2221</v>
      </c>
      <c r="V780" s="10" t="s">
        <v>2221</v>
      </c>
      <c r="W780" s="50">
        <f>+J780/$W$2</f>
        <v>1.1679993318101339E-3</v>
      </c>
    </row>
    <row r="781" spans="1:29">
      <c r="A781" s="10" t="s">
        <v>290</v>
      </c>
      <c r="B781" s="10" t="s">
        <v>381</v>
      </c>
      <c r="C781" s="124">
        <v>46321</v>
      </c>
      <c r="D781" s="124" t="s">
        <v>492</v>
      </c>
      <c r="E781" s="21">
        <v>0.97476304000000003</v>
      </c>
      <c r="F781" s="10"/>
      <c r="G781" s="14">
        <v>3072441.47</v>
      </c>
      <c r="H781" s="14">
        <v>2994902.39</v>
      </c>
      <c r="I781" s="14">
        <v>3072441.47</v>
      </c>
      <c r="J781" s="14">
        <v>2994902.39</v>
      </c>
      <c r="K781" s="12">
        <v>40773797</v>
      </c>
      <c r="L781" s="10" t="s">
        <v>101</v>
      </c>
      <c r="M781" s="10" t="s">
        <v>102</v>
      </c>
      <c r="N781" s="124" t="s">
        <v>414</v>
      </c>
      <c r="O781" s="124" t="s">
        <v>414</v>
      </c>
      <c r="P781" s="21">
        <v>35</v>
      </c>
      <c r="Q781" s="10" t="s">
        <v>54</v>
      </c>
      <c r="R781" s="10" t="s">
        <v>28</v>
      </c>
      <c r="S781" s="10"/>
      <c r="T781" s="10"/>
      <c r="U781" s="10" t="s">
        <v>1475</v>
      </c>
      <c r="V781" s="10" t="s">
        <v>1475</v>
      </c>
      <c r="W781" s="50">
        <f>+J781/$W$2</f>
        <v>3.9815935928737734E-5</v>
      </c>
    </row>
    <row r="782" spans="1:29">
      <c r="A782" s="10" t="s">
        <v>402</v>
      </c>
      <c r="B782" s="10" t="s">
        <v>381</v>
      </c>
      <c r="C782" s="124">
        <v>46321</v>
      </c>
      <c r="D782" s="124" t="s">
        <v>492</v>
      </c>
      <c r="E782" s="21">
        <v>0.97546641000000001</v>
      </c>
      <c r="F782" s="10"/>
      <c r="G782" s="14">
        <v>25000000</v>
      </c>
      <c r="H782" s="14">
        <v>24386660.25</v>
      </c>
      <c r="I782" s="14">
        <v>25000000</v>
      </c>
      <c r="J782" s="14">
        <v>24386660.25</v>
      </c>
      <c r="K782" s="12">
        <v>563</v>
      </c>
      <c r="L782" s="10" t="s">
        <v>101</v>
      </c>
      <c r="M782" s="10" t="s">
        <v>102</v>
      </c>
      <c r="N782" s="124" t="s">
        <v>391</v>
      </c>
      <c r="O782" s="124" t="s">
        <v>391</v>
      </c>
      <c r="P782" s="21">
        <v>34</v>
      </c>
      <c r="Q782" s="10" t="s">
        <v>54</v>
      </c>
      <c r="R782" s="10" t="s">
        <v>28</v>
      </c>
      <c r="S782" s="10"/>
      <c r="T782" s="10"/>
      <c r="U782" s="10" t="s">
        <v>1283</v>
      </c>
      <c r="V782" s="10" t="s">
        <v>1283</v>
      </c>
      <c r="W782" s="50">
        <f>+J782/$W$2</f>
        <v>3.2421013294857176E-4</v>
      </c>
    </row>
    <row r="783" spans="1:29">
      <c r="A783" s="10" t="s">
        <v>2915</v>
      </c>
      <c r="B783" s="10" t="s">
        <v>381</v>
      </c>
      <c r="C783" s="124">
        <v>46321</v>
      </c>
      <c r="D783" s="124" t="s">
        <v>492</v>
      </c>
      <c r="E783" s="21">
        <v>0.98113015999999997</v>
      </c>
      <c r="F783" s="10"/>
      <c r="G783" s="14">
        <v>8752704.4100000001</v>
      </c>
      <c r="H783" s="14">
        <v>8587542.25</v>
      </c>
      <c r="I783" s="14">
        <v>8752704.4100000001</v>
      </c>
      <c r="J783" s="14">
        <v>8587542.25</v>
      </c>
      <c r="K783" s="12">
        <v>69934122</v>
      </c>
      <c r="L783" s="10" t="s">
        <v>101</v>
      </c>
      <c r="M783" s="10" t="s">
        <v>102</v>
      </c>
      <c r="N783" s="124" t="s">
        <v>531</v>
      </c>
      <c r="O783" s="124" t="s">
        <v>531</v>
      </c>
      <c r="P783" s="21">
        <v>26</v>
      </c>
      <c r="Q783" s="10" t="s">
        <v>54</v>
      </c>
      <c r="R783" s="10" t="s">
        <v>28</v>
      </c>
      <c r="S783" s="10"/>
      <c r="T783" s="10"/>
      <c r="U783" s="10" t="s">
        <v>3382</v>
      </c>
      <c r="V783" s="10" t="s">
        <v>3382</v>
      </c>
      <c r="W783" s="50">
        <f>+J783/$W$2</f>
        <v>1.1416767142495361E-4</v>
      </c>
    </row>
    <row r="784" spans="1:29">
      <c r="A784" s="10" t="s">
        <v>540</v>
      </c>
      <c r="B784" s="10" t="s">
        <v>381</v>
      </c>
      <c r="C784" s="124">
        <v>46321</v>
      </c>
      <c r="D784" s="124" t="s">
        <v>492</v>
      </c>
      <c r="E784" s="21">
        <v>0.97617074000000004</v>
      </c>
      <c r="F784" s="10"/>
      <c r="G784" s="14">
        <v>6500236.5700000003</v>
      </c>
      <c r="H784" s="14">
        <v>6345340.7400000002</v>
      </c>
      <c r="I784" s="14">
        <v>6500236.5700000003</v>
      </c>
      <c r="J784" s="14">
        <v>6345340.7400000002</v>
      </c>
      <c r="K784" s="12">
        <v>90000581</v>
      </c>
      <c r="L784" s="10" t="s">
        <v>101</v>
      </c>
      <c r="M784" s="10" t="s">
        <v>102</v>
      </c>
      <c r="N784" s="124" t="s">
        <v>157</v>
      </c>
      <c r="O784" s="124" t="s">
        <v>157</v>
      </c>
      <c r="P784" s="21">
        <v>33</v>
      </c>
      <c r="Q784" s="10" t="s">
        <v>54</v>
      </c>
      <c r="R784" s="10" t="s">
        <v>28</v>
      </c>
      <c r="S784" s="10"/>
      <c r="T784" s="10"/>
      <c r="U784" s="10" t="s">
        <v>653</v>
      </c>
      <c r="V784" s="10" t="s">
        <v>653</v>
      </c>
      <c r="W784" s="50">
        <f>+J784/$W$2</f>
        <v>8.4358569145169803E-5</v>
      </c>
    </row>
    <row r="785" spans="1:23">
      <c r="A785" s="10" t="s">
        <v>675</v>
      </c>
      <c r="B785" s="10" t="s">
        <v>381</v>
      </c>
      <c r="C785" s="124">
        <v>46321</v>
      </c>
      <c r="D785" s="124" t="s">
        <v>492</v>
      </c>
      <c r="E785" s="21">
        <v>0.97829005000000002</v>
      </c>
      <c r="F785" s="10"/>
      <c r="G785" s="14">
        <v>100000000</v>
      </c>
      <c r="H785" s="14">
        <v>97829004.939999998</v>
      </c>
      <c r="I785" s="14">
        <v>100000000</v>
      </c>
      <c r="J785" s="14">
        <v>97829004.939999998</v>
      </c>
      <c r="K785" s="12">
        <v>90004009</v>
      </c>
      <c r="L785" s="10" t="s">
        <v>101</v>
      </c>
      <c r="M785" s="10" t="s">
        <v>102</v>
      </c>
      <c r="N785" s="124" t="s">
        <v>414</v>
      </c>
      <c r="O785" s="124" t="s">
        <v>414</v>
      </c>
      <c r="P785" s="21">
        <v>30</v>
      </c>
      <c r="Q785" s="10" t="s">
        <v>54</v>
      </c>
      <c r="R785" s="10" t="s">
        <v>28</v>
      </c>
      <c r="S785" s="10"/>
      <c r="T785" s="10"/>
      <c r="U785" s="10" t="s">
        <v>1478</v>
      </c>
      <c r="V785" s="10" t="s">
        <v>1478</v>
      </c>
      <c r="W785" s="50">
        <f>+J785/$W$2</f>
        <v>1.3005944386264979E-3</v>
      </c>
    </row>
    <row r="786" spans="1:23">
      <c r="A786" s="10" t="s">
        <v>675</v>
      </c>
      <c r="B786" s="10" t="s">
        <v>381</v>
      </c>
      <c r="C786" s="124">
        <v>46321</v>
      </c>
      <c r="D786" s="124" t="s">
        <v>492</v>
      </c>
      <c r="E786" s="21">
        <v>0.97829005000000002</v>
      </c>
      <c r="F786" s="10"/>
      <c r="G786" s="14">
        <v>100000000</v>
      </c>
      <c r="H786" s="14">
        <v>97829004.939999998</v>
      </c>
      <c r="I786" s="14">
        <v>100000000</v>
      </c>
      <c r="J786" s="14">
        <v>97829004.939999998</v>
      </c>
      <c r="K786" s="12">
        <v>90004010</v>
      </c>
      <c r="L786" s="10" t="s">
        <v>101</v>
      </c>
      <c r="M786" s="10" t="s">
        <v>102</v>
      </c>
      <c r="N786" s="124" t="s">
        <v>414</v>
      </c>
      <c r="O786" s="124" t="s">
        <v>414</v>
      </c>
      <c r="P786" s="21">
        <v>30</v>
      </c>
      <c r="Q786" s="10" t="s">
        <v>54</v>
      </c>
      <c r="R786" s="10" t="s">
        <v>28</v>
      </c>
      <c r="S786" s="10"/>
      <c r="T786" s="10"/>
      <c r="U786" s="10" t="s">
        <v>1479</v>
      </c>
      <c r="V786" s="10" t="s">
        <v>1479</v>
      </c>
      <c r="W786" s="50">
        <f>+J786/$W$2</f>
        <v>1.3005944386264979E-3</v>
      </c>
    </row>
    <row r="787" spans="1:23">
      <c r="A787" s="10" t="s">
        <v>426</v>
      </c>
      <c r="B787" s="10" t="s">
        <v>381</v>
      </c>
      <c r="C787" s="124">
        <v>46321</v>
      </c>
      <c r="D787" s="124" t="s">
        <v>492</v>
      </c>
      <c r="E787" s="21">
        <v>0.97864432999999995</v>
      </c>
      <c r="F787" s="10"/>
      <c r="G787" s="14">
        <v>5633315</v>
      </c>
      <c r="H787" s="14">
        <v>5513011.79</v>
      </c>
      <c r="I787" s="14">
        <v>5633315</v>
      </c>
      <c r="J787" s="14">
        <v>5513011.79</v>
      </c>
      <c r="K787" s="12">
        <v>69874516</v>
      </c>
      <c r="L787" s="10" t="s">
        <v>101</v>
      </c>
      <c r="M787" s="10" t="s">
        <v>102</v>
      </c>
      <c r="N787" s="124" t="s">
        <v>472</v>
      </c>
      <c r="O787" s="124" t="s">
        <v>472</v>
      </c>
      <c r="P787" s="21">
        <v>29.5</v>
      </c>
      <c r="Q787" s="10" t="s">
        <v>54</v>
      </c>
      <c r="R787" s="10" t="s">
        <v>28</v>
      </c>
      <c r="S787" s="10"/>
      <c r="T787" s="10"/>
      <c r="U787" s="10" t="s">
        <v>3162</v>
      </c>
      <c r="V787" s="10" t="s">
        <v>3162</v>
      </c>
      <c r="W787" s="50">
        <f>+J787/$W$2</f>
        <v>7.3293114639711425E-5</v>
      </c>
    </row>
    <row r="788" spans="1:23">
      <c r="A788" s="10" t="s">
        <v>427</v>
      </c>
      <c r="B788" s="10" t="s">
        <v>381</v>
      </c>
      <c r="C788" s="124">
        <v>46321</v>
      </c>
      <c r="D788" s="124" t="s">
        <v>492</v>
      </c>
      <c r="E788" s="21">
        <v>0.97970800000000002</v>
      </c>
      <c r="F788" s="10"/>
      <c r="G788" s="14">
        <v>2500000</v>
      </c>
      <c r="H788" s="14">
        <v>2449270</v>
      </c>
      <c r="I788" s="14">
        <v>2500000</v>
      </c>
      <c r="J788" s="14">
        <v>2449270</v>
      </c>
      <c r="K788" s="12">
        <v>90031820</v>
      </c>
      <c r="L788" s="10" t="s">
        <v>101</v>
      </c>
      <c r="M788" s="10" t="s">
        <v>102</v>
      </c>
      <c r="N788" s="124" t="s">
        <v>277</v>
      </c>
      <c r="O788" s="124" t="s">
        <v>277</v>
      </c>
      <c r="P788" s="21">
        <v>28</v>
      </c>
      <c r="Q788" s="10" t="s">
        <v>54</v>
      </c>
      <c r="R788" s="10" t="s">
        <v>28</v>
      </c>
      <c r="S788" s="10"/>
      <c r="T788" s="10"/>
      <c r="U788" s="10" t="s">
        <v>517</v>
      </c>
      <c r="V788" s="10" t="s">
        <v>517</v>
      </c>
      <c r="W788" s="50">
        <f>+J788/$W$2</f>
        <v>3.2561988570245014E-5</v>
      </c>
    </row>
    <row r="789" spans="1:23">
      <c r="A789" s="10" t="s">
        <v>382</v>
      </c>
      <c r="B789" s="10" t="s">
        <v>381</v>
      </c>
      <c r="C789" s="124">
        <v>46321</v>
      </c>
      <c r="D789" s="124" t="s">
        <v>492</v>
      </c>
      <c r="E789" s="21">
        <v>0.97687617000000004</v>
      </c>
      <c r="F789" s="10"/>
      <c r="G789" s="14">
        <v>2000000</v>
      </c>
      <c r="H789" s="14">
        <v>1953752.35</v>
      </c>
      <c r="I789" s="14">
        <v>2000000</v>
      </c>
      <c r="J789" s="14">
        <v>1953752.35</v>
      </c>
      <c r="K789" s="12">
        <v>1072</v>
      </c>
      <c r="L789" s="10" t="s">
        <v>101</v>
      </c>
      <c r="M789" s="10" t="s">
        <v>102</v>
      </c>
      <c r="N789" s="124" t="s">
        <v>432</v>
      </c>
      <c r="O789" s="124" t="s">
        <v>432</v>
      </c>
      <c r="P789" s="21">
        <v>32</v>
      </c>
      <c r="Q789" s="10" t="s">
        <v>54</v>
      </c>
      <c r="R789" s="10" t="s">
        <v>28</v>
      </c>
      <c r="S789" s="10"/>
      <c r="T789" s="10"/>
      <c r="U789" s="10" t="s">
        <v>1835</v>
      </c>
      <c r="V789" s="10" t="s">
        <v>1835</v>
      </c>
      <c r="W789" s="50">
        <f>+J789/$W$2</f>
        <v>2.5974295071506748E-5</v>
      </c>
    </row>
    <row r="790" spans="1:23">
      <c r="A790" s="10" t="s">
        <v>382</v>
      </c>
      <c r="B790" s="10" t="s">
        <v>381</v>
      </c>
      <c r="C790" s="124">
        <v>46321</v>
      </c>
      <c r="D790" s="124" t="s">
        <v>492</v>
      </c>
      <c r="E790" s="21">
        <v>0.97829001999999998</v>
      </c>
      <c r="F790" s="10"/>
      <c r="G790" s="14">
        <v>3300000</v>
      </c>
      <c r="H790" s="14">
        <v>3228357.05</v>
      </c>
      <c r="I790" s="14">
        <v>3300000</v>
      </c>
      <c r="J790" s="14">
        <v>3228357.05</v>
      </c>
      <c r="K790" s="12">
        <v>927</v>
      </c>
      <c r="L790" s="10" t="s">
        <v>101</v>
      </c>
      <c r="M790" s="10" t="s">
        <v>102</v>
      </c>
      <c r="N790" s="124" t="s">
        <v>397</v>
      </c>
      <c r="O790" s="124" t="s">
        <v>397</v>
      </c>
      <c r="P790" s="21">
        <v>30</v>
      </c>
      <c r="Q790" s="10" t="s">
        <v>54</v>
      </c>
      <c r="R790" s="10" t="s">
        <v>28</v>
      </c>
      <c r="S790" s="10"/>
      <c r="T790" s="10"/>
      <c r="U790" s="10" t="s">
        <v>1452</v>
      </c>
      <c r="V790" s="10" t="s">
        <v>1452</v>
      </c>
      <c r="W790" s="50">
        <f>+J790/$W$2</f>
        <v>4.2919614972122264E-5</v>
      </c>
    </row>
    <row r="791" spans="1:23">
      <c r="A791" s="10" t="s">
        <v>382</v>
      </c>
      <c r="B791" s="10" t="s">
        <v>381</v>
      </c>
      <c r="C791" s="124">
        <v>46321</v>
      </c>
      <c r="D791" s="124" t="s">
        <v>492</v>
      </c>
      <c r="E791" s="21">
        <v>0.97829001000000004</v>
      </c>
      <c r="F791" s="10"/>
      <c r="G791" s="14">
        <v>2500000</v>
      </c>
      <c r="H791" s="14">
        <v>2445725.02</v>
      </c>
      <c r="I791" s="14">
        <v>2500000</v>
      </c>
      <c r="J791" s="14">
        <v>2445725.02</v>
      </c>
      <c r="K791" s="12">
        <v>908</v>
      </c>
      <c r="L791" s="10" t="s">
        <v>101</v>
      </c>
      <c r="M791" s="10" t="s">
        <v>102</v>
      </c>
      <c r="N791" s="124" t="s">
        <v>349</v>
      </c>
      <c r="O791" s="124" t="s">
        <v>349</v>
      </c>
      <c r="P791" s="21">
        <v>30</v>
      </c>
      <c r="Q791" s="10" t="s">
        <v>54</v>
      </c>
      <c r="R791" s="10" t="s">
        <v>28</v>
      </c>
      <c r="S791" s="10"/>
      <c r="T791" s="10"/>
      <c r="U791" s="10" t="s">
        <v>1337</v>
      </c>
      <c r="V791" s="10" t="s">
        <v>1337</v>
      </c>
      <c r="W791" s="50">
        <f>+J791/$W$2</f>
        <v>3.251485958967458E-5</v>
      </c>
    </row>
    <row r="792" spans="1:23">
      <c r="A792" s="10" t="s">
        <v>382</v>
      </c>
      <c r="B792" s="10" t="s">
        <v>381</v>
      </c>
      <c r="C792" s="124">
        <v>46321</v>
      </c>
      <c r="D792" s="124" t="s">
        <v>492</v>
      </c>
      <c r="E792" s="21">
        <v>0.97829009</v>
      </c>
      <c r="F792" s="10"/>
      <c r="G792" s="14">
        <v>2500000</v>
      </c>
      <c r="H792" s="14">
        <v>2445725.2200000002</v>
      </c>
      <c r="I792" s="14">
        <v>2500000</v>
      </c>
      <c r="J792" s="14">
        <v>2445725.2200000002</v>
      </c>
      <c r="K792" s="12">
        <v>884</v>
      </c>
      <c r="L792" s="10" t="s">
        <v>101</v>
      </c>
      <c r="M792" s="10" t="s">
        <v>102</v>
      </c>
      <c r="N792" s="124" t="s">
        <v>435</v>
      </c>
      <c r="O792" s="124" t="s">
        <v>435</v>
      </c>
      <c r="P792" s="21">
        <v>30</v>
      </c>
      <c r="Q792" s="10" t="s">
        <v>54</v>
      </c>
      <c r="R792" s="10" t="s">
        <v>28</v>
      </c>
      <c r="S792" s="10"/>
      <c r="T792" s="10"/>
      <c r="U792" s="10" t="s">
        <v>1312</v>
      </c>
      <c r="V792" s="10" t="s">
        <v>1312</v>
      </c>
      <c r="W792" s="50">
        <f>+J792/$W$2</f>
        <v>3.2514862248588346E-5</v>
      </c>
    </row>
    <row r="793" spans="1:23">
      <c r="A793" s="10" t="s">
        <v>3578</v>
      </c>
      <c r="B793" s="10" t="s">
        <v>381</v>
      </c>
      <c r="C793" s="124">
        <v>46321</v>
      </c>
      <c r="D793" s="124" t="s">
        <v>492</v>
      </c>
      <c r="E793" s="21">
        <v>0.97829016999999996</v>
      </c>
      <c r="F793" s="10"/>
      <c r="G793" s="14">
        <v>2082031.9</v>
      </c>
      <c r="H793" s="14">
        <v>2036831.35</v>
      </c>
      <c r="I793" s="14">
        <v>2082031.9</v>
      </c>
      <c r="J793" s="14">
        <v>2036831.35</v>
      </c>
      <c r="K793" s="12">
        <v>34</v>
      </c>
      <c r="L793" s="10" t="s">
        <v>101</v>
      </c>
      <c r="M793" s="10" t="s">
        <v>102</v>
      </c>
      <c r="N793" s="124" t="s">
        <v>492</v>
      </c>
      <c r="O793" s="124" t="s">
        <v>492</v>
      </c>
      <c r="P793" s="21">
        <v>30</v>
      </c>
      <c r="Q793" s="10" t="s">
        <v>54</v>
      </c>
      <c r="R793" s="10" t="s">
        <v>28</v>
      </c>
      <c r="S793" s="10"/>
      <c r="T793" s="10"/>
      <c r="U793" s="10" t="s">
        <v>3554</v>
      </c>
      <c r="V793" s="10" t="s">
        <v>3554</v>
      </c>
      <c r="W793" s="50">
        <f>+J793/$W$2</f>
        <v>2.7078794554384252E-5</v>
      </c>
    </row>
    <row r="794" spans="1:23">
      <c r="A794" s="10" t="s">
        <v>3581</v>
      </c>
      <c r="B794" s="10" t="s">
        <v>381</v>
      </c>
      <c r="C794" s="124">
        <v>46321</v>
      </c>
      <c r="D794" s="124" t="s">
        <v>492</v>
      </c>
      <c r="E794" s="21">
        <v>0.97829016999999996</v>
      </c>
      <c r="F794" s="10"/>
      <c r="G794" s="14">
        <v>1785672</v>
      </c>
      <c r="H794" s="14">
        <v>1746905.37</v>
      </c>
      <c r="I794" s="14">
        <v>1785672</v>
      </c>
      <c r="J794" s="14">
        <v>1746905.37</v>
      </c>
      <c r="K794" s="12">
        <v>834</v>
      </c>
      <c r="L794" s="10" t="s">
        <v>101</v>
      </c>
      <c r="M794" s="10" t="s">
        <v>102</v>
      </c>
      <c r="N794" s="124" t="s">
        <v>492</v>
      </c>
      <c r="O794" s="124" t="s">
        <v>492</v>
      </c>
      <c r="P794" s="21">
        <v>30</v>
      </c>
      <c r="Q794" s="10" t="s">
        <v>54</v>
      </c>
      <c r="R794" s="10" t="s">
        <v>28</v>
      </c>
      <c r="S794" s="10"/>
      <c r="T794" s="10"/>
      <c r="U794" s="10" t="s">
        <v>3564</v>
      </c>
      <c r="V794" s="10" t="s">
        <v>3564</v>
      </c>
      <c r="W794" s="50">
        <f>+J794/$W$2</f>
        <v>2.3224353660984555E-5</v>
      </c>
    </row>
    <row r="795" spans="1:23">
      <c r="A795" s="10" t="s">
        <v>382</v>
      </c>
      <c r="B795" s="10" t="s">
        <v>381</v>
      </c>
      <c r="C795" s="124">
        <v>46322</v>
      </c>
      <c r="D795" s="124" t="s">
        <v>492</v>
      </c>
      <c r="E795" s="21">
        <v>0.97604029000000003</v>
      </c>
      <c r="F795" s="10"/>
      <c r="G795" s="14">
        <v>4000000</v>
      </c>
      <c r="H795" s="14">
        <v>3904161.18</v>
      </c>
      <c r="I795" s="14">
        <v>4000000</v>
      </c>
      <c r="J795" s="14">
        <v>3904161.18</v>
      </c>
      <c r="K795" s="12">
        <v>1153</v>
      </c>
      <c r="L795" s="10" t="s">
        <v>101</v>
      </c>
      <c r="M795" s="10" t="s">
        <v>102</v>
      </c>
      <c r="N795" s="124" t="s">
        <v>416</v>
      </c>
      <c r="O795" s="124" t="s">
        <v>416</v>
      </c>
      <c r="P795" s="21">
        <v>32</v>
      </c>
      <c r="Q795" s="10" t="s">
        <v>54</v>
      </c>
      <c r="R795" s="10" t="s">
        <v>28</v>
      </c>
      <c r="S795" s="10"/>
      <c r="T795" s="10"/>
      <c r="U795" s="10" t="s">
        <v>2150</v>
      </c>
      <c r="V795" s="10" t="s">
        <v>2150</v>
      </c>
      <c r="W795" s="50">
        <f>+J795/$W$2</f>
        <v>5.1904139486277248E-5</v>
      </c>
    </row>
    <row r="796" spans="1:23">
      <c r="A796" s="10" t="s">
        <v>382</v>
      </c>
      <c r="B796" s="10" t="s">
        <v>381</v>
      </c>
      <c r="C796" s="124">
        <v>46322</v>
      </c>
      <c r="D796" s="124" t="s">
        <v>492</v>
      </c>
      <c r="E796" s="21">
        <v>0.97750409000000005</v>
      </c>
      <c r="F796" s="10"/>
      <c r="G796" s="14">
        <v>5000000</v>
      </c>
      <c r="H796" s="14">
        <v>4887520.43</v>
      </c>
      <c r="I796" s="14">
        <v>5000000</v>
      </c>
      <c r="J796" s="14">
        <v>4887520.43</v>
      </c>
      <c r="K796" s="12">
        <v>1220</v>
      </c>
      <c r="L796" s="10" t="s">
        <v>101</v>
      </c>
      <c r="M796" s="10" t="s">
        <v>102</v>
      </c>
      <c r="N796" s="124" t="s">
        <v>552</v>
      </c>
      <c r="O796" s="124" t="s">
        <v>552</v>
      </c>
      <c r="P796" s="21">
        <v>30</v>
      </c>
      <c r="Q796" s="10" t="s">
        <v>54</v>
      </c>
      <c r="R796" s="10" t="s">
        <v>28</v>
      </c>
      <c r="S796" s="10"/>
      <c r="T796" s="10"/>
      <c r="U796" s="10" t="s">
        <v>2354</v>
      </c>
      <c r="V796" s="10" t="s">
        <v>2354</v>
      </c>
      <c r="W796" s="50">
        <f>+J796/$W$2</f>
        <v>6.497747670877403E-5</v>
      </c>
    </row>
    <row r="797" spans="1:23">
      <c r="A797" s="10" t="s">
        <v>382</v>
      </c>
      <c r="B797" s="10" t="s">
        <v>381</v>
      </c>
      <c r="C797" s="124">
        <v>46322</v>
      </c>
      <c r="D797" s="124" t="s">
        <v>492</v>
      </c>
      <c r="E797" s="21">
        <v>0.97750408</v>
      </c>
      <c r="F797" s="10"/>
      <c r="G797" s="14">
        <v>5000000</v>
      </c>
      <c r="H797" s="14">
        <v>4887520.42</v>
      </c>
      <c r="I797" s="14">
        <v>5000000</v>
      </c>
      <c r="J797" s="14">
        <v>4887520.42</v>
      </c>
      <c r="K797" s="12">
        <v>1249</v>
      </c>
      <c r="L797" s="10" t="s">
        <v>101</v>
      </c>
      <c r="M797" s="10" t="s">
        <v>102</v>
      </c>
      <c r="N797" s="124" t="s">
        <v>486</v>
      </c>
      <c r="O797" s="124" t="s">
        <v>486</v>
      </c>
      <c r="P797" s="21">
        <v>30</v>
      </c>
      <c r="Q797" s="10" t="s">
        <v>54</v>
      </c>
      <c r="R797" s="10" t="s">
        <v>28</v>
      </c>
      <c r="S797" s="10"/>
      <c r="T797" s="10"/>
      <c r="U797" s="10" t="s">
        <v>2838</v>
      </c>
      <c r="V797" s="10" t="s">
        <v>2838</v>
      </c>
      <c r="W797" s="50">
        <f>+J797/$W$2</f>
        <v>6.4977476575828346E-5</v>
      </c>
    </row>
    <row r="798" spans="1:23">
      <c r="A798" s="10" t="s">
        <v>382</v>
      </c>
      <c r="B798" s="10" t="s">
        <v>381</v>
      </c>
      <c r="C798" s="124">
        <v>46322</v>
      </c>
      <c r="D798" s="124" t="s">
        <v>492</v>
      </c>
      <c r="E798" s="21">
        <v>0.97750402000000003</v>
      </c>
      <c r="F798" s="10"/>
      <c r="G798" s="14">
        <v>5000000</v>
      </c>
      <c r="H798" s="14">
        <v>4887520.12</v>
      </c>
      <c r="I798" s="14">
        <v>5000000</v>
      </c>
      <c r="J798" s="14">
        <v>4887520.12</v>
      </c>
      <c r="K798" s="12">
        <v>1242</v>
      </c>
      <c r="L798" s="10" t="s">
        <v>101</v>
      </c>
      <c r="M798" s="10" t="s">
        <v>102</v>
      </c>
      <c r="N798" s="124" t="s">
        <v>422</v>
      </c>
      <c r="O798" s="124" t="s">
        <v>422</v>
      </c>
      <c r="P798" s="21">
        <v>30</v>
      </c>
      <c r="Q798" s="10" t="s">
        <v>54</v>
      </c>
      <c r="R798" s="10" t="s">
        <v>28</v>
      </c>
      <c r="S798" s="10"/>
      <c r="T798" s="10"/>
      <c r="U798" s="10" t="s">
        <v>2735</v>
      </c>
      <c r="V798" s="10" t="s">
        <v>2735</v>
      </c>
      <c r="W798" s="50">
        <f>+J798/$W$2</f>
        <v>6.4977472587457704E-5</v>
      </c>
    </row>
    <row r="799" spans="1:23">
      <c r="A799" s="10" t="s">
        <v>382</v>
      </c>
      <c r="B799" s="10" t="s">
        <v>381</v>
      </c>
      <c r="C799" s="124">
        <v>46322</v>
      </c>
      <c r="D799" s="124" t="s">
        <v>492</v>
      </c>
      <c r="E799" s="21">
        <v>0.97750417999999994</v>
      </c>
      <c r="F799" s="10"/>
      <c r="G799" s="14">
        <v>4000000</v>
      </c>
      <c r="H799" s="14">
        <v>3910016.71</v>
      </c>
      <c r="I799" s="14">
        <v>4000000</v>
      </c>
      <c r="J799" s="14">
        <v>3910016.71</v>
      </c>
      <c r="K799" s="12">
        <v>1287</v>
      </c>
      <c r="L799" s="10" t="s">
        <v>101</v>
      </c>
      <c r="M799" s="10" t="s">
        <v>102</v>
      </c>
      <c r="N799" s="124" t="s">
        <v>472</v>
      </c>
      <c r="O799" s="124" t="s">
        <v>472</v>
      </c>
      <c r="P799" s="21">
        <v>30</v>
      </c>
      <c r="Q799" s="10" t="s">
        <v>54</v>
      </c>
      <c r="R799" s="10" t="s">
        <v>28</v>
      </c>
      <c r="S799" s="10"/>
      <c r="T799" s="10"/>
      <c r="U799" s="10" t="s">
        <v>3231</v>
      </c>
      <c r="V799" s="10" t="s">
        <v>3231</v>
      </c>
      <c r="W799" s="50">
        <f>+J799/$W$2</f>
        <v>5.1981986232831413E-5</v>
      </c>
    </row>
    <row r="800" spans="1:23">
      <c r="A800" s="10" t="s">
        <v>382</v>
      </c>
      <c r="B800" s="10" t="s">
        <v>381</v>
      </c>
      <c r="C800" s="124">
        <v>46322</v>
      </c>
      <c r="D800" s="124" t="s">
        <v>492</v>
      </c>
      <c r="E800" s="21">
        <v>0.97604031999999996</v>
      </c>
      <c r="F800" s="10"/>
      <c r="G800" s="14">
        <v>3000000</v>
      </c>
      <c r="H800" s="14">
        <v>2928120.95</v>
      </c>
      <c r="I800" s="14">
        <v>3000000</v>
      </c>
      <c r="J800" s="14">
        <v>2928120.95</v>
      </c>
      <c r="K800" s="12">
        <v>1044</v>
      </c>
      <c r="L800" s="10" t="s">
        <v>101</v>
      </c>
      <c r="M800" s="10" t="s">
        <v>102</v>
      </c>
      <c r="N800" s="124" t="s">
        <v>398</v>
      </c>
      <c r="O800" s="124" t="s">
        <v>398</v>
      </c>
      <c r="P800" s="21">
        <v>32</v>
      </c>
      <c r="Q800" s="10" t="s">
        <v>54</v>
      </c>
      <c r="R800" s="10" t="s">
        <v>28</v>
      </c>
      <c r="S800" s="10"/>
      <c r="T800" s="10"/>
      <c r="U800" s="10" t="s">
        <v>1738</v>
      </c>
      <c r="V800" s="10" t="s">
        <v>1738</v>
      </c>
      <c r="W800" s="50">
        <f>+J800/$W$2</f>
        <v>3.8928105478854909E-5</v>
      </c>
    </row>
    <row r="801" spans="1:23">
      <c r="A801" s="10" t="s">
        <v>389</v>
      </c>
      <c r="B801" s="10" t="s">
        <v>381</v>
      </c>
      <c r="C801" s="124">
        <v>46322</v>
      </c>
      <c r="D801" s="124" t="s">
        <v>492</v>
      </c>
      <c r="E801" s="21">
        <v>0.97604024</v>
      </c>
      <c r="F801" s="10"/>
      <c r="G801" s="14">
        <v>10655603.279999999</v>
      </c>
      <c r="H801" s="14">
        <v>10400297.550000001</v>
      </c>
      <c r="I801" s="14">
        <v>10655603.279999999</v>
      </c>
      <c r="J801" s="14">
        <v>10400297.550000001</v>
      </c>
      <c r="K801" s="12">
        <v>30830</v>
      </c>
      <c r="L801" s="10" t="s">
        <v>101</v>
      </c>
      <c r="M801" s="10" t="s">
        <v>102</v>
      </c>
      <c r="N801" s="124" t="s">
        <v>396</v>
      </c>
      <c r="O801" s="124" t="s">
        <v>396</v>
      </c>
      <c r="P801" s="21">
        <v>32</v>
      </c>
      <c r="Q801" s="10" t="s">
        <v>54</v>
      </c>
      <c r="R801" s="10" t="s">
        <v>28</v>
      </c>
      <c r="S801" s="10"/>
      <c r="T801" s="10"/>
      <c r="U801" s="10" t="s">
        <v>870</v>
      </c>
      <c r="V801" s="10" t="s">
        <v>870</v>
      </c>
      <c r="W801" s="50">
        <f>+J801/$W$2</f>
        <v>1.382674715120208E-4</v>
      </c>
    </row>
    <row r="802" spans="1:23">
      <c r="A802" s="10" t="s">
        <v>353</v>
      </c>
      <c r="B802" s="10" t="s">
        <v>381</v>
      </c>
      <c r="C802" s="124">
        <v>46322</v>
      </c>
      <c r="D802" s="124" t="s">
        <v>492</v>
      </c>
      <c r="E802" s="21">
        <v>0.97312582000000003</v>
      </c>
      <c r="F802" s="10"/>
      <c r="G802" s="14">
        <v>3625698.78</v>
      </c>
      <c r="H802" s="14">
        <v>3528261.1</v>
      </c>
      <c r="I802" s="14">
        <v>3625698.78</v>
      </c>
      <c r="J802" s="14">
        <v>3528261.1</v>
      </c>
      <c r="K802" s="12">
        <v>3345</v>
      </c>
      <c r="L802" s="10" t="s">
        <v>101</v>
      </c>
      <c r="M802" s="10" t="s">
        <v>102</v>
      </c>
      <c r="N802" s="124" t="s">
        <v>348</v>
      </c>
      <c r="O802" s="124" t="s">
        <v>348</v>
      </c>
      <c r="P802" s="21">
        <v>36</v>
      </c>
      <c r="Q802" s="10" t="s">
        <v>54</v>
      </c>
      <c r="R802" s="10" t="s">
        <v>28</v>
      </c>
      <c r="S802" s="10"/>
      <c r="T802" s="10"/>
      <c r="U802" s="10" t="s">
        <v>1902</v>
      </c>
      <c r="V802" s="10" t="s">
        <v>1902</v>
      </c>
      <c r="W802" s="50">
        <f>+J802/$W$2</f>
        <v>4.690671000381342E-5</v>
      </c>
    </row>
    <row r="803" spans="1:23">
      <c r="A803" s="10" t="s">
        <v>353</v>
      </c>
      <c r="B803" s="10" t="s">
        <v>381</v>
      </c>
      <c r="C803" s="124">
        <v>46322</v>
      </c>
      <c r="D803" s="124" t="s">
        <v>492</v>
      </c>
      <c r="E803" s="21">
        <v>0.97312584000000002</v>
      </c>
      <c r="F803" s="10"/>
      <c r="G803" s="14">
        <v>1874176.47</v>
      </c>
      <c r="H803" s="14">
        <v>1823809.56</v>
      </c>
      <c r="I803" s="14">
        <v>1874176.47</v>
      </c>
      <c r="J803" s="14">
        <v>1823809.56</v>
      </c>
      <c r="K803" s="12">
        <v>3464</v>
      </c>
      <c r="L803" s="10" t="s">
        <v>101</v>
      </c>
      <c r="M803" s="10" t="s">
        <v>102</v>
      </c>
      <c r="N803" s="124" t="s">
        <v>431</v>
      </c>
      <c r="O803" s="124" t="s">
        <v>431</v>
      </c>
      <c r="P803" s="21">
        <v>36</v>
      </c>
      <c r="Q803" s="10" t="s">
        <v>54</v>
      </c>
      <c r="R803" s="10" t="s">
        <v>28</v>
      </c>
      <c r="S803" s="10"/>
      <c r="T803" s="10"/>
      <c r="U803" s="10" t="s">
        <v>2286</v>
      </c>
      <c r="V803" s="10" t="s">
        <v>2286</v>
      </c>
      <c r="W803" s="50">
        <f>+J803/$W$2</f>
        <v>2.4246761707375496E-5</v>
      </c>
    </row>
    <row r="804" spans="1:23">
      <c r="A804" s="10" t="s">
        <v>2617</v>
      </c>
      <c r="B804" s="10" t="s">
        <v>381</v>
      </c>
      <c r="C804" s="124">
        <v>46322</v>
      </c>
      <c r="D804" s="124" t="s">
        <v>492</v>
      </c>
      <c r="E804" s="21">
        <v>0.97604031999999996</v>
      </c>
      <c r="F804" s="10"/>
      <c r="G804" s="14">
        <v>1509475</v>
      </c>
      <c r="H804" s="14">
        <v>1473308.46</v>
      </c>
      <c r="I804" s="14">
        <v>1509475</v>
      </c>
      <c r="J804" s="14">
        <v>1473308.46</v>
      </c>
      <c r="K804" s="12">
        <v>3848024</v>
      </c>
      <c r="L804" s="10" t="s">
        <v>101</v>
      </c>
      <c r="M804" s="10" t="s">
        <v>102</v>
      </c>
      <c r="N804" s="124" t="s">
        <v>423</v>
      </c>
      <c r="O804" s="124" t="s">
        <v>423</v>
      </c>
      <c r="P804" s="21">
        <v>32</v>
      </c>
      <c r="Q804" s="10" t="s">
        <v>54</v>
      </c>
      <c r="R804" s="10" t="s">
        <v>28</v>
      </c>
      <c r="S804" s="10"/>
      <c r="T804" s="10"/>
      <c r="U804" s="10" t="s">
        <v>2569</v>
      </c>
      <c r="V804" s="10" t="s">
        <v>2569</v>
      </c>
      <c r="W804" s="50">
        <f>+J804/$W$2</f>
        <v>1.9587000712443004E-5</v>
      </c>
    </row>
    <row r="805" spans="1:23">
      <c r="A805" s="10" t="s">
        <v>1504</v>
      </c>
      <c r="B805" s="10" t="s">
        <v>381</v>
      </c>
      <c r="C805" s="124">
        <v>46322</v>
      </c>
      <c r="D805" s="124" t="s">
        <v>492</v>
      </c>
      <c r="E805" s="21">
        <v>0.97897223</v>
      </c>
      <c r="F805" s="10"/>
      <c r="G805" s="14">
        <v>150000000</v>
      </c>
      <c r="H805" s="14">
        <v>146845834.63999999</v>
      </c>
      <c r="I805" s="14">
        <v>150000000</v>
      </c>
      <c r="J805" s="14">
        <v>146845834.63999999</v>
      </c>
      <c r="K805" s="12">
        <v>81</v>
      </c>
      <c r="L805" s="10" t="s">
        <v>101</v>
      </c>
      <c r="M805" s="10" t="s">
        <v>102</v>
      </c>
      <c r="N805" s="124" t="s">
        <v>414</v>
      </c>
      <c r="O805" s="124" t="s">
        <v>414</v>
      </c>
      <c r="P805" s="21">
        <v>28</v>
      </c>
      <c r="Q805" s="10" t="s">
        <v>54</v>
      </c>
      <c r="R805" s="10" t="s">
        <v>28</v>
      </c>
      <c r="S805" s="10"/>
      <c r="T805" s="10"/>
      <c r="U805" s="10" t="s">
        <v>1489</v>
      </c>
      <c r="V805" s="10" t="s">
        <v>1489</v>
      </c>
      <c r="W805" s="50">
        <f>+J805/$W$2</f>
        <v>1.9522520543409948E-3</v>
      </c>
    </row>
    <row r="806" spans="1:23">
      <c r="A806" s="10" t="s">
        <v>353</v>
      </c>
      <c r="B806" s="10" t="s">
        <v>381</v>
      </c>
      <c r="C806" s="124">
        <v>46322</v>
      </c>
      <c r="D806" s="124" t="s">
        <v>492</v>
      </c>
      <c r="E806" s="21">
        <v>0.97458085999999999</v>
      </c>
      <c r="F806" s="10"/>
      <c r="G806" s="14">
        <v>1020845.65</v>
      </c>
      <c r="H806" s="14">
        <v>994896.63</v>
      </c>
      <c r="I806" s="14">
        <v>1020845.65</v>
      </c>
      <c r="J806" s="14">
        <v>994896.63</v>
      </c>
      <c r="K806" s="12">
        <v>2904</v>
      </c>
      <c r="L806" s="10" t="s">
        <v>101</v>
      </c>
      <c r="M806" s="10" t="s">
        <v>102</v>
      </c>
      <c r="N806" s="124" t="s">
        <v>323</v>
      </c>
      <c r="O806" s="124" t="s">
        <v>323</v>
      </c>
      <c r="P806" s="21">
        <v>34</v>
      </c>
      <c r="Q806" s="10" t="s">
        <v>54</v>
      </c>
      <c r="R806" s="10" t="s">
        <v>28</v>
      </c>
      <c r="S806" s="10"/>
      <c r="T806" s="10"/>
      <c r="U806" s="10" t="s">
        <v>920</v>
      </c>
      <c r="V806" s="10" t="s">
        <v>920</v>
      </c>
      <c r="W806" s="50">
        <f>+J806/$W$2</f>
        <v>1.3226721714892715E-5</v>
      </c>
    </row>
    <row r="807" spans="1:23">
      <c r="A807" s="10" t="s">
        <v>353</v>
      </c>
      <c r="B807" s="10" t="s">
        <v>381</v>
      </c>
      <c r="C807" s="124">
        <v>46322</v>
      </c>
      <c r="D807" s="124" t="s">
        <v>492</v>
      </c>
      <c r="E807" s="21">
        <v>0.97458084</v>
      </c>
      <c r="F807" s="10"/>
      <c r="G807" s="14">
        <v>990902.64</v>
      </c>
      <c r="H807" s="14">
        <v>965714.73</v>
      </c>
      <c r="I807" s="14">
        <v>990902.64</v>
      </c>
      <c r="J807" s="14">
        <v>965714.73</v>
      </c>
      <c r="K807" s="12">
        <v>2954</v>
      </c>
      <c r="L807" s="10" t="s">
        <v>101</v>
      </c>
      <c r="M807" s="10" t="s">
        <v>102</v>
      </c>
      <c r="N807" s="124" t="s">
        <v>323</v>
      </c>
      <c r="O807" s="124" t="s">
        <v>323</v>
      </c>
      <c r="P807" s="21">
        <v>34</v>
      </c>
      <c r="Q807" s="10" t="s">
        <v>54</v>
      </c>
      <c r="R807" s="10" t="s">
        <v>28</v>
      </c>
      <c r="S807" s="10"/>
      <c r="T807" s="10"/>
      <c r="U807" s="10" t="s">
        <v>921</v>
      </c>
      <c r="V807" s="10" t="s">
        <v>921</v>
      </c>
      <c r="W807" s="50">
        <f>+J807/$W$2</f>
        <v>1.2838760937086253E-5</v>
      </c>
    </row>
    <row r="808" spans="1:23">
      <c r="A808" s="10" t="s">
        <v>273</v>
      </c>
      <c r="B808" s="10" t="s">
        <v>381</v>
      </c>
      <c r="C808" s="124">
        <v>46322</v>
      </c>
      <c r="D808" s="124" t="s">
        <v>492</v>
      </c>
      <c r="E808" s="21">
        <v>0.97750409999999999</v>
      </c>
      <c r="F808" s="10"/>
      <c r="G808" s="14">
        <v>5000000</v>
      </c>
      <c r="H808" s="14">
        <v>4887520.49</v>
      </c>
      <c r="I808" s="14">
        <v>5000000</v>
      </c>
      <c r="J808" s="14">
        <v>4887520.49</v>
      </c>
      <c r="K808" s="12">
        <v>8779</v>
      </c>
      <c r="L808" s="10" t="s">
        <v>101</v>
      </c>
      <c r="M808" s="10" t="s">
        <v>102</v>
      </c>
      <c r="N808" s="124" t="s">
        <v>322</v>
      </c>
      <c r="O808" s="124" t="s">
        <v>322</v>
      </c>
      <c r="P808" s="21">
        <v>30</v>
      </c>
      <c r="Q808" s="10" t="s">
        <v>54</v>
      </c>
      <c r="R808" s="10" t="s">
        <v>28</v>
      </c>
      <c r="S808" s="10"/>
      <c r="T808" s="10"/>
      <c r="U808" s="10" t="s">
        <v>1560</v>
      </c>
      <c r="V808" s="10" t="s">
        <v>1560</v>
      </c>
      <c r="W808" s="50">
        <f>+J808/$W$2</f>
        <v>6.4977477506448171E-5</v>
      </c>
    </row>
    <row r="809" spans="1:23">
      <c r="A809" s="10" t="s">
        <v>3449</v>
      </c>
      <c r="B809" s="10" t="s">
        <v>381</v>
      </c>
      <c r="C809" s="124">
        <v>46322</v>
      </c>
      <c r="D809" s="124" t="s">
        <v>492</v>
      </c>
      <c r="E809" s="21">
        <v>0.97750408</v>
      </c>
      <c r="F809" s="10"/>
      <c r="G809" s="14">
        <v>3049306.82</v>
      </c>
      <c r="H809" s="14">
        <v>2980709.85</v>
      </c>
      <c r="I809" s="14">
        <v>3049306.82</v>
      </c>
      <c r="J809" s="14">
        <v>2980709.85</v>
      </c>
      <c r="K809" s="12">
        <v>8956</v>
      </c>
      <c r="L809" s="10" t="s">
        <v>101</v>
      </c>
      <c r="M809" s="10" t="s">
        <v>102</v>
      </c>
      <c r="N809" s="124" t="s">
        <v>531</v>
      </c>
      <c r="O809" s="124" t="s">
        <v>531</v>
      </c>
      <c r="P809" s="21">
        <v>30</v>
      </c>
      <c r="Q809" s="10" t="s">
        <v>54</v>
      </c>
      <c r="R809" s="10" t="s">
        <v>28</v>
      </c>
      <c r="S809" s="10"/>
      <c r="T809" s="10"/>
      <c r="U809" s="10" t="s">
        <v>3427</v>
      </c>
      <c r="V809" s="10" t="s">
        <v>3427</v>
      </c>
      <c r="W809" s="50">
        <f>+J809/$W$2</f>
        <v>3.9627252228997507E-5</v>
      </c>
    </row>
    <row r="810" spans="1:23">
      <c r="A810" s="10" t="s">
        <v>1542</v>
      </c>
      <c r="B810" s="10" t="s">
        <v>381</v>
      </c>
      <c r="C810" s="124">
        <v>46322</v>
      </c>
      <c r="D810" s="124" t="s">
        <v>492</v>
      </c>
      <c r="E810" s="21">
        <v>0.97531005000000004</v>
      </c>
      <c r="F810" s="10"/>
      <c r="G810" s="14">
        <v>25000000</v>
      </c>
      <c r="H810" s="14">
        <v>24382751.190000001</v>
      </c>
      <c r="I810" s="14">
        <v>25000000</v>
      </c>
      <c r="J810" s="14">
        <v>24382751.190000001</v>
      </c>
      <c r="K810" s="12">
        <v>90016068</v>
      </c>
      <c r="L810" s="10" t="s">
        <v>101</v>
      </c>
      <c r="M810" s="10" t="s">
        <v>102</v>
      </c>
      <c r="N810" s="124" t="s">
        <v>322</v>
      </c>
      <c r="O810" s="124" t="s">
        <v>322</v>
      </c>
      <c r="P810" s="21">
        <v>33</v>
      </c>
      <c r="Q810" s="10" t="s">
        <v>54</v>
      </c>
      <c r="R810" s="10" t="s">
        <v>28</v>
      </c>
      <c r="S810" s="10"/>
      <c r="T810" s="10"/>
      <c r="U810" s="10" t="s">
        <v>1545</v>
      </c>
      <c r="V810" s="10" t="s">
        <v>1545</v>
      </c>
      <c r="W810" s="50">
        <f>+J810/$W$2</f>
        <v>3.2415816368138589E-4</v>
      </c>
    </row>
    <row r="811" spans="1:23">
      <c r="A811" s="10" t="s">
        <v>1726</v>
      </c>
      <c r="B811" s="10" t="s">
        <v>381</v>
      </c>
      <c r="C811" s="124">
        <v>46322</v>
      </c>
      <c r="D811" s="124" t="s">
        <v>492</v>
      </c>
      <c r="E811" s="21">
        <v>0.97312580999999998</v>
      </c>
      <c r="F811" s="10"/>
      <c r="G811" s="14">
        <v>3250000</v>
      </c>
      <c r="H811" s="14">
        <v>3162658.87</v>
      </c>
      <c r="I811" s="14">
        <v>3250000</v>
      </c>
      <c r="J811" s="14">
        <v>3162658.87</v>
      </c>
      <c r="K811" s="12">
        <v>68</v>
      </c>
      <c r="L811" s="10" t="s">
        <v>101</v>
      </c>
      <c r="M811" s="10" t="s">
        <v>102</v>
      </c>
      <c r="N811" s="124" t="s">
        <v>425</v>
      </c>
      <c r="O811" s="124" t="s">
        <v>425</v>
      </c>
      <c r="P811" s="21">
        <v>36</v>
      </c>
      <c r="Q811" s="10" t="s">
        <v>54</v>
      </c>
      <c r="R811" s="10" t="s">
        <v>28</v>
      </c>
      <c r="S811" s="10"/>
      <c r="T811" s="10"/>
      <c r="U811" s="10" t="s">
        <v>1721</v>
      </c>
      <c r="V811" s="10" t="s">
        <v>1721</v>
      </c>
      <c r="W811" s="50">
        <f>+J811/$W$2</f>
        <v>4.2046185996857839E-5</v>
      </c>
    </row>
    <row r="812" spans="1:23">
      <c r="A812" s="10" t="s">
        <v>2127</v>
      </c>
      <c r="B812" s="10" t="s">
        <v>381</v>
      </c>
      <c r="C812" s="124">
        <v>46322</v>
      </c>
      <c r="D812" s="124" t="s">
        <v>492</v>
      </c>
      <c r="E812" s="21">
        <v>0.97385275999999998</v>
      </c>
      <c r="F812" s="10"/>
      <c r="G812" s="14">
        <v>40000000</v>
      </c>
      <c r="H812" s="14">
        <v>38954110.280000001</v>
      </c>
      <c r="I812" s="14">
        <v>40000000</v>
      </c>
      <c r="J812" s="14">
        <v>38954110.280000001</v>
      </c>
      <c r="K812" s="12">
        <v>322</v>
      </c>
      <c r="L812" s="10" t="s">
        <v>101</v>
      </c>
      <c r="M812" s="10" t="s">
        <v>102</v>
      </c>
      <c r="N812" s="124" t="s">
        <v>421</v>
      </c>
      <c r="O812" s="124" t="s">
        <v>421</v>
      </c>
      <c r="P812" s="21">
        <v>35</v>
      </c>
      <c r="Q812" s="10" t="s">
        <v>54</v>
      </c>
      <c r="R812" s="10" t="s">
        <v>28</v>
      </c>
      <c r="S812" s="10"/>
      <c r="T812" s="10"/>
      <c r="U812" s="10" t="s">
        <v>2119</v>
      </c>
      <c r="V812" s="10" t="s">
        <v>2119</v>
      </c>
      <c r="W812" s="50">
        <f>+J812/$W$2</f>
        <v>5.1787809988340357E-4</v>
      </c>
    </row>
    <row r="813" spans="1:23">
      <c r="A813" s="10" t="s">
        <v>272</v>
      </c>
      <c r="B813" s="10" t="s">
        <v>381</v>
      </c>
      <c r="C813" s="124">
        <v>46322</v>
      </c>
      <c r="D813" s="124" t="s">
        <v>492</v>
      </c>
      <c r="E813" s="21">
        <v>0.97970809000000003</v>
      </c>
      <c r="F813" s="10"/>
      <c r="G813" s="14">
        <v>3197658.29</v>
      </c>
      <c r="H813" s="14">
        <v>3132771.69</v>
      </c>
      <c r="I813" s="14">
        <v>3197658.29</v>
      </c>
      <c r="J813" s="14">
        <v>3132771.69</v>
      </c>
      <c r="K813" s="12">
        <v>10288843</v>
      </c>
      <c r="L813" s="10" t="s">
        <v>101</v>
      </c>
      <c r="M813" s="10" t="s">
        <v>102</v>
      </c>
      <c r="N813" s="124" t="s">
        <v>390</v>
      </c>
      <c r="O813" s="124" t="s">
        <v>390</v>
      </c>
      <c r="P813" s="21">
        <v>27</v>
      </c>
      <c r="Q813" s="10" t="s">
        <v>54</v>
      </c>
      <c r="R813" s="10" t="s">
        <v>28</v>
      </c>
      <c r="S813" s="10"/>
      <c r="T813" s="10"/>
      <c r="U813" s="10" t="s">
        <v>2026</v>
      </c>
      <c r="V813" s="10" t="s">
        <v>2026</v>
      </c>
      <c r="W813" s="50">
        <f>+J813/$W$2</f>
        <v>4.1648848825555022E-5</v>
      </c>
    </row>
    <row r="814" spans="1:23">
      <c r="A814" s="10" t="s">
        <v>273</v>
      </c>
      <c r="B814" s="10" t="s">
        <v>381</v>
      </c>
      <c r="C814" s="124">
        <v>46322</v>
      </c>
      <c r="D814" s="124" t="s">
        <v>492</v>
      </c>
      <c r="E814" s="21">
        <v>0.97970796999999998</v>
      </c>
      <c r="F814" s="10"/>
      <c r="G814" s="14">
        <v>50000000</v>
      </c>
      <c r="H814" s="14">
        <v>48985398.399999999</v>
      </c>
      <c r="I814" s="14">
        <v>50000000</v>
      </c>
      <c r="J814" s="14">
        <v>48985398.399999999</v>
      </c>
      <c r="K814" s="12">
        <v>1415416</v>
      </c>
      <c r="L814" s="10" t="s">
        <v>101</v>
      </c>
      <c r="M814" s="10" t="s">
        <v>102</v>
      </c>
      <c r="N814" s="124" t="s">
        <v>368</v>
      </c>
      <c r="O814" s="124" t="s">
        <v>368</v>
      </c>
      <c r="P814" s="21">
        <v>27</v>
      </c>
      <c r="Q814" s="10" t="s">
        <v>54</v>
      </c>
      <c r="R814" s="10" t="s">
        <v>28</v>
      </c>
      <c r="S814" s="10"/>
      <c r="T814" s="10"/>
      <c r="U814" s="10" t="s">
        <v>731</v>
      </c>
      <c r="V814" s="10" t="s">
        <v>731</v>
      </c>
      <c r="W814" s="50">
        <f>+J814/$W$2</f>
        <v>6.5123975013359008E-4</v>
      </c>
    </row>
    <row r="815" spans="1:23">
      <c r="A815" s="10" t="s">
        <v>273</v>
      </c>
      <c r="B815" s="10" t="s">
        <v>381</v>
      </c>
      <c r="C815" s="124">
        <v>46322</v>
      </c>
      <c r="D815" s="124" t="s">
        <v>492</v>
      </c>
      <c r="E815" s="21">
        <v>0.97970798999999997</v>
      </c>
      <c r="F815" s="10"/>
      <c r="G815" s="14">
        <v>10000000</v>
      </c>
      <c r="H815" s="14">
        <v>9797079.8800000008</v>
      </c>
      <c r="I815" s="14">
        <v>10000000</v>
      </c>
      <c r="J815" s="14">
        <v>9797079.8800000008</v>
      </c>
      <c r="K815" s="12">
        <v>2012</v>
      </c>
      <c r="L815" s="10" t="s">
        <v>101</v>
      </c>
      <c r="M815" s="10" t="s">
        <v>102</v>
      </c>
      <c r="N815" s="124" t="s">
        <v>395</v>
      </c>
      <c r="O815" s="124" t="s">
        <v>395</v>
      </c>
      <c r="P815" s="21">
        <v>27</v>
      </c>
      <c r="Q815" s="10" t="s">
        <v>54</v>
      </c>
      <c r="R815" s="10" t="s">
        <v>28</v>
      </c>
      <c r="S815" s="10"/>
      <c r="T815" s="10"/>
      <c r="U815" s="10" t="s">
        <v>839</v>
      </c>
      <c r="V815" s="10" t="s">
        <v>839</v>
      </c>
      <c r="W815" s="50">
        <f>+J815/$W$2</f>
        <v>1.302479526856318E-4</v>
      </c>
    </row>
    <row r="816" spans="1:23">
      <c r="A816" s="10" t="s">
        <v>273</v>
      </c>
      <c r="B816" s="10" t="s">
        <v>381</v>
      </c>
      <c r="C816" s="124">
        <v>46322</v>
      </c>
      <c r="D816" s="124" t="s">
        <v>492</v>
      </c>
      <c r="E816" s="21">
        <v>0.98044491</v>
      </c>
      <c r="F816" s="10"/>
      <c r="G816" s="14">
        <v>4000000</v>
      </c>
      <c r="H816" s="14">
        <v>3921779.63</v>
      </c>
      <c r="I816" s="14">
        <v>4000000</v>
      </c>
      <c r="J816" s="14">
        <v>3921779.63</v>
      </c>
      <c r="K816" s="12">
        <v>90002224</v>
      </c>
      <c r="L816" s="10" t="s">
        <v>101</v>
      </c>
      <c r="M816" s="10" t="s">
        <v>102</v>
      </c>
      <c r="N816" s="124" t="s">
        <v>532</v>
      </c>
      <c r="O816" s="124" t="s">
        <v>532</v>
      </c>
      <c r="P816" s="21">
        <v>26</v>
      </c>
      <c r="Q816" s="10" t="s">
        <v>54</v>
      </c>
      <c r="R816" s="10" t="s">
        <v>28</v>
      </c>
      <c r="S816" s="10"/>
      <c r="T816" s="10"/>
      <c r="U816" s="10" t="s">
        <v>3029</v>
      </c>
      <c r="V816" s="10" t="s">
        <v>3029</v>
      </c>
      <c r="W816" s="50">
        <f>+J816/$W$2</f>
        <v>5.2138369182278682E-5</v>
      </c>
    </row>
    <row r="817" spans="1:29">
      <c r="A817" s="10" t="s">
        <v>1431</v>
      </c>
      <c r="B817" s="10" t="s">
        <v>381</v>
      </c>
      <c r="C817" s="124">
        <v>46322</v>
      </c>
      <c r="D817" s="124" t="s">
        <v>492</v>
      </c>
      <c r="E817" s="21">
        <v>0.97897226999999998</v>
      </c>
      <c r="F817" s="10"/>
      <c r="G817" s="14">
        <v>5225717</v>
      </c>
      <c r="H817" s="14">
        <v>5115832.04</v>
      </c>
      <c r="I817" s="14">
        <v>5225717</v>
      </c>
      <c r="J817" s="14">
        <v>5115832.04</v>
      </c>
      <c r="K817" s="12">
        <v>3174</v>
      </c>
      <c r="L817" s="10" t="s">
        <v>101</v>
      </c>
      <c r="M817" s="10" t="s">
        <v>102</v>
      </c>
      <c r="N817" s="124" t="s">
        <v>548</v>
      </c>
      <c r="O817" s="124" t="s">
        <v>548</v>
      </c>
      <c r="P817" s="21">
        <v>28</v>
      </c>
      <c r="Q817" s="10" t="s">
        <v>54</v>
      </c>
      <c r="R817" s="10" t="s">
        <v>28</v>
      </c>
      <c r="S817" s="10"/>
      <c r="T817" s="10"/>
      <c r="U817" s="10" t="s">
        <v>1411</v>
      </c>
      <c r="V817" s="10" t="s">
        <v>1411</v>
      </c>
      <c r="W817" s="50">
        <f>+J817/$W$2</f>
        <v>6.8012781119996252E-5</v>
      </c>
    </row>
    <row r="818" spans="1:29">
      <c r="A818" s="10" t="s">
        <v>166</v>
      </c>
      <c r="B818" s="10" t="s">
        <v>381</v>
      </c>
      <c r="C818" s="124">
        <v>46322</v>
      </c>
      <c r="D818" s="124" t="s">
        <v>492</v>
      </c>
      <c r="E818" s="21">
        <v>0.97385279999999996</v>
      </c>
      <c r="F818" s="10"/>
      <c r="G818" s="14">
        <v>250000000</v>
      </c>
      <c r="H818" s="14">
        <v>243463199.09999999</v>
      </c>
      <c r="I818" s="14">
        <v>250000000</v>
      </c>
      <c r="J818" s="14">
        <v>243463199.09999999</v>
      </c>
      <c r="K818" s="12">
        <v>70400476</v>
      </c>
      <c r="L818" s="10" t="s">
        <v>101</v>
      </c>
      <c r="M818" s="10" t="s">
        <v>102</v>
      </c>
      <c r="N818" s="124" t="s">
        <v>548</v>
      </c>
      <c r="O818" s="124" t="s">
        <v>548</v>
      </c>
      <c r="P818" s="21">
        <v>35</v>
      </c>
      <c r="Q818" s="10" t="s">
        <v>54</v>
      </c>
      <c r="R818" s="10" t="s">
        <v>28</v>
      </c>
      <c r="S818" s="10"/>
      <c r="T818" s="10"/>
      <c r="U818" s="10" t="s">
        <v>1373</v>
      </c>
      <c r="V818" s="10" t="s">
        <v>1373</v>
      </c>
      <c r="W818" s="50">
        <f>+J818/$W$2</f>
        <v>3.2367382552227746E-3</v>
      </c>
      <c r="AC818" s="47"/>
    </row>
    <row r="819" spans="1:29">
      <c r="A819" s="10" t="s">
        <v>604</v>
      </c>
      <c r="B819" s="10" t="s">
        <v>381</v>
      </c>
      <c r="C819" s="124">
        <v>46322</v>
      </c>
      <c r="D819" s="124" t="s">
        <v>492</v>
      </c>
      <c r="E819" s="21">
        <v>0.97458084</v>
      </c>
      <c r="F819" s="10"/>
      <c r="G819" s="14">
        <v>5000300.25</v>
      </c>
      <c r="H819" s="14">
        <v>4873196.83</v>
      </c>
      <c r="I819" s="14">
        <v>5000300.25</v>
      </c>
      <c r="J819" s="14">
        <v>4873196.83</v>
      </c>
      <c r="K819" s="12">
        <v>374</v>
      </c>
      <c r="L819" s="10" t="s">
        <v>101</v>
      </c>
      <c r="M819" s="10" t="s">
        <v>102</v>
      </c>
      <c r="N819" s="124" t="s">
        <v>323</v>
      </c>
      <c r="O819" s="124" t="s">
        <v>323</v>
      </c>
      <c r="P819" s="21">
        <v>34</v>
      </c>
      <c r="Q819" s="10" t="s">
        <v>54</v>
      </c>
      <c r="R819" s="10" t="s">
        <v>28</v>
      </c>
      <c r="S819" s="10"/>
      <c r="T819" s="10"/>
      <c r="U819" s="10" t="s">
        <v>939</v>
      </c>
      <c r="V819" s="10" t="s">
        <v>939</v>
      </c>
      <c r="W819" s="50">
        <f>+J819/$W$2</f>
        <v>6.4787050622844446E-5</v>
      </c>
    </row>
    <row r="820" spans="1:29">
      <c r="A820" s="10" t="s">
        <v>607</v>
      </c>
      <c r="B820" s="10" t="s">
        <v>381</v>
      </c>
      <c r="C820" s="124">
        <v>46322</v>
      </c>
      <c r="D820" s="124" t="s">
        <v>492</v>
      </c>
      <c r="E820" s="21">
        <v>0.97531007000000003</v>
      </c>
      <c r="F820" s="10"/>
      <c r="G820" s="14">
        <v>1400000</v>
      </c>
      <c r="H820" s="14">
        <v>1365434.1</v>
      </c>
      <c r="I820" s="14">
        <v>1400000</v>
      </c>
      <c r="J820" s="14">
        <v>1365434.1</v>
      </c>
      <c r="K820" s="12">
        <v>522</v>
      </c>
      <c r="L820" s="10" t="s">
        <v>101</v>
      </c>
      <c r="M820" s="10" t="s">
        <v>102</v>
      </c>
      <c r="N820" s="124" t="s">
        <v>397</v>
      </c>
      <c r="O820" s="124" t="s">
        <v>397</v>
      </c>
      <c r="P820" s="21">
        <v>33</v>
      </c>
      <c r="Q820" s="10" t="s">
        <v>54</v>
      </c>
      <c r="R820" s="10" t="s">
        <v>28</v>
      </c>
      <c r="S820" s="10"/>
      <c r="T820" s="10"/>
      <c r="U820" s="10" t="s">
        <v>1443</v>
      </c>
      <c r="V820" s="10" t="s">
        <v>1443</v>
      </c>
      <c r="W820" s="50">
        <f>+J820/$W$2</f>
        <v>1.8152857609664425E-5</v>
      </c>
      <c r="AC820" s="47"/>
    </row>
    <row r="821" spans="1:29">
      <c r="A821" s="10" t="s">
        <v>1728</v>
      </c>
      <c r="B821" s="10" t="s">
        <v>381</v>
      </c>
      <c r="C821" s="124">
        <v>46322</v>
      </c>
      <c r="D821" s="124" t="s">
        <v>492</v>
      </c>
      <c r="E821" s="21">
        <v>0.97531003000000005</v>
      </c>
      <c r="F821" s="10"/>
      <c r="G821" s="14">
        <v>20000194</v>
      </c>
      <c r="H821" s="14">
        <v>19506389.719999999</v>
      </c>
      <c r="I821" s="14">
        <v>20000194</v>
      </c>
      <c r="J821" s="14">
        <v>19506389.719999999</v>
      </c>
      <c r="K821" s="12">
        <v>731</v>
      </c>
      <c r="L821" s="10" t="s">
        <v>101</v>
      </c>
      <c r="M821" s="10" t="s">
        <v>102</v>
      </c>
      <c r="N821" s="124" t="s">
        <v>425</v>
      </c>
      <c r="O821" s="124" t="s">
        <v>425</v>
      </c>
      <c r="P821" s="21">
        <v>33</v>
      </c>
      <c r="Q821" s="10" t="s">
        <v>54</v>
      </c>
      <c r="R821" s="10" t="s">
        <v>28</v>
      </c>
      <c r="S821" s="10"/>
      <c r="T821" s="10"/>
      <c r="U821" s="10" t="s">
        <v>1715</v>
      </c>
      <c r="V821" s="10" t="s">
        <v>1715</v>
      </c>
      <c r="W821" s="50">
        <f>+J821/$W$2</f>
        <v>2.5932904053427541E-4</v>
      </c>
    </row>
    <row r="822" spans="1:29">
      <c r="A822" s="10" t="s">
        <v>741</v>
      </c>
      <c r="B822" s="10" t="s">
        <v>381</v>
      </c>
      <c r="C822" s="124">
        <v>46322</v>
      </c>
      <c r="D822" s="124" t="s">
        <v>492</v>
      </c>
      <c r="E822" s="21">
        <v>0.98118280999999996</v>
      </c>
      <c r="F822" s="10"/>
      <c r="G822" s="14">
        <v>19922304</v>
      </c>
      <c r="H822" s="14">
        <v>19547422.260000002</v>
      </c>
      <c r="I822" s="14">
        <v>19922304</v>
      </c>
      <c r="J822" s="14">
        <v>19547422.260000002</v>
      </c>
      <c r="K822" s="12">
        <v>67863887</v>
      </c>
      <c r="L822" s="10" t="s">
        <v>101</v>
      </c>
      <c r="M822" s="10" t="s">
        <v>102</v>
      </c>
      <c r="N822" s="124" t="s">
        <v>360</v>
      </c>
      <c r="O822" s="124" t="s">
        <v>360</v>
      </c>
      <c r="P822" s="21">
        <v>25</v>
      </c>
      <c r="Q822" s="10" t="s">
        <v>54</v>
      </c>
      <c r="R822" s="10" t="s">
        <v>28</v>
      </c>
      <c r="S822" s="10"/>
      <c r="T822" s="10"/>
      <c r="U822" s="10" t="s">
        <v>738</v>
      </c>
      <c r="V822" s="10" t="s">
        <v>738</v>
      </c>
      <c r="W822" s="50">
        <f>+J822/$W$2</f>
        <v>2.5987455046110595E-4</v>
      </c>
    </row>
    <row r="823" spans="1:29">
      <c r="A823" s="10" t="s">
        <v>290</v>
      </c>
      <c r="B823" s="10" t="s">
        <v>381</v>
      </c>
      <c r="C823" s="124">
        <v>46322</v>
      </c>
      <c r="D823" s="124" t="s">
        <v>492</v>
      </c>
      <c r="E823" s="21">
        <v>0.97385283</v>
      </c>
      <c r="F823" s="10"/>
      <c r="G823" s="14">
        <v>6500000</v>
      </c>
      <c r="H823" s="14">
        <v>6330043.4100000001</v>
      </c>
      <c r="I823" s="14">
        <v>6500000</v>
      </c>
      <c r="J823" s="14">
        <v>6330043.4100000001</v>
      </c>
      <c r="K823" s="12">
        <v>40773808</v>
      </c>
      <c r="L823" s="10" t="s">
        <v>101</v>
      </c>
      <c r="M823" s="10" t="s">
        <v>102</v>
      </c>
      <c r="N823" s="124" t="s">
        <v>325</v>
      </c>
      <c r="O823" s="124" t="s">
        <v>325</v>
      </c>
      <c r="P823" s="21">
        <v>35</v>
      </c>
      <c r="Q823" s="10" t="s">
        <v>54</v>
      </c>
      <c r="R823" s="10" t="s">
        <v>28</v>
      </c>
      <c r="S823" s="10"/>
      <c r="T823" s="10"/>
      <c r="U823" s="10" t="s">
        <v>1589</v>
      </c>
      <c r="V823" s="10" t="s">
        <v>1589</v>
      </c>
      <c r="W823" s="50">
        <f>+J823/$W$2</f>
        <v>8.415519773874451E-5</v>
      </c>
    </row>
    <row r="824" spans="1:29">
      <c r="A824" s="10" t="s">
        <v>418</v>
      </c>
      <c r="B824" s="10" t="s">
        <v>381</v>
      </c>
      <c r="C824" s="124">
        <v>46322</v>
      </c>
      <c r="D824" s="124" t="s">
        <v>492</v>
      </c>
      <c r="E824" s="21">
        <v>0.97458084</v>
      </c>
      <c r="F824" s="10"/>
      <c r="G824" s="14">
        <v>4549416.66</v>
      </c>
      <c r="H824" s="14">
        <v>4433774.3099999996</v>
      </c>
      <c r="I824" s="14">
        <v>4549416.66</v>
      </c>
      <c r="J824" s="14">
        <v>4433774.3099999996</v>
      </c>
      <c r="K824" s="12">
        <v>50456545</v>
      </c>
      <c r="L824" s="10" t="s">
        <v>101</v>
      </c>
      <c r="M824" s="10" t="s">
        <v>102</v>
      </c>
      <c r="N824" s="124" t="s">
        <v>323</v>
      </c>
      <c r="O824" s="124" t="s">
        <v>323</v>
      </c>
      <c r="P824" s="21">
        <v>34</v>
      </c>
      <c r="Q824" s="10" t="s">
        <v>54</v>
      </c>
      <c r="R824" s="10" t="s">
        <v>28</v>
      </c>
      <c r="S824" s="10"/>
      <c r="T824" s="10"/>
      <c r="U824" s="10" t="s">
        <v>905</v>
      </c>
      <c r="V824" s="10" t="s">
        <v>905</v>
      </c>
      <c r="W824" s="50">
        <f>+J824/$W$2</f>
        <v>5.8945117690277492E-5</v>
      </c>
    </row>
    <row r="825" spans="1:29">
      <c r="A825" s="10" t="s">
        <v>465</v>
      </c>
      <c r="B825" s="10" t="s">
        <v>381</v>
      </c>
      <c r="C825" s="124">
        <v>46322</v>
      </c>
      <c r="D825" s="124" t="s">
        <v>492</v>
      </c>
      <c r="E825" s="21">
        <v>0.97604031999999996</v>
      </c>
      <c r="F825" s="10"/>
      <c r="G825" s="14">
        <v>10000000</v>
      </c>
      <c r="H825" s="14">
        <v>9760403.1899999995</v>
      </c>
      <c r="I825" s="14">
        <v>10000000</v>
      </c>
      <c r="J825" s="14">
        <v>9760403.1899999995</v>
      </c>
      <c r="K825" s="12">
        <v>14422568</v>
      </c>
      <c r="L825" s="10" t="s">
        <v>101</v>
      </c>
      <c r="M825" s="10" t="s">
        <v>102</v>
      </c>
      <c r="N825" s="124" t="s">
        <v>164</v>
      </c>
      <c r="O825" s="124" t="s">
        <v>164</v>
      </c>
      <c r="P825" s="21">
        <v>32</v>
      </c>
      <c r="Q825" s="10" t="s">
        <v>54</v>
      </c>
      <c r="R825" s="10" t="s">
        <v>28</v>
      </c>
      <c r="S825" s="10"/>
      <c r="T825" s="10"/>
      <c r="U825" s="10" t="s">
        <v>1977</v>
      </c>
      <c r="V825" s="10" t="s">
        <v>1977</v>
      </c>
      <c r="W825" s="50">
        <f>+J825/$W$2</f>
        <v>1.2976035190638964E-4</v>
      </c>
    </row>
    <row r="826" spans="1:29">
      <c r="A826" s="10" t="s">
        <v>2915</v>
      </c>
      <c r="B826" s="10" t="s">
        <v>381</v>
      </c>
      <c r="C826" s="124">
        <v>46322</v>
      </c>
      <c r="D826" s="124" t="s">
        <v>492</v>
      </c>
      <c r="E826" s="21">
        <v>0.98044487999999996</v>
      </c>
      <c r="F826" s="10"/>
      <c r="G826" s="14">
        <v>4082183.08</v>
      </c>
      <c r="H826" s="14">
        <v>4002355.49</v>
      </c>
      <c r="I826" s="14">
        <v>4082183.08</v>
      </c>
      <c r="J826" s="14">
        <v>4002355.49</v>
      </c>
      <c r="K826" s="12">
        <v>552</v>
      </c>
      <c r="L826" s="10" t="s">
        <v>101</v>
      </c>
      <c r="M826" s="10" t="s">
        <v>102</v>
      </c>
      <c r="N826" s="124" t="s">
        <v>531</v>
      </c>
      <c r="O826" s="124" t="s">
        <v>531</v>
      </c>
      <c r="P826" s="21">
        <v>26</v>
      </c>
      <c r="Q826" s="10" t="s">
        <v>54</v>
      </c>
      <c r="R826" s="10" t="s">
        <v>28</v>
      </c>
      <c r="S826" s="10"/>
      <c r="T826" s="10"/>
      <c r="U826" s="10" t="s">
        <v>3381</v>
      </c>
      <c r="V826" s="10" t="s">
        <v>3381</v>
      </c>
      <c r="W826" s="50">
        <f>+J826/$W$2</f>
        <v>5.320959049816369E-5</v>
      </c>
    </row>
    <row r="827" spans="1:29">
      <c r="A827" s="10" t="s">
        <v>2915</v>
      </c>
      <c r="B827" s="10" t="s">
        <v>381</v>
      </c>
      <c r="C827" s="124">
        <v>46322</v>
      </c>
      <c r="D827" s="124" t="s">
        <v>492</v>
      </c>
      <c r="E827" s="21">
        <v>0.98044487999999996</v>
      </c>
      <c r="F827" s="10"/>
      <c r="G827" s="14">
        <v>2054489.25</v>
      </c>
      <c r="H827" s="14">
        <v>2014313.46</v>
      </c>
      <c r="I827" s="14">
        <v>2054489.25</v>
      </c>
      <c r="J827" s="14">
        <v>2014313.46</v>
      </c>
      <c r="K827" s="12">
        <v>291</v>
      </c>
      <c r="L827" s="10" t="s">
        <v>101</v>
      </c>
      <c r="M827" s="10" t="s">
        <v>102</v>
      </c>
      <c r="N827" s="124" t="s">
        <v>531</v>
      </c>
      <c r="O827" s="124" t="s">
        <v>531</v>
      </c>
      <c r="P827" s="21">
        <v>26</v>
      </c>
      <c r="Q827" s="10" t="s">
        <v>54</v>
      </c>
      <c r="R827" s="10" t="s">
        <v>28</v>
      </c>
      <c r="S827" s="10"/>
      <c r="T827" s="10"/>
      <c r="U827" s="10" t="s">
        <v>3359</v>
      </c>
      <c r="V827" s="10" t="s">
        <v>3359</v>
      </c>
      <c r="W827" s="50">
        <f>+J827/$W$2</f>
        <v>2.6779428916130391E-5</v>
      </c>
    </row>
    <row r="828" spans="1:29">
      <c r="A828" s="10" t="s">
        <v>2915</v>
      </c>
      <c r="B828" s="10" t="s">
        <v>381</v>
      </c>
      <c r="C828" s="124">
        <v>46322</v>
      </c>
      <c r="D828" s="124" t="s">
        <v>492</v>
      </c>
      <c r="E828" s="21">
        <v>0.98044487999999996</v>
      </c>
      <c r="F828" s="10"/>
      <c r="G828" s="14">
        <v>760000</v>
      </c>
      <c r="H828" s="14">
        <v>745138.11</v>
      </c>
      <c r="I828" s="14">
        <v>760000</v>
      </c>
      <c r="J828" s="14">
        <v>745138.11</v>
      </c>
      <c r="K828" s="12">
        <v>724</v>
      </c>
      <c r="L828" s="10" t="s">
        <v>101</v>
      </c>
      <c r="M828" s="10" t="s">
        <v>102</v>
      </c>
      <c r="N828" s="124" t="s">
        <v>531</v>
      </c>
      <c r="O828" s="124" t="s">
        <v>531</v>
      </c>
      <c r="P828" s="21">
        <v>26</v>
      </c>
      <c r="Q828" s="10" t="s">
        <v>54</v>
      </c>
      <c r="R828" s="10" t="s">
        <v>28</v>
      </c>
      <c r="S828" s="10"/>
      <c r="T828" s="10"/>
      <c r="U828" s="10" t="s">
        <v>3360</v>
      </c>
      <c r="V828" s="10" t="s">
        <v>3360</v>
      </c>
      <c r="W828" s="50">
        <f>+J828/$W$2</f>
        <v>9.9062898827299432E-6</v>
      </c>
    </row>
    <row r="829" spans="1:29">
      <c r="A829" s="10" t="s">
        <v>495</v>
      </c>
      <c r="B829" s="10" t="s">
        <v>381</v>
      </c>
      <c r="C829" s="124">
        <v>46322</v>
      </c>
      <c r="D829" s="124" t="s">
        <v>492</v>
      </c>
      <c r="E829" s="21">
        <v>0.9702288</v>
      </c>
      <c r="F829" s="10"/>
      <c r="G829" s="14">
        <v>358000000</v>
      </c>
      <c r="H829" s="14">
        <v>347341910.00999999</v>
      </c>
      <c r="I829" s="14">
        <v>358000000</v>
      </c>
      <c r="J829" s="14">
        <v>347341910.00999999</v>
      </c>
      <c r="K829" s="12">
        <v>70408119</v>
      </c>
      <c r="L829" s="10" t="s">
        <v>101</v>
      </c>
      <c r="M829" s="10" t="s">
        <v>102</v>
      </c>
      <c r="N829" s="124" t="s">
        <v>420</v>
      </c>
      <c r="O829" s="124" t="s">
        <v>420</v>
      </c>
      <c r="P829" s="21">
        <v>40</v>
      </c>
      <c r="Q829" s="10" t="s">
        <v>54</v>
      </c>
      <c r="R829" s="10" t="s">
        <v>28</v>
      </c>
      <c r="S829" s="10"/>
      <c r="T829" s="10"/>
      <c r="U829" s="10" t="s">
        <v>2690</v>
      </c>
      <c r="V829" s="10" t="s">
        <v>2690</v>
      </c>
      <c r="W829" s="50">
        <f>+J829/$W$2</f>
        <v>4.6177609261995167E-3</v>
      </c>
    </row>
    <row r="830" spans="1:29">
      <c r="A830" s="10" t="s">
        <v>675</v>
      </c>
      <c r="B830" s="10" t="s">
        <v>381</v>
      </c>
      <c r="C830" s="124">
        <v>46322</v>
      </c>
      <c r="D830" s="124" t="s">
        <v>492</v>
      </c>
      <c r="E830" s="21">
        <v>0.97750404000000002</v>
      </c>
      <c r="F830" s="10"/>
      <c r="G830" s="14">
        <v>100000000</v>
      </c>
      <c r="H830" s="14">
        <v>97750403.620000005</v>
      </c>
      <c r="I830" s="14">
        <v>100000000</v>
      </c>
      <c r="J830" s="14">
        <v>97750403.620000005</v>
      </c>
      <c r="K830" s="12">
        <v>90004012</v>
      </c>
      <c r="L830" s="10" t="s">
        <v>101</v>
      </c>
      <c r="M830" s="10" t="s">
        <v>102</v>
      </c>
      <c r="N830" s="124" t="s">
        <v>414</v>
      </c>
      <c r="O830" s="124" t="s">
        <v>414</v>
      </c>
      <c r="P830" s="21">
        <v>30</v>
      </c>
      <c r="Q830" s="10" t="s">
        <v>54</v>
      </c>
      <c r="R830" s="10" t="s">
        <v>28</v>
      </c>
      <c r="S830" s="10"/>
      <c r="T830" s="10"/>
      <c r="U830" s="10" t="s">
        <v>1480</v>
      </c>
      <c r="V830" s="10" t="s">
        <v>1480</v>
      </c>
      <c r="W830" s="50">
        <f>+J830/$W$2</f>
        <v>1.299549467968528E-3</v>
      </c>
      <c r="AC830" s="47"/>
    </row>
    <row r="831" spans="1:29">
      <c r="A831" s="10" t="s">
        <v>675</v>
      </c>
      <c r="B831" s="10" t="s">
        <v>381</v>
      </c>
      <c r="C831" s="124">
        <v>46322</v>
      </c>
      <c r="D831" s="124" t="s">
        <v>492</v>
      </c>
      <c r="E831" s="21">
        <v>0.97750404000000002</v>
      </c>
      <c r="F831" s="10"/>
      <c r="G831" s="14">
        <v>100000000</v>
      </c>
      <c r="H831" s="14">
        <v>97750403.620000005</v>
      </c>
      <c r="I831" s="14">
        <v>100000000</v>
      </c>
      <c r="J831" s="14">
        <v>97750403.620000005</v>
      </c>
      <c r="K831" s="12">
        <v>90004011</v>
      </c>
      <c r="L831" s="10" t="s">
        <v>101</v>
      </c>
      <c r="M831" s="10" t="s">
        <v>102</v>
      </c>
      <c r="N831" s="124" t="s">
        <v>414</v>
      </c>
      <c r="O831" s="124" t="s">
        <v>414</v>
      </c>
      <c r="P831" s="21">
        <v>30</v>
      </c>
      <c r="Q831" s="10" t="s">
        <v>54</v>
      </c>
      <c r="R831" s="10" t="s">
        <v>28</v>
      </c>
      <c r="S831" s="10"/>
      <c r="T831" s="10"/>
      <c r="U831" s="10" t="s">
        <v>1481</v>
      </c>
      <c r="V831" s="10" t="s">
        <v>1481</v>
      </c>
      <c r="W831" s="50">
        <f>+J831/$W$2</f>
        <v>1.299549467968528E-3</v>
      </c>
    </row>
    <row r="832" spans="1:29">
      <c r="A832" s="10" t="s">
        <v>427</v>
      </c>
      <c r="B832" s="10" t="s">
        <v>381</v>
      </c>
      <c r="C832" s="124">
        <v>46322</v>
      </c>
      <c r="D832" s="124" t="s">
        <v>492</v>
      </c>
      <c r="E832" s="21">
        <v>0.97897223</v>
      </c>
      <c r="F832" s="10"/>
      <c r="G832" s="14">
        <v>2500000</v>
      </c>
      <c r="H832" s="14">
        <v>2447430.58</v>
      </c>
      <c r="I832" s="14">
        <v>2500000</v>
      </c>
      <c r="J832" s="14">
        <v>2447430.58</v>
      </c>
      <c r="K832" s="12">
        <v>90031821</v>
      </c>
      <c r="L832" s="10" t="s">
        <v>101</v>
      </c>
      <c r="M832" s="10" t="s">
        <v>102</v>
      </c>
      <c r="N832" s="124" t="s">
        <v>277</v>
      </c>
      <c r="O832" s="124" t="s">
        <v>277</v>
      </c>
      <c r="P832" s="21">
        <v>28</v>
      </c>
      <c r="Q832" s="10" t="s">
        <v>54</v>
      </c>
      <c r="R832" s="10" t="s">
        <v>28</v>
      </c>
      <c r="S832" s="10"/>
      <c r="T832" s="10"/>
      <c r="U832" s="10" t="s">
        <v>526</v>
      </c>
      <c r="V832" s="10" t="s">
        <v>526</v>
      </c>
      <c r="W832" s="50">
        <f>+J832/$W$2</f>
        <v>3.2537534274468766E-5</v>
      </c>
    </row>
    <row r="833" spans="1:23">
      <c r="A833" s="10" t="s">
        <v>382</v>
      </c>
      <c r="B833" s="10" t="s">
        <v>381</v>
      </c>
      <c r="C833" s="124">
        <v>46322</v>
      </c>
      <c r="D833" s="124" t="s">
        <v>492</v>
      </c>
      <c r="E833" s="21">
        <v>0.97604022000000001</v>
      </c>
      <c r="F833" s="10"/>
      <c r="G833" s="14">
        <v>2000000</v>
      </c>
      <c r="H833" s="14">
        <v>1952080.44</v>
      </c>
      <c r="I833" s="14">
        <v>2000000</v>
      </c>
      <c r="J833" s="14">
        <v>1952080.44</v>
      </c>
      <c r="K833" s="12">
        <v>1073</v>
      </c>
      <c r="L833" s="10" t="s">
        <v>101</v>
      </c>
      <c r="M833" s="10" t="s">
        <v>102</v>
      </c>
      <c r="N833" s="124" t="s">
        <v>432</v>
      </c>
      <c r="O833" s="124" t="s">
        <v>432</v>
      </c>
      <c r="P833" s="21">
        <v>32</v>
      </c>
      <c r="Q833" s="10" t="s">
        <v>54</v>
      </c>
      <c r="R833" s="10" t="s">
        <v>28</v>
      </c>
      <c r="S833" s="10"/>
      <c r="T833" s="10"/>
      <c r="U833" s="10" t="s">
        <v>1825</v>
      </c>
      <c r="V833" s="10" t="s">
        <v>1825</v>
      </c>
      <c r="W833" s="50">
        <f>+J833/$W$2</f>
        <v>2.59520677489533E-5</v>
      </c>
    </row>
    <row r="834" spans="1:23">
      <c r="A834" s="10" t="s">
        <v>3511</v>
      </c>
      <c r="B834" s="10" t="s">
        <v>381</v>
      </c>
      <c r="C834" s="124">
        <v>46322</v>
      </c>
      <c r="D834" s="124" t="s">
        <v>492</v>
      </c>
      <c r="E834" s="21">
        <v>0.97530998000000002</v>
      </c>
      <c r="F834" s="10"/>
      <c r="G834" s="14">
        <v>60000000</v>
      </c>
      <c r="H834" s="14">
        <v>58518598.700000003</v>
      </c>
      <c r="I834" s="14">
        <v>60000000</v>
      </c>
      <c r="J834" s="14">
        <v>58518598.700000003</v>
      </c>
      <c r="K834" s="12">
        <v>20861</v>
      </c>
      <c r="L834" s="10" t="s">
        <v>101</v>
      </c>
      <c r="M834" s="10" t="s">
        <v>102</v>
      </c>
      <c r="N834" s="124" t="s">
        <v>678</v>
      </c>
      <c r="O834" s="124" t="s">
        <v>678</v>
      </c>
      <c r="P834" s="21">
        <v>33</v>
      </c>
      <c r="Q834" s="10" t="s">
        <v>54</v>
      </c>
      <c r="R834" s="10" t="s">
        <v>28</v>
      </c>
      <c r="S834" s="10"/>
      <c r="T834" s="10"/>
      <c r="U834" s="10" t="s">
        <v>3493</v>
      </c>
      <c r="V834" s="10" t="s">
        <v>3493</v>
      </c>
      <c r="W834" s="50">
        <f>+J834/$W$2</f>
        <v>7.7797953758309809E-4</v>
      </c>
    </row>
    <row r="835" spans="1:23">
      <c r="A835" s="10" t="s">
        <v>477</v>
      </c>
      <c r="B835" s="10" t="s">
        <v>381</v>
      </c>
      <c r="C835" s="124">
        <v>46323</v>
      </c>
      <c r="D835" s="124" t="s">
        <v>492</v>
      </c>
      <c r="E835" s="21">
        <v>0.97671945999999998</v>
      </c>
      <c r="F835" s="10"/>
      <c r="G835" s="14">
        <v>5000000</v>
      </c>
      <c r="H835" s="14">
        <v>4883597.3099999996</v>
      </c>
      <c r="I835" s="14">
        <v>5000000</v>
      </c>
      <c r="J835" s="14">
        <v>4883597.3099999996</v>
      </c>
      <c r="K835" s="12">
        <v>60078056</v>
      </c>
      <c r="L835" s="10" t="s">
        <v>101</v>
      </c>
      <c r="M835" s="10" t="s">
        <v>102</v>
      </c>
      <c r="N835" s="124" t="s">
        <v>677</v>
      </c>
      <c r="O835" s="124" t="s">
        <v>677</v>
      </c>
      <c r="P835" s="21">
        <v>30</v>
      </c>
      <c r="Q835" s="10" t="s">
        <v>54</v>
      </c>
      <c r="R835" s="10" t="s">
        <v>28</v>
      </c>
      <c r="S835" s="10"/>
      <c r="T835" s="10"/>
      <c r="U835" s="10" t="s">
        <v>3284</v>
      </c>
      <c r="V835" s="10" t="s">
        <v>3284</v>
      </c>
      <c r="W835" s="50">
        <f>+J835/$W$2</f>
        <v>6.4925320519950539E-5</v>
      </c>
    </row>
    <row r="836" spans="1:23">
      <c r="A836" s="10" t="s">
        <v>477</v>
      </c>
      <c r="B836" s="10" t="s">
        <v>381</v>
      </c>
      <c r="C836" s="124">
        <v>46323</v>
      </c>
      <c r="D836" s="124" t="s">
        <v>492</v>
      </c>
      <c r="E836" s="21">
        <v>0.97747784999999998</v>
      </c>
      <c r="F836" s="10"/>
      <c r="G836" s="14">
        <v>5000000</v>
      </c>
      <c r="H836" s="14">
        <v>4887389.24</v>
      </c>
      <c r="I836" s="14">
        <v>5000000</v>
      </c>
      <c r="J836" s="14">
        <v>4887389.24</v>
      </c>
      <c r="K836" s="12">
        <v>11477</v>
      </c>
      <c r="L836" s="10" t="s">
        <v>101</v>
      </c>
      <c r="M836" s="10" t="s">
        <v>102</v>
      </c>
      <c r="N836" s="124" t="s">
        <v>486</v>
      </c>
      <c r="O836" s="124" t="s">
        <v>486</v>
      </c>
      <c r="P836" s="21">
        <v>29</v>
      </c>
      <c r="Q836" s="10" t="s">
        <v>54</v>
      </c>
      <c r="R836" s="10" t="s">
        <v>28</v>
      </c>
      <c r="S836" s="10"/>
      <c r="T836" s="10"/>
      <c r="U836" s="10" t="s">
        <v>2814</v>
      </c>
      <c r="V836" s="10" t="s">
        <v>2814</v>
      </c>
      <c r="W836" s="50">
        <f>+J836/$W$2</f>
        <v>6.4975732594290726E-5</v>
      </c>
    </row>
    <row r="837" spans="1:23">
      <c r="A837" s="10" t="s">
        <v>477</v>
      </c>
      <c r="B837" s="10" t="s">
        <v>381</v>
      </c>
      <c r="C837" s="124">
        <v>46323</v>
      </c>
      <c r="D837" s="124" t="s">
        <v>492</v>
      </c>
      <c r="E837" s="21">
        <v>0.97747784999999998</v>
      </c>
      <c r="F837" s="10"/>
      <c r="G837" s="14">
        <v>5000000</v>
      </c>
      <c r="H837" s="14">
        <v>4887389.24</v>
      </c>
      <c r="I837" s="14">
        <v>5000000</v>
      </c>
      <c r="J837" s="14">
        <v>4887389.24</v>
      </c>
      <c r="K837" s="12">
        <v>11476</v>
      </c>
      <c r="L837" s="10" t="s">
        <v>101</v>
      </c>
      <c r="M837" s="10" t="s">
        <v>102</v>
      </c>
      <c r="N837" s="124" t="s">
        <v>486</v>
      </c>
      <c r="O837" s="124" t="s">
        <v>486</v>
      </c>
      <c r="P837" s="21">
        <v>29</v>
      </c>
      <c r="Q837" s="10" t="s">
        <v>54</v>
      </c>
      <c r="R837" s="10" t="s">
        <v>28</v>
      </c>
      <c r="S837" s="10"/>
      <c r="T837" s="10"/>
      <c r="U837" s="10" t="s">
        <v>2817</v>
      </c>
      <c r="V837" s="10" t="s">
        <v>2817</v>
      </c>
      <c r="W837" s="50">
        <f>+J837/$W$2</f>
        <v>6.4975732594290726E-5</v>
      </c>
    </row>
    <row r="838" spans="1:23">
      <c r="A838" s="10" t="s">
        <v>477</v>
      </c>
      <c r="B838" s="10" t="s">
        <v>381</v>
      </c>
      <c r="C838" s="124">
        <v>46323</v>
      </c>
      <c r="D838" s="124" t="s">
        <v>492</v>
      </c>
      <c r="E838" s="21">
        <v>0.97747784999999998</v>
      </c>
      <c r="F838" s="10"/>
      <c r="G838" s="14">
        <v>5000000</v>
      </c>
      <c r="H838" s="14">
        <v>4887389.24</v>
      </c>
      <c r="I838" s="14">
        <v>5000000</v>
      </c>
      <c r="J838" s="14">
        <v>4887389.24</v>
      </c>
      <c r="K838" s="12">
        <v>11475</v>
      </c>
      <c r="L838" s="10" t="s">
        <v>101</v>
      </c>
      <c r="M838" s="10" t="s">
        <v>102</v>
      </c>
      <c r="N838" s="124" t="s">
        <v>486</v>
      </c>
      <c r="O838" s="124" t="s">
        <v>486</v>
      </c>
      <c r="P838" s="21">
        <v>29</v>
      </c>
      <c r="Q838" s="10" t="s">
        <v>54</v>
      </c>
      <c r="R838" s="10" t="s">
        <v>28</v>
      </c>
      <c r="S838" s="10"/>
      <c r="T838" s="10"/>
      <c r="U838" s="10" t="s">
        <v>2820</v>
      </c>
      <c r="V838" s="10" t="s">
        <v>2820</v>
      </c>
      <c r="W838" s="50">
        <f>+J838/$W$2</f>
        <v>6.4975732594290726E-5</v>
      </c>
    </row>
    <row r="839" spans="1:23">
      <c r="A839" s="10" t="s">
        <v>477</v>
      </c>
      <c r="B839" s="10" t="s">
        <v>381</v>
      </c>
      <c r="C839" s="124">
        <v>46323</v>
      </c>
      <c r="D839" s="124" t="s">
        <v>492</v>
      </c>
      <c r="E839" s="21">
        <v>0.97747784999999998</v>
      </c>
      <c r="F839" s="10"/>
      <c r="G839" s="14">
        <v>5000000</v>
      </c>
      <c r="H839" s="14">
        <v>4887389.24</v>
      </c>
      <c r="I839" s="14">
        <v>5000000</v>
      </c>
      <c r="J839" s="14">
        <v>4887389.24</v>
      </c>
      <c r="K839" s="12">
        <v>11478</v>
      </c>
      <c r="L839" s="10" t="s">
        <v>101</v>
      </c>
      <c r="M839" s="10" t="s">
        <v>102</v>
      </c>
      <c r="N839" s="124" t="s">
        <v>486</v>
      </c>
      <c r="O839" s="124" t="s">
        <v>486</v>
      </c>
      <c r="P839" s="21">
        <v>29</v>
      </c>
      <c r="Q839" s="10" t="s">
        <v>54</v>
      </c>
      <c r="R839" s="10" t="s">
        <v>28</v>
      </c>
      <c r="S839" s="10"/>
      <c r="T839" s="10"/>
      <c r="U839" s="10" t="s">
        <v>2823</v>
      </c>
      <c r="V839" s="10" t="s">
        <v>2823</v>
      </c>
      <c r="W839" s="50">
        <f>+J839/$W$2</f>
        <v>6.4975732594290726E-5</v>
      </c>
    </row>
    <row r="840" spans="1:23">
      <c r="A840" s="10" t="s">
        <v>477</v>
      </c>
      <c r="B840" s="10" t="s">
        <v>381</v>
      </c>
      <c r="C840" s="124">
        <v>46323</v>
      </c>
      <c r="D840" s="124" t="s">
        <v>492</v>
      </c>
      <c r="E840" s="21">
        <v>0.97747784999999998</v>
      </c>
      <c r="F840" s="10"/>
      <c r="G840" s="14">
        <v>5000000</v>
      </c>
      <c r="H840" s="14">
        <v>4887389.24</v>
      </c>
      <c r="I840" s="14">
        <v>5000000</v>
      </c>
      <c r="J840" s="14">
        <v>4887389.24</v>
      </c>
      <c r="K840" s="12">
        <v>11479</v>
      </c>
      <c r="L840" s="10" t="s">
        <v>101</v>
      </c>
      <c r="M840" s="10" t="s">
        <v>102</v>
      </c>
      <c r="N840" s="124" t="s">
        <v>486</v>
      </c>
      <c r="O840" s="124" t="s">
        <v>486</v>
      </c>
      <c r="P840" s="21">
        <v>29</v>
      </c>
      <c r="Q840" s="10" t="s">
        <v>54</v>
      </c>
      <c r="R840" s="10" t="s">
        <v>28</v>
      </c>
      <c r="S840" s="10"/>
      <c r="T840" s="10"/>
      <c r="U840" s="10" t="s">
        <v>2824</v>
      </c>
      <c r="V840" s="10" t="s">
        <v>2824</v>
      </c>
      <c r="W840" s="50">
        <f>+J840/$W$2</f>
        <v>6.4975732594290726E-5</v>
      </c>
    </row>
    <row r="841" spans="1:23">
      <c r="A841" s="10" t="s">
        <v>382</v>
      </c>
      <c r="B841" s="10" t="s">
        <v>381</v>
      </c>
      <c r="C841" s="124">
        <v>46323</v>
      </c>
      <c r="D841" s="124" t="s">
        <v>492</v>
      </c>
      <c r="E841" s="21">
        <v>0.97520576999999997</v>
      </c>
      <c r="F841" s="10"/>
      <c r="G841" s="14">
        <v>10000000</v>
      </c>
      <c r="H841" s="14">
        <v>9752057.7100000009</v>
      </c>
      <c r="I841" s="14">
        <v>10000000</v>
      </c>
      <c r="J841" s="14">
        <v>9752057.7100000009</v>
      </c>
      <c r="K841" s="12">
        <v>1104</v>
      </c>
      <c r="L841" s="10" t="s">
        <v>101</v>
      </c>
      <c r="M841" s="10" t="s">
        <v>102</v>
      </c>
      <c r="N841" s="124" t="s">
        <v>348</v>
      </c>
      <c r="O841" s="124" t="s">
        <v>348</v>
      </c>
      <c r="P841" s="21">
        <v>32</v>
      </c>
      <c r="Q841" s="10" t="s">
        <v>54</v>
      </c>
      <c r="R841" s="10" t="s">
        <v>28</v>
      </c>
      <c r="S841" s="10"/>
      <c r="T841" s="10"/>
      <c r="U841" s="10" t="s">
        <v>1894</v>
      </c>
      <c r="V841" s="10" t="s">
        <v>1894</v>
      </c>
      <c r="W841" s="50">
        <f>+J841/$W$2</f>
        <v>1.2964940234820569E-4</v>
      </c>
    </row>
    <row r="842" spans="1:23">
      <c r="A842" s="10" t="s">
        <v>382</v>
      </c>
      <c r="B842" s="10" t="s">
        <v>381</v>
      </c>
      <c r="C842" s="124">
        <v>46323</v>
      </c>
      <c r="D842" s="124" t="s">
        <v>492</v>
      </c>
      <c r="E842" s="21">
        <v>0.97520572999999999</v>
      </c>
      <c r="F842" s="10"/>
      <c r="G842" s="14">
        <v>10000000</v>
      </c>
      <c r="H842" s="14">
        <v>9752057.3000000007</v>
      </c>
      <c r="I842" s="14">
        <v>10000000</v>
      </c>
      <c r="J842" s="14">
        <v>9752057.3000000007</v>
      </c>
      <c r="K842" s="12">
        <v>1087</v>
      </c>
      <c r="L842" s="10" t="s">
        <v>101</v>
      </c>
      <c r="M842" s="10" t="s">
        <v>102</v>
      </c>
      <c r="N842" s="124" t="s">
        <v>533</v>
      </c>
      <c r="O842" s="124" t="s">
        <v>533</v>
      </c>
      <c r="P842" s="21">
        <v>32</v>
      </c>
      <c r="Q842" s="10" t="s">
        <v>54</v>
      </c>
      <c r="R842" s="10" t="s">
        <v>28</v>
      </c>
      <c r="S842" s="10"/>
      <c r="T842" s="10"/>
      <c r="U842" s="10" t="s">
        <v>1877</v>
      </c>
      <c r="V842" s="10" t="s">
        <v>1877</v>
      </c>
      <c r="W842" s="50">
        <f>+J842/$W$2</f>
        <v>1.2964939689743247E-4</v>
      </c>
    </row>
    <row r="843" spans="1:23">
      <c r="A843" s="10" t="s">
        <v>2993</v>
      </c>
      <c r="B843" s="10" t="s">
        <v>381</v>
      </c>
      <c r="C843" s="124">
        <v>46323</v>
      </c>
      <c r="D843" s="124" t="s">
        <v>492</v>
      </c>
      <c r="E843" s="21">
        <v>0.97520593</v>
      </c>
      <c r="F843" s="10"/>
      <c r="G843" s="14">
        <v>25000000</v>
      </c>
      <c r="H843" s="14">
        <v>24380148.370000001</v>
      </c>
      <c r="I843" s="14">
        <v>25000000</v>
      </c>
      <c r="J843" s="14">
        <v>24380148.370000001</v>
      </c>
      <c r="K843" s="12">
        <v>51176</v>
      </c>
      <c r="L843" s="10" t="s">
        <v>101</v>
      </c>
      <c r="M843" s="10" t="s">
        <v>102</v>
      </c>
      <c r="N843" s="124" t="s">
        <v>434</v>
      </c>
      <c r="O843" s="124" t="s">
        <v>434</v>
      </c>
      <c r="P843" s="21">
        <v>32</v>
      </c>
      <c r="Q843" s="10" t="s">
        <v>54</v>
      </c>
      <c r="R843" s="10" t="s">
        <v>28</v>
      </c>
      <c r="S843" s="10"/>
      <c r="T843" s="10"/>
      <c r="U843" s="10" t="s">
        <v>2963</v>
      </c>
      <c r="V843" s="10" t="s">
        <v>2963</v>
      </c>
      <c r="W843" s="50">
        <f>+J843/$W$2</f>
        <v>3.2412356031177354E-4</v>
      </c>
    </row>
    <row r="844" spans="1:23">
      <c r="A844" s="10" t="s">
        <v>3455</v>
      </c>
      <c r="B844" s="10" t="s">
        <v>381</v>
      </c>
      <c r="C844" s="124">
        <v>46323</v>
      </c>
      <c r="D844" s="124" t="s">
        <v>492</v>
      </c>
      <c r="E844" s="21">
        <v>0.97671953</v>
      </c>
      <c r="F844" s="10"/>
      <c r="G844" s="14">
        <v>10576000</v>
      </c>
      <c r="H844" s="14">
        <v>10329785.800000001</v>
      </c>
      <c r="I844" s="14">
        <v>10576000</v>
      </c>
      <c r="J844" s="14">
        <v>10329785.800000001</v>
      </c>
      <c r="K844" s="12">
        <v>3655</v>
      </c>
      <c r="L844" s="10" t="s">
        <v>101</v>
      </c>
      <c r="M844" s="10" t="s">
        <v>102</v>
      </c>
      <c r="N844" s="124" t="s">
        <v>531</v>
      </c>
      <c r="O844" s="124" t="s">
        <v>531</v>
      </c>
      <c r="P844" s="21">
        <v>30</v>
      </c>
      <c r="Q844" s="10" t="s">
        <v>54</v>
      </c>
      <c r="R844" s="10" t="s">
        <v>28</v>
      </c>
      <c r="S844" s="10"/>
      <c r="T844" s="10"/>
      <c r="U844" s="10" t="s">
        <v>3418</v>
      </c>
      <c r="V844" s="10" t="s">
        <v>3418</v>
      </c>
      <c r="W844" s="50">
        <f>+J844/$W$2</f>
        <v>1.3733004819912841E-4</v>
      </c>
    </row>
    <row r="845" spans="1:23">
      <c r="A845" s="10" t="s">
        <v>389</v>
      </c>
      <c r="B845" s="10" t="s">
        <v>381</v>
      </c>
      <c r="C845" s="124">
        <v>46323</v>
      </c>
      <c r="D845" s="124" t="s">
        <v>492</v>
      </c>
      <c r="E845" s="21">
        <v>0.97520580999999995</v>
      </c>
      <c r="F845" s="10"/>
      <c r="G845" s="14">
        <v>10655603.279999999</v>
      </c>
      <c r="H845" s="14">
        <v>10391406.210000001</v>
      </c>
      <c r="I845" s="14">
        <v>10655603.279999999</v>
      </c>
      <c r="J845" s="14">
        <v>10391406.210000001</v>
      </c>
      <c r="K845" s="12">
        <v>30831</v>
      </c>
      <c r="L845" s="10" t="s">
        <v>101</v>
      </c>
      <c r="M845" s="10" t="s">
        <v>102</v>
      </c>
      <c r="N845" s="124" t="s">
        <v>396</v>
      </c>
      <c r="O845" s="124" t="s">
        <v>396</v>
      </c>
      <c r="P845" s="21">
        <v>32</v>
      </c>
      <c r="Q845" s="10" t="s">
        <v>54</v>
      </c>
      <c r="R845" s="10" t="s">
        <v>28</v>
      </c>
      <c r="S845" s="10"/>
      <c r="T845" s="10"/>
      <c r="U845" s="10" t="s">
        <v>871</v>
      </c>
      <c r="V845" s="10" t="s">
        <v>871</v>
      </c>
      <c r="W845" s="50">
        <f>+J845/$W$2</f>
        <v>1.3814926498050155E-4</v>
      </c>
    </row>
    <row r="846" spans="1:23">
      <c r="A846" s="10" t="s">
        <v>1424</v>
      </c>
      <c r="B846" s="10" t="s">
        <v>381</v>
      </c>
      <c r="C846" s="124">
        <v>46323</v>
      </c>
      <c r="D846" s="124" t="s">
        <v>492</v>
      </c>
      <c r="E846" s="21">
        <v>0.97596198000000001</v>
      </c>
      <c r="F846" s="10"/>
      <c r="G846" s="14">
        <v>13549014.74</v>
      </c>
      <c r="H846" s="14">
        <v>13223323.26</v>
      </c>
      <c r="I846" s="14">
        <v>13549014.74</v>
      </c>
      <c r="J846" s="14">
        <v>13223323.26</v>
      </c>
      <c r="K846" s="12">
        <v>10881214</v>
      </c>
      <c r="L846" s="10" t="s">
        <v>101</v>
      </c>
      <c r="M846" s="10" t="s">
        <v>102</v>
      </c>
      <c r="N846" s="124" t="s">
        <v>164</v>
      </c>
      <c r="O846" s="124" t="s">
        <v>164</v>
      </c>
      <c r="P846" s="21">
        <v>31</v>
      </c>
      <c r="Q846" s="10" t="s">
        <v>54</v>
      </c>
      <c r="R846" s="10" t="s">
        <v>28</v>
      </c>
      <c r="S846" s="10"/>
      <c r="T846" s="10"/>
      <c r="U846" s="10" t="s">
        <v>2012</v>
      </c>
      <c r="V846" s="10" t="s">
        <v>2012</v>
      </c>
      <c r="W846" s="50">
        <f>+J846/$W$2</f>
        <v>1.7579838109019219E-4</v>
      </c>
    </row>
    <row r="847" spans="1:23">
      <c r="A847" s="10" t="s">
        <v>3269</v>
      </c>
      <c r="B847" s="10" t="s">
        <v>381</v>
      </c>
      <c r="C847" s="124">
        <v>46323</v>
      </c>
      <c r="D847" s="124" t="s">
        <v>492</v>
      </c>
      <c r="E847" s="21">
        <v>0.98052391999999999</v>
      </c>
      <c r="F847" s="10"/>
      <c r="G847" s="14">
        <v>18000000</v>
      </c>
      <c r="H847" s="14">
        <v>17649430.620000001</v>
      </c>
      <c r="I847" s="14">
        <v>18000000</v>
      </c>
      <c r="J847" s="14">
        <v>17649430.620000001</v>
      </c>
      <c r="K847" s="12">
        <v>90025469</v>
      </c>
      <c r="L847" s="10" t="s">
        <v>101</v>
      </c>
      <c r="M847" s="10" t="s">
        <v>102</v>
      </c>
      <c r="N847" s="124" t="s">
        <v>472</v>
      </c>
      <c r="O847" s="124" t="s">
        <v>472</v>
      </c>
      <c r="P847" s="21">
        <v>25</v>
      </c>
      <c r="Q847" s="10" t="s">
        <v>54</v>
      </c>
      <c r="R847" s="10" t="s">
        <v>28</v>
      </c>
      <c r="S847" s="10"/>
      <c r="T847" s="10"/>
      <c r="U847" s="10" t="s">
        <v>3176</v>
      </c>
      <c r="V847" s="10" t="s">
        <v>3176</v>
      </c>
      <c r="W847" s="50">
        <f>+J847/$W$2</f>
        <v>2.3464156998606619E-4</v>
      </c>
    </row>
    <row r="848" spans="1:23">
      <c r="A848" s="10" t="s">
        <v>2608</v>
      </c>
      <c r="B848" s="10" t="s">
        <v>381</v>
      </c>
      <c r="C848" s="124">
        <v>46323</v>
      </c>
      <c r="D848" s="124" t="s">
        <v>492</v>
      </c>
      <c r="E848" s="21">
        <v>0.97445075000000003</v>
      </c>
      <c r="F848" s="10"/>
      <c r="G848" s="14">
        <v>1500114.43</v>
      </c>
      <c r="H848" s="14">
        <v>1461787.63</v>
      </c>
      <c r="I848" s="14">
        <v>1500114.43</v>
      </c>
      <c r="J848" s="14">
        <v>1461787.63</v>
      </c>
      <c r="K848" s="12">
        <v>6892444</v>
      </c>
      <c r="L848" s="10" t="s">
        <v>101</v>
      </c>
      <c r="M848" s="10" t="s">
        <v>102</v>
      </c>
      <c r="N848" s="124" t="s">
        <v>423</v>
      </c>
      <c r="O848" s="124" t="s">
        <v>423</v>
      </c>
      <c r="P848" s="21">
        <v>33</v>
      </c>
      <c r="Q848" s="10" t="s">
        <v>54</v>
      </c>
      <c r="R848" s="10" t="s">
        <v>28</v>
      </c>
      <c r="S848" s="10"/>
      <c r="T848" s="10"/>
      <c r="U848" s="10" t="s">
        <v>2516</v>
      </c>
      <c r="V848" s="10" t="s">
        <v>2516</v>
      </c>
      <c r="W848" s="50">
        <f>+J848/$W$2</f>
        <v>1.9433836245161024E-5</v>
      </c>
    </row>
    <row r="849" spans="1:29">
      <c r="A849" s="10" t="s">
        <v>494</v>
      </c>
      <c r="B849" s="10" t="s">
        <v>381</v>
      </c>
      <c r="C849" s="124">
        <v>46323</v>
      </c>
      <c r="D849" s="124" t="s">
        <v>492</v>
      </c>
      <c r="E849" s="21">
        <v>0.97899851000000004</v>
      </c>
      <c r="F849" s="10"/>
      <c r="G849" s="14">
        <v>15000000</v>
      </c>
      <c r="H849" s="14">
        <v>14684977.710000001</v>
      </c>
      <c r="I849" s="14">
        <v>15000000</v>
      </c>
      <c r="J849" s="14">
        <v>14684977.710000001</v>
      </c>
      <c r="K849" s="12">
        <v>234</v>
      </c>
      <c r="L849" s="10" t="s">
        <v>101</v>
      </c>
      <c r="M849" s="10" t="s">
        <v>102</v>
      </c>
      <c r="N849" s="124" t="s">
        <v>333</v>
      </c>
      <c r="O849" s="124" t="s">
        <v>333</v>
      </c>
      <c r="P849" s="21">
        <v>27</v>
      </c>
      <c r="Q849" s="10" t="s">
        <v>54</v>
      </c>
      <c r="R849" s="10" t="s">
        <v>28</v>
      </c>
      <c r="S849" s="10"/>
      <c r="T849" s="10"/>
      <c r="U849" s="10" t="s">
        <v>781</v>
      </c>
      <c r="V849" s="10" t="s">
        <v>781</v>
      </c>
      <c r="W849" s="50">
        <f>+J849/$W$2</f>
        <v>1.9523044676467797E-4</v>
      </c>
    </row>
    <row r="850" spans="1:29">
      <c r="A850" s="10" t="s">
        <v>1287</v>
      </c>
      <c r="B850" s="10" t="s">
        <v>381</v>
      </c>
      <c r="C850" s="124">
        <v>46323</v>
      </c>
      <c r="D850" s="124" t="s">
        <v>492</v>
      </c>
      <c r="E850" s="21">
        <v>0.97671934999999999</v>
      </c>
      <c r="F850" s="10"/>
      <c r="G850" s="14">
        <v>54154566.950000003</v>
      </c>
      <c r="H850" s="14">
        <v>52893813.659999996</v>
      </c>
      <c r="I850" s="14">
        <v>54154566.950000003</v>
      </c>
      <c r="J850" s="14">
        <v>52893813.659999996</v>
      </c>
      <c r="K850" s="12">
        <v>40294033</v>
      </c>
      <c r="L850" s="10" t="s">
        <v>101</v>
      </c>
      <c r="M850" s="10" t="s">
        <v>102</v>
      </c>
      <c r="N850" s="124" t="s">
        <v>398</v>
      </c>
      <c r="O850" s="124" t="s">
        <v>398</v>
      </c>
      <c r="P850" s="21">
        <v>30</v>
      </c>
      <c r="Q850" s="10" t="s">
        <v>54</v>
      </c>
      <c r="R850" s="10" t="s">
        <v>28</v>
      </c>
      <c r="S850" s="10"/>
      <c r="T850" s="10"/>
      <c r="U850" s="10" t="s">
        <v>1809</v>
      </c>
      <c r="V850" s="10" t="s">
        <v>1809</v>
      </c>
      <c r="W850" s="50">
        <f>+J850/$W$2</f>
        <v>7.0320044577918696E-4</v>
      </c>
    </row>
    <row r="851" spans="1:29">
      <c r="A851" s="10" t="s">
        <v>1287</v>
      </c>
      <c r="B851" s="10" t="s">
        <v>381</v>
      </c>
      <c r="C851" s="124">
        <v>46323</v>
      </c>
      <c r="D851" s="124" t="s">
        <v>492</v>
      </c>
      <c r="E851" s="21">
        <v>0.97671934999999999</v>
      </c>
      <c r="F851" s="10"/>
      <c r="G851" s="14">
        <v>54154566.950000003</v>
      </c>
      <c r="H851" s="14">
        <v>52893813.659999996</v>
      </c>
      <c r="I851" s="14">
        <v>54154566.950000003</v>
      </c>
      <c r="J851" s="14">
        <v>52893813.659999996</v>
      </c>
      <c r="K851" s="12">
        <v>40294032</v>
      </c>
      <c r="L851" s="10" t="s">
        <v>101</v>
      </c>
      <c r="M851" s="10" t="s">
        <v>102</v>
      </c>
      <c r="N851" s="124" t="s">
        <v>398</v>
      </c>
      <c r="O851" s="124" t="s">
        <v>398</v>
      </c>
      <c r="P851" s="21">
        <v>30</v>
      </c>
      <c r="Q851" s="10" t="s">
        <v>54</v>
      </c>
      <c r="R851" s="10" t="s">
        <v>28</v>
      </c>
      <c r="S851" s="10"/>
      <c r="T851" s="10"/>
      <c r="U851" s="10" t="s">
        <v>1810</v>
      </c>
      <c r="V851" s="10" t="s">
        <v>1810</v>
      </c>
      <c r="W851" s="50">
        <f>+J851/$W$2</f>
        <v>7.0320044577918696E-4</v>
      </c>
      <c r="AC851" s="47"/>
    </row>
    <row r="852" spans="1:29">
      <c r="A852" s="10" t="s">
        <v>353</v>
      </c>
      <c r="B852" s="10" t="s">
        <v>381</v>
      </c>
      <c r="C852" s="124">
        <v>46323</v>
      </c>
      <c r="D852" s="124" t="s">
        <v>492</v>
      </c>
      <c r="E852" s="21">
        <v>0.97369687000000005</v>
      </c>
      <c r="F852" s="10"/>
      <c r="G852" s="14">
        <v>1020845.65</v>
      </c>
      <c r="H852" s="14">
        <v>993994.21</v>
      </c>
      <c r="I852" s="14">
        <v>1020845.65</v>
      </c>
      <c r="J852" s="14">
        <v>993994.21</v>
      </c>
      <c r="K852" s="12">
        <v>2905</v>
      </c>
      <c r="L852" s="10" t="s">
        <v>101</v>
      </c>
      <c r="M852" s="10" t="s">
        <v>102</v>
      </c>
      <c r="N852" s="124" t="s">
        <v>323</v>
      </c>
      <c r="O852" s="124" t="s">
        <v>323</v>
      </c>
      <c r="P852" s="21">
        <v>34</v>
      </c>
      <c r="Q852" s="10" t="s">
        <v>54</v>
      </c>
      <c r="R852" s="10" t="s">
        <v>28</v>
      </c>
      <c r="S852" s="10"/>
      <c r="T852" s="10"/>
      <c r="U852" s="10" t="s">
        <v>922</v>
      </c>
      <c r="V852" s="10" t="s">
        <v>922</v>
      </c>
      <c r="W852" s="50">
        <f>+J852/$W$2</f>
        <v>1.3214724430099466E-5</v>
      </c>
    </row>
    <row r="853" spans="1:29">
      <c r="A853" s="10" t="s">
        <v>353</v>
      </c>
      <c r="B853" s="10" t="s">
        <v>381</v>
      </c>
      <c r="C853" s="124">
        <v>46323</v>
      </c>
      <c r="D853" s="124" t="s">
        <v>492</v>
      </c>
      <c r="E853" s="21">
        <v>0.97369687999999999</v>
      </c>
      <c r="F853" s="10"/>
      <c r="G853" s="14">
        <v>990902.64</v>
      </c>
      <c r="H853" s="14">
        <v>964838.81</v>
      </c>
      <c r="I853" s="14">
        <v>990902.64</v>
      </c>
      <c r="J853" s="14">
        <v>964838.81</v>
      </c>
      <c r="K853" s="12">
        <v>2955</v>
      </c>
      <c r="L853" s="10" t="s">
        <v>101</v>
      </c>
      <c r="M853" s="10" t="s">
        <v>102</v>
      </c>
      <c r="N853" s="124" t="s">
        <v>323</v>
      </c>
      <c r="O853" s="124" t="s">
        <v>323</v>
      </c>
      <c r="P853" s="21">
        <v>34</v>
      </c>
      <c r="Q853" s="10" t="s">
        <v>54</v>
      </c>
      <c r="R853" s="10" t="s">
        <v>28</v>
      </c>
      <c r="S853" s="10"/>
      <c r="T853" s="10"/>
      <c r="U853" s="10" t="s">
        <v>923</v>
      </c>
      <c r="V853" s="10" t="s">
        <v>923</v>
      </c>
      <c r="W853" s="50">
        <f>+J853/$W$2</f>
        <v>1.2827115958366698E-5</v>
      </c>
    </row>
    <row r="854" spans="1:29">
      <c r="A854" s="10" t="s">
        <v>273</v>
      </c>
      <c r="B854" s="10" t="s">
        <v>381</v>
      </c>
      <c r="C854" s="124">
        <v>46323</v>
      </c>
      <c r="D854" s="124" t="s">
        <v>492</v>
      </c>
      <c r="E854" s="21">
        <v>0.97899851000000004</v>
      </c>
      <c r="F854" s="10"/>
      <c r="G854" s="14">
        <v>15000000</v>
      </c>
      <c r="H854" s="14">
        <v>14684977.619999999</v>
      </c>
      <c r="I854" s="14">
        <v>15000000</v>
      </c>
      <c r="J854" s="14">
        <v>14684977.619999999</v>
      </c>
      <c r="K854" s="12">
        <v>11349971</v>
      </c>
      <c r="L854" s="10" t="s">
        <v>101</v>
      </c>
      <c r="M854" s="10" t="s">
        <v>102</v>
      </c>
      <c r="N854" s="124" t="s">
        <v>326</v>
      </c>
      <c r="O854" s="124" t="s">
        <v>326</v>
      </c>
      <c r="P854" s="21">
        <v>27</v>
      </c>
      <c r="Q854" s="10" t="s">
        <v>54</v>
      </c>
      <c r="R854" s="10" t="s">
        <v>28</v>
      </c>
      <c r="S854" s="10"/>
      <c r="T854" s="10"/>
      <c r="U854" s="10" t="s">
        <v>975</v>
      </c>
      <c r="V854" s="10" t="s">
        <v>975</v>
      </c>
      <c r="W854" s="50">
        <f>+J854/$W$2</f>
        <v>1.9523044556816674E-4</v>
      </c>
    </row>
    <row r="855" spans="1:29">
      <c r="A855" s="10" t="s">
        <v>273</v>
      </c>
      <c r="B855" s="10" t="s">
        <v>381</v>
      </c>
      <c r="C855" s="124">
        <v>46323</v>
      </c>
      <c r="D855" s="124" t="s">
        <v>492</v>
      </c>
      <c r="E855" s="21">
        <v>0.97899851000000004</v>
      </c>
      <c r="F855" s="10"/>
      <c r="G855" s="14">
        <v>15000000</v>
      </c>
      <c r="H855" s="14">
        <v>14684977.619999999</v>
      </c>
      <c r="I855" s="14">
        <v>15000000</v>
      </c>
      <c r="J855" s="14">
        <v>14684977.619999999</v>
      </c>
      <c r="K855" s="12">
        <v>11349970</v>
      </c>
      <c r="L855" s="10" t="s">
        <v>101</v>
      </c>
      <c r="M855" s="10" t="s">
        <v>102</v>
      </c>
      <c r="N855" s="124" t="s">
        <v>326</v>
      </c>
      <c r="O855" s="124" t="s">
        <v>326</v>
      </c>
      <c r="P855" s="21">
        <v>27</v>
      </c>
      <c r="Q855" s="10" t="s">
        <v>54</v>
      </c>
      <c r="R855" s="10" t="s">
        <v>28</v>
      </c>
      <c r="S855" s="10"/>
      <c r="T855" s="10"/>
      <c r="U855" s="10" t="s">
        <v>976</v>
      </c>
      <c r="V855" s="10" t="s">
        <v>976</v>
      </c>
      <c r="W855" s="50">
        <f>+J855/$W$2</f>
        <v>1.9523044556816674E-4</v>
      </c>
    </row>
    <row r="856" spans="1:29">
      <c r="A856" s="10" t="s">
        <v>273</v>
      </c>
      <c r="B856" s="10" t="s">
        <v>381</v>
      </c>
      <c r="C856" s="124">
        <v>46323</v>
      </c>
      <c r="D856" s="124" t="s">
        <v>492</v>
      </c>
      <c r="E856" s="21">
        <v>0.97671934000000005</v>
      </c>
      <c r="F856" s="10"/>
      <c r="G856" s="14">
        <v>11000000</v>
      </c>
      <c r="H856" s="14">
        <v>10743912.779999999</v>
      </c>
      <c r="I856" s="14">
        <v>11000000</v>
      </c>
      <c r="J856" s="14">
        <v>10743912.779999999</v>
      </c>
      <c r="K856" s="12">
        <v>10679148</v>
      </c>
      <c r="L856" s="10" t="s">
        <v>101</v>
      </c>
      <c r="M856" s="10" t="s">
        <v>102</v>
      </c>
      <c r="N856" s="124" t="s">
        <v>322</v>
      </c>
      <c r="O856" s="124" t="s">
        <v>322</v>
      </c>
      <c r="P856" s="21">
        <v>30</v>
      </c>
      <c r="Q856" s="10" t="s">
        <v>54</v>
      </c>
      <c r="R856" s="10" t="s">
        <v>28</v>
      </c>
      <c r="S856" s="10"/>
      <c r="T856" s="10"/>
      <c r="U856" s="10" t="s">
        <v>1584</v>
      </c>
      <c r="V856" s="10" t="s">
        <v>1584</v>
      </c>
      <c r="W856" s="50">
        <f>+J856/$W$2</f>
        <v>1.4283568783436261E-4</v>
      </c>
    </row>
    <row r="857" spans="1:29">
      <c r="A857" s="10" t="s">
        <v>273</v>
      </c>
      <c r="B857" s="10" t="s">
        <v>381</v>
      </c>
      <c r="C857" s="124">
        <v>46323</v>
      </c>
      <c r="D857" s="124" t="s">
        <v>492</v>
      </c>
      <c r="E857" s="21">
        <v>0.97671934999999999</v>
      </c>
      <c r="F857" s="10"/>
      <c r="G857" s="14">
        <v>3000000</v>
      </c>
      <c r="H857" s="14">
        <v>2930158.04</v>
      </c>
      <c r="I857" s="14">
        <v>3000000</v>
      </c>
      <c r="J857" s="14">
        <v>2930158.04</v>
      </c>
      <c r="K857" s="12">
        <v>12759459</v>
      </c>
      <c r="L857" s="10" t="s">
        <v>101</v>
      </c>
      <c r="M857" s="10" t="s">
        <v>102</v>
      </c>
      <c r="N857" s="124" t="s">
        <v>322</v>
      </c>
      <c r="O857" s="124" t="s">
        <v>322</v>
      </c>
      <c r="P857" s="21">
        <v>30</v>
      </c>
      <c r="Q857" s="10" t="s">
        <v>54</v>
      </c>
      <c r="R857" s="10" t="s">
        <v>28</v>
      </c>
      <c r="S857" s="10"/>
      <c r="T857" s="10"/>
      <c r="U857" s="10" t="s">
        <v>1572</v>
      </c>
      <c r="V857" s="10" t="s">
        <v>1572</v>
      </c>
      <c r="W857" s="50">
        <f>+J857/$W$2</f>
        <v>3.895518771204952E-5</v>
      </c>
    </row>
    <row r="858" spans="1:29">
      <c r="A858" s="10" t="s">
        <v>401</v>
      </c>
      <c r="B858" s="10" t="s">
        <v>381</v>
      </c>
      <c r="C858" s="124">
        <v>46323</v>
      </c>
      <c r="D858" s="124" t="s">
        <v>492</v>
      </c>
      <c r="E858" s="21">
        <v>0.97445075999999997</v>
      </c>
      <c r="F858" s="10"/>
      <c r="G858" s="14">
        <v>100000000</v>
      </c>
      <c r="H858" s="14">
        <v>97445076.310000002</v>
      </c>
      <c r="I858" s="14">
        <v>100000000</v>
      </c>
      <c r="J858" s="14">
        <v>97445076.310000002</v>
      </c>
      <c r="K858" s="12">
        <v>2163</v>
      </c>
      <c r="L858" s="10" t="s">
        <v>101</v>
      </c>
      <c r="M858" s="10" t="s">
        <v>102</v>
      </c>
      <c r="N858" s="124" t="s">
        <v>349</v>
      </c>
      <c r="O858" s="124" t="s">
        <v>349</v>
      </c>
      <c r="P858" s="21">
        <v>33</v>
      </c>
      <c r="Q858" s="10" t="s">
        <v>54</v>
      </c>
      <c r="R858" s="10" t="s">
        <v>28</v>
      </c>
      <c r="S858" s="10"/>
      <c r="T858" s="10"/>
      <c r="U858" s="10" t="s">
        <v>1349</v>
      </c>
      <c r="V858" s="10" t="s">
        <v>1349</v>
      </c>
      <c r="W858" s="50">
        <f>+J858/$W$2</f>
        <v>1.2954902730335459E-3</v>
      </c>
    </row>
    <row r="859" spans="1:29">
      <c r="A859" s="10" t="s">
        <v>1523</v>
      </c>
      <c r="B859" s="10" t="s">
        <v>381</v>
      </c>
      <c r="C859" s="124">
        <v>46323</v>
      </c>
      <c r="D859" s="124" t="s">
        <v>492</v>
      </c>
      <c r="E859" s="21">
        <v>0.97369687000000005</v>
      </c>
      <c r="F859" s="10"/>
      <c r="G859" s="14">
        <v>7000000</v>
      </c>
      <c r="H859" s="14">
        <v>6815878.0899999999</v>
      </c>
      <c r="I859" s="14">
        <v>7000000</v>
      </c>
      <c r="J859" s="14">
        <v>6815878.0899999999</v>
      </c>
      <c r="K859" s="12">
        <v>69017379</v>
      </c>
      <c r="L859" s="10" t="s">
        <v>101</v>
      </c>
      <c r="M859" s="10" t="s">
        <v>102</v>
      </c>
      <c r="N859" s="124" t="s">
        <v>476</v>
      </c>
      <c r="O859" s="124" t="s">
        <v>476</v>
      </c>
      <c r="P859" s="21">
        <v>34</v>
      </c>
      <c r="Q859" s="10" t="s">
        <v>54</v>
      </c>
      <c r="R859" s="10" t="s">
        <v>28</v>
      </c>
      <c r="S859" s="10"/>
      <c r="T859" s="10"/>
      <c r="U859" s="10" t="s">
        <v>1520</v>
      </c>
      <c r="V859" s="10" t="s">
        <v>1520</v>
      </c>
      <c r="W859" s="50">
        <f>+J859/$W$2</f>
        <v>9.0614160326449677E-5</v>
      </c>
    </row>
    <row r="860" spans="1:29">
      <c r="A860" s="10" t="s">
        <v>1816</v>
      </c>
      <c r="B860" s="10" t="s">
        <v>381</v>
      </c>
      <c r="C860" s="124">
        <v>46323</v>
      </c>
      <c r="D860" s="124" t="s">
        <v>492</v>
      </c>
      <c r="E860" s="21">
        <v>0.97520578999999996</v>
      </c>
      <c r="F860" s="10"/>
      <c r="G860" s="14">
        <v>12000000</v>
      </c>
      <c r="H860" s="14">
        <v>11702469.51</v>
      </c>
      <c r="I860" s="14">
        <v>12000000</v>
      </c>
      <c r="J860" s="14">
        <v>11702469.51</v>
      </c>
      <c r="K860" s="12">
        <v>68962745</v>
      </c>
      <c r="L860" s="10" t="s">
        <v>101</v>
      </c>
      <c r="M860" s="10" t="s">
        <v>102</v>
      </c>
      <c r="N860" s="124" t="s">
        <v>398</v>
      </c>
      <c r="O860" s="124" t="s">
        <v>398</v>
      </c>
      <c r="P860" s="21">
        <v>32</v>
      </c>
      <c r="Q860" s="10" t="s">
        <v>54</v>
      </c>
      <c r="R860" s="10" t="s">
        <v>28</v>
      </c>
      <c r="S860" s="10"/>
      <c r="T860" s="10"/>
      <c r="U860" s="10" t="s">
        <v>1795</v>
      </c>
      <c r="V860" s="10" t="s">
        <v>1795</v>
      </c>
      <c r="W860" s="50">
        <f>+J860/$W$2</f>
        <v>1.5557928624784559E-4</v>
      </c>
    </row>
    <row r="861" spans="1:29">
      <c r="A861" s="10" t="s">
        <v>1817</v>
      </c>
      <c r="B861" s="10" t="s">
        <v>381</v>
      </c>
      <c r="C861" s="124">
        <v>46323</v>
      </c>
      <c r="D861" s="124" t="s">
        <v>492</v>
      </c>
      <c r="E861" s="21">
        <v>0.97520578999999996</v>
      </c>
      <c r="F861" s="10"/>
      <c r="G861" s="14">
        <v>13264589.890000001</v>
      </c>
      <c r="H861" s="14">
        <v>12935704.9</v>
      </c>
      <c r="I861" s="14">
        <v>13264589.890000001</v>
      </c>
      <c r="J861" s="14">
        <v>12935704.9</v>
      </c>
      <c r="K861" s="12">
        <v>10769580</v>
      </c>
      <c r="L861" s="10" t="s">
        <v>101</v>
      </c>
      <c r="M861" s="10" t="s">
        <v>102</v>
      </c>
      <c r="N861" s="124" t="s">
        <v>398</v>
      </c>
      <c r="O861" s="124" t="s">
        <v>398</v>
      </c>
      <c r="P861" s="21">
        <v>32</v>
      </c>
      <c r="Q861" s="10" t="s">
        <v>54</v>
      </c>
      <c r="R861" s="10" t="s">
        <v>28</v>
      </c>
      <c r="S861" s="10"/>
      <c r="T861" s="10"/>
      <c r="U861" s="10" t="s">
        <v>1799</v>
      </c>
      <c r="V861" s="10" t="s">
        <v>1799</v>
      </c>
      <c r="W861" s="50">
        <f>+J861/$W$2</f>
        <v>1.7197461900968959E-4</v>
      </c>
    </row>
    <row r="862" spans="1:29">
      <c r="A862" s="10" t="s">
        <v>2020</v>
      </c>
      <c r="B862" s="10" t="s">
        <v>381</v>
      </c>
      <c r="C862" s="124">
        <v>46323</v>
      </c>
      <c r="D862" s="124" t="s">
        <v>492</v>
      </c>
      <c r="E862" s="21">
        <v>0.97520578999999996</v>
      </c>
      <c r="F862" s="10"/>
      <c r="G862" s="14">
        <v>9250329</v>
      </c>
      <c r="H862" s="14">
        <v>9020974.3800000008</v>
      </c>
      <c r="I862" s="14">
        <v>9250329</v>
      </c>
      <c r="J862" s="14">
        <v>9020974.3800000008</v>
      </c>
      <c r="K862" s="12">
        <v>98216905</v>
      </c>
      <c r="L862" s="10" t="s">
        <v>101</v>
      </c>
      <c r="M862" s="10" t="s">
        <v>102</v>
      </c>
      <c r="N862" s="124" t="s">
        <v>164</v>
      </c>
      <c r="O862" s="124" t="s">
        <v>164</v>
      </c>
      <c r="P862" s="21">
        <v>32</v>
      </c>
      <c r="Q862" s="10" t="s">
        <v>54</v>
      </c>
      <c r="R862" s="10" t="s">
        <v>28</v>
      </c>
      <c r="S862" s="10"/>
      <c r="T862" s="10"/>
      <c r="U862" s="10" t="s">
        <v>1989</v>
      </c>
      <c r="V862" s="10" t="s">
        <v>1989</v>
      </c>
      <c r="W862" s="50">
        <f>+J862/$W$2</f>
        <v>1.1992996470541554E-4</v>
      </c>
    </row>
    <row r="863" spans="1:29">
      <c r="A863" s="10" t="s">
        <v>2242</v>
      </c>
      <c r="B863" s="10" t="s">
        <v>381</v>
      </c>
      <c r="C863" s="124">
        <v>46323</v>
      </c>
      <c r="D863" s="124" t="s">
        <v>492</v>
      </c>
      <c r="E863" s="21">
        <v>0.97596192999999998</v>
      </c>
      <c r="F863" s="10"/>
      <c r="G863" s="14">
        <v>2500000</v>
      </c>
      <c r="H863" s="14">
        <v>2439904.83</v>
      </c>
      <c r="I863" s="14">
        <v>2500000</v>
      </c>
      <c r="J863" s="14">
        <v>2439904.83</v>
      </c>
      <c r="K863" s="12">
        <v>363</v>
      </c>
      <c r="L863" s="10" t="s">
        <v>101</v>
      </c>
      <c r="M863" s="10" t="s">
        <v>102</v>
      </c>
      <c r="N863" s="124" t="s">
        <v>551</v>
      </c>
      <c r="O863" s="124" t="s">
        <v>551</v>
      </c>
      <c r="P863" s="21">
        <v>31</v>
      </c>
      <c r="Q863" s="10" t="s">
        <v>54</v>
      </c>
      <c r="R863" s="10" t="s">
        <v>28</v>
      </c>
      <c r="S863" s="10"/>
      <c r="T863" s="10"/>
      <c r="U863" s="10" t="s">
        <v>2196</v>
      </c>
      <c r="V863" s="10" t="s">
        <v>2196</v>
      </c>
      <c r="W863" s="50">
        <f>+J863/$W$2</f>
        <v>3.2437482673182457E-5</v>
      </c>
    </row>
    <row r="864" spans="1:29">
      <c r="A864" s="10" t="s">
        <v>151</v>
      </c>
      <c r="B864" s="10" t="s">
        <v>381</v>
      </c>
      <c r="C864" s="124">
        <v>46323</v>
      </c>
      <c r="D864" s="124" t="s">
        <v>492</v>
      </c>
      <c r="E864" s="21">
        <v>0.97823758000000005</v>
      </c>
      <c r="F864" s="10"/>
      <c r="G864" s="14">
        <v>30000000</v>
      </c>
      <c r="H864" s="14">
        <v>29347127.449999999</v>
      </c>
      <c r="I864" s="14">
        <v>30000000</v>
      </c>
      <c r="J864" s="14">
        <v>29347127.449999999</v>
      </c>
      <c r="K864" s="12">
        <v>3329634</v>
      </c>
      <c r="L864" s="10" t="s">
        <v>101</v>
      </c>
      <c r="M864" s="10" t="s">
        <v>102</v>
      </c>
      <c r="N864" s="124" t="s">
        <v>291</v>
      </c>
      <c r="O864" s="124" t="s">
        <v>291</v>
      </c>
      <c r="P864" s="21">
        <v>28</v>
      </c>
      <c r="Q864" s="10" t="s">
        <v>54</v>
      </c>
      <c r="R864" s="10" t="s">
        <v>28</v>
      </c>
      <c r="S864" s="10"/>
      <c r="T864" s="10"/>
      <c r="U864" s="10" t="s">
        <v>559</v>
      </c>
      <c r="V864" s="10" t="s">
        <v>559</v>
      </c>
      <c r="W864" s="50">
        <f>+J864/$W$2</f>
        <v>3.9015740551120277E-4</v>
      </c>
    </row>
    <row r="865" spans="1:29">
      <c r="A865" s="10" t="s">
        <v>719</v>
      </c>
      <c r="B865" s="10" t="s">
        <v>381</v>
      </c>
      <c r="C865" s="124">
        <v>46323</v>
      </c>
      <c r="D865" s="124" t="s">
        <v>492</v>
      </c>
      <c r="E865" s="21">
        <v>0.97671931999999995</v>
      </c>
      <c r="F865" s="10"/>
      <c r="G865" s="14">
        <v>2700000</v>
      </c>
      <c r="H865" s="14">
        <v>2637142.16</v>
      </c>
      <c r="I865" s="14">
        <v>2700000</v>
      </c>
      <c r="J865" s="14">
        <v>2637142.16</v>
      </c>
      <c r="K865" s="12">
        <v>6909</v>
      </c>
      <c r="L865" s="10" t="s">
        <v>101</v>
      </c>
      <c r="M865" s="10" t="s">
        <v>102</v>
      </c>
      <c r="N865" s="124" t="s">
        <v>552</v>
      </c>
      <c r="O865" s="124" t="s">
        <v>552</v>
      </c>
      <c r="P865" s="21">
        <v>30</v>
      </c>
      <c r="Q865" s="10" t="s">
        <v>54</v>
      </c>
      <c r="R865" s="10" t="s">
        <v>28</v>
      </c>
      <c r="S865" s="10"/>
      <c r="T865" s="10"/>
      <c r="U865" s="10" t="s">
        <v>2390</v>
      </c>
      <c r="V865" s="10" t="s">
        <v>2390</v>
      </c>
      <c r="W865" s="50">
        <f>+J865/$W$2</f>
        <v>3.505966793045734E-5</v>
      </c>
    </row>
    <row r="866" spans="1:29">
      <c r="A866" s="10" t="s">
        <v>272</v>
      </c>
      <c r="B866" s="10" t="s">
        <v>381</v>
      </c>
      <c r="C866" s="124">
        <v>46323</v>
      </c>
      <c r="D866" s="124" t="s">
        <v>492</v>
      </c>
      <c r="E866" s="21">
        <v>0.9805239</v>
      </c>
      <c r="F866" s="10"/>
      <c r="G866" s="14">
        <v>2750004</v>
      </c>
      <c r="H866" s="14">
        <v>2696444.65</v>
      </c>
      <c r="I866" s="14">
        <v>2750004</v>
      </c>
      <c r="J866" s="14">
        <v>2696444.65</v>
      </c>
      <c r="K866" s="12">
        <v>68693810</v>
      </c>
      <c r="L866" s="10" t="s">
        <v>101</v>
      </c>
      <c r="M866" s="10" t="s">
        <v>102</v>
      </c>
      <c r="N866" s="124" t="s">
        <v>165</v>
      </c>
      <c r="O866" s="124" t="s">
        <v>165</v>
      </c>
      <c r="P866" s="21">
        <v>25</v>
      </c>
      <c r="Q866" s="10" t="s">
        <v>54</v>
      </c>
      <c r="R866" s="10" t="s">
        <v>28</v>
      </c>
      <c r="S866" s="10"/>
      <c r="T866" s="10"/>
      <c r="U866" s="10" t="s">
        <v>1259</v>
      </c>
      <c r="V866" s="10" t="s">
        <v>1259</v>
      </c>
      <c r="W866" s="50">
        <f>+J866/$W$2</f>
        <v>3.5848068964874555E-5</v>
      </c>
    </row>
    <row r="867" spans="1:29">
      <c r="A867" s="10" t="s">
        <v>903</v>
      </c>
      <c r="B867" s="10" t="s">
        <v>381</v>
      </c>
      <c r="C867" s="124">
        <v>46323</v>
      </c>
      <c r="D867" s="124" t="s">
        <v>492</v>
      </c>
      <c r="E867" s="21">
        <v>0.97369689000000004</v>
      </c>
      <c r="F867" s="10"/>
      <c r="G867" s="14">
        <v>5400000</v>
      </c>
      <c r="H867" s="14">
        <v>5257963.21</v>
      </c>
      <c r="I867" s="14">
        <v>5400000</v>
      </c>
      <c r="J867" s="14">
        <v>5257963.21</v>
      </c>
      <c r="K867" s="12">
        <v>162798</v>
      </c>
      <c r="L867" s="10" t="s">
        <v>101</v>
      </c>
      <c r="M867" s="10" t="s">
        <v>102</v>
      </c>
      <c r="N867" s="124" t="s">
        <v>348</v>
      </c>
      <c r="O867" s="124" t="s">
        <v>348</v>
      </c>
      <c r="P867" s="21">
        <v>34</v>
      </c>
      <c r="Q867" s="10" t="s">
        <v>54</v>
      </c>
      <c r="R867" s="10" t="s">
        <v>28</v>
      </c>
      <c r="S867" s="10"/>
      <c r="T867" s="10"/>
      <c r="U867" s="10" t="s">
        <v>1896</v>
      </c>
      <c r="V867" s="10" t="s">
        <v>1896</v>
      </c>
      <c r="W867" s="50">
        <f>+J867/$W$2</f>
        <v>6.9902353740824321E-5</v>
      </c>
    </row>
    <row r="868" spans="1:29">
      <c r="A868" s="10" t="s">
        <v>1189</v>
      </c>
      <c r="B868" s="10" t="s">
        <v>381</v>
      </c>
      <c r="C868" s="124">
        <v>46323</v>
      </c>
      <c r="D868" s="124" t="s">
        <v>492</v>
      </c>
      <c r="E868" s="21">
        <v>0.97294422000000003</v>
      </c>
      <c r="F868" s="10"/>
      <c r="G868" s="14">
        <v>763324.59</v>
      </c>
      <c r="H868" s="14">
        <v>742672.25</v>
      </c>
      <c r="I868" s="14">
        <v>763324.59</v>
      </c>
      <c r="J868" s="14">
        <v>742672.25</v>
      </c>
      <c r="K868" s="12">
        <v>118472</v>
      </c>
      <c r="L868" s="10" t="s">
        <v>101</v>
      </c>
      <c r="M868" s="10" t="s">
        <v>102</v>
      </c>
      <c r="N868" s="124" t="s">
        <v>398</v>
      </c>
      <c r="O868" s="124" t="s">
        <v>398</v>
      </c>
      <c r="P868" s="21">
        <v>35</v>
      </c>
      <c r="Q868" s="10" t="s">
        <v>54</v>
      </c>
      <c r="R868" s="10" t="s">
        <v>28</v>
      </c>
      <c r="S868" s="10"/>
      <c r="T868" s="10"/>
      <c r="U868" s="10" t="s">
        <v>1767</v>
      </c>
      <c r="V868" s="10" t="s">
        <v>1767</v>
      </c>
      <c r="W868" s="50">
        <f>+J868/$W$2</f>
        <v>9.8735073372629989E-6</v>
      </c>
    </row>
    <row r="869" spans="1:29">
      <c r="A869" s="10" t="s">
        <v>1431</v>
      </c>
      <c r="B869" s="10" t="s">
        <v>381</v>
      </c>
      <c r="C869" s="124">
        <v>46323</v>
      </c>
      <c r="D869" s="124" t="s">
        <v>492</v>
      </c>
      <c r="E869" s="21">
        <v>0.97823760000000004</v>
      </c>
      <c r="F869" s="10"/>
      <c r="G869" s="14">
        <v>5225717</v>
      </c>
      <c r="H869" s="14">
        <v>5111992.84</v>
      </c>
      <c r="I869" s="14">
        <v>5225717</v>
      </c>
      <c r="J869" s="14">
        <v>5111992.84</v>
      </c>
      <c r="K869" s="12">
        <v>3175</v>
      </c>
      <c r="L869" s="10" t="s">
        <v>101</v>
      </c>
      <c r="M869" s="10" t="s">
        <v>102</v>
      </c>
      <c r="N869" s="124" t="s">
        <v>548</v>
      </c>
      <c r="O869" s="124" t="s">
        <v>548</v>
      </c>
      <c r="P869" s="21">
        <v>28</v>
      </c>
      <c r="Q869" s="10" t="s">
        <v>54</v>
      </c>
      <c r="R869" s="10" t="s">
        <v>28</v>
      </c>
      <c r="S869" s="10"/>
      <c r="T869" s="10"/>
      <c r="U869" s="10" t="s">
        <v>1413</v>
      </c>
      <c r="V869" s="10" t="s">
        <v>1413</v>
      </c>
      <c r="W869" s="50">
        <f>+J869/$W$2</f>
        <v>6.7961740611388022E-5</v>
      </c>
    </row>
    <row r="870" spans="1:29">
      <c r="A870" s="10" t="s">
        <v>1431</v>
      </c>
      <c r="B870" s="10" t="s">
        <v>381</v>
      </c>
      <c r="C870" s="124">
        <v>46323</v>
      </c>
      <c r="D870" s="124" t="s">
        <v>492</v>
      </c>
      <c r="E870" s="21">
        <v>0.97520578999999996</v>
      </c>
      <c r="F870" s="10"/>
      <c r="G870" s="14">
        <v>5444206</v>
      </c>
      <c r="H870" s="14">
        <v>5309221.21</v>
      </c>
      <c r="I870" s="14">
        <v>5444206</v>
      </c>
      <c r="J870" s="14">
        <v>5309221.21</v>
      </c>
      <c r="K870" s="12">
        <v>3441</v>
      </c>
      <c r="L870" s="10" t="s">
        <v>101</v>
      </c>
      <c r="M870" s="10" t="s">
        <v>102</v>
      </c>
      <c r="N870" s="124" t="s">
        <v>398</v>
      </c>
      <c r="O870" s="124" t="s">
        <v>398</v>
      </c>
      <c r="P870" s="21">
        <v>32</v>
      </c>
      <c r="Q870" s="10" t="s">
        <v>54</v>
      </c>
      <c r="R870" s="10" t="s">
        <v>28</v>
      </c>
      <c r="S870" s="10"/>
      <c r="T870" s="10"/>
      <c r="U870" s="10" t="s">
        <v>1778</v>
      </c>
      <c r="V870" s="10" t="s">
        <v>1778</v>
      </c>
      <c r="W870" s="50">
        <f>+J870/$W$2</f>
        <v>7.058380674932629E-5</v>
      </c>
    </row>
    <row r="871" spans="1:29">
      <c r="A871" s="10" t="s">
        <v>419</v>
      </c>
      <c r="B871" s="10" t="s">
        <v>381</v>
      </c>
      <c r="C871" s="124">
        <v>46323</v>
      </c>
      <c r="D871" s="124" t="s">
        <v>492</v>
      </c>
      <c r="E871" s="21">
        <v>0.97369686</v>
      </c>
      <c r="F871" s="10"/>
      <c r="G871" s="14">
        <v>3000000</v>
      </c>
      <c r="H871" s="14">
        <v>2921090.59</v>
      </c>
      <c r="I871" s="14">
        <v>3000000</v>
      </c>
      <c r="J871" s="14">
        <v>2921090.59</v>
      </c>
      <c r="K871" s="12">
        <v>4564</v>
      </c>
      <c r="L871" s="10" t="s">
        <v>101</v>
      </c>
      <c r="M871" s="10" t="s">
        <v>102</v>
      </c>
      <c r="N871" s="124" t="s">
        <v>323</v>
      </c>
      <c r="O871" s="124" t="s">
        <v>323</v>
      </c>
      <c r="P871" s="21">
        <v>34</v>
      </c>
      <c r="Q871" s="10" t="s">
        <v>54</v>
      </c>
      <c r="R871" s="10" t="s">
        <v>28</v>
      </c>
      <c r="S871" s="10"/>
      <c r="T871" s="10"/>
      <c r="U871" s="10" t="s">
        <v>929</v>
      </c>
      <c r="V871" s="10" t="s">
        <v>929</v>
      </c>
      <c r="W871" s="50">
        <f>+J871/$W$2</f>
        <v>3.8834639874015625E-5</v>
      </c>
    </row>
    <row r="872" spans="1:29">
      <c r="A872" s="10" t="s">
        <v>601</v>
      </c>
      <c r="B872" s="10" t="s">
        <v>381</v>
      </c>
      <c r="C872" s="124">
        <v>46323</v>
      </c>
      <c r="D872" s="124" t="s">
        <v>492</v>
      </c>
      <c r="E872" s="21">
        <v>0.97445097000000003</v>
      </c>
      <c r="F872" s="10"/>
      <c r="G872" s="14">
        <v>70000000</v>
      </c>
      <c r="H872" s="14">
        <v>68211567.730000004</v>
      </c>
      <c r="I872" s="14">
        <v>70000000</v>
      </c>
      <c r="J872" s="14">
        <v>68211567.730000004</v>
      </c>
      <c r="K872" s="12">
        <v>9795701</v>
      </c>
      <c r="L872" s="10" t="s">
        <v>101</v>
      </c>
      <c r="M872" s="10" t="s">
        <v>102</v>
      </c>
      <c r="N872" s="124" t="s">
        <v>531</v>
      </c>
      <c r="O872" s="124" t="s">
        <v>531</v>
      </c>
      <c r="P872" s="21">
        <v>33</v>
      </c>
      <c r="Q872" s="10" t="s">
        <v>54</v>
      </c>
      <c r="R872" s="10" t="s">
        <v>28</v>
      </c>
      <c r="S872" s="10"/>
      <c r="T872" s="10"/>
      <c r="U872" s="10" t="s">
        <v>3403</v>
      </c>
      <c r="V872" s="10" t="s">
        <v>3403</v>
      </c>
      <c r="W872" s="50">
        <f>+J872/$W$2</f>
        <v>9.0684338140864572E-4</v>
      </c>
    </row>
    <row r="873" spans="1:29">
      <c r="A873" s="10" t="s">
        <v>166</v>
      </c>
      <c r="B873" s="10" t="s">
        <v>381</v>
      </c>
      <c r="C873" s="124">
        <v>46323</v>
      </c>
      <c r="D873" s="124" t="s">
        <v>492</v>
      </c>
      <c r="E873" s="21">
        <v>0.97069329000000004</v>
      </c>
      <c r="F873" s="10"/>
      <c r="G873" s="14">
        <v>300000000</v>
      </c>
      <c r="H873" s="14">
        <v>291207987.24000001</v>
      </c>
      <c r="I873" s="14">
        <v>300000000</v>
      </c>
      <c r="J873" s="14">
        <v>291207987.24000001</v>
      </c>
      <c r="K873" s="12">
        <v>70411282</v>
      </c>
      <c r="L873" s="10" t="s">
        <v>101</v>
      </c>
      <c r="M873" s="10" t="s">
        <v>102</v>
      </c>
      <c r="N873" s="124" t="s">
        <v>434</v>
      </c>
      <c r="O873" s="124" t="s">
        <v>434</v>
      </c>
      <c r="P873" s="21">
        <v>38</v>
      </c>
      <c r="Q873" s="10" t="s">
        <v>54</v>
      </c>
      <c r="R873" s="10" t="s">
        <v>28</v>
      </c>
      <c r="S873" s="10"/>
      <c r="T873" s="10"/>
      <c r="U873" s="10" t="s">
        <v>2966</v>
      </c>
      <c r="V873" s="10" t="s">
        <v>2966</v>
      </c>
      <c r="W873" s="50">
        <f>+J873/$W$2</f>
        <v>3.8714846268777781E-3</v>
      </c>
    </row>
    <row r="874" spans="1:29">
      <c r="A874" s="10" t="s">
        <v>688</v>
      </c>
      <c r="B874" s="10" t="s">
        <v>381</v>
      </c>
      <c r="C874" s="124">
        <v>46323</v>
      </c>
      <c r="D874" s="124" t="s">
        <v>492</v>
      </c>
      <c r="E874" s="21">
        <v>0.97144238000000005</v>
      </c>
      <c r="F874" s="10"/>
      <c r="G874" s="14">
        <v>615971020</v>
      </c>
      <c r="H874" s="14">
        <v>598380352.63</v>
      </c>
      <c r="I874" s="14">
        <v>615971020</v>
      </c>
      <c r="J874" s="14">
        <v>598380352.63</v>
      </c>
      <c r="K874" s="12">
        <v>164348</v>
      </c>
      <c r="L874" s="10" t="s">
        <v>101</v>
      </c>
      <c r="M874" s="10" t="s">
        <v>102</v>
      </c>
      <c r="N874" s="124" t="s">
        <v>536</v>
      </c>
      <c r="O874" s="124" t="s">
        <v>536</v>
      </c>
      <c r="P874" s="21">
        <v>37</v>
      </c>
      <c r="Q874" s="10" t="s">
        <v>54</v>
      </c>
      <c r="R874" s="10" t="s">
        <v>28</v>
      </c>
      <c r="S874" s="10"/>
      <c r="T874" s="10"/>
      <c r="U874" s="10" t="s">
        <v>2309</v>
      </c>
      <c r="V874" s="10" t="s">
        <v>2309</v>
      </c>
      <c r="W874" s="50">
        <f>+J874/$W$2</f>
        <v>7.955208777716315E-3</v>
      </c>
    </row>
    <row r="875" spans="1:29">
      <c r="A875" s="10" t="s">
        <v>404</v>
      </c>
      <c r="B875" s="10" t="s">
        <v>381</v>
      </c>
      <c r="C875" s="124">
        <v>46323</v>
      </c>
      <c r="D875" s="124" t="s">
        <v>492</v>
      </c>
      <c r="E875" s="21">
        <v>0.97671934000000005</v>
      </c>
      <c r="F875" s="10"/>
      <c r="G875" s="14">
        <v>25000000</v>
      </c>
      <c r="H875" s="14">
        <v>24417983.59</v>
      </c>
      <c r="I875" s="14">
        <v>25000000</v>
      </c>
      <c r="J875" s="14">
        <v>24417983.59</v>
      </c>
      <c r="K875" s="12">
        <v>509760</v>
      </c>
      <c r="L875" s="10" t="s">
        <v>101</v>
      </c>
      <c r="M875" s="10" t="s">
        <v>102</v>
      </c>
      <c r="N875" s="124" t="s">
        <v>322</v>
      </c>
      <c r="O875" s="124" t="s">
        <v>322</v>
      </c>
      <c r="P875" s="21">
        <v>30</v>
      </c>
      <c r="Q875" s="10" t="s">
        <v>54</v>
      </c>
      <c r="R875" s="10" t="s">
        <v>28</v>
      </c>
      <c r="S875" s="10"/>
      <c r="T875" s="10"/>
      <c r="U875" s="10" t="s">
        <v>1554</v>
      </c>
      <c r="V875" s="10" t="s">
        <v>1554</v>
      </c>
      <c r="W875" s="50">
        <f>+J875/$W$2</f>
        <v>3.2462656324782903E-4</v>
      </c>
    </row>
    <row r="876" spans="1:29">
      <c r="A876" s="10" t="s">
        <v>404</v>
      </c>
      <c r="B876" s="10" t="s">
        <v>381</v>
      </c>
      <c r="C876" s="124">
        <v>46323</v>
      </c>
      <c r="D876" s="124" t="s">
        <v>492</v>
      </c>
      <c r="E876" s="21">
        <v>0.97899849999999999</v>
      </c>
      <c r="F876" s="10"/>
      <c r="G876" s="14">
        <v>40000000</v>
      </c>
      <c r="H876" s="14">
        <v>39159939.969999999</v>
      </c>
      <c r="I876" s="14">
        <v>40000000</v>
      </c>
      <c r="J876" s="14">
        <v>39159939.969999999</v>
      </c>
      <c r="K876" s="12">
        <v>42633</v>
      </c>
      <c r="L876" s="10" t="s">
        <v>101</v>
      </c>
      <c r="M876" s="10" t="s">
        <v>102</v>
      </c>
      <c r="N876" s="124" t="s">
        <v>532</v>
      </c>
      <c r="O876" s="124" t="s">
        <v>532</v>
      </c>
      <c r="P876" s="21">
        <v>27</v>
      </c>
      <c r="Q876" s="10" t="s">
        <v>54</v>
      </c>
      <c r="R876" s="10" t="s">
        <v>28</v>
      </c>
      <c r="S876" s="10"/>
      <c r="T876" s="10"/>
      <c r="U876" s="10" t="s">
        <v>3065</v>
      </c>
      <c r="V876" s="10" t="s">
        <v>3065</v>
      </c>
      <c r="W876" s="50">
        <f>+J876/$W$2</f>
        <v>5.2061451686201226E-4</v>
      </c>
    </row>
    <row r="877" spans="1:29">
      <c r="A877" s="10" t="s">
        <v>1422</v>
      </c>
      <c r="B877" s="10" t="s">
        <v>381</v>
      </c>
      <c r="C877" s="124">
        <v>46323</v>
      </c>
      <c r="D877" s="124" t="s">
        <v>492</v>
      </c>
      <c r="E877" s="21">
        <v>0.97596198000000001</v>
      </c>
      <c r="F877" s="10"/>
      <c r="G877" s="14">
        <v>15964185.08</v>
      </c>
      <c r="H877" s="14">
        <v>15580437.710000001</v>
      </c>
      <c r="I877" s="14">
        <v>15964185.08</v>
      </c>
      <c r="J877" s="14">
        <v>15580437.710000001</v>
      </c>
      <c r="K877" s="12">
        <v>31835332</v>
      </c>
      <c r="L877" s="10" t="s">
        <v>101</v>
      </c>
      <c r="M877" s="10" t="s">
        <v>102</v>
      </c>
      <c r="N877" s="124" t="s">
        <v>164</v>
      </c>
      <c r="O877" s="124" t="s">
        <v>164</v>
      </c>
      <c r="P877" s="21">
        <v>31</v>
      </c>
      <c r="Q877" s="10" t="s">
        <v>54</v>
      </c>
      <c r="R877" s="10" t="s">
        <v>28</v>
      </c>
      <c r="S877" s="10"/>
      <c r="T877" s="10"/>
      <c r="U877" s="10" t="s">
        <v>2011</v>
      </c>
      <c r="V877" s="10" t="s">
        <v>2011</v>
      </c>
      <c r="W877" s="50">
        <f>+J877/$W$2</f>
        <v>2.0713520135894956E-4</v>
      </c>
      <c r="AC877"/>
    </row>
    <row r="878" spans="1:29">
      <c r="A878" s="10" t="s">
        <v>699</v>
      </c>
      <c r="B878" s="10" t="s">
        <v>381</v>
      </c>
      <c r="C878" s="124">
        <v>46323</v>
      </c>
      <c r="D878" s="124" t="s">
        <v>492</v>
      </c>
      <c r="E878" s="21">
        <v>0.97445075000000003</v>
      </c>
      <c r="F878" s="10"/>
      <c r="G878" s="14">
        <v>10000000</v>
      </c>
      <c r="H878" s="14">
        <v>9744507.5</v>
      </c>
      <c r="I878" s="14">
        <v>10000000</v>
      </c>
      <c r="J878" s="14">
        <v>9744507.5</v>
      </c>
      <c r="K878" s="12">
        <v>403</v>
      </c>
      <c r="L878" s="10" t="s">
        <v>101</v>
      </c>
      <c r="M878" s="10" t="s">
        <v>102</v>
      </c>
      <c r="N878" s="124" t="s">
        <v>423</v>
      </c>
      <c r="O878" s="124" t="s">
        <v>423</v>
      </c>
      <c r="P878" s="21">
        <v>33</v>
      </c>
      <c r="Q878" s="10" t="s">
        <v>54</v>
      </c>
      <c r="R878" s="10" t="s">
        <v>28</v>
      </c>
      <c r="S878" s="10"/>
      <c r="T878" s="10"/>
      <c r="U878" s="10" t="s">
        <v>2588</v>
      </c>
      <c r="V878" s="10" t="s">
        <v>2588</v>
      </c>
      <c r="W878" s="50">
        <f>+J878/$W$2</f>
        <v>1.2954902556176607E-4</v>
      </c>
    </row>
    <row r="879" spans="1:29">
      <c r="A879" s="10" t="s">
        <v>699</v>
      </c>
      <c r="B879" s="10" t="s">
        <v>381</v>
      </c>
      <c r="C879" s="124">
        <v>46323</v>
      </c>
      <c r="D879" s="124" t="s">
        <v>492</v>
      </c>
      <c r="E879" s="21">
        <v>0.97445075000000003</v>
      </c>
      <c r="F879" s="10"/>
      <c r="G879" s="14">
        <v>40000000</v>
      </c>
      <c r="H879" s="14">
        <v>38978029.979999997</v>
      </c>
      <c r="I879" s="14">
        <v>40000000</v>
      </c>
      <c r="J879" s="14">
        <v>38978029.979999997</v>
      </c>
      <c r="K879" s="12">
        <v>405</v>
      </c>
      <c r="L879" s="10" t="s">
        <v>101</v>
      </c>
      <c r="M879" s="10" t="s">
        <v>102</v>
      </c>
      <c r="N879" s="124" t="s">
        <v>423</v>
      </c>
      <c r="O879" s="124" t="s">
        <v>423</v>
      </c>
      <c r="P879" s="21">
        <v>33</v>
      </c>
      <c r="Q879" s="10" t="s">
        <v>54</v>
      </c>
      <c r="R879" s="10" t="s">
        <v>28</v>
      </c>
      <c r="S879" s="10"/>
      <c r="T879" s="10"/>
      <c r="U879" s="10" t="s">
        <v>2589</v>
      </c>
      <c r="V879" s="10" t="s">
        <v>2589</v>
      </c>
      <c r="W879" s="50">
        <f>+J879/$W$2</f>
        <v>5.1819610198117292E-4</v>
      </c>
    </row>
    <row r="880" spans="1:29">
      <c r="A880" s="10" t="s">
        <v>699</v>
      </c>
      <c r="B880" s="10" t="s">
        <v>381</v>
      </c>
      <c r="C880" s="124">
        <v>46323</v>
      </c>
      <c r="D880" s="124" t="s">
        <v>492</v>
      </c>
      <c r="E880" s="21">
        <v>0.97445075000000003</v>
      </c>
      <c r="F880" s="10"/>
      <c r="G880" s="14">
        <v>20000000</v>
      </c>
      <c r="H880" s="14">
        <v>19489014.989999998</v>
      </c>
      <c r="I880" s="14">
        <v>20000000</v>
      </c>
      <c r="J880" s="14">
        <v>19489014.989999998</v>
      </c>
      <c r="K880" s="12">
        <v>404</v>
      </c>
      <c r="L880" s="10" t="s">
        <v>101</v>
      </c>
      <c r="M880" s="10" t="s">
        <v>102</v>
      </c>
      <c r="N880" s="124" t="s">
        <v>423</v>
      </c>
      <c r="O880" s="124" t="s">
        <v>423</v>
      </c>
      <c r="P880" s="21">
        <v>33</v>
      </c>
      <c r="Q880" s="10" t="s">
        <v>54</v>
      </c>
      <c r="R880" s="10" t="s">
        <v>28</v>
      </c>
      <c r="S880" s="10"/>
      <c r="T880" s="10"/>
      <c r="U880" s="10" t="s">
        <v>2590</v>
      </c>
      <c r="V880" s="10" t="s">
        <v>2590</v>
      </c>
      <c r="W880" s="50">
        <f>+J880/$W$2</f>
        <v>2.5909805099058646E-4</v>
      </c>
      <c r="AC880" s="47"/>
    </row>
    <row r="881" spans="1:23">
      <c r="A881" s="10" t="s">
        <v>699</v>
      </c>
      <c r="B881" s="10" t="s">
        <v>381</v>
      </c>
      <c r="C881" s="124">
        <v>46323</v>
      </c>
      <c r="D881" s="124" t="s">
        <v>492</v>
      </c>
      <c r="E881" s="21">
        <v>0.97369691999999997</v>
      </c>
      <c r="F881" s="10"/>
      <c r="G881" s="14">
        <v>50000000</v>
      </c>
      <c r="H881" s="14">
        <v>48684845.960000001</v>
      </c>
      <c r="I881" s="14">
        <v>50000000</v>
      </c>
      <c r="J881" s="14">
        <v>48684845.960000001</v>
      </c>
      <c r="K881" s="12">
        <v>377</v>
      </c>
      <c r="L881" s="10" t="s">
        <v>101</v>
      </c>
      <c r="M881" s="10" t="s">
        <v>102</v>
      </c>
      <c r="N881" s="124" t="s">
        <v>325</v>
      </c>
      <c r="O881" s="124" t="s">
        <v>325</v>
      </c>
      <c r="P881" s="21">
        <v>34</v>
      </c>
      <c r="Q881" s="10" t="s">
        <v>54</v>
      </c>
      <c r="R881" s="10" t="s">
        <v>28</v>
      </c>
      <c r="S881" s="10"/>
      <c r="T881" s="10"/>
      <c r="U881" s="10" t="s">
        <v>1602</v>
      </c>
      <c r="V881" s="10" t="s">
        <v>1602</v>
      </c>
      <c r="W881" s="50">
        <f>+J881/$W$2</f>
        <v>6.4724403503642271E-4</v>
      </c>
    </row>
    <row r="882" spans="1:23">
      <c r="A882" s="10" t="s">
        <v>402</v>
      </c>
      <c r="B882" s="10" t="s">
        <v>381</v>
      </c>
      <c r="C882" s="124">
        <v>46323</v>
      </c>
      <c r="D882" s="124" t="s">
        <v>492</v>
      </c>
      <c r="E882" s="21">
        <v>0.97520593</v>
      </c>
      <c r="F882" s="10"/>
      <c r="G882" s="14">
        <v>20000000</v>
      </c>
      <c r="H882" s="14">
        <v>19504118.68</v>
      </c>
      <c r="I882" s="14">
        <v>20000000</v>
      </c>
      <c r="J882" s="14">
        <v>19504118.68</v>
      </c>
      <c r="K882" s="12">
        <v>679</v>
      </c>
      <c r="L882" s="10" t="s">
        <v>101</v>
      </c>
      <c r="M882" s="10" t="s">
        <v>102</v>
      </c>
      <c r="N882" s="124" t="s">
        <v>434</v>
      </c>
      <c r="O882" s="124" t="s">
        <v>434</v>
      </c>
      <c r="P882" s="21">
        <v>32</v>
      </c>
      <c r="Q882" s="10" t="s">
        <v>54</v>
      </c>
      <c r="R882" s="10" t="s">
        <v>28</v>
      </c>
      <c r="S882" s="10"/>
      <c r="T882" s="10"/>
      <c r="U882" s="10" t="s">
        <v>2939</v>
      </c>
      <c r="V882" s="10" t="s">
        <v>2939</v>
      </c>
      <c r="W882" s="50">
        <f>+J882/$W$2</f>
        <v>2.5929884803670573E-4</v>
      </c>
    </row>
    <row r="883" spans="1:23">
      <c r="A883" s="10" t="s">
        <v>402</v>
      </c>
      <c r="B883" s="10" t="s">
        <v>381</v>
      </c>
      <c r="C883" s="124">
        <v>46323</v>
      </c>
      <c r="D883" s="124" t="s">
        <v>492</v>
      </c>
      <c r="E883" s="21">
        <v>0.97520593</v>
      </c>
      <c r="F883" s="10"/>
      <c r="G883" s="14">
        <v>10000000</v>
      </c>
      <c r="H883" s="14">
        <v>9752059.3399999999</v>
      </c>
      <c r="I883" s="14">
        <v>10000000</v>
      </c>
      <c r="J883" s="14">
        <v>9752059.3399999999</v>
      </c>
      <c r="K883" s="12">
        <v>687</v>
      </c>
      <c r="L883" s="10" t="s">
        <v>101</v>
      </c>
      <c r="M883" s="10" t="s">
        <v>102</v>
      </c>
      <c r="N883" s="124" t="s">
        <v>434</v>
      </c>
      <c r="O883" s="124" t="s">
        <v>434</v>
      </c>
      <c r="P883" s="21">
        <v>32</v>
      </c>
      <c r="Q883" s="10" t="s">
        <v>54</v>
      </c>
      <c r="R883" s="10" t="s">
        <v>28</v>
      </c>
      <c r="S883" s="10"/>
      <c r="T883" s="10"/>
      <c r="U883" s="10" t="s">
        <v>2946</v>
      </c>
      <c r="V883" s="10" t="s">
        <v>2946</v>
      </c>
      <c r="W883" s="50">
        <f>+J883/$W$2</f>
        <v>1.2964942401835286E-4</v>
      </c>
    </row>
    <row r="884" spans="1:23">
      <c r="A884" s="10" t="s">
        <v>402</v>
      </c>
      <c r="B884" s="10" t="s">
        <v>381</v>
      </c>
      <c r="C884" s="124">
        <v>46323</v>
      </c>
      <c r="D884" s="124" t="s">
        <v>492</v>
      </c>
      <c r="E884" s="21">
        <v>0.97520593</v>
      </c>
      <c r="F884" s="10"/>
      <c r="G884" s="14">
        <v>40000000</v>
      </c>
      <c r="H884" s="14">
        <v>39008237.380000003</v>
      </c>
      <c r="I884" s="14">
        <v>40000000</v>
      </c>
      <c r="J884" s="14">
        <v>39008237.380000003</v>
      </c>
      <c r="K884" s="12">
        <v>675</v>
      </c>
      <c r="L884" s="10" t="s">
        <v>101</v>
      </c>
      <c r="M884" s="10" t="s">
        <v>102</v>
      </c>
      <c r="N884" s="124" t="s">
        <v>434</v>
      </c>
      <c r="O884" s="124" t="s">
        <v>434</v>
      </c>
      <c r="P884" s="21">
        <v>32</v>
      </c>
      <c r="Q884" s="10" t="s">
        <v>54</v>
      </c>
      <c r="R884" s="10" t="s">
        <v>28</v>
      </c>
      <c r="S884" s="10"/>
      <c r="T884" s="10"/>
      <c r="U884" s="10" t="s">
        <v>2948</v>
      </c>
      <c r="V884" s="10" t="s">
        <v>2948</v>
      </c>
      <c r="W884" s="50">
        <f>+J884/$W$2</f>
        <v>5.1859769633930282E-4</v>
      </c>
    </row>
    <row r="885" spans="1:23">
      <c r="A885" s="10" t="s">
        <v>402</v>
      </c>
      <c r="B885" s="10" t="s">
        <v>381</v>
      </c>
      <c r="C885" s="124">
        <v>46323</v>
      </c>
      <c r="D885" s="124" t="s">
        <v>492</v>
      </c>
      <c r="E885" s="21">
        <v>0.97520593</v>
      </c>
      <c r="F885" s="10"/>
      <c r="G885" s="14">
        <v>10000000</v>
      </c>
      <c r="H885" s="14">
        <v>9752059.3399999999</v>
      </c>
      <c r="I885" s="14">
        <v>10000000</v>
      </c>
      <c r="J885" s="14">
        <v>9752059.3399999999</v>
      </c>
      <c r="K885" s="12">
        <v>683</v>
      </c>
      <c r="L885" s="10" t="s">
        <v>101</v>
      </c>
      <c r="M885" s="10" t="s">
        <v>102</v>
      </c>
      <c r="N885" s="124" t="s">
        <v>434</v>
      </c>
      <c r="O885" s="124" t="s">
        <v>434</v>
      </c>
      <c r="P885" s="21">
        <v>32</v>
      </c>
      <c r="Q885" s="10" t="s">
        <v>54</v>
      </c>
      <c r="R885" s="10" t="s">
        <v>28</v>
      </c>
      <c r="S885" s="10"/>
      <c r="T885" s="10"/>
      <c r="U885" s="10" t="s">
        <v>2949</v>
      </c>
      <c r="V885" s="10" t="s">
        <v>2949</v>
      </c>
      <c r="W885" s="50">
        <f>+J885/$W$2</f>
        <v>1.2964942401835286E-4</v>
      </c>
    </row>
    <row r="886" spans="1:23">
      <c r="A886" s="10" t="s">
        <v>418</v>
      </c>
      <c r="B886" s="10" t="s">
        <v>381</v>
      </c>
      <c r="C886" s="124">
        <v>46323</v>
      </c>
      <c r="D886" s="124" t="s">
        <v>492</v>
      </c>
      <c r="E886" s="21">
        <v>0.97369686</v>
      </c>
      <c r="F886" s="10"/>
      <c r="G886" s="14">
        <v>4549416.66</v>
      </c>
      <c r="H886" s="14">
        <v>4429752.74</v>
      </c>
      <c r="I886" s="14">
        <v>4549416.66</v>
      </c>
      <c r="J886" s="14">
        <v>4429752.74</v>
      </c>
      <c r="K886" s="12">
        <v>50456546</v>
      </c>
      <c r="L886" s="10" t="s">
        <v>101</v>
      </c>
      <c r="M886" s="10" t="s">
        <v>102</v>
      </c>
      <c r="N886" s="124" t="s">
        <v>323</v>
      </c>
      <c r="O886" s="124" t="s">
        <v>323</v>
      </c>
      <c r="P886" s="21">
        <v>34</v>
      </c>
      <c r="Q886" s="10" t="s">
        <v>54</v>
      </c>
      <c r="R886" s="10" t="s">
        <v>28</v>
      </c>
      <c r="S886" s="10"/>
      <c r="T886" s="10"/>
      <c r="U886" s="10" t="s">
        <v>906</v>
      </c>
      <c r="V886" s="10" t="s">
        <v>906</v>
      </c>
      <c r="W886" s="50">
        <f>+J886/$W$2</f>
        <v>5.8891652651153826E-5</v>
      </c>
    </row>
    <row r="887" spans="1:23">
      <c r="A887" s="10" t="s">
        <v>465</v>
      </c>
      <c r="B887" s="10" t="s">
        <v>381</v>
      </c>
      <c r="C887" s="124">
        <v>46323</v>
      </c>
      <c r="D887" s="124" t="s">
        <v>492</v>
      </c>
      <c r="E887" s="21">
        <v>0.97369687999999999</v>
      </c>
      <c r="F887" s="10"/>
      <c r="G887" s="14">
        <v>10000000</v>
      </c>
      <c r="H887" s="14">
        <v>9736968.7599999998</v>
      </c>
      <c r="I887" s="14">
        <v>10000000</v>
      </c>
      <c r="J887" s="14">
        <v>9736968.7599999998</v>
      </c>
      <c r="K887" s="12">
        <v>14284511</v>
      </c>
      <c r="L887" s="10" t="s">
        <v>101</v>
      </c>
      <c r="M887" s="10" t="s">
        <v>102</v>
      </c>
      <c r="N887" s="124" t="s">
        <v>425</v>
      </c>
      <c r="O887" s="124" t="s">
        <v>425</v>
      </c>
      <c r="P887" s="21">
        <v>34</v>
      </c>
      <c r="Q887" s="10" t="s">
        <v>54</v>
      </c>
      <c r="R887" s="10" t="s">
        <v>28</v>
      </c>
      <c r="S887" s="10"/>
      <c r="T887" s="10"/>
      <c r="U887" s="10" t="s">
        <v>1696</v>
      </c>
      <c r="V887" s="10" t="s">
        <v>1696</v>
      </c>
      <c r="W887" s="50">
        <f>+J887/$W$2</f>
        <v>1.2944880126403082E-4</v>
      </c>
    </row>
    <row r="888" spans="1:23">
      <c r="A888" s="10" t="s">
        <v>465</v>
      </c>
      <c r="B888" s="10" t="s">
        <v>381</v>
      </c>
      <c r="C888" s="124">
        <v>46323</v>
      </c>
      <c r="D888" s="124" t="s">
        <v>492</v>
      </c>
      <c r="E888" s="21">
        <v>0.97520578999999996</v>
      </c>
      <c r="F888" s="10"/>
      <c r="G888" s="14">
        <v>10000000</v>
      </c>
      <c r="H888" s="14">
        <v>9752057.8699999992</v>
      </c>
      <c r="I888" s="14">
        <v>10000000</v>
      </c>
      <c r="J888" s="14">
        <v>9752057.8699999992</v>
      </c>
      <c r="K888" s="12">
        <v>14422569</v>
      </c>
      <c r="L888" s="10" t="s">
        <v>101</v>
      </c>
      <c r="M888" s="10" t="s">
        <v>102</v>
      </c>
      <c r="N888" s="124" t="s">
        <v>164</v>
      </c>
      <c r="O888" s="124" t="s">
        <v>164</v>
      </c>
      <c r="P888" s="21">
        <v>32</v>
      </c>
      <c r="Q888" s="10" t="s">
        <v>54</v>
      </c>
      <c r="R888" s="10" t="s">
        <v>28</v>
      </c>
      <c r="S888" s="10"/>
      <c r="T888" s="10"/>
      <c r="U888" s="10" t="s">
        <v>1978</v>
      </c>
      <c r="V888" s="10" t="s">
        <v>1978</v>
      </c>
      <c r="W888" s="50">
        <f>+J888/$W$2</f>
        <v>1.2964940447533668E-4</v>
      </c>
    </row>
    <row r="889" spans="1:23">
      <c r="A889" s="10" t="s">
        <v>1811</v>
      </c>
      <c r="B889" s="10" t="s">
        <v>381</v>
      </c>
      <c r="C889" s="124">
        <v>46323</v>
      </c>
      <c r="D889" s="124" t="s">
        <v>492</v>
      </c>
      <c r="E889" s="21">
        <v>0.97520578999999996</v>
      </c>
      <c r="F889" s="10"/>
      <c r="G889" s="14">
        <v>6714705.0300000003</v>
      </c>
      <c r="H889" s="14">
        <v>6548219.2400000002</v>
      </c>
      <c r="I889" s="14">
        <v>6714705.0300000003</v>
      </c>
      <c r="J889" s="14">
        <v>6548219.2400000002</v>
      </c>
      <c r="K889" s="12">
        <v>198201</v>
      </c>
      <c r="L889" s="10" t="s">
        <v>101</v>
      </c>
      <c r="M889" s="10" t="s">
        <v>102</v>
      </c>
      <c r="N889" s="124" t="s">
        <v>398</v>
      </c>
      <c r="O889" s="124" t="s">
        <v>398</v>
      </c>
      <c r="P889" s="21">
        <v>32</v>
      </c>
      <c r="Q889" s="10" t="s">
        <v>54</v>
      </c>
      <c r="R889" s="10" t="s">
        <v>28</v>
      </c>
      <c r="S889" s="10"/>
      <c r="T889" s="10"/>
      <c r="U889" s="10" t="s">
        <v>1772</v>
      </c>
      <c r="V889" s="10" t="s">
        <v>1772</v>
      </c>
      <c r="W889" s="50">
        <f>+J889/$W$2</f>
        <v>8.7055751325226899E-5</v>
      </c>
    </row>
    <row r="890" spans="1:23">
      <c r="A890" s="10" t="s">
        <v>1435</v>
      </c>
      <c r="B890" s="10" t="s">
        <v>381</v>
      </c>
      <c r="C890" s="124">
        <v>46323</v>
      </c>
      <c r="D890" s="124" t="s">
        <v>492</v>
      </c>
      <c r="E890" s="21">
        <v>0.97823760000000004</v>
      </c>
      <c r="F890" s="10"/>
      <c r="G890" s="14">
        <v>12995399.76</v>
      </c>
      <c r="H890" s="14">
        <v>12712588.66</v>
      </c>
      <c r="I890" s="14">
        <v>12995399.76</v>
      </c>
      <c r="J890" s="14">
        <v>12712588.66</v>
      </c>
      <c r="K890" s="12">
        <v>7564</v>
      </c>
      <c r="L890" s="10" t="s">
        <v>101</v>
      </c>
      <c r="M890" s="10" t="s">
        <v>102</v>
      </c>
      <c r="N890" s="124" t="s">
        <v>548</v>
      </c>
      <c r="O890" s="124" t="s">
        <v>548</v>
      </c>
      <c r="P890" s="21">
        <v>28</v>
      </c>
      <c r="Q890" s="10" t="s">
        <v>54</v>
      </c>
      <c r="R890" s="10" t="s">
        <v>28</v>
      </c>
      <c r="S890" s="10"/>
      <c r="T890" s="10"/>
      <c r="U890" s="10" t="s">
        <v>1414</v>
      </c>
      <c r="V890" s="10" t="s">
        <v>1414</v>
      </c>
      <c r="W890" s="50">
        <f>+J890/$W$2</f>
        <v>1.6900838480247028E-4</v>
      </c>
    </row>
    <row r="891" spans="1:23">
      <c r="A891" s="10" t="s">
        <v>717</v>
      </c>
      <c r="B891" s="10" t="s">
        <v>381</v>
      </c>
      <c r="C891" s="124">
        <v>46323</v>
      </c>
      <c r="D891" s="124" t="s">
        <v>492</v>
      </c>
      <c r="E891" s="21">
        <v>0.97369695999999994</v>
      </c>
      <c r="F891" s="10"/>
      <c r="G891" s="14">
        <v>9889609</v>
      </c>
      <c r="H891" s="14">
        <v>9629482.1799999997</v>
      </c>
      <c r="I891" s="14">
        <v>9889609</v>
      </c>
      <c r="J891" s="14">
        <v>9629482.1799999997</v>
      </c>
      <c r="K891" s="12">
        <v>1325</v>
      </c>
      <c r="L891" s="10" t="s">
        <v>101</v>
      </c>
      <c r="M891" s="10" t="s">
        <v>102</v>
      </c>
      <c r="N891" s="124" t="s">
        <v>432</v>
      </c>
      <c r="O891" s="124" t="s">
        <v>432</v>
      </c>
      <c r="P891" s="21">
        <v>34</v>
      </c>
      <c r="Q891" s="10" t="s">
        <v>54</v>
      </c>
      <c r="R891" s="10" t="s">
        <v>28</v>
      </c>
      <c r="S891" s="10"/>
      <c r="T891" s="10"/>
      <c r="U891" s="10" t="s">
        <v>1823</v>
      </c>
      <c r="V891" s="10" t="s">
        <v>1823</v>
      </c>
      <c r="W891" s="50">
        <f>+J891/$W$2</f>
        <v>1.2801981352914869E-4</v>
      </c>
    </row>
    <row r="892" spans="1:23">
      <c r="A892" s="10" t="s">
        <v>1278</v>
      </c>
      <c r="B892" s="10" t="s">
        <v>381</v>
      </c>
      <c r="C892" s="124">
        <v>46323</v>
      </c>
      <c r="D892" s="124" t="s">
        <v>492</v>
      </c>
      <c r="E892" s="21">
        <v>0.97520580000000001</v>
      </c>
      <c r="F892" s="10"/>
      <c r="G892" s="14">
        <v>20000000</v>
      </c>
      <c r="H892" s="14">
        <v>19504116.050000001</v>
      </c>
      <c r="I892" s="14">
        <v>20000000</v>
      </c>
      <c r="J892" s="14">
        <v>19504116.050000001</v>
      </c>
      <c r="K892" s="12">
        <v>6645</v>
      </c>
      <c r="L892" s="10" t="s">
        <v>101</v>
      </c>
      <c r="M892" s="10" t="s">
        <v>102</v>
      </c>
      <c r="N892" s="124" t="s">
        <v>165</v>
      </c>
      <c r="O892" s="124" t="s">
        <v>165</v>
      </c>
      <c r="P892" s="21">
        <v>32</v>
      </c>
      <c r="Q892" s="10" t="s">
        <v>54</v>
      </c>
      <c r="R892" s="10" t="s">
        <v>28</v>
      </c>
      <c r="S892" s="10"/>
      <c r="T892" s="10"/>
      <c r="U892" s="10" t="s">
        <v>1262</v>
      </c>
      <c r="V892" s="10" t="s">
        <v>1262</v>
      </c>
      <c r="W892" s="50">
        <f>+J892/$W$2</f>
        <v>2.5929881307198976E-4</v>
      </c>
    </row>
    <row r="893" spans="1:23">
      <c r="A893" s="10" t="s">
        <v>1278</v>
      </c>
      <c r="B893" s="10" t="s">
        <v>381</v>
      </c>
      <c r="C893" s="124">
        <v>46323</v>
      </c>
      <c r="D893" s="124" t="s">
        <v>492</v>
      </c>
      <c r="E893" s="21">
        <v>0.97520580000000001</v>
      </c>
      <c r="F893" s="10"/>
      <c r="G893" s="14">
        <v>20000000</v>
      </c>
      <c r="H893" s="14">
        <v>19504116.050000001</v>
      </c>
      <c r="I893" s="14">
        <v>20000000</v>
      </c>
      <c r="J893" s="14">
        <v>19504116.050000001</v>
      </c>
      <c r="K893" s="12">
        <v>6646</v>
      </c>
      <c r="L893" s="10" t="s">
        <v>101</v>
      </c>
      <c r="M893" s="10" t="s">
        <v>102</v>
      </c>
      <c r="N893" s="124" t="s">
        <v>165</v>
      </c>
      <c r="O893" s="124" t="s">
        <v>165</v>
      </c>
      <c r="P893" s="21">
        <v>32</v>
      </c>
      <c r="Q893" s="10" t="s">
        <v>54</v>
      </c>
      <c r="R893" s="10" t="s">
        <v>28</v>
      </c>
      <c r="S893" s="10"/>
      <c r="T893" s="10"/>
      <c r="U893" s="10" t="s">
        <v>1263</v>
      </c>
      <c r="V893" s="10" t="s">
        <v>1263</v>
      </c>
      <c r="W893" s="50">
        <f>+J893/$W$2</f>
        <v>2.5929881307198976E-4</v>
      </c>
    </row>
    <row r="894" spans="1:23">
      <c r="A894" s="10" t="s">
        <v>466</v>
      </c>
      <c r="B894" s="10" t="s">
        <v>381</v>
      </c>
      <c r="C894" s="124">
        <v>46323</v>
      </c>
      <c r="D894" s="124" t="s">
        <v>492</v>
      </c>
      <c r="E894" s="21">
        <v>0.97445073000000004</v>
      </c>
      <c r="F894" s="10"/>
      <c r="G894" s="14">
        <v>7954930.75</v>
      </c>
      <c r="H894" s="14">
        <v>7751688.0999999996</v>
      </c>
      <c r="I894" s="14">
        <v>7954930.75</v>
      </c>
      <c r="J894" s="14">
        <v>7751688.0999999996</v>
      </c>
      <c r="K894" s="12">
        <v>894</v>
      </c>
      <c r="L894" s="10" t="s">
        <v>101</v>
      </c>
      <c r="M894" s="10" t="s">
        <v>102</v>
      </c>
      <c r="N894" s="124" t="s">
        <v>435</v>
      </c>
      <c r="O894" s="124" t="s">
        <v>435</v>
      </c>
      <c r="P894" s="21">
        <v>33</v>
      </c>
      <c r="Q894" s="10" t="s">
        <v>54</v>
      </c>
      <c r="R894" s="10" t="s">
        <v>28</v>
      </c>
      <c r="S894" s="10"/>
      <c r="T894" s="10"/>
      <c r="U894" s="10" t="s">
        <v>1302</v>
      </c>
      <c r="V894" s="10" t="s">
        <v>1302</v>
      </c>
      <c r="W894" s="50">
        <f>+J894/$W$2</f>
        <v>1.0305535090549603E-4</v>
      </c>
    </row>
    <row r="895" spans="1:23">
      <c r="A895" s="10" t="s">
        <v>468</v>
      </c>
      <c r="B895" s="10" t="s">
        <v>381</v>
      </c>
      <c r="C895" s="124">
        <v>46323</v>
      </c>
      <c r="D895" s="124" t="s">
        <v>492</v>
      </c>
      <c r="E895" s="21">
        <v>0.97069309000000004</v>
      </c>
      <c r="F895" s="10"/>
      <c r="G895" s="14">
        <v>3511491.25</v>
      </c>
      <c r="H895" s="14">
        <v>3408580.3</v>
      </c>
      <c r="I895" s="14">
        <v>3511491.25</v>
      </c>
      <c r="J895" s="14">
        <v>3408580.3</v>
      </c>
      <c r="K895" s="12">
        <v>13270638</v>
      </c>
      <c r="L895" s="10" t="s">
        <v>101</v>
      </c>
      <c r="M895" s="10" t="s">
        <v>102</v>
      </c>
      <c r="N895" s="124" t="s">
        <v>298</v>
      </c>
      <c r="O895" s="124" t="s">
        <v>298</v>
      </c>
      <c r="P895" s="21">
        <v>38</v>
      </c>
      <c r="Q895" s="10" t="s">
        <v>54</v>
      </c>
      <c r="R895" s="10" t="s">
        <v>28</v>
      </c>
      <c r="S895" s="10"/>
      <c r="T895" s="10"/>
      <c r="U895" s="10" t="s">
        <v>550</v>
      </c>
      <c r="V895" s="10" t="s">
        <v>550</v>
      </c>
      <c r="W895" s="50">
        <f>+J895/$W$2</f>
        <v>4.5315605371952581E-5</v>
      </c>
    </row>
    <row r="896" spans="1:23">
      <c r="A896" s="10" t="s">
        <v>400</v>
      </c>
      <c r="B896" s="10" t="s">
        <v>381</v>
      </c>
      <c r="C896" s="124">
        <v>46323</v>
      </c>
      <c r="D896" s="124" t="s">
        <v>492</v>
      </c>
      <c r="E896" s="21">
        <v>0.97823758999999999</v>
      </c>
      <c r="F896" s="10"/>
      <c r="G896" s="14">
        <v>100000000</v>
      </c>
      <c r="H896" s="14">
        <v>97823758.640000001</v>
      </c>
      <c r="I896" s="14">
        <v>100000000</v>
      </c>
      <c r="J896" s="14">
        <v>97823758.640000001</v>
      </c>
      <c r="K896" s="12">
        <v>40627526</v>
      </c>
      <c r="L896" s="10" t="s">
        <v>101</v>
      </c>
      <c r="M896" s="10" t="s">
        <v>102</v>
      </c>
      <c r="N896" s="124" t="s">
        <v>302</v>
      </c>
      <c r="O896" s="124" t="s">
        <v>302</v>
      </c>
      <c r="P896" s="21">
        <v>28</v>
      </c>
      <c r="Q896" s="10" t="s">
        <v>54</v>
      </c>
      <c r="R896" s="10" t="s">
        <v>28</v>
      </c>
      <c r="S896" s="10"/>
      <c r="T896" s="10"/>
      <c r="U896" s="10" t="s">
        <v>560</v>
      </c>
      <c r="V896" s="10" t="s">
        <v>560</v>
      </c>
      <c r="W896" s="50">
        <f>+J896/$W$2</f>
        <v>1.3005246913301051E-3</v>
      </c>
    </row>
    <row r="897" spans="1:29">
      <c r="A897" s="10" t="s">
        <v>730</v>
      </c>
      <c r="B897" s="10" t="s">
        <v>381</v>
      </c>
      <c r="C897" s="124">
        <v>46323</v>
      </c>
      <c r="D897" s="124" t="s">
        <v>492</v>
      </c>
      <c r="E897" s="21">
        <v>0.97671938999999997</v>
      </c>
      <c r="F897" s="10"/>
      <c r="G897" s="14">
        <v>6596077</v>
      </c>
      <c r="H897" s="14">
        <v>6442516.3099999996</v>
      </c>
      <c r="I897" s="14">
        <v>6596077</v>
      </c>
      <c r="J897" s="14">
        <v>6442516.3099999996</v>
      </c>
      <c r="K897" s="12">
        <v>90045052</v>
      </c>
      <c r="L897" s="10" t="s">
        <v>101</v>
      </c>
      <c r="M897" s="10" t="s">
        <v>102</v>
      </c>
      <c r="N897" s="124" t="s">
        <v>472</v>
      </c>
      <c r="O897" s="124" t="s">
        <v>472</v>
      </c>
      <c r="P897" s="21">
        <v>30</v>
      </c>
      <c r="Q897" s="10" t="s">
        <v>54</v>
      </c>
      <c r="R897" s="10" t="s">
        <v>28</v>
      </c>
      <c r="S897" s="10"/>
      <c r="T897" s="10"/>
      <c r="U897" s="10" t="s">
        <v>3258</v>
      </c>
      <c r="V897" s="10" t="s">
        <v>3258</v>
      </c>
      <c r="W897" s="50">
        <f>+J897/$W$2</f>
        <v>8.5650476448017996E-5</v>
      </c>
    </row>
    <row r="898" spans="1:29">
      <c r="A898" s="10" t="s">
        <v>427</v>
      </c>
      <c r="B898" s="10" t="s">
        <v>381</v>
      </c>
      <c r="C898" s="124">
        <v>46323</v>
      </c>
      <c r="D898" s="124" t="s">
        <v>492</v>
      </c>
      <c r="E898" s="21">
        <v>0.97823758000000005</v>
      </c>
      <c r="F898" s="10"/>
      <c r="G898" s="14">
        <v>2500000</v>
      </c>
      <c r="H898" s="14">
        <v>2445593.9500000002</v>
      </c>
      <c r="I898" s="14">
        <v>2500000</v>
      </c>
      <c r="J898" s="14">
        <v>2445593.9500000002</v>
      </c>
      <c r="K898" s="12">
        <v>90031822</v>
      </c>
      <c r="L898" s="10" t="s">
        <v>101</v>
      </c>
      <c r="M898" s="10" t="s">
        <v>102</v>
      </c>
      <c r="N898" s="124" t="s">
        <v>277</v>
      </c>
      <c r="O898" s="124" t="s">
        <v>277</v>
      </c>
      <c r="P898" s="21">
        <v>28</v>
      </c>
      <c r="Q898" s="10" t="s">
        <v>54</v>
      </c>
      <c r="R898" s="10" t="s">
        <v>28</v>
      </c>
      <c r="S898" s="10"/>
      <c r="T898" s="10"/>
      <c r="U898" s="10" t="s">
        <v>519</v>
      </c>
      <c r="V898" s="10" t="s">
        <v>519</v>
      </c>
      <c r="W898" s="50">
        <f>+J898/$W$2</f>
        <v>3.2513117070539534E-5</v>
      </c>
    </row>
    <row r="899" spans="1:29">
      <c r="A899" s="10" t="s">
        <v>427</v>
      </c>
      <c r="B899" s="10" t="s">
        <v>381</v>
      </c>
      <c r="C899" s="124">
        <v>46323</v>
      </c>
      <c r="D899" s="124" t="s">
        <v>492</v>
      </c>
      <c r="E899" s="21">
        <v>0.97976074999999996</v>
      </c>
      <c r="F899" s="10"/>
      <c r="G899" s="14">
        <v>10000000</v>
      </c>
      <c r="H899" s="14">
        <v>9797607.5099999998</v>
      </c>
      <c r="I899" s="14">
        <v>10000000</v>
      </c>
      <c r="J899" s="14">
        <v>9797607.5099999998</v>
      </c>
      <c r="K899" s="12">
        <v>22802</v>
      </c>
      <c r="L899" s="10" t="s">
        <v>101</v>
      </c>
      <c r="M899" s="10" t="s">
        <v>102</v>
      </c>
      <c r="N899" s="124" t="s">
        <v>678</v>
      </c>
      <c r="O899" s="124" t="s">
        <v>678</v>
      </c>
      <c r="P899" s="21">
        <v>26</v>
      </c>
      <c r="Q899" s="10" t="s">
        <v>54</v>
      </c>
      <c r="R899" s="10" t="s">
        <v>28</v>
      </c>
      <c r="S899" s="10"/>
      <c r="T899" s="10"/>
      <c r="U899" s="10" t="s">
        <v>3468</v>
      </c>
      <c r="V899" s="10" t="s">
        <v>3468</v>
      </c>
      <c r="W899" s="50">
        <f>+J899/$W$2</f>
        <v>1.3025496729897752E-4</v>
      </c>
    </row>
    <row r="900" spans="1:29">
      <c r="A900" s="10" t="s">
        <v>382</v>
      </c>
      <c r="B900" s="10" t="s">
        <v>381</v>
      </c>
      <c r="C900" s="124">
        <v>46323</v>
      </c>
      <c r="D900" s="124" t="s">
        <v>492</v>
      </c>
      <c r="E900" s="21">
        <v>0.97520583000000005</v>
      </c>
      <c r="F900" s="10"/>
      <c r="G900" s="14">
        <v>2000000</v>
      </c>
      <c r="H900" s="14">
        <v>1950411.66</v>
      </c>
      <c r="I900" s="14">
        <v>2000000</v>
      </c>
      <c r="J900" s="14">
        <v>1950411.66</v>
      </c>
      <c r="K900" s="12">
        <v>1075</v>
      </c>
      <c r="L900" s="10" t="s">
        <v>101</v>
      </c>
      <c r="M900" s="10" t="s">
        <v>102</v>
      </c>
      <c r="N900" s="124" t="s">
        <v>432</v>
      </c>
      <c r="O900" s="124" t="s">
        <v>432</v>
      </c>
      <c r="P900" s="21">
        <v>32</v>
      </c>
      <c r="Q900" s="10" t="s">
        <v>54</v>
      </c>
      <c r="R900" s="10" t="s">
        <v>28</v>
      </c>
      <c r="S900" s="10"/>
      <c r="T900" s="10"/>
      <c r="U900" s="10" t="s">
        <v>1826</v>
      </c>
      <c r="V900" s="10" t="s">
        <v>1826</v>
      </c>
      <c r="W900" s="50">
        <f>+J900/$W$2</f>
        <v>2.5929882038400257E-5</v>
      </c>
    </row>
    <row r="901" spans="1:29">
      <c r="A901" s="10" t="s">
        <v>382</v>
      </c>
      <c r="B901" s="10" t="s">
        <v>381</v>
      </c>
      <c r="C901" s="124">
        <v>46323</v>
      </c>
      <c r="D901" s="124" t="s">
        <v>492</v>
      </c>
      <c r="E901" s="21">
        <v>0.97671936000000004</v>
      </c>
      <c r="F901" s="10"/>
      <c r="G901" s="14">
        <v>3300000</v>
      </c>
      <c r="H901" s="14">
        <v>3223173.89</v>
      </c>
      <c r="I901" s="14">
        <v>3300000</v>
      </c>
      <c r="J901" s="14">
        <v>3223173.89</v>
      </c>
      <c r="K901" s="12">
        <v>928</v>
      </c>
      <c r="L901" s="10" t="s">
        <v>101</v>
      </c>
      <c r="M901" s="10" t="s">
        <v>102</v>
      </c>
      <c r="N901" s="124" t="s">
        <v>397</v>
      </c>
      <c r="O901" s="124" t="s">
        <v>397</v>
      </c>
      <c r="P901" s="21">
        <v>30</v>
      </c>
      <c r="Q901" s="10" t="s">
        <v>54</v>
      </c>
      <c r="R901" s="10" t="s">
        <v>28</v>
      </c>
      <c r="S901" s="10"/>
      <c r="T901" s="10"/>
      <c r="U901" s="10" t="s">
        <v>1453</v>
      </c>
      <c r="V901" s="10" t="s">
        <v>1453</v>
      </c>
      <c r="W901" s="50">
        <f>+J901/$W$2</f>
        <v>4.2850707094804636E-5</v>
      </c>
    </row>
    <row r="902" spans="1:29">
      <c r="A902" s="10" t="s">
        <v>382</v>
      </c>
      <c r="B902" s="10" t="s">
        <v>381</v>
      </c>
      <c r="C902" s="124">
        <v>46323</v>
      </c>
      <c r="D902" s="124" t="s">
        <v>492</v>
      </c>
      <c r="E902" s="21">
        <v>0.97671931999999995</v>
      </c>
      <c r="F902" s="10"/>
      <c r="G902" s="14">
        <v>2500000</v>
      </c>
      <c r="H902" s="14">
        <v>2441798.2999999998</v>
      </c>
      <c r="I902" s="14">
        <v>2500000</v>
      </c>
      <c r="J902" s="14">
        <v>2441798.2999999998</v>
      </c>
      <c r="K902" s="12">
        <v>896</v>
      </c>
      <c r="L902" s="10" t="s">
        <v>101</v>
      </c>
      <c r="M902" s="10" t="s">
        <v>102</v>
      </c>
      <c r="N902" s="124" t="s">
        <v>435</v>
      </c>
      <c r="O902" s="124" t="s">
        <v>435</v>
      </c>
      <c r="P902" s="21">
        <v>30</v>
      </c>
      <c r="Q902" s="10" t="s">
        <v>54</v>
      </c>
      <c r="R902" s="10" t="s">
        <v>28</v>
      </c>
      <c r="S902" s="10"/>
      <c r="T902" s="10"/>
      <c r="U902" s="10" t="s">
        <v>1323</v>
      </c>
      <c r="V902" s="10" t="s">
        <v>1323</v>
      </c>
      <c r="W902" s="50">
        <f>+J902/$W$2</f>
        <v>3.2462655540403341E-5</v>
      </c>
    </row>
    <row r="903" spans="1:29">
      <c r="A903" s="10" t="s">
        <v>3454</v>
      </c>
      <c r="B903" s="10" t="s">
        <v>381</v>
      </c>
      <c r="C903" s="124">
        <v>46323</v>
      </c>
      <c r="D903" s="124" t="s">
        <v>492</v>
      </c>
      <c r="E903" s="21">
        <v>0.97445097000000003</v>
      </c>
      <c r="F903" s="10"/>
      <c r="G903" s="14">
        <v>16000000</v>
      </c>
      <c r="H903" s="14">
        <v>15591215.48</v>
      </c>
      <c r="I903" s="14">
        <v>16000000</v>
      </c>
      <c r="J903" s="14">
        <v>15591215.48</v>
      </c>
      <c r="K903" s="12">
        <v>70007241</v>
      </c>
      <c r="L903" s="10" t="s">
        <v>101</v>
      </c>
      <c r="M903" s="10" t="s">
        <v>102</v>
      </c>
      <c r="N903" s="124" t="s">
        <v>531</v>
      </c>
      <c r="O903" s="124" t="s">
        <v>531</v>
      </c>
      <c r="P903" s="21">
        <v>33</v>
      </c>
      <c r="Q903" s="10" t="s">
        <v>54</v>
      </c>
      <c r="R903" s="10" t="s">
        <v>28</v>
      </c>
      <c r="S903" s="10"/>
      <c r="T903" s="10"/>
      <c r="U903" s="10" t="s">
        <v>3446</v>
      </c>
      <c r="V903" s="10" t="s">
        <v>3446</v>
      </c>
      <c r="W903" s="50">
        <f>+J903/$W$2</f>
        <v>2.0727848716392522E-4</v>
      </c>
    </row>
    <row r="904" spans="1:29">
      <c r="A904" s="10" t="s">
        <v>3577</v>
      </c>
      <c r="B904" s="10" t="s">
        <v>381</v>
      </c>
      <c r="C904" s="124">
        <v>46323</v>
      </c>
      <c r="D904" s="124" t="s">
        <v>492</v>
      </c>
      <c r="E904" s="21">
        <v>0.97671931000000001</v>
      </c>
      <c r="F904" s="10"/>
      <c r="G904" s="14">
        <v>3535037.55</v>
      </c>
      <c r="H904" s="14">
        <v>3452739.43</v>
      </c>
      <c r="I904" s="14">
        <v>3535037.55</v>
      </c>
      <c r="J904" s="14">
        <v>3452739.43</v>
      </c>
      <c r="K904" s="12">
        <v>3658345</v>
      </c>
      <c r="L904" s="10" t="s">
        <v>101</v>
      </c>
      <c r="M904" s="10" t="s">
        <v>102</v>
      </c>
      <c r="N904" s="124" t="s">
        <v>492</v>
      </c>
      <c r="O904" s="124" t="s">
        <v>492</v>
      </c>
      <c r="P904" s="21">
        <v>30</v>
      </c>
      <c r="Q904" s="10" t="s">
        <v>54</v>
      </c>
      <c r="R904" s="10" t="s">
        <v>28</v>
      </c>
      <c r="S904" s="10"/>
      <c r="T904" s="10"/>
      <c r="U904" s="10" t="s">
        <v>3552</v>
      </c>
      <c r="V904" s="10" t="s">
        <v>3552</v>
      </c>
      <c r="W904" s="50">
        <f>+J904/$W$2</f>
        <v>4.5902681964705514E-5</v>
      </c>
    </row>
    <row r="905" spans="1:29">
      <c r="A905" s="10" t="s">
        <v>644</v>
      </c>
      <c r="B905" s="10" t="s">
        <v>381</v>
      </c>
      <c r="C905" s="124">
        <v>46324</v>
      </c>
      <c r="D905" s="124" t="s">
        <v>492</v>
      </c>
      <c r="E905" s="21">
        <v>0.98542118999999995</v>
      </c>
      <c r="F905" s="10"/>
      <c r="G905" s="14">
        <v>851000000</v>
      </c>
      <c r="H905" s="14">
        <v>838593429.53999996</v>
      </c>
      <c r="I905" s="14">
        <v>851000000</v>
      </c>
      <c r="J905" s="14">
        <v>838593429.53999996</v>
      </c>
      <c r="K905" s="12">
        <v>159265</v>
      </c>
      <c r="L905" s="10" t="s">
        <v>101</v>
      </c>
      <c r="M905" s="10" t="s">
        <v>102</v>
      </c>
      <c r="N905" s="124" t="s">
        <v>321</v>
      </c>
      <c r="O905" s="124" t="s">
        <v>321</v>
      </c>
      <c r="P905" s="21">
        <v>18</v>
      </c>
      <c r="Q905" s="10" t="s">
        <v>54</v>
      </c>
      <c r="R905" s="10" t="s">
        <v>28</v>
      </c>
      <c r="S905" s="10"/>
      <c r="T905" s="10"/>
      <c r="U905" s="10" t="s">
        <v>1242</v>
      </c>
      <c r="V905" s="10" t="s">
        <v>1242</v>
      </c>
      <c r="W905" s="50">
        <f>+J905/$W$2</f>
        <v>1.1148738059815392E-2</v>
      </c>
    </row>
    <row r="906" spans="1:29">
      <c r="A906" s="10" t="s">
        <v>382</v>
      </c>
      <c r="B906" s="10" t="s">
        <v>381</v>
      </c>
      <c r="C906" s="124">
        <v>46324</v>
      </c>
      <c r="D906" s="124" t="s">
        <v>492</v>
      </c>
      <c r="E906" s="21">
        <v>0.97593589000000003</v>
      </c>
      <c r="F906" s="10"/>
      <c r="G906" s="14">
        <v>10000000</v>
      </c>
      <c r="H906" s="14">
        <v>9759358.8900000006</v>
      </c>
      <c r="I906" s="14">
        <v>10000000</v>
      </c>
      <c r="J906" s="14">
        <v>9759358.8900000006</v>
      </c>
      <c r="K906" s="12">
        <v>728</v>
      </c>
      <c r="L906" s="10" t="s">
        <v>101</v>
      </c>
      <c r="M906" s="10" t="s">
        <v>102</v>
      </c>
      <c r="N906" s="124" t="s">
        <v>156</v>
      </c>
      <c r="O906" s="124" t="s">
        <v>156</v>
      </c>
      <c r="P906" s="21">
        <v>30</v>
      </c>
      <c r="Q906" s="10" t="s">
        <v>54</v>
      </c>
      <c r="R906" s="10" t="s">
        <v>28</v>
      </c>
      <c r="S906" s="10"/>
      <c r="T906" s="10"/>
      <c r="U906" s="10" t="s">
        <v>746</v>
      </c>
      <c r="V906" s="10" t="s">
        <v>746</v>
      </c>
      <c r="W906" s="50">
        <f>+J906/$W$2</f>
        <v>1.2974646838817243E-4</v>
      </c>
      <c r="AC906" s="47"/>
    </row>
    <row r="907" spans="1:29">
      <c r="A907" s="10" t="s">
        <v>382</v>
      </c>
      <c r="B907" s="10" t="s">
        <v>381</v>
      </c>
      <c r="C907" s="124">
        <v>46324</v>
      </c>
      <c r="D907" s="124" t="s">
        <v>492</v>
      </c>
      <c r="E907" s="21">
        <v>0.97437280999999998</v>
      </c>
      <c r="F907" s="10"/>
      <c r="G907" s="14">
        <v>4000000</v>
      </c>
      <c r="H907" s="14">
        <v>3897491.26</v>
      </c>
      <c r="I907" s="14">
        <v>4000000</v>
      </c>
      <c r="J907" s="14">
        <v>3897491.26</v>
      </c>
      <c r="K907" s="12">
        <v>1149</v>
      </c>
      <c r="L907" s="10" t="s">
        <v>101</v>
      </c>
      <c r="M907" s="10" t="s">
        <v>102</v>
      </c>
      <c r="N907" s="124" t="s">
        <v>416</v>
      </c>
      <c r="O907" s="124" t="s">
        <v>416</v>
      </c>
      <c r="P907" s="21">
        <v>32</v>
      </c>
      <c r="Q907" s="10" t="s">
        <v>54</v>
      </c>
      <c r="R907" s="10" t="s">
        <v>28</v>
      </c>
      <c r="S907" s="10"/>
      <c r="T907" s="10"/>
      <c r="U907" s="10" t="s">
        <v>2151</v>
      </c>
      <c r="V907" s="10" t="s">
        <v>2151</v>
      </c>
      <c r="W907" s="50">
        <f>+J907/$W$2</f>
        <v>5.1815465775822924E-5</v>
      </c>
    </row>
    <row r="908" spans="1:29">
      <c r="A908" s="10" t="s">
        <v>382</v>
      </c>
      <c r="B908" s="10" t="s">
        <v>381</v>
      </c>
      <c r="C908" s="124">
        <v>46324</v>
      </c>
      <c r="D908" s="124" t="s">
        <v>492</v>
      </c>
      <c r="E908" s="21">
        <v>0.97593582999999995</v>
      </c>
      <c r="F908" s="10"/>
      <c r="G908" s="14">
        <v>5000000</v>
      </c>
      <c r="H908" s="14">
        <v>4879679.17</v>
      </c>
      <c r="I908" s="14">
        <v>5000000</v>
      </c>
      <c r="J908" s="14">
        <v>4879679.17</v>
      </c>
      <c r="K908" s="12">
        <v>1198</v>
      </c>
      <c r="L908" s="10" t="s">
        <v>101</v>
      </c>
      <c r="M908" s="10" t="s">
        <v>102</v>
      </c>
      <c r="N908" s="124" t="s">
        <v>431</v>
      </c>
      <c r="O908" s="124" t="s">
        <v>431</v>
      </c>
      <c r="P908" s="21">
        <v>30</v>
      </c>
      <c r="Q908" s="10" t="s">
        <v>54</v>
      </c>
      <c r="R908" s="10" t="s">
        <v>28</v>
      </c>
      <c r="S908" s="10"/>
      <c r="T908" s="10"/>
      <c r="U908" s="10" t="s">
        <v>2266</v>
      </c>
      <c r="V908" s="10" t="s">
        <v>2266</v>
      </c>
      <c r="W908" s="50">
        <f>+J908/$W$2</f>
        <v>6.4873230538079783E-5</v>
      </c>
    </row>
    <row r="909" spans="1:29">
      <c r="A909" s="10" t="s">
        <v>382</v>
      </c>
      <c r="B909" s="10" t="s">
        <v>381</v>
      </c>
      <c r="C909" s="124">
        <v>46324</v>
      </c>
      <c r="D909" s="124" t="s">
        <v>492</v>
      </c>
      <c r="E909" s="21">
        <v>0.97593596000000005</v>
      </c>
      <c r="F909" s="10"/>
      <c r="G909" s="14">
        <v>5000000</v>
      </c>
      <c r="H909" s="14">
        <v>4879679.79</v>
      </c>
      <c r="I909" s="14">
        <v>5000000</v>
      </c>
      <c r="J909" s="14">
        <v>4879679.79</v>
      </c>
      <c r="K909" s="12">
        <v>1224</v>
      </c>
      <c r="L909" s="10" t="s">
        <v>101</v>
      </c>
      <c r="M909" s="10" t="s">
        <v>102</v>
      </c>
      <c r="N909" s="124" t="s">
        <v>483</v>
      </c>
      <c r="O909" s="124" t="s">
        <v>483</v>
      </c>
      <c r="P909" s="21">
        <v>30</v>
      </c>
      <c r="Q909" s="10" t="s">
        <v>54</v>
      </c>
      <c r="R909" s="10" t="s">
        <v>28</v>
      </c>
      <c r="S909" s="10"/>
      <c r="T909" s="10"/>
      <c r="U909" s="10" t="s">
        <v>2445</v>
      </c>
      <c r="V909" s="10" t="s">
        <v>2445</v>
      </c>
      <c r="W909" s="50">
        <f>+J909/$W$2</f>
        <v>6.4873238780712448E-5</v>
      </c>
    </row>
    <row r="910" spans="1:29">
      <c r="A910" s="10" t="s">
        <v>382</v>
      </c>
      <c r="B910" s="10" t="s">
        <v>381</v>
      </c>
      <c r="C910" s="124">
        <v>46324</v>
      </c>
      <c r="D910" s="124" t="s">
        <v>492</v>
      </c>
      <c r="E910" s="21">
        <v>0.97593582999999995</v>
      </c>
      <c r="F910" s="10"/>
      <c r="G910" s="14">
        <v>6500000</v>
      </c>
      <c r="H910" s="14">
        <v>6343582.9100000001</v>
      </c>
      <c r="I910" s="14">
        <v>6500000</v>
      </c>
      <c r="J910" s="14">
        <v>6343582.9100000001</v>
      </c>
      <c r="K910" s="12">
        <v>746</v>
      </c>
      <c r="L910" s="10" t="s">
        <v>101</v>
      </c>
      <c r="M910" s="10" t="s">
        <v>102</v>
      </c>
      <c r="N910" s="124" t="s">
        <v>399</v>
      </c>
      <c r="O910" s="124" t="s">
        <v>399</v>
      </c>
      <c r="P910" s="21">
        <v>30</v>
      </c>
      <c r="Q910" s="10" t="s">
        <v>54</v>
      </c>
      <c r="R910" s="10" t="s">
        <v>28</v>
      </c>
      <c r="S910" s="10"/>
      <c r="T910" s="10"/>
      <c r="U910" s="10" t="s">
        <v>840</v>
      </c>
      <c r="V910" s="10" t="s">
        <v>840</v>
      </c>
      <c r="W910" s="50">
        <f>+J910/$W$2</f>
        <v>8.4335199553263465E-5</v>
      </c>
    </row>
    <row r="911" spans="1:29">
      <c r="A911" s="10" t="s">
        <v>382</v>
      </c>
      <c r="B911" s="10" t="s">
        <v>381</v>
      </c>
      <c r="C911" s="124">
        <v>46324</v>
      </c>
      <c r="D911" s="124" t="s">
        <v>492</v>
      </c>
      <c r="E911" s="21">
        <v>0.97593589000000003</v>
      </c>
      <c r="F911" s="10"/>
      <c r="G911" s="14">
        <v>5000000</v>
      </c>
      <c r="H911" s="14">
        <v>4879679.43</v>
      </c>
      <c r="I911" s="14">
        <v>5000000</v>
      </c>
      <c r="J911" s="14">
        <v>4879679.43</v>
      </c>
      <c r="K911" s="12">
        <v>796</v>
      </c>
      <c r="L911" s="10" t="s">
        <v>101</v>
      </c>
      <c r="M911" s="10" t="s">
        <v>102</v>
      </c>
      <c r="N911" s="124" t="s">
        <v>396</v>
      </c>
      <c r="O911" s="124" t="s">
        <v>396</v>
      </c>
      <c r="P911" s="21">
        <v>30</v>
      </c>
      <c r="Q911" s="10" t="s">
        <v>54</v>
      </c>
      <c r="R911" s="10" t="s">
        <v>28</v>
      </c>
      <c r="S911" s="10"/>
      <c r="T911" s="10"/>
      <c r="U911" s="10" t="s">
        <v>897</v>
      </c>
      <c r="V911" s="10" t="s">
        <v>897</v>
      </c>
      <c r="W911" s="50">
        <f>+J911/$W$2</f>
        <v>6.4873233994667664E-5</v>
      </c>
    </row>
    <row r="912" spans="1:29">
      <c r="A912" s="10" t="s">
        <v>382</v>
      </c>
      <c r="B912" s="10" t="s">
        <v>381</v>
      </c>
      <c r="C912" s="124">
        <v>46324</v>
      </c>
      <c r="D912" s="124" t="s">
        <v>492</v>
      </c>
      <c r="E912" s="21">
        <v>0.97437269000000004</v>
      </c>
      <c r="F912" s="10"/>
      <c r="G912" s="14">
        <v>3000000</v>
      </c>
      <c r="H912" s="14">
        <v>2923118.06</v>
      </c>
      <c r="I912" s="14">
        <v>3000000</v>
      </c>
      <c r="J912" s="14">
        <v>2923118.06</v>
      </c>
      <c r="K912" s="12">
        <v>1045</v>
      </c>
      <c r="L912" s="10" t="s">
        <v>101</v>
      </c>
      <c r="M912" s="10" t="s">
        <v>102</v>
      </c>
      <c r="N912" s="124" t="s">
        <v>398</v>
      </c>
      <c r="O912" s="124" t="s">
        <v>398</v>
      </c>
      <c r="P912" s="21">
        <v>32</v>
      </c>
      <c r="Q912" s="10" t="s">
        <v>54</v>
      </c>
      <c r="R912" s="10" t="s">
        <v>28</v>
      </c>
      <c r="S912" s="10"/>
      <c r="T912" s="10"/>
      <c r="U912" s="10" t="s">
        <v>1739</v>
      </c>
      <c r="V912" s="10" t="s">
        <v>1739</v>
      </c>
      <c r="W912" s="50">
        <f>+J912/$W$2</f>
        <v>3.8861594213458202E-5</v>
      </c>
    </row>
    <row r="913" spans="1:23">
      <c r="A913" s="10" t="s">
        <v>576</v>
      </c>
      <c r="B913" s="10" t="s">
        <v>381</v>
      </c>
      <c r="C913" s="124">
        <v>46324</v>
      </c>
      <c r="D913" s="124" t="s">
        <v>492</v>
      </c>
      <c r="E913" s="21">
        <v>0.97750404000000002</v>
      </c>
      <c r="F913" s="10"/>
      <c r="G913" s="14">
        <v>50000000</v>
      </c>
      <c r="H913" s="14">
        <v>48875201.799999997</v>
      </c>
      <c r="I913" s="14">
        <v>50000000</v>
      </c>
      <c r="J913" s="14">
        <v>48875201.799999997</v>
      </c>
      <c r="K913" s="12">
        <v>68035</v>
      </c>
      <c r="L913" s="10" t="s">
        <v>101</v>
      </c>
      <c r="M913" s="10" t="s">
        <v>102</v>
      </c>
      <c r="N913" s="124" t="s">
        <v>322</v>
      </c>
      <c r="O913" s="124" t="s">
        <v>322</v>
      </c>
      <c r="P913" s="21">
        <v>28</v>
      </c>
      <c r="Q913" s="10" t="s">
        <v>54</v>
      </c>
      <c r="R913" s="10" t="s">
        <v>28</v>
      </c>
      <c r="S913" s="10"/>
      <c r="T913" s="10"/>
      <c r="U913" s="10" t="s">
        <v>1528</v>
      </c>
      <c r="V913" s="10" t="s">
        <v>1528</v>
      </c>
      <c r="W913" s="50">
        <f>+J913/$W$2</f>
        <v>6.4977473385131824E-4</v>
      </c>
    </row>
    <row r="914" spans="1:23">
      <c r="A914" s="10" t="s">
        <v>1424</v>
      </c>
      <c r="B914" s="10" t="s">
        <v>381</v>
      </c>
      <c r="C914" s="124">
        <v>46324</v>
      </c>
      <c r="D914" s="124" t="s">
        <v>492</v>
      </c>
      <c r="E914" s="21">
        <v>0.97515364000000004</v>
      </c>
      <c r="F914" s="10"/>
      <c r="G914" s="14">
        <v>13560000</v>
      </c>
      <c r="H914" s="14">
        <v>13223083.310000001</v>
      </c>
      <c r="I914" s="14">
        <v>13560000</v>
      </c>
      <c r="J914" s="14">
        <v>13223083.310000001</v>
      </c>
      <c r="K914" s="12">
        <v>10881213</v>
      </c>
      <c r="L914" s="10" t="s">
        <v>101</v>
      </c>
      <c r="M914" s="10" t="s">
        <v>102</v>
      </c>
      <c r="N914" s="124" t="s">
        <v>164</v>
      </c>
      <c r="O914" s="124" t="s">
        <v>164</v>
      </c>
      <c r="P914" s="21">
        <v>31</v>
      </c>
      <c r="Q914" s="10" t="s">
        <v>54</v>
      </c>
      <c r="R914" s="10" t="s">
        <v>28</v>
      </c>
      <c r="S914" s="10"/>
      <c r="T914" s="10"/>
      <c r="U914" s="10" t="s">
        <v>2013</v>
      </c>
      <c r="V914" s="10" t="s">
        <v>2013</v>
      </c>
      <c r="W914" s="50">
        <f>+J914/$W$2</f>
        <v>1.7579519105840417E-4</v>
      </c>
    </row>
    <row r="915" spans="1:23">
      <c r="A915" s="10" t="s">
        <v>353</v>
      </c>
      <c r="B915" s="10" t="s">
        <v>381</v>
      </c>
      <c r="C915" s="124">
        <v>46324</v>
      </c>
      <c r="D915" s="124" t="s">
        <v>492</v>
      </c>
      <c r="E915" s="21">
        <v>0.97126131000000004</v>
      </c>
      <c r="F915" s="10"/>
      <c r="G915" s="14">
        <v>3625698.78</v>
      </c>
      <c r="H915" s="14">
        <v>3521500.95</v>
      </c>
      <c r="I915" s="14">
        <v>3625698.78</v>
      </c>
      <c r="J915" s="14">
        <v>3521500.95</v>
      </c>
      <c r="K915" s="12">
        <v>3346</v>
      </c>
      <c r="L915" s="10" t="s">
        <v>101</v>
      </c>
      <c r="M915" s="10" t="s">
        <v>102</v>
      </c>
      <c r="N915" s="124" t="s">
        <v>348</v>
      </c>
      <c r="O915" s="124" t="s">
        <v>348</v>
      </c>
      <c r="P915" s="21">
        <v>36</v>
      </c>
      <c r="Q915" s="10" t="s">
        <v>54</v>
      </c>
      <c r="R915" s="10" t="s">
        <v>28</v>
      </c>
      <c r="S915" s="10"/>
      <c r="T915" s="10"/>
      <c r="U915" s="10" t="s">
        <v>1913</v>
      </c>
      <c r="V915" s="10" t="s">
        <v>1913</v>
      </c>
      <c r="W915" s="50">
        <f>+J915/$W$2</f>
        <v>4.6816836724414602E-5</v>
      </c>
    </row>
    <row r="916" spans="1:23">
      <c r="A916" s="10" t="s">
        <v>353</v>
      </c>
      <c r="B916" s="10" t="s">
        <v>381</v>
      </c>
      <c r="C916" s="124">
        <v>46324</v>
      </c>
      <c r="D916" s="124" t="s">
        <v>492</v>
      </c>
      <c r="E916" s="21">
        <v>0.97203748000000001</v>
      </c>
      <c r="F916" s="10"/>
      <c r="G916" s="14">
        <v>2510000.36</v>
      </c>
      <c r="H916" s="14">
        <v>2439814.4300000002</v>
      </c>
      <c r="I916" s="14">
        <v>2510000.36</v>
      </c>
      <c r="J916" s="14">
        <v>2439814.4300000002</v>
      </c>
      <c r="K916" s="12">
        <v>3153</v>
      </c>
      <c r="L916" s="10" t="s">
        <v>101</v>
      </c>
      <c r="M916" s="10" t="s">
        <v>102</v>
      </c>
      <c r="N916" s="124" t="s">
        <v>531</v>
      </c>
      <c r="O916" s="124" t="s">
        <v>531</v>
      </c>
      <c r="P916" s="21">
        <v>35</v>
      </c>
      <c r="Q916" s="10" t="s">
        <v>54</v>
      </c>
      <c r="R916" s="10" t="s">
        <v>28</v>
      </c>
      <c r="S916" s="10"/>
      <c r="T916" s="10"/>
      <c r="U916" s="10" t="s">
        <v>3417</v>
      </c>
      <c r="V916" s="10" t="s">
        <v>3417</v>
      </c>
      <c r="W916" s="50">
        <f>+J916/$W$2</f>
        <v>3.243628084416126E-5</v>
      </c>
    </row>
    <row r="917" spans="1:23">
      <c r="A917" s="10" t="s">
        <v>2425</v>
      </c>
      <c r="B917" s="10" t="s">
        <v>381</v>
      </c>
      <c r="C917" s="124">
        <v>46324</v>
      </c>
      <c r="D917" s="124" t="s">
        <v>492</v>
      </c>
      <c r="E917" s="21">
        <v>0.97593598000000004</v>
      </c>
      <c r="F917" s="10"/>
      <c r="G917" s="14">
        <v>1330000</v>
      </c>
      <c r="H917" s="14">
        <v>1297994.8500000001</v>
      </c>
      <c r="I917" s="14">
        <v>1330000</v>
      </c>
      <c r="J917" s="14">
        <v>1297994.8500000001</v>
      </c>
      <c r="K917" s="12">
        <v>69652334</v>
      </c>
      <c r="L917" s="10" t="s">
        <v>101</v>
      </c>
      <c r="M917" s="10" t="s">
        <v>102</v>
      </c>
      <c r="N917" s="124" t="s">
        <v>552</v>
      </c>
      <c r="O917" s="124" t="s">
        <v>552</v>
      </c>
      <c r="P917" s="21">
        <v>30</v>
      </c>
      <c r="Q917" s="10" t="s">
        <v>54</v>
      </c>
      <c r="R917" s="10" t="s">
        <v>28</v>
      </c>
      <c r="S917" s="10"/>
      <c r="T917" s="10"/>
      <c r="U917" s="10" t="s">
        <v>2399</v>
      </c>
      <c r="V917" s="10" t="s">
        <v>2399</v>
      </c>
      <c r="W917" s="50">
        <f>+J917/$W$2</f>
        <v>1.7256281859467063E-5</v>
      </c>
    </row>
    <row r="918" spans="1:23">
      <c r="A918" s="10" t="s">
        <v>389</v>
      </c>
      <c r="B918" s="10" t="s">
        <v>381</v>
      </c>
      <c r="C918" s="124">
        <v>46324</v>
      </c>
      <c r="D918" s="124" t="s">
        <v>492</v>
      </c>
      <c r="E918" s="21">
        <v>0.97437271999999997</v>
      </c>
      <c r="F918" s="10"/>
      <c r="G918" s="14">
        <v>10655603.279999999</v>
      </c>
      <c r="H918" s="14">
        <v>10382529.18</v>
      </c>
      <c r="I918" s="14">
        <v>10655603.279999999</v>
      </c>
      <c r="J918" s="14">
        <v>10382529.18</v>
      </c>
      <c r="K918" s="12">
        <v>30832</v>
      </c>
      <c r="L918" s="10" t="s">
        <v>101</v>
      </c>
      <c r="M918" s="10" t="s">
        <v>102</v>
      </c>
      <c r="N918" s="124" t="s">
        <v>396</v>
      </c>
      <c r="O918" s="124" t="s">
        <v>396</v>
      </c>
      <c r="P918" s="21">
        <v>32</v>
      </c>
      <c r="Q918" s="10" t="s">
        <v>54</v>
      </c>
      <c r="R918" s="10" t="s">
        <v>28</v>
      </c>
      <c r="S918" s="10"/>
      <c r="T918" s="10"/>
      <c r="U918" s="10" t="s">
        <v>863</v>
      </c>
      <c r="V918" s="10" t="s">
        <v>863</v>
      </c>
      <c r="W918" s="50">
        <f>+J918/$W$2</f>
        <v>1.3803124869426209E-4</v>
      </c>
    </row>
    <row r="919" spans="1:23">
      <c r="A919" s="10" t="s">
        <v>141</v>
      </c>
      <c r="B919" s="10" t="s">
        <v>381</v>
      </c>
      <c r="C919" s="124">
        <v>46324</v>
      </c>
      <c r="D919" s="124" t="s">
        <v>492</v>
      </c>
      <c r="E919" s="21">
        <v>0.97281454999999994</v>
      </c>
      <c r="F919" s="10"/>
      <c r="G919" s="14">
        <v>20000000</v>
      </c>
      <c r="H919" s="14">
        <v>19456291.050000001</v>
      </c>
      <c r="I919" s="14">
        <v>20000000</v>
      </c>
      <c r="J919" s="14">
        <v>19456291.050000001</v>
      </c>
      <c r="K919" s="12">
        <v>44</v>
      </c>
      <c r="L919" s="10" t="s">
        <v>101</v>
      </c>
      <c r="M919" s="10" t="s">
        <v>102</v>
      </c>
      <c r="N919" s="124" t="s">
        <v>366</v>
      </c>
      <c r="O919" s="124" t="s">
        <v>366</v>
      </c>
      <c r="P919" s="21">
        <v>34</v>
      </c>
      <c r="Q919" s="10" t="s">
        <v>54</v>
      </c>
      <c r="R919" s="10" t="s">
        <v>28</v>
      </c>
      <c r="S919" s="10"/>
      <c r="T919" s="10"/>
      <c r="U919" s="10" t="s">
        <v>1155</v>
      </c>
      <c r="V919" s="10" t="s">
        <v>1155</v>
      </c>
      <c r="W919" s="50">
        <f>+J919/$W$2</f>
        <v>2.5866300031824192E-4</v>
      </c>
    </row>
    <row r="920" spans="1:23">
      <c r="A920" s="10" t="s">
        <v>353</v>
      </c>
      <c r="B920" s="10" t="s">
        <v>381</v>
      </c>
      <c r="C920" s="124">
        <v>46324</v>
      </c>
      <c r="D920" s="124" t="s">
        <v>492</v>
      </c>
      <c r="E920" s="21">
        <v>0.97359295999999995</v>
      </c>
      <c r="F920" s="10"/>
      <c r="G920" s="14">
        <v>2502550.36</v>
      </c>
      <c r="H920" s="14">
        <v>2436465.42</v>
      </c>
      <c r="I920" s="14">
        <v>2502550.36</v>
      </c>
      <c r="J920" s="14">
        <v>2436465.42</v>
      </c>
      <c r="K920" s="12">
        <v>3140</v>
      </c>
      <c r="L920" s="10" t="s">
        <v>101</v>
      </c>
      <c r="M920" s="10" t="s">
        <v>102</v>
      </c>
      <c r="N920" s="124" t="s">
        <v>433</v>
      </c>
      <c r="O920" s="124" t="s">
        <v>433</v>
      </c>
      <c r="P920" s="21">
        <v>33</v>
      </c>
      <c r="Q920" s="10" t="s">
        <v>54</v>
      </c>
      <c r="R920" s="10" t="s">
        <v>28</v>
      </c>
      <c r="S920" s="10"/>
      <c r="T920" s="10"/>
      <c r="U920" s="10" t="s">
        <v>1090</v>
      </c>
      <c r="V920" s="10" t="s">
        <v>1090</v>
      </c>
      <c r="W920" s="50">
        <f>+J920/$W$2</f>
        <v>3.23917572002422E-5</v>
      </c>
    </row>
    <row r="921" spans="1:23">
      <c r="A921" s="10" t="s">
        <v>353</v>
      </c>
      <c r="B921" s="10" t="s">
        <v>381</v>
      </c>
      <c r="C921" s="124">
        <v>46324</v>
      </c>
      <c r="D921" s="124" t="s">
        <v>492</v>
      </c>
      <c r="E921" s="21">
        <v>0.97359295999999995</v>
      </c>
      <c r="F921" s="10"/>
      <c r="G921" s="14">
        <v>2502550.36</v>
      </c>
      <c r="H921" s="14">
        <v>2436465.42</v>
      </c>
      <c r="I921" s="14">
        <v>2502550.36</v>
      </c>
      <c r="J921" s="14">
        <v>2436465.42</v>
      </c>
      <c r="K921" s="12">
        <v>3130</v>
      </c>
      <c r="L921" s="10" t="s">
        <v>101</v>
      </c>
      <c r="M921" s="10" t="s">
        <v>102</v>
      </c>
      <c r="N921" s="124" t="s">
        <v>433</v>
      </c>
      <c r="O921" s="124" t="s">
        <v>433</v>
      </c>
      <c r="P921" s="21">
        <v>33</v>
      </c>
      <c r="Q921" s="10" t="s">
        <v>54</v>
      </c>
      <c r="R921" s="10" t="s">
        <v>28</v>
      </c>
      <c r="S921" s="10"/>
      <c r="T921" s="10"/>
      <c r="U921" s="10" t="s">
        <v>1091</v>
      </c>
      <c r="V921" s="10" t="s">
        <v>1091</v>
      </c>
      <c r="W921" s="50">
        <f>+J921/$W$2</f>
        <v>3.23917572002422E-5</v>
      </c>
    </row>
    <row r="922" spans="1:23">
      <c r="A922" s="10" t="s">
        <v>353</v>
      </c>
      <c r="B922" s="10" t="s">
        <v>381</v>
      </c>
      <c r="C922" s="124">
        <v>46324</v>
      </c>
      <c r="D922" s="124" t="s">
        <v>492</v>
      </c>
      <c r="E922" s="21">
        <v>0.97281459000000003</v>
      </c>
      <c r="F922" s="10"/>
      <c r="G922" s="14">
        <v>1020845.65</v>
      </c>
      <c r="H922" s="14">
        <v>993093.54</v>
      </c>
      <c r="I922" s="14">
        <v>1020845.65</v>
      </c>
      <c r="J922" s="14">
        <v>993093.54</v>
      </c>
      <c r="K922" s="12">
        <v>2906</v>
      </c>
      <c r="L922" s="10" t="s">
        <v>101</v>
      </c>
      <c r="M922" s="10" t="s">
        <v>102</v>
      </c>
      <c r="N922" s="124" t="s">
        <v>323</v>
      </c>
      <c r="O922" s="124" t="s">
        <v>323</v>
      </c>
      <c r="P922" s="21">
        <v>34</v>
      </c>
      <c r="Q922" s="10" t="s">
        <v>54</v>
      </c>
      <c r="R922" s="10" t="s">
        <v>28</v>
      </c>
      <c r="S922" s="10"/>
      <c r="T922" s="10"/>
      <c r="U922" s="10" t="s">
        <v>924</v>
      </c>
      <c r="V922" s="10" t="s">
        <v>924</v>
      </c>
      <c r="W922" s="50">
        <f>+J922/$W$2</f>
        <v>1.320275041080165E-5</v>
      </c>
    </row>
    <row r="923" spans="1:23">
      <c r="A923" s="10" t="s">
        <v>353</v>
      </c>
      <c r="B923" s="10" t="s">
        <v>381</v>
      </c>
      <c r="C923" s="124">
        <v>46324</v>
      </c>
      <c r="D923" s="124" t="s">
        <v>492</v>
      </c>
      <c r="E923" s="21">
        <v>0.97281457999999998</v>
      </c>
      <c r="F923" s="10"/>
      <c r="G923" s="14">
        <v>990902.64</v>
      </c>
      <c r="H923" s="14">
        <v>963964.54</v>
      </c>
      <c r="I923" s="14">
        <v>990902.64</v>
      </c>
      <c r="J923" s="14">
        <v>963964.54</v>
      </c>
      <c r="K923" s="12">
        <v>2956</v>
      </c>
      <c r="L923" s="10" t="s">
        <v>101</v>
      </c>
      <c r="M923" s="10" t="s">
        <v>102</v>
      </c>
      <c r="N923" s="124" t="s">
        <v>323</v>
      </c>
      <c r="O923" s="124" t="s">
        <v>323</v>
      </c>
      <c r="P923" s="21">
        <v>34</v>
      </c>
      <c r="Q923" s="10" t="s">
        <v>54</v>
      </c>
      <c r="R923" s="10" t="s">
        <v>28</v>
      </c>
      <c r="S923" s="10"/>
      <c r="T923" s="10"/>
      <c r="U923" s="10" t="s">
        <v>925</v>
      </c>
      <c r="V923" s="10" t="s">
        <v>925</v>
      </c>
      <c r="W923" s="50">
        <f>+J923/$W$2</f>
        <v>1.281549291568569E-5</v>
      </c>
    </row>
    <row r="924" spans="1:23">
      <c r="A924" s="10" t="s">
        <v>186</v>
      </c>
      <c r="B924" s="10" t="s">
        <v>381</v>
      </c>
      <c r="C924" s="124">
        <v>46324</v>
      </c>
      <c r="D924" s="124" t="s">
        <v>492</v>
      </c>
      <c r="E924" s="21">
        <v>0.97048663999999996</v>
      </c>
      <c r="F924" s="10"/>
      <c r="G924" s="14">
        <v>10000000</v>
      </c>
      <c r="H924" s="14">
        <v>9704866.4399999995</v>
      </c>
      <c r="I924" s="14">
        <v>10000000</v>
      </c>
      <c r="J924" s="14">
        <v>9704866.4399999995</v>
      </c>
      <c r="K924" s="12">
        <v>16854861</v>
      </c>
      <c r="L924" s="10" t="s">
        <v>101</v>
      </c>
      <c r="M924" s="10" t="s">
        <v>102</v>
      </c>
      <c r="N924" s="124" t="s">
        <v>390</v>
      </c>
      <c r="O924" s="124" t="s">
        <v>390</v>
      </c>
      <c r="P924" s="21">
        <v>37</v>
      </c>
      <c r="Q924" s="10" t="s">
        <v>54</v>
      </c>
      <c r="R924" s="10" t="s">
        <v>28</v>
      </c>
      <c r="S924" s="10"/>
      <c r="T924" s="10"/>
      <c r="U924" s="10" t="s">
        <v>2058</v>
      </c>
      <c r="V924" s="10" t="s">
        <v>2058</v>
      </c>
      <c r="W924" s="50">
        <f>+J924/$W$2</f>
        <v>1.2902201476155522E-4</v>
      </c>
    </row>
    <row r="925" spans="1:23">
      <c r="A925" s="10" t="s">
        <v>762</v>
      </c>
      <c r="B925" s="10" t="s">
        <v>381</v>
      </c>
      <c r="C925" s="124">
        <v>46324</v>
      </c>
      <c r="D925" s="124" t="s">
        <v>492</v>
      </c>
      <c r="E925" s="21">
        <v>0.97829009</v>
      </c>
      <c r="F925" s="10"/>
      <c r="G925" s="14">
        <v>3000000</v>
      </c>
      <c r="H925" s="14">
        <v>2934870.27</v>
      </c>
      <c r="I925" s="14">
        <v>3000000</v>
      </c>
      <c r="J925" s="14">
        <v>2934870.27</v>
      </c>
      <c r="K925" s="12">
        <v>90023130</v>
      </c>
      <c r="L925" s="10" t="s">
        <v>101</v>
      </c>
      <c r="M925" s="10" t="s">
        <v>102</v>
      </c>
      <c r="N925" s="124" t="s">
        <v>677</v>
      </c>
      <c r="O925" s="124" t="s">
        <v>677</v>
      </c>
      <c r="P925" s="21">
        <v>27</v>
      </c>
      <c r="Q925" s="10" t="s">
        <v>54</v>
      </c>
      <c r="R925" s="10" t="s">
        <v>28</v>
      </c>
      <c r="S925" s="10"/>
      <c r="T925" s="10"/>
      <c r="U925" s="10" t="s">
        <v>3283</v>
      </c>
      <c r="V925" s="10" t="s">
        <v>3283</v>
      </c>
      <c r="W925" s="50">
        <f>+J925/$W$2</f>
        <v>3.9017834778073424E-5</v>
      </c>
    </row>
    <row r="926" spans="1:23">
      <c r="A926" s="10" t="s">
        <v>1523</v>
      </c>
      <c r="B926" s="10" t="s">
        <v>381</v>
      </c>
      <c r="C926" s="124">
        <v>46324</v>
      </c>
      <c r="D926" s="124" t="s">
        <v>492</v>
      </c>
      <c r="E926" s="21">
        <v>0.97281461000000002</v>
      </c>
      <c r="F926" s="10"/>
      <c r="G926" s="14">
        <v>7000000</v>
      </c>
      <c r="H926" s="14">
        <v>6809702.29</v>
      </c>
      <c r="I926" s="14">
        <v>7000000</v>
      </c>
      <c r="J926" s="14">
        <v>6809702.29</v>
      </c>
      <c r="K926" s="12">
        <v>69017468</v>
      </c>
      <c r="L926" s="10" t="s">
        <v>101</v>
      </c>
      <c r="M926" s="10" t="s">
        <v>102</v>
      </c>
      <c r="N926" s="124" t="s">
        <v>476</v>
      </c>
      <c r="O926" s="124" t="s">
        <v>476</v>
      </c>
      <c r="P926" s="21">
        <v>34</v>
      </c>
      <c r="Q926" s="10" t="s">
        <v>54</v>
      </c>
      <c r="R926" s="10" t="s">
        <v>28</v>
      </c>
      <c r="S926" s="10"/>
      <c r="T926" s="10"/>
      <c r="U926" s="10" t="s">
        <v>1521</v>
      </c>
      <c r="V926" s="10" t="s">
        <v>1521</v>
      </c>
      <c r="W926" s="50">
        <f>+J926/$W$2</f>
        <v>9.0532055728339986E-5</v>
      </c>
    </row>
    <row r="927" spans="1:23">
      <c r="A927" s="10" t="s">
        <v>2084</v>
      </c>
      <c r="B927" s="10" t="s">
        <v>381</v>
      </c>
      <c r="C927" s="124">
        <v>46324</v>
      </c>
      <c r="D927" s="124" t="s">
        <v>492</v>
      </c>
      <c r="E927" s="21">
        <v>0.97515366999999997</v>
      </c>
      <c r="F927" s="10"/>
      <c r="G927" s="14">
        <v>1234401.02</v>
      </c>
      <c r="H927" s="14">
        <v>1203730.69</v>
      </c>
      <c r="I927" s="14">
        <v>1234401.02</v>
      </c>
      <c r="J927" s="14">
        <v>1203730.69</v>
      </c>
      <c r="K927" s="12">
        <v>788</v>
      </c>
      <c r="L927" s="10" t="s">
        <v>101</v>
      </c>
      <c r="M927" s="10" t="s">
        <v>102</v>
      </c>
      <c r="N927" s="124" t="s">
        <v>390</v>
      </c>
      <c r="O927" s="124" t="s">
        <v>390</v>
      </c>
      <c r="P927" s="21">
        <v>31</v>
      </c>
      <c r="Q927" s="10" t="s">
        <v>54</v>
      </c>
      <c r="R927" s="10" t="s">
        <v>28</v>
      </c>
      <c r="S927" s="10"/>
      <c r="T927" s="10"/>
      <c r="U927" s="10" t="s">
        <v>2065</v>
      </c>
      <c r="V927" s="10" t="s">
        <v>2065</v>
      </c>
      <c r="W927" s="50">
        <f>+J927/$W$2</f>
        <v>1.6003080497222904E-5</v>
      </c>
    </row>
    <row r="928" spans="1:23">
      <c r="A928" s="10" t="s">
        <v>2165</v>
      </c>
      <c r="B928" s="10" t="s">
        <v>381</v>
      </c>
      <c r="C928" s="124">
        <v>46324</v>
      </c>
      <c r="D928" s="124" t="s">
        <v>492</v>
      </c>
      <c r="E928" s="21">
        <v>0.97437282000000003</v>
      </c>
      <c r="F928" s="10"/>
      <c r="G928" s="14">
        <v>6535955.1900000004</v>
      </c>
      <c r="H928" s="14">
        <v>6368457.0700000003</v>
      </c>
      <c r="I928" s="14">
        <v>6535955.1900000004</v>
      </c>
      <c r="J928" s="14">
        <v>6368457.0700000003</v>
      </c>
      <c r="K928" s="12">
        <v>30000338</v>
      </c>
      <c r="L928" s="10" t="s">
        <v>101</v>
      </c>
      <c r="M928" s="10" t="s">
        <v>102</v>
      </c>
      <c r="N928" s="124" t="s">
        <v>416</v>
      </c>
      <c r="O928" s="124" t="s">
        <v>416</v>
      </c>
      <c r="P928" s="21">
        <v>32</v>
      </c>
      <c r="Q928" s="10" t="s">
        <v>54</v>
      </c>
      <c r="R928" s="10" t="s">
        <v>28</v>
      </c>
      <c r="S928" s="10"/>
      <c r="T928" s="10"/>
      <c r="U928" s="10" t="s">
        <v>2141</v>
      </c>
      <c r="V928" s="10" t="s">
        <v>2141</v>
      </c>
      <c r="W928" s="50">
        <f>+J928/$W$2</f>
        <v>8.4665890785187438E-5</v>
      </c>
    </row>
    <row r="929" spans="1:29">
      <c r="A929" s="10" t="s">
        <v>404</v>
      </c>
      <c r="B929" s="10" t="s">
        <v>381</v>
      </c>
      <c r="C929" s="124">
        <v>46324</v>
      </c>
      <c r="D929" s="124" t="s">
        <v>492</v>
      </c>
      <c r="E929" s="21">
        <v>0.97593600999999996</v>
      </c>
      <c r="F929" s="10"/>
      <c r="G929" s="14">
        <v>31628755.989999998</v>
      </c>
      <c r="H929" s="14">
        <v>30867642.010000002</v>
      </c>
      <c r="I929" s="14">
        <v>31628755.989999998</v>
      </c>
      <c r="J929" s="14">
        <v>30867642.010000002</v>
      </c>
      <c r="K929" s="12">
        <v>22295</v>
      </c>
      <c r="L929" s="10" t="s">
        <v>101</v>
      </c>
      <c r="M929" s="10" t="s">
        <v>102</v>
      </c>
      <c r="N929" s="124" t="s">
        <v>423</v>
      </c>
      <c r="O929" s="124" t="s">
        <v>423</v>
      </c>
      <c r="P929" s="21">
        <v>30</v>
      </c>
      <c r="Q929" s="10" t="s">
        <v>54</v>
      </c>
      <c r="R929" s="10" t="s">
        <v>28</v>
      </c>
      <c r="S929" s="10"/>
      <c r="T929" s="10"/>
      <c r="U929" s="10" t="s">
        <v>2528</v>
      </c>
      <c r="V929" s="10" t="s">
        <v>2528</v>
      </c>
      <c r="W929" s="50">
        <f>+J929/$W$2</f>
        <v>4.1037199096875186E-4</v>
      </c>
    </row>
    <row r="930" spans="1:29">
      <c r="A930" s="10" t="s">
        <v>595</v>
      </c>
      <c r="B930" s="10" t="s">
        <v>381</v>
      </c>
      <c r="C930" s="124">
        <v>46324</v>
      </c>
      <c r="D930" s="124" t="s">
        <v>492</v>
      </c>
      <c r="E930" s="21">
        <v>0.97437273999999996</v>
      </c>
      <c r="F930" s="10"/>
      <c r="G930" s="14">
        <v>100000000</v>
      </c>
      <c r="H930" s="14">
        <v>97437274.299999997</v>
      </c>
      <c r="I930" s="14">
        <v>100000000</v>
      </c>
      <c r="J930" s="14">
        <v>97437274.299999997</v>
      </c>
      <c r="K930" s="12">
        <v>163</v>
      </c>
      <c r="L930" s="10" t="s">
        <v>101</v>
      </c>
      <c r="M930" s="10" t="s">
        <v>102</v>
      </c>
      <c r="N930" s="124" t="s">
        <v>363</v>
      </c>
      <c r="O930" s="124" t="s">
        <v>363</v>
      </c>
      <c r="P930" s="21">
        <v>32</v>
      </c>
      <c r="Q930" s="10" t="s">
        <v>54</v>
      </c>
      <c r="R930" s="10" t="s">
        <v>28</v>
      </c>
      <c r="S930" s="10"/>
      <c r="T930" s="10"/>
      <c r="U930" s="10" t="s">
        <v>1187</v>
      </c>
      <c r="V930" s="10" t="s">
        <v>1187</v>
      </c>
      <c r="W930" s="50">
        <f>+J930/$W$2</f>
        <v>1.2953865486746777E-3</v>
      </c>
    </row>
    <row r="931" spans="1:29">
      <c r="A931" s="10" t="s">
        <v>273</v>
      </c>
      <c r="B931" s="10" t="s">
        <v>381</v>
      </c>
      <c r="C931" s="124">
        <v>46324</v>
      </c>
      <c r="D931" s="124" t="s">
        <v>492</v>
      </c>
      <c r="E931" s="21">
        <v>0.97907743000000003</v>
      </c>
      <c r="F931" s="10"/>
      <c r="G931" s="14">
        <v>4000000</v>
      </c>
      <c r="H931" s="14">
        <v>3916309.72</v>
      </c>
      <c r="I931" s="14">
        <v>4000000</v>
      </c>
      <c r="J931" s="14">
        <v>3916309.72</v>
      </c>
      <c r="K931" s="12">
        <v>90002223</v>
      </c>
      <c r="L931" s="10" t="s">
        <v>101</v>
      </c>
      <c r="M931" s="10" t="s">
        <v>102</v>
      </c>
      <c r="N931" s="124" t="s">
        <v>532</v>
      </c>
      <c r="O931" s="124" t="s">
        <v>532</v>
      </c>
      <c r="P931" s="21">
        <v>26</v>
      </c>
      <c r="Q931" s="10" t="s">
        <v>54</v>
      </c>
      <c r="R931" s="10" t="s">
        <v>28</v>
      </c>
      <c r="S931" s="10"/>
      <c r="T931" s="10"/>
      <c r="U931" s="10" t="s">
        <v>3031</v>
      </c>
      <c r="V931" s="10" t="s">
        <v>3031</v>
      </c>
      <c r="W931" s="50">
        <f>+J931/$W$2</f>
        <v>5.2065649087352332E-5</v>
      </c>
    </row>
    <row r="932" spans="1:29">
      <c r="A932" s="10" t="s">
        <v>1431</v>
      </c>
      <c r="B932" s="10" t="s">
        <v>381</v>
      </c>
      <c r="C932" s="124">
        <v>46324</v>
      </c>
      <c r="D932" s="124" t="s">
        <v>492</v>
      </c>
      <c r="E932" s="21">
        <v>0.97750402999999997</v>
      </c>
      <c r="F932" s="10"/>
      <c r="G932" s="14">
        <v>5225722</v>
      </c>
      <c r="H932" s="14">
        <v>5108164.3</v>
      </c>
      <c r="I932" s="14">
        <v>5225722</v>
      </c>
      <c r="J932" s="14">
        <v>5108164.3</v>
      </c>
      <c r="K932" s="12">
        <v>3176</v>
      </c>
      <c r="L932" s="10" t="s">
        <v>101</v>
      </c>
      <c r="M932" s="10" t="s">
        <v>102</v>
      </c>
      <c r="N932" s="124" t="s">
        <v>548</v>
      </c>
      <c r="O932" s="124" t="s">
        <v>548</v>
      </c>
      <c r="P932" s="21">
        <v>28</v>
      </c>
      <c r="Q932" s="10" t="s">
        <v>54</v>
      </c>
      <c r="R932" s="10" t="s">
        <v>28</v>
      </c>
      <c r="S932" s="10"/>
      <c r="T932" s="10"/>
      <c r="U932" s="10" t="s">
        <v>1409</v>
      </c>
      <c r="V932" s="10" t="s">
        <v>1409</v>
      </c>
      <c r="W932" s="50">
        <f>+J932/$W$2</f>
        <v>6.7910841822883393E-5</v>
      </c>
    </row>
    <row r="933" spans="1:29">
      <c r="A933" s="10" t="s">
        <v>1431</v>
      </c>
      <c r="B933" s="10" t="s">
        <v>381</v>
      </c>
      <c r="C933" s="124">
        <v>46324</v>
      </c>
      <c r="D933" s="124" t="s">
        <v>492</v>
      </c>
      <c r="E933" s="21">
        <v>0.97437269000000004</v>
      </c>
      <c r="F933" s="10"/>
      <c r="G933" s="14">
        <v>5444206</v>
      </c>
      <c r="H933" s="14">
        <v>5304685.6399999997</v>
      </c>
      <c r="I933" s="14">
        <v>5444206</v>
      </c>
      <c r="J933" s="14">
        <v>5304685.6399999997</v>
      </c>
      <c r="K933" s="12">
        <v>3442</v>
      </c>
      <c r="L933" s="10" t="s">
        <v>101</v>
      </c>
      <c r="M933" s="10" t="s">
        <v>102</v>
      </c>
      <c r="N933" s="124" t="s">
        <v>398</v>
      </c>
      <c r="O933" s="124" t="s">
        <v>398</v>
      </c>
      <c r="P933" s="21">
        <v>32</v>
      </c>
      <c r="Q933" s="10" t="s">
        <v>54</v>
      </c>
      <c r="R933" s="10" t="s">
        <v>28</v>
      </c>
      <c r="S933" s="10"/>
      <c r="T933" s="10"/>
      <c r="U933" s="10" t="s">
        <v>1785</v>
      </c>
      <c r="V933" s="10" t="s">
        <v>1785</v>
      </c>
      <c r="W933" s="50">
        <f>+J933/$W$2</f>
        <v>7.0523508301829869E-5</v>
      </c>
    </row>
    <row r="934" spans="1:29">
      <c r="A934" s="10" t="s">
        <v>471</v>
      </c>
      <c r="B934" s="10" t="s">
        <v>381</v>
      </c>
      <c r="C934" s="124">
        <v>46324</v>
      </c>
      <c r="D934" s="124" t="s">
        <v>492</v>
      </c>
      <c r="E934" s="21">
        <v>0.97986594000000005</v>
      </c>
      <c r="F934" s="10"/>
      <c r="G934" s="14">
        <v>24000000</v>
      </c>
      <c r="H934" s="14">
        <v>23516782.559999999</v>
      </c>
      <c r="I934" s="14">
        <v>24000000</v>
      </c>
      <c r="J934" s="14">
        <v>23516782.559999999</v>
      </c>
      <c r="K934" s="12">
        <v>129</v>
      </c>
      <c r="L934" s="10" t="s">
        <v>101</v>
      </c>
      <c r="M934" s="10" t="s">
        <v>102</v>
      </c>
      <c r="N934" s="124" t="s">
        <v>532</v>
      </c>
      <c r="O934" s="124" t="s">
        <v>532</v>
      </c>
      <c r="P934" s="21">
        <v>25</v>
      </c>
      <c r="Q934" s="10" t="s">
        <v>54</v>
      </c>
      <c r="R934" s="10" t="s">
        <v>28</v>
      </c>
      <c r="S934" s="10"/>
      <c r="T934" s="10"/>
      <c r="U934" s="10" t="s">
        <v>3023</v>
      </c>
      <c r="V934" s="10" t="s">
        <v>3023</v>
      </c>
      <c r="W934" s="50">
        <f>+J934/$W$2</f>
        <v>3.1264548413513298E-4</v>
      </c>
    </row>
    <row r="935" spans="1:29">
      <c r="A935" s="10" t="s">
        <v>166</v>
      </c>
      <c r="B935" s="10" t="s">
        <v>381</v>
      </c>
      <c r="C935" s="124">
        <v>46324</v>
      </c>
      <c r="D935" s="124" t="s">
        <v>492</v>
      </c>
      <c r="E935" s="21">
        <v>0.96971335000000003</v>
      </c>
      <c r="F935" s="10"/>
      <c r="G935" s="14">
        <v>260000000</v>
      </c>
      <c r="H935" s="14">
        <v>252125471.05000001</v>
      </c>
      <c r="I935" s="14">
        <v>260000000</v>
      </c>
      <c r="J935" s="14">
        <v>252125471.05000001</v>
      </c>
      <c r="K935" s="12">
        <v>70418836</v>
      </c>
      <c r="L935" s="10" t="s">
        <v>101</v>
      </c>
      <c r="M935" s="10" t="s">
        <v>102</v>
      </c>
      <c r="N935" s="124" t="s">
        <v>492</v>
      </c>
      <c r="O935" s="124" t="s">
        <v>492</v>
      </c>
      <c r="P935" s="21">
        <v>38</v>
      </c>
      <c r="Q935" s="10" t="s">
        <v>54</v>
      </c>
      <c r="R935" s="10" t="s">
        <v>28</v>
      </c>
      <c r="S935" s="10"/>
      <c r="T935" s="10"/>
      <c r="U935" s="10" t="s">
        <v>3569</v>
      </c>
      <c r="V935" s="10" t="s">
        <v>3569</v>
      </c>
      <c r="W935" s="50">
        <f>+J935/$W$2</f>
        <v>3.3518994257871692E-3</v>
      </c>
    </row>
    <row r="936" spans="1:29">
      <c r="A936" s="10" t="s">
        <v>688</v>
      </c>
      <c r="B936" s="10" t="s">
        <v>381</v>
      </c>
      <c r="C936" s="124">
        <v>46324</v>
      </c>
      <c r="D936" s="124" t="s">
        <v>492</v>
      </c>
      <c r="E936" s="21">
        <v>0.96971328999999995</v>
      </c>
      <c r="F936" s="10"/>
      <c r="G936" s="14">
        <v>580000000</v>
      </c>
      <c r="H936" s="14">
        <v>562433706.34000003</v>
      </c>
      <c r="I936" s="14">
        <v>580000000</v>
      </c>
      <c r="J936" s="14">
        <v>562433706.34000003</v>
      </c>
      <c r="K936" s="12">
        <v>166485</v>
      </c>
      <c r="L936" s="10" t="s">
        <v>101</v>
      </c>
      <c r="M936" s="10" t="s">
        <v>102</v>
      </c>
      <c r="N936" s="124" t="s">
        <v>531</v>
      </c>
      <c r="O936" s="124" t="s">
        <v>531</v>
      </c>
      <c r="P936" s="21">
        <v>38</v>
      </c>
      <c r="Q936" s="10" t="s">
        <v>54</v>
      </c>
      <c r="R936" s="10" t="s">
        <v>28</v>
      </c>
      <c r="S936" s="10"/>
      <c r="T936" s="10"/>
      <c r="U936" s="10" t="s">
        <v>3374</v>
      </c>
      <c r="V936" s="10" t="s">
        <v>3374</v>
      </c>
      <c r="W936" s="50">
        <f>+J936/$W$2</f>
        <v>7.4773136148173214E-3</v>
      </c>
    </row>
    <row r="937" spans="1:29">
      <c r="A937" s="10" t="s">
        <v>404</v>
      </c>
      <c r="B937" s="10" t="s">
        <v>381</v>
      </c>
      <c r="C937" s="124">
        <v>46324</v>
      </c>
      <c r="D937" s="124" t="s">
        <v>492</v>
      </c>
      <c r="E937" s="21">
        <v>0.97593585999999999</v>
      </c>
      <c r="F937" s="10"/>
      <c r="G937" s="14">
        <v>3000000</v>
      </c>
      <c r="H937" s="14">
        <v>2927807.57</v>
      </c>
      <c r="I937" s="14">
        <v>3000000</v>
      </c>
      <c r="J937" s="14">
        <v>2927807.57</v>
      </c>
      <c r="K937" s="12">
        <v>3792078</v>
      </c>
      <c r="L937" s="10" t="s">
        <v>101</v>
      </c>
      <c r="M937" s="10" t="s">
        <v>102</v>
      </c>
      <c r="N937" s="124" t="s">
        <v>325</v>
      </c>
      <c r="O937" s="124" t="s">
        <v>325</v>
      </c>
      <c r="P937" s="21">
        <v>30</v>
      </c>
      <c r="Q937" s="10" t="s">
        <v>54</v>
      </c>
      <c r="R937" s="10" t="s">
        <v>28</v>
      </c>
      <c r="S937" s="10"/>
      <c r="T937" s="10"/>
      <c r="U937" s="10" t="s">
        <v>1587</v>
      </c>
      <c r="V937" s="10" t="s">
        <v>1587</v>
      </c>
      <c r="W937" s="50">
        <f>+J937/$W$2</f>
        <v>3.8923939226878542E-5</v>
      </c>
    </row>
    <row r="938" spans="1:29">
      <c r="A938" s="10" t="s">
        <v>597</v>
      </c>
      <c r="B938" s="10" t="s">
        <v>381</v>
      </c>
      <c r="C938" s="124">
        <v>46324</v>
      </c>
      <c r="D938" s="124" t="s">
        <v>492</v>
      </c>
      <c r="E938" s="21">
        <v>0.96894084999999996</v>
      </c>
      <c r="F938" s="10"/>
      <c r="G938" s="14">
        <v>3750000</v>
      </c>
      <c r="H938" s="14">
        <v>3633528.19</v>
      </c>
      <c r="I938" s="14">
        <v>3750000</v>
      </c>
      <c r="J938" s="14">
        <v>3633528.19</v>
      </c>
      <c r="K938" s="12">
        <v>66918205</v>
      </c>
      <c r="L938" s="10" t="s">
        <v>101</v>
      </c>
      <c r="M938" s="10" t="s">
        <v>102</v>
      </c>
      <c r="N938" s="124" t="s">
        <v>304</v>
      </c>
      <c r="O938" s="124" t="s">
        <v>304</v>
      </c>
      <c r="P938" s="21">
        <v>39</v>
      </c>
      <c r="Q938" s="10" t="s">
        <v>54</v>
      </c>
      <c r="R938" s="10" t="s">
        <v>28</v>
      </c>
      <c r="S938" s="10"/>
      <c r="T938" s="10"/>
      <c r="U938" s="10" t="s">
        <v>594</v>
      </c>
      <c r="V938" s="10" t="s">
        <v>594</v>
      </c>
      <c r="W938" s="50">
        <f>+J938/$W$2</f>
        <v>4.8306190576148424E-5</v>
      </c>
    </row>
    <row r="939" spans="1:29">
      <c r="A939" s="10" t="s">
        <v>663</v>
      </c>
      <c r="B939" s="10" t="s">
        <v>381</v>
      </c>
      <c r="C939" s="124">
        <v>46324</v>
      </c>
      <c r="D939" s="124" t="s">
        <v>492</v>
      </c>
      <c r="E939" s="21">
        <v>0.98542118000000001</v>
      </c>
      <c r="F939" s="10"/>
      <c r="G939" s="14">
        <v>362000000</v>
      </c>
      <c r="H939" s="14">
        <v>356722465.68000001</v>
      </c>
      <c r="I939" s="14">
        <v>362000000</v>
      </c>
      <c r="J939" s="14">
        <v>356722465.68000001</v>
      </c>
      <c r="K939" s="12">
        <v>159275</v>
      </c>
      <c r="L939" s="10" t="s">
        <v>101</v>
      </c>
      <c r="M939" s="10" t="s">
        <v>102</v>
      </c>
      <c r="N939" s="124" t="s">
        <v>403</v>
      </c>
      <c r="O939" s="124" t="s">
        <v>403</v>
      </c>
      <c r="P939" s="21">
        <v>18</v>
      </c>
      <c r="Q939" s="10" t="s">
        <v>54</v>
      </c>
      <c r="R939" s="10" t="s">
        <v>28</v>
      </c>
      <c r="S939" s="10"/>
      <c r="T939" s="10"/>
      <c r="U939" s="10" t="s">
        <v>1248</v>
      </c>
      <c r="V939" s="10" t="s">
        <v>1248</v>
      </c>
      <c r="W939" s="50">
        <f>+J939/$W$2</f>
        <v>4.7424713691107062E-3</v>
      </c>
    </row>
    <row r="940" spans="1:29">
      <c r="A940" s="10" t="s">
        <v>686</v>
      </c>
      <c r="B940" s="10" t="s">
        <v>381</v>
      </c>
      <c r="C940" s="124">
        <v>46324</v>
      </c>
      <c r="D940" s="124" t="s">
        <v>492</v>
      </c>
      <c r="E940" s="21">
        <v>0.97437266</v>
      </c>
      <c r="F940" s="10"/>
      <c r="G940" s="14">
        <v>15000000</v>
      </c>
      <c r="H940" s="14">
        <v>14615589.960000001</v>
      </c>
      <c r="I940" s="14">
        <v>15000000</v>
      </c>
      <c r="J940" s="14">
        <v>14615589.960000001</v>
      </c>
      <c r="K940" s="12">
        <v>67448999</v>
      </c>
      <c r="L940" s="10" t="s">
        <v>101</v>
      </c>
      <c r="M940" s="10" t="s">
        <v>102</v>
      </c>
      <c r="N940" s="124" t="s">
        <v>292</v>
      </c>
      <c r="O940" s="124" t="s">
        <v>292</v>
      </c>
      <c r="P940" s="21">
        <v>32</v>
      </c>
      <c r="Q940" s="10" t="s">
        <v>54</v>
      </c>
      <c r="R940" s="10" t="s">
        <v>28</v>
      </c>
      <c r="S940" s="10"/>
      <c r="T940" s="10"/>
      <c r="U940" s="10" t="s">
        <v>685</v>
      </c>
      <c r="V940" s="10" t="s">
        <v>685</v>
      </c>
      <c r="W940" s="50">
        <f>+J940/$W$2</f>
        <v>1.9430796654713764E-4</v>
      </c>
      <c r="AC940"/>
    </row>
    <row r="941" spans="1:29">
      <c r="A941" s="10" t="s">
        <v>132</v>
      </c>
      <c r="B941" s="10" t="s">
        <v>381</v>
      </c>
      <c r="C941" s="124">
        <v>46324</v>
      </c>
      <c r="D941" s="124" t="s">
        <v>492</v>
      </c>
      <c r="E941" s="21">
        <v>0.97359309000000005</v>
      </c>
      <c r="F941" s="10"/>
      <c r="G941" s="14">
        <v>90000000</v>
      </c>
      <c r="H941" s="14">
        <v>87623378.510000005</v>
      </c>
      <c r="I941" s="14">
        <v>90000000</v>
      </c>
      <c r="J941" s="14">
        <v>87623378.510000005</v>
      </c>
      <c r="K941" s="12">
        <v>922</v>
      </c>
      <c r="L941" s="10" t="s">
        <v>101</v>
      </c>
      <c r="M941" s="10" t="s">
        <v>102</v>
      </c>
      <c r="N941" s="124" t="s">
        <v>551</v>
      </c>
      <c r="O941" s="124" t="s">
        <v>551</v>
      </c>
      <c r="P941" s="21">
        <v>33</v>
      </c>
      <c r="Q941" s="10" t="s">
        <v>54</v>
      </c>
      <c r="R941" s="10" t="s">
        <v>28</v>
      </c>
      <c r="S941" s="10"/>
      <c r="T941" s="10"/>
      <c r="U941" s="10" t="s">
        <v>2220</v>
      </c>
      <c r="V941" s="10" t="s">
        <v>2220</v>
      </c>
      <c r="W941" s="50">
        <f>+J941/$W$2</f>
        <v>1.1649150357163044E-3</v>
      </c>
    </row>
    <row r="942" spans="1:29">
      <c r="A942" s="10" t="s">
        <v>418</v>
      </c>
      <c r="B942" s="10" t="s">
        <v>381</v>
      </c>
      <c r="C942" s="124">
        <v>46324</v>
      </c>
      <c r="D942" s="124" t="s">
        <v>492</v>
      </c>
      <c r="E942" s="21">
        <v>0.97281459000000003</v>
      </c>
      <c r="F942" s="10"/>
      <c r="G942" s="14">
        <v>4549416.66</v>
      </c>
      <c r="H942" s="14">
        <v>4425738.8899999997</v>
      </c>
      <c r="I942" s="14">
        <v>4549416.66</v>
      </c>
      <c r="J942" s="14">
        <v>4425738.8899999997</v>
      </c>
      <c r="K942" s="12">
        <v>50456547</v>
      </c>
      <c r="L942" s="10" t="s">
        <v>101</v>
      </c>
      <c r="M942" s="10" t="s">
        <v>102</v>
      </c>
      <c r="N942" s="124" t="s">
        <v>323</v>
      </c>
      <c r="O942" s="124" t="s">
        <v>323</v>
      </c>
      <c r="P942" s="21">
        <v>34</v>
      </c>
      <c r="Q942" s="10" t="s">
        <v>54</v>
      </c>
      <c r="R942" s="10" t="s">
        <v>28</v>
      </c>
      <c r="S942" s="10"/>
      <c r="T942" s="10"/>
      <c r="U942" s="10" t="s">
        <v>907</v>
      </c>
      <c r="V942" s="10" t="s">
        <v>907</v>
      </c>
      <c r="W942" s="50">
        <f>+J942/$W$2</f>
        <v>5.8838290246101426E-5</v>
      </c>
    </row>
    <row r="943" spans="1:29">
      <c r="A943" s="10" t="s">
        <v>2915</v>
      </c>
      <c r="B943" s="10" t="s">
        <v>381</v>
      </c>
      <c r="C943" s="124">
        <v>46324</v>
      </c>
      <c r="D943" s="124" t="s">
        <v>492</v>
      </c>
      <c r="E943" s="21">
        <v>0.97907739999999999</v>
      </c>
      <c r="F943" s="10"/>
      <c r="G943" s="14">
        <v>1572269.73</v>
      </c>
      <c r="H943" s="14">
        <v>1539373.76</v>
      </c>
      <c r="I943" s="14">
        <v>1572269.73</v>
      </c>
      <c r="J943" s="14">
        <v>1539373.76</v>
      </c>
      <c r="K943" s="12">
        <v>22513</v>
      </c>
      <c r="L943" s="10" t="s">
        <v>101</v>
      </c>
      <c r="M943" s="10" t="s">
        <v>102</v>
      </c>
      <c r="N943" s="124" t="s">
        <v>531</v>
      </c>
      <c r="O943" s="124" t="s">
        <v>531</v>
      </c>
      <c r="P943" s="21">
        <v>26</v>
      </c>
      <c r="Q943" s="10" t="s">
        <v>54</v>
      </c>
      <c r="R943" s="10" t="s">
        <v>28</v>
      </c>
      <c r="S943" s="10"/>
      <c r="T943" s="10"/>
      <c r="U943" s="10" t="s">
        <v>3378</v>
      </c>
      <c r="V943" s="10" t="s">
        <v>3378</v>
      </c>
      <c r="W943" s="50">
        <f>+J943/$W$2</f>
        <v>2.0465310389812104E-5</v>
      </c>
    </row>
    <row r="944" spans="1:29">
      <c r="A944" s="10" t="s">
        <v>2915</v>
      </c>
      <c r="B944" s="10" t="s">
        <v>381</v>
      </c>
      <c r="C944" s="124">
        <v>46324</v>
      </c>
      <c r="D944" s="124" t="s">
        <v>492</v>
      </c>
      <c r="E944" s="21">
        <v>0.97986580000000001</v>
      </c>
      <c r="F944" s="10"/>
      <c r="G944" s="14">
        <v>15000000</v>
      </c>
      <c r="H944" s="14">
        <v>14697986.98</v>
      </c>
      <c r="I944" s="14">
        <v>15000000</v>
      </c>
      <c r="J944" s="14">
        <v>14697986.98</v>
      </c>
      <c r="K944" s="12">
        <v>69911131</v>
      </c>
      <c r="L944" s="10" t="s">
        <v>101</v>
      </c>
      <c r="M944" s="10" t="s">
        <v>102</v>
      </c>
      <c r="N944" s="124" t="s">
        <v>472</v>
      </c>
      <c r="O944" s="124" t="s">
        <v>472</v>
      </c>
      <c r="P944" s="21">
        <v>25</v>
      </c>
      <c r="Q944" s="10" t="s">
        <v>54</v>
      </c>
      <c r="R944" s="10" t="s">
        <v>28</v>
      </c>
      <c r="S944" s="10"/>
      <c r="T944" s="10"/>
      <c r="U944" s="10" t="s">
        <v>3181</v>
      </c>
      <c r="V944" s="10" t="s">
        <v>3181</v>
      </c>
      <c r="W944" s="50">
        <f>+J944/$W$2</f>
        <v>1.9540339939997224E-4</v>
      </c>
    </row>
    <row r="945" spans="1:29">
      <c r="A945" s="10" t="s">
        <v>2626</v>
      </c>
      <c r="B945" s="10" t="s">
        <v>381</v>
      </c>
      <c r="C945" s="124">
        <v>46324</v>
      </c>
      <c r="D945" s="124" t="s">
        <v>492</v>
      </c>
      <c r="E945" s="21">
        <v>0.97359315999999996</v>
      </c>
      <c r="F945" s="10"/>
      <c r="G945" s="14">
        <v>6813654.1900000004</v>
      </c>
      <c r="H945" s="14">
        <v>6633727.1200000001</v>
      </c>
      <c r="I945" s="14">
        <v>6813654.1900000004</v>
      </c>
      <c r="J945" s="14">
        <v>6633727.1200000001</v>
      </c>
      <c r="K945" s="12">
        <v>74091873</v>
      </c>
      <c r="L945" s="10" t="s">
        <v>101</v>
      </c>
      <c r="M945" s="10" t="s">
        <v>102</v>
      </c>
      <c r="N945" s="124" t="s">
        <v>423</v>
      </c>
      <c r="O945" s="124" t="s">
        <v>423</v>
      </c>
      <c r="P945" s="21">
        <v>33</v>
      </c>
      <c r="Q945" s="10" t="s">
        <v>54</v>
      </c>
      <c r="R945" s="10" t="s">
        <v>28</v>
      </c>
      <c r="S945" s="10"/>
      <c r="T945" s="10"/>
      <c r="U945" s="10" t="s">
        <v>2512</v>
      </c>
      <c r="V945" s="10" t="s">
        <v>2512</v>
      </c>
      <c r="W945" s="50">
        <f>+J945/$W$2</f>
        <v>8.8192541720416435E-5</v>
      </c>
      <c r="AC945" s="47"/>
    </row>
    <row r="946" spans="1:29">
      <c r="A946" s="10" t="s">
        <v>495</v>
      </c>
      <c r="B946" s="10" t="s">
        <v>381</v>
      </c>
      <c r="C946" s="124">
        <v>46324</v>
      </c>
      <c r="D946" s="124" t="s">
        <v>492</v>
      </c>
      <c r="E946" s="21">
        <v>0.96816994999999995</v>
      </c>
      <c r="F946" s="10"/>
      <c r="G946" s="14">
        <v>147500000</v>
      </c>
      <c r="H946" s="14">
        <v>142805067.86000001</v>
      </c>
      <c r="I946" s="14">
        <v>147500000</v>
      </c>
      <c r="J946" s="14">
        <v>142805067.86000001</v>
      </c>
      <c r="K946" s="12">
        <v>70408102</v>
      </c>
      <c r="L946" s="10" t="s">
        <v>101</v>
      </c>
      <c r="M946" s="10" t="s">
        <v>102</v>
      </c>
      <c r="N946" s="124" t="s">
        <v>416</v>
      </c>
      <c r="O946" s="124" t="s">
        <v>416</v>
      </c>
      <c r="P946" s="21">
        <v>40</v>
      </c>
      <c r="Q946" s="10" t="s">
        <v>54</v>
      </c>
      <c r="R946" s="10" t="s">
        <v>28</v>
      </c>
      <c r="S946" s="10"/>
      <c r="T946" s="10"/>
      <c r="U946" s="10" t="s">
        <v>2147</v>
      </c>
      <c r="V946" s="10" t="s">
        <v>2147</v>
      </c>
      <c r="W946" s="50">
        <f>+J946/$W$2</f>
        <v>1.8985318023045168E-3</v>
      </c>
    </row>
    <row r="947" spans="1:29">
      <c r="A947" s="10" t="s">
        <v>427</v>
      </c>
      <c r="B947" s="10" t="s">
        <v>381</v>
      </c>
      <c r="C947" s="124">
        <v>46324</v>
      </c>
      <c r="D947" s="124" t="s">
        <v>492</v>
      </c>
      <c r="E947" s="21">
        <v>0.97750406000000001</v>
      </c>
      <c r="F947" s="10"/>
      <c r="G947" s="14">
        <v>2500000</v>
      </c>
      <c r="H947" s="14">
        <v>2443760.14</v>
      </c>
      <c r="I947" s="14">
        <v>2500000</v>
      </c>
      <c r="J947" s="14">
        <v>2443760.14</v>
      </c>
      <c r="K947" s="12">
        <v>90031823</v>
      </c>
      <c r="L947" s="10" t="s">
        <v>101</v>
      </c>
      <c r="M947" s="10" t="s">
        <v>102</v>
      </c>
      <c r="N947" s="124" t="s">
        <v>277</v>
      </c>
      <c r="O947" s="124" t="s">
        <v>277</v>
      </c>
      <c r="P947" s="21">
        <v>28</v>
      </c>
      <c r="Q947" s="10" t="s">
        <v>54</v>
      </c>
      <c r="R947" s="10" t="s">
        <v>28</v>
      </c>
      <c r="S947" s="10"/>
      <c r="T947" s="10"/>
      <c r="U947" s="10" t="s">
        <v>521</v>
      </c>
      <c r="V947" s="10" t="s">
        <v>521</v>
      </c>
      <c r="W947" s="50">
        <f>+J947/$W$2</f>
        <v>3.2488737357294361E-5</v>
      </c>
    </row>
    <row r="948" spans="1:29">
      <c r="A948" s="10" t="s">
        <v>427</v>
      </c>
      <c r="B948" s="10" t="s">
        <v>381</v>
      </c>
      <c r="C948" s="124">
        <v>46324</v>
      </c>
      <c r="D948" s="124" t="s">
        <v>492</v>
      </c>
      <c r="E948" s="21">
        <v>0.97907738</v>
      </c>
      <c r="F948" s="10"/>
      <c r="G948" s="14">
        <v>20000000</v>
      </c>
      <c r="H948" s="14">
        <v>19581547.510000002</v>
      </c>
      <c r="I948" s="14">
        <v>20000000</v>
      </c>
      <c r="J948" s="14">
        <v>19581547.510000002</v>
      </c>
      <c r="K948" s="12">
        <v>22803</v>
      </c>
      <c r="L948" s="10" t="s">
        <v>101</v>
      </c>
      <c r="M948" s="10" t="s">
        <v>102</v>
      </c>
      <c r="N948" s="124" t="s">
        <v>678</v>
      </c>
      <c r="O948" s="124" t="s">
        <v>678</v>
      </c>
      <c r="P948" s="21">
        <v>26</v>
      </c>
      <c r="Q948" s="10" t="s">
        <v>54</v>
      </c>
      <c r="R948" s="10" t="s">
        <v>28</v>
      </c>
      <c r="S948" s="10"/>
      <c r="T948" s="10"/>
      <c r="U948" s="10" t="s">
        <v>3467</v>
      </c>
      <c r="V948" s="10" t="s">
        <v>3467</v>
      </c>
      <c r="W948" s="50">
        <f>+J948/$W$2</f>
        <v>2.6032823094568168E-4</v>
      </c>
    </row>
    <row r="949" spans="1:29">
      <c r="A949" s="10" t="s">
        <v>303</v>
      </c>
      <c r="B949" s="10" t="s">
        <v>381</v>
      </c>
      <c r="C949" s="124">
        <v>46324</v>
      </c>
      <c r="D949" s="124" t="s">
        <v>492</v>
      </c>
      <c r="E949" s="21">
        <v>0.98223901000000002</v>
      </c>
      <c r="F949" s="10"/>
      <c r="G949" s="14">
        <v>13000000</v>
      </c>
      <c r="H949" s="14">
        <v>12769107.140000001</v>
      </c>
      <c r="I949" s="14">
        <v>13000000</v>
      </c>
      <c r="J949" s="14">
        <v>12769107.140000001</v>
      </c>
      <c r="K949" s="12">
        <v>34114</v>
      </c>
      <c r="L949" s="10" t="s">
        <v>101</v>
      </c>
      <c r="M949" s="10" t="s">
        <v>102</v>
      </c>
      <c r="N949" s="124" t="s">
        <v>156</v>
      </c>
      <c r="O949" s="124" t="s">
        <v>156</v>
      </c>
      <c r="P949" s="21">
        <v>22</v>
      </c>
      <c r="Q949" s="10" t="s">
        <v>54</v>
      </c>
      <c r="R949" s="10" t="s">
        <v>28</v>
      </c>
      <c r="S949" s="10"/>
      <c r="T949" s="10"/>
      <c r="U949" s="10" t="s">
        <v>747</v>
      </c>
      <c r="V949" s="10" t="s">
        <v>747</v>
      </c>
      <c r="W949" s="50">
        <f>+J949/$W$2</f>
        <v>1.6975977362435093E-4</v>
      </c>
    </row>
    <row r="950" spans="1:29">
      <c r="A950" s="10" t="s">
        <v>382</v>
      </c>
      <c r="B950" s="10" t="s">
        <v>381</v>
      </c>
      <c r="C950" s="124">
        <v>46324</v>
      </c>
      <c r="D950" s="124" t="s">
        <v>492</v>
      </c>
      <c r="E950" s="21">
        <v>0.97437273999999996</v>
      </c>
      <c r="F950" s="10"/>
      <c r="G950" s="14">
        <v>2000000</v>
      </c>
      <c r="H950" s="14">
        <v>1948745.48</v>
      </c>
      <c r="I950" s="14">
        <v>2000000</v>
      </c>
      <c r="J950" s="14">
        <v>1948745.48</v>
      </c>
      <c r="K950" s="12">
        <v>1076</v>
      </c>
      <c r="L950" s="10" t="s">
        <v>101</v>
      </c>
      <c r="M950" s="10" t="s">
        <v>102</v>
      </c>
      <c r="N950" s="124" t="s">
        <v>432</v>
      </c>
      <c r="O950" s="124" t="s">
        <v>432</v>
      </c>
      <c r="P950" s="21">
        <v>32</v>
      </c>
      <c r="Q950" s="10" t="s">
        <v>54</v>
      </c>
      <c r="R950" s="10" t="s">
        <v>28</v>
      </c>
      <c r="S950" s="10"/>
      <c r="T950" s="10"/>
      <c r="U950" s="10" t="s">
        <v>1834</v>
      </c>
      <c r="V950" s="10" t="s">
        <v>1834</v>
      </c>
      <c r="W950" s="50">
        <f>+J950/$W$2</f>
        <v>2.5907730893726141E-5</v>
      </c>
    </row>
    <row r="951" spans="1:29">
      <c r="A951" s="10" t="s">
        <v>382</v>
      </c>
      <c r="B951" s="10" t="s">
        <v>381</v>
      </c>
      <c r="C951" s="124">
        <v>46324</v>
      </c>
      <c r="D951" s="124" t="s">
        <v>492</v>
      </c>
      <c r="E951" s="21">
        <v>0.97593593999999995</v>
      </c>
      <c r="F951" s="10"/>
      <c r="G951" s="14">
        <v>2500000</v>
      </c>
      <c r="H951" s="14">
        <v>2439839.84</v>
      </c>
      <c r="I951" s="14">
        <v>2500000</v>
      </c>
      <c r="J951" s="14">
        <v>2439839.84</v>
      </c>
      <c r="K951" s="12">
        <v>885</v>
      </c>
      <c r="L951" s="10" t="s">
        <v>101</v>
      </c>
      <c r="M951" s="10" t="s">
        <v>102</v>
      </c>
      <c r="N951" s="124" t="s">
        <v>435</v>
      </c>
      <c r="O951" s="124" t="s">
        <v>435</v>
      </c>
      <c r="P951" s="21">
        <v>30</v>
      </c>
      <c r="Q951" s="10" t="s">
        <v>54</v>
      </c>
      <c r="R951" s="10" t="s">
        <v>28</v>
      </c>
      <c r="S951" s="10"/>
      <c r="T951" s="10"/>
      <c r="U951" s="10" t="s">
        <v>1313</v>
      </c>
      <c r="V951" s="10" t="s">
        <v>1313</v>
      </c>
      <c r="W951" s="50">
        <f>+J951/$W$2</f>
        <v>3.2436618659154937E-5</v>
      </c>
    </row>
    <row r="952" spans="1:29">
      <c r="A952" s="10" t="s">
        <v>382</v>
      </c>
      <c r="B952" s="10" t="s">
        <v>381</v>
      </c>
      <c r="C952" s="124">
        <v>46324</v>
      </c>
      <c r="D952" s="124" t="s">
        <v>492</v>
      </c>
      <c r="E952" s="21">
        <v>0.97593600000000003</v>
      </c>
      <c r="F952" s="10"/>
      <c r="G952" s="14">
        <v>5000000</v>
      </c>
      <c r="H952" s="14">
        <v>4879680.01</v>
      </c>
      <c r="I952" s="14">
        <v>5000000</v>
      </c>
      <c r="J952" s="14">
        <v>4879680.01</v>
      </c>
      <c r="K952" s="12">
        <v>1303</v>
      </c>
      <c r="L952" s="10" t="s">
        <v>101</v>
      </c>
      <c r="M952" s="10" t="s">
        <v>102</v>
      </c>
      <c r="N952" s="124" t="s">
        <v>531</v>
      </c>
      <c r="O952" s="124" t="s">
        <v>531</v>
      </c>
      <c r="P952" s="21">
        <v>30</v>
      </c>
      <c r="Q952" s="10" t="s">
        <v>54</v>
      </c>
      <c r="R952" s="10" t="s">
        <v>28</v>
      </c>
      <c r="S952" s="10"/>
      <c r="T952" s="10"/>
      <c r="U952" s="10" t="s">
        <v>3407</v>
      </c>
      <c r="V952" s="10" t="s">
        <v>3407</v>
      </c>
      <c r="W952" s="50">
        <f>+J952/$W$2</f>
        <v>6.487324170551758E-5</v>
      </c>
    </row>
    <row r="953" spans="1:29">
      <c r="A953" s="10" t="s">
        <v>382</v>
      </c>
      <c r="B953" s="10" t="s">
        <v>381</v>
      </c>
      <c r="C953" s="124">
        <v>46325</v>
      </c>
      <c r="D953" s="124" t="s">
        <v>492</v>
      </c>
      <c r="E953" s="21">
        <v>0.97515375000000004</v>
      </c>
      <c r="F953" s="10"/>
      <c r="G953" s="14">
        <v>4000000</v>
      </c>
      <c r="H953" s="14">
        <v>3900614.99</v>
      </c>
      <c r="I953" s="14">
        <v>4000000</v>
      </c>
      <c r="J953" s="14">
        <v>3900614.99</v>
      </c>
      <c r="K953" s="12">
        <v>1150</v>
      </c>
      <c r="L953" s="10" t="s">
        <v>101</v>
      </c>
      <c r="M953" s="10" t="s">
        <v>102</v>
      </c>
      <c r="N953" s="124" t="s">
        <v>431</v>
      </c>
      <c r="O953" s="124" t="s">
        <v>431</v>
      </c>
      <c r="P953" s="21">
        <v>30</v>
      </c>
      <c r="Q953" s="10" t="s">
        <v>54</v>
      </c>
      <c r="R953" s="10" t="s">
        <v>28</v>
      </c>
      <c r="S953" s="10"/>
      <c r="T953" s="10"/>
      <c r="U953" s="10" t="s">
        <v>2261</v>
      </c>
      <c r="V953" s="10" t="s">
        <v>2261</v>
      </c>
      <c r="W953" s="50">
        <f>+J953/$W$2</f>
        <v>5.185699441927855E-5</v>
      </c>
      <c r="AC953" s="47"/>
    </row>
    <row r="954" spans="1:29">
      <c r="A954" s="10" t="s">
        <v>382</v>
      </c>
      <c r="B954" s="10" t="s">
        <v>381</v>
      </c>
      <c r="C954" s="124">
        <v>46325</v>
      </c>
      <c r="D954" s="124" t="s">
        <v>492</v>
      </c>
      <c r="E954" s="21">
        <v>0.97515362000000005</v>
      </c>
      <c r="F954" s="10"/>
      <c r="G954" s="14">
        <v>5000000</v>
      </c>
      <c r="H954" s="14">
        <v>4875768.12</v>
      </c>
      <c r="I954" s="14">
        <v>5000000</v>
      </c>
      <c r="J954" s="14">
        <v>4875768.12</v>
      </c>
      <c r="K954" s="12">
        <v>1203</v>
      </c>
      <c r="L954" s="10" t="s">
        <v>101</v>
      </c>
      <c r="M954" s="10" t="s">
        <v>102</v>
      </c>
      <c r="N954" s="124" t="s">
        <v>536</v>
      </c>
      <c r="O954" s="124" t="s">
        <v>536</v>
      </c>
      <c r="P954" s="21">
        <v>30</v>
      </c>
      <c r="Q954" s="10" t="s">
        <v>54</v>
      </c>
      <c r="R954" s="10" t="s">
        <v>28</v>
      </c>
      <c r="S954" s="10"/>
      <c r="T954" s="10"/>
      <c r="U954" s="10" t="s">
        <v>2297</v>
      </c>
      <c r="V954" s="10" t="s">
        <v>2297</v>
      </c>
      <c r="W954" s="50">
        <f>+J954/$W$2</f>
        <v>6.4821234814701939E-5</v>
      </c>
    </row>
    <row r="955" spans="1:29">
      <c r="A955" s="10" t="s">
        <v>382</v>
      </c>
      <c r="B955" s="10" t="s">
        <v>381</v>
      </c>
      <c r="C955" s="124">
        <v>46325</v>
      </c>
      <c r="D955" s="124" t="s">
        <v>492</v>
      </c>
      <c r="E955" s="21">
        <v>0.97515364999999998</v>
      </c>
      <c r="F955" s="10"/>
      <c r="G955" s="14">
        <v>5000000</v>
      </c>
      <c r="H955" s="14">
        <v>4875768.2699999996</v>
      </c>
      <c r="I955" s="14">
        <v>5000000</v>
      </c>
      <c r="J955" s="14">
        <v>4875768.2699999996</v>
      </c>
      <c r="K955" s="12">
        <v>797</v>
      </c>
      <c r="L955" s="10" t="s">
        <v>101</v>
      </c>
      <c r="M955" s="10" t="s">
        <v>102</v>
      </c>
      <c r="N955" s="124" t="s">
        <v>396</v>
      </c>
      <c r="O955" s="124" t="s">
        <v>396</v>
      </c>
      <c r="P955" s="21">
        <v>30</v>
      </c>
      <c r="Q955" s="10" t="s">
        <v>54</v>
      </c>
      <c r="R955" s="10" t="s">
        <v>28</v>
      </c>
      <c r="S955" s="10"/>
      <c r="T955" s="10"/>
      <c r="U955" s="10" t="s">
        <v>896</v>
      </c>
      <c r="V955" s="10" t="s">
        <v>896</v>
      </c>
      <c r="W955" s="50">
        <f>+J955/$W$2</f>
        <v>6.4821236808887246E-5</v>
      </c>
    </row>
    <row r="956" spans="1:29">
      <c r="A956" s="10" t="s">
        <v>382</v>
      </c>
      <c r="B956" s="10" t="s">
        <v>381</v>
      </c>
      <c r="C956" s="124">
        <v>46325</v>
      </c>
      <c r="D956" s="124" t="s">
        <v>492</v>
      </c>
      <c r="E956" s="21">
        <v>0.97354114999999997</v>
      </c>
      <c r="F956" s="10"/>
      <c r="G956" s="14">
        <v>3000000</v>
      </c>
      <c r="H956" s="14">
        <v>2920623.46</v>
      </c>
      <c r="I956" s="14">
        <v>3000000</v>
      </c>
      <c r="J956" s="14">
        <v>2920623.46</v>
      </c>
      <c r="K956" s="12">
        <v>1046</v>
      </c>
      <c r="L956" s="10" t="s">
        <v>101</v>
      </c>
      <c r="M956" s="10" t="s">
        <v>102</v>
      </c>
      <c r="N956" s="124" t="s">
        <v>398</v>
      </c>
      <c r="O956" s="124" t="s">
        <v>398</v>
      </c>
      <c r="P956" s="21">
        <v>32</v>
      </c>
      <c r="Q956" s="10" t="s">
        <v>54</v>
      </c>
      <c r="R956" s="10" t="s">
        <v>28</v>
      </c>
      <c r="S956" s="10"/>
      <c r="T956" s="10"/>
      <c r="U956" s="10" t="s">
        <v>1740</v>
      </c>
      <c r="V956" s="10" t="s">
        <v>1740</v>
      </c>
      <c r="W956" s="50">
        <f>+J956/$W$2</f>
        <v>3.8828429582083408E-5</v>
      </c>
    </row>
    <row r="957" spans="1:29">
      <c r="A957" s="10" t="s">
        <v>3460</v>
      </c>
      <c r="B957" s="10" t="s">
        <v>381</v>
      </c>
      <c r="C957" s="124">
        <v>46325</v>
      </c>
      <c r="D957" s="124" t="s">
        <v>492</v>
      </c>
      <c r="E957" s="21">
        <v>0.97515372</v>
      </c>
      <c r="F957" s="10"/>
      <c r="G957" s="14">
        <v>2270000</v>
      </c>
      <c r="H957" s="14">
        <v>2213598.9500000002</v>
      </c>
      <c r="I957" s="14">
        <v>2270000</v>
      </c>
      <c r="J957" s="14">
        <v>2213598.9500000002</v>
      </c>
      <c r="K957" s="12">
        <v>10287265</v>
      </c>
      <c r="L957" s="10" t="s">
        <v>101</v>
      </c>
      <c r="M957" s="10" t="s">
        <v>102</v>
      </c>
      <c r="N957" s="124" t="s">
        <v>531</v>
      </c>
      <c r="O957" s="124" t="s">
        <v>531</v>
      </c>
      <c r="P957" s="21">
        <v>30</v>
      </c>
      <c r="Q957" s="10" t="s">
        <v>54</v>
      </c>
      <c r="R957" s="10" t="s">
        <v>28</v>
      </c>
      <c r="S957" s="10"/>
      <c r="T957" s="10"/>
      <c r="U957" s="10" t="s">
        <v>3434</v>
      </c>
      <c r="V957" s="10" t="s">
        <v>3434</v>
      </c>
      <c r="W957" s="50">
        <f>+J957/$W$2</f>
        <v>2.9428843577476702E-5</v>
      </c>
    </row>
    <row r="958" spans="1:29">
      <c r="A958" s="10" t="s">
        <v>1424</v>
      </c>
      <c r="B958" s="10" t="s">
        <v>381</v>
      </c>
      <c r="C958" s="124">
        <v>46325</v>
      </c>
      <c r="D958" s="124" t="s">
        <v>492</v>
      </c>
      <c r="E958" s="21">
        <v>0.97434677999999997</v>
      </c>
      <c r="F958" s="10"/>
      <c r="G958" s="14">
        <v>13560000</v>
      </c>
      <c r="H958" s="14">
        <v>13212142.380000001</v>
      </c>
      <c r="I958" s="14">
        <v>13560000</v>
      </c>
      <c r="J958" s="14">
        <v>13212142.380000001</v>
      </c>
      <c r="K958" s="12">
        <v>10881212</v>
      </c>
      <c r="L958" s="10" t="s">
        <v>101</v>
      </c>
      <c r="M958" s="10" t="s">
        <v>102</v>
      </c>
      <c r="N958" s="124" t="s">
        <v>164</v>
      </c>
      <c r="O958" s="124" t="s">
        <v>164</v>
      </c>
      <c r="P958" s="21">
        <v>31</v>
      </c>
      <c r="Q958" s="10" t="s">
        <v>54</v>
      </c>
      <c r="R958" s="10" t="s">
        <v>28</v>
      </c>
      <c r="S958" s="10"/>
      <c r="T958" s="10"/>
      <c r="U958" s="10" t="s">
        <v>2014</v>
      </c>
      <c r="V958" s="10" t="s">
        <v>2014</v>
      </c>
      <c r="W958" s="50">
        <f>+J958/$W$2</f>
        <v>1.7564973611158008E-4</v>
      </c>
    </row>
    <row r="959" spans="1:29">
      <c r="A959" s="10" t="s">
        <v>353</v>
      </c>
      <c r="B959" s="10" t="s">
        <v>381</v>
      </c>
      <c r="C959" s="124">
        <v>46325</v>
      </c>
      <c r="D959" s="124" t="s">
        <v>492</v>
      </c>
      <c r="E959" s="21">
        <v>0.97033190000000002</v>
      </c>
      <c r="F959" s="10"/>
      <c r="G959" s="14">
        <v>3625698.78</v>
      </c>
      <c r="H959" s="14">
        <v>3518131.18</v>
      </c>
      <c r="I959" s="14">
        <v>3625698.78</v>
      </c>
      <c r="J959" s="14">
        <v>3518131.18</v>
      </c>
      <c r="K959" s="12">
        <v>3347</v>
      </c>
      <c r="L959" s="10" t="s">
        <v>101</v>
      </c>
      <c r="M959" s="10" t="s">
        <v>102</v>
      </c>
      <c r="N959" s="124" t="s">
        <v>348</v>
      </c>
      <c r="O959" s="124" t="s">
        <v>348</v>
      </c>
      <c r="P959" s="21">
        <v>36</v>
      </c>
      <c r="Q959" s="10" t="s">
        <v>54</v>
      </c>
      <c r="R959" s="10" t="s">
        <v>28</v>
      </c>
      <c r="S959" s="10"/>
      <c r="T959" s="10"/>
      <c r="U959" s="10" t="s">
        <v>1908</v>
      </c>
      <c r="V959" s="10" t="s">
        <v>1908</v>
      </c>
      <c r="W959" s="50">
        <f>+J959/$W$2</f>
        <v>4.6772037085246873E-5</v>
      </c>
    </row>
    <row r="960" spans="1:29">
      <c r="A960" s="10" t="s">
        <v>849</v>
      </c>
      <c r="B960" s="10" t="s">
        <v>381</v>
      </c>
      <c r="C960" s="124">
        <v>46325</v>
      </c>
      <c r="D960" s="124" t="s">
        <v>492</v>
      </c>
      <c r="E960" s="21">
        <v>0.96953288999999998</v>
      </c>
      <c r="F960" s="10"/>
      <c r="G960" s="14">
        <v>15000000</v>
      </c>
      <c r="H960" s="14">
        <v>14542993.380000001</v>
      </c>
      <c r="I960" s="14">
        <v>15000000</v>
      </c>
      <c r="J960" s="14">
        <v>14542993.380000001</v>
      </c>
      <c r="K960" s="12">
        <v>2591</v>
      </c>
      <c r="L960" s="10" t="s">
        <v>101</v>
      </c>
      <c r="M960" s="10" t="s">
        <v>102</v>
      </c>
      <c r="N960" s="124" t="s">
        <v>349</v>
      </c>
      <c r="O960" s="124" t="s">
        <v>349</v>
      </c>
      <c r="P960" s="21">
        <v>37</v>
      </c>
      <c r="Q960" s="10" t="s">
        <v>54</v>
      </c>
      <c r="R960" s="10" t="s">
        <v>28</v>
      </c>
      <c r="S960" s="10"/>
      <c r="T960" s="10"/>
      <c r="U960" s="10" t="s">
        <v>1345</v>
      </c>
      <c r="V960" s="10" t="s">
        <v>1345</v>
      </c>
      <c r="W960" s="50">
        <f>+J960/$W$2</f>
        <v>1.9334282631833523E-4</v>
      </c>
    </row>
    <row r="961" spans="1:32">
      <c r="A961" s="10" t="s">
        <v>2427</v>
      </c>
      <c r="B961" s="10" t="s">
        <v>381</v>
      </c>
      <c r="C961" s="124">
        <v>46325</v>
      </c>
      <c r="D961" s="124" t="s">
        <v>492</v>
      </c>
      <c r="E961" s="21">
        <v>0.97515372</v>
      </c>
      <c r="F961" s="10"/>
      <c r="G961" s="14">
        <v>1852533.42</v>
      </c>
      <c r="H961" s="14">
        <v>1806504.85</v>
      </c>
      <c r="I961" s="14">
        <v>1852533.42</v>
      </c>
      <c r="J961" s="14">
        <v>1806504.85</v>
      </c>
      <c r="K961" s="12">
        <v>20521666</v>
      </c>
      <c r="L961" s="10" t="s">
        <v>101</v>
      </c>
      <c r="M961" s="10" t="s">
        <v>102</v>
      </c>
      <c r="N961" s="124" t="s">
        <v>552</v>
      </c>
      <c r="O961" s="124" t="s">
        <v>552</v>
      </c>
      <c r="P961" s="21">
        <v>30</v>
      </c>
      <c r="Q961" s="10" t="s">
        <v>54</v>
      </c>
      <c r="R961" s="10" t="s">
        <v>28</v>
      </c>
      <c r="S961" s="10"/>
      <c r="T961" s="10"/>
      <c r="U961" s="10" t="s">
        <v>2409</v>
      </c>
      <c r="V961" s="10" t="s">
        <v>2409</v>
      </c>
      <c r="W961" s="50">
        <f>+J961/$W$2</f>
        <v>2.4016703049395199E-5</v>
      </c>
      <c r="AC961" s="47"/>
    </row>
    <row r="962" spans="1:32">
      <c r="A962" s="10" t="s">
        <v>2600</v>
      </c>
      <c r="B962" s="10" t="s">
        <v>381</v>
      </c>
      <c r="C962" s="124">
        <v>46325</v>
      </c>
      <c r="D962" s="124" t="s">
        <v>492</v>
      </c>
      <c r="E962" s="21">
        <v>0.97273686000000004</v>
      </c>
      <c r="F962" s="10"/>
      <c r="G962" s="14">
        <v>5300000</v>
      </c>
      <c r="H962" s="14">
        <v>5155505.3600000003</v>
      </c>
      <c r="I962" s="14">
        <v>5300000</v>
      </c>
      <c r="J962" s="14">
        <v>5155505.3600000003</v>
      </c>
      <c r="K962" s="12">
        <v>8175670</v>
      </c>
      <c r="L962" s="10" t="s">
        <v>101</v>
      </c>
      <c r="M962" s="10" t="s">
        <v>102</v>
      </c>
      <c r="N962" s="124" t="s">
        <v>423</v>
      </c>
      <c r="O962" s="124" t="s">
        <v>423</v>
      </c>
      <c r="P962" s="21">
        <v>33</v>
      </c>
      <c r="Q962" s="10" t="s">
        <v>54</v>
      </c>
      <c r="R962" s="10" t="s">
        <v>28</v>
      </c>
      <c r="S962" s="10"/>
      <c r="T962" s="10"/>
      <c r="U962" s="10" t="s">
        <v>2477</v>
      </c>
      <c r="V962" s="10" t="s">
        <v>2477</v>
      </c>
      <c r="W962" s="50">
        <f>+J962/$W$2</f>
        <v>6.8540220802997174E-5</v>
      </c>
      <c r="AC962" s="47"/>
    </row>
    <row r="963" spans="1:32">
      <c r="A963" s="10" t="s">
        <v>2609</v>
      </c>
      <c r="B963" s="10" t="s">
        <v>381</v>
      </c>
      <c r="C963" s="124">
        <v>46325</v>
      </c>
      <c r="D963" s="124" t="s">
        <v>492</v>
      </c>
      <c r="E963" s="21">
        <v>0.97273688000000003</v>
      </c>
      <c r="F963" s="10"/>
      <c r="G963" s="14">
        <v>684028.33</v>
      </c>
      <c r="H963" s="14">
        <v>665379.57999999996</v>
      </c>
      <c r="I963" s="14">
        <v>684028.33</v>
      </c>
      <c r="J963" s="14">
        <v>665379.57999999996</v>
      </c>
      <c r="K963" s="12">
        <v>69287864</v>
      </c>
      <c r="L963" s="10" t="s">
        <v>101</v>
      </c>
      <c r="M963" s="10" t="s">
        <v>102</v>
      </c>
      <c r="N963" s="124" t="s">
        <v>423</v>
      </c>
      <c r="O963" s="124" t="s">
        <v>423</v>
      </c>
      <c r="P963" s="21">
        <v>33</v>
      </c>
      <c r="Q963" s="10" t="s">
        <v>54</v>
      </c>
      <c r="R963" s="10" t="s">
        <v>28</v>
      </c>
      <c r="S963" s="10"/>
      <c r="T963" s="10"/>
      <c r="U963" s="10" t="s">
        <v>2517</v>
      </c>
      <c r="V963" s="10" t="s">
        <v>2517</v>
      </c>
      <c r="W963" s="50">
        <f>+J963/$W$2</f>
        <v>8.8459346167774175E-6</v>
      </c>
    </row>
    <row r="964" spans="1:32">
      <c r="A964" s="10" t="s">
        <v>1287</v>
      </c>
      <c r="B964" s="10" t="s">
        <v>381</v>
      </c>
      <c r="C964" s="124">
        <v>46325</v>
      </c>
      <c r="D964" s="124" t="s">
        <v>492</v>
      </c>
      <c r="E964" s="21">
        <v>0.97677164999999999</v>
      </c>
      <c r="F964" s="10"/>
      <c r="G964" s="14">
        <v>13004266.5</v>
      </c>
      <c r="H964" s="14">
        <v>12702198.800000001</v>
      </c>
      <c r="I964" s="14">
        <v>13004266.5</v>
      </c>
      <c r="J964" s="14">
        <v>12702198.800000001</v>
      </c>
      <c r="K964" s="12">
        <v>40294399</v>
      </c>
      <c r="L964" s="10" t="s">
        <v>101</v>
      </c>
      <c r="M964" s="10" t="s">
        <v>102</v>
      </c>
      <c r="N964" s="124" t="s">
        <v>436</v>
      </c>
      <c r="O964" s="124" t="s">
        <v>436</v>
      </c>
      <c r="P964" s="21">
        <v>28</v>
      </c>
      <c r="Q964" s="10" t="s">
        <v>54</v>
      </c>
      <c r="R964" s="10" t="s">
        <v>28</v>
      </c>
      <c r="S964" s="10"/>
      <c r="T964" s="10"/>
      <c r="U964" s="10" t="s">
        <v>1932</v>
      </c>
      <c r="V964" s="10" t="s">
        <v>1932</v>
      </c>
      <c r="W964" s="50">
        <f>+J964/$W$2</f>
        <v>1.6887025609368502E-4</v>
      </c>
    </row>
    <row r="965" spans="1:32">
      <c r="A965" s="10" t="s">
        <v>1287</v>
      </c>
      <c r="B965" s="10" t="s">
        <v>381</v>
      </c>
      <c r="C965" s="124">
        <v>46325</v>
      </c>
      <c r="D965" s="124" t="s">
        <v>492</v>
      </c>
      <c r="E965" s="21">
        <v>0.97677164999999999</v>
      </c>
      <c r="F965" s="10"/>
      <c r="G965" s="14">
        <v>41120279.869999997</v>
      </c>
      <c r="H965" s="14">
        <v>40165123.490000002</v>
      </c>
      <c r="I965" s="14">
        <v>41120279.869999997</v>
      </c>
      <c r="J965" s="14">
        <v>40165123.490000002</v>
      </c>
      <c r="K965" s="12">
        <v>40294400</v>
      </c>
      <c r="L965" s="10" t="s">
        <v>101</v>
      </c>
      <c r="M965" s="10" t="s">
        <v>102</v>
      </c>
      <c r="N965" s="124" t="s">
        <v>436</v>
      </c>
      <c r="O965" s="124" t="s">
        <v>436</v>
      </c>
      <c r="P965" s="21">
        <v>28</v>
      </c>
      <c r="Q965" s="10" t="s">
        <v>54</v>
      </c>
      <c r="R965" s="10" t="s">
        <v>28</v>
      </c>
      <c r="S965" s="10"/>
      <c r="T965" s="10"/>
      <c r="U965" s="10" t="s">
        <v>1933</v>
      </c>
      <c r="V965" s="10" t="s">
        <v>1933</v>
      </c>
      <c r="W965" s="50">
        <f>+J965/$W$2</f>
        <v>5.3397799834393903E-4</v>
      </c>
    </row>
    <row r="966" spans="1:32">
      <c r="A966" s="10" t="s">
        <v>1287</v>
      </c>
      <c r="B966" s="10" t="s">
        <v>381</v>
      </c>
      <c r="C966" s="124">
        <v>46325</v>
      </c>
      <c r="D966" s="124" t="s">
        <v>492</v>
      </c>
      <c r="E966" s="21">
        <v>0.97677164999999999</v>
      </c>
      <c r="F966" s="10"/>
      <c r="G966" s="14">
        <v>41120279.880000003</v>
      </c>
      <c r="H966" s="14">
        <v>40165123.5</v>
      </c>
      <c r="I966" s="14">
        <v>41120279.880000003</v>
      </c>
      <c r="J966" s="14">
        <v>40165123.5</v>
      </c>
      <c r="K966" s="12">
        <v>40294370</v>
      </c>
      <c r="L966" s="10" t="s">
        <v>101</v>
      </c>
      <c r="M966" s="10" t="s">
        <v>102</v>
      </c>
      <c r="N966" s="124" t="s">
        <v>436</v>
      </c>
      <c r="O966" s="124" t="s">
        <v>436</v>
      </c>
      <c r="P966" s="21">
        <v>28</v>
      </c>
      <c r="Q966" s="10" t="s">
        <v>54</v>
      </c>
      <c r="R966" s="10" t="s">
        <v>28</v>
      </c>
      <c r="S966" s="10"/>
      <c r="T966" s="10"/>
      <c r="U966" s="10" t="s">
        <v>1934</v>
      </c>
      <c r="V966" s="10" t="s">
        <v>1934</v>
      </c>
      <c r="W966" s="50">
        <f>+J966/$W$2</f>
        <v>5.3397799847688466E-4</v>
      </c>
      <c r="AC966" s="47"/>
    </row>
    <row r="967" spans="1:32">
      <c r="A967" s="10" t="s">
        <v>389</v>
      </c>
      <c r="B967" s="10" t="s">
        <v>381</v>
      </c>
      <c r="C967" s="124">
        <v>46325</v>
      </c>
      <c r="D967" s="124" t="s">
        <v>492</v>
      </c>
      <c r="E967" s="21">
        <v>0.97354105999999996</v>
      </c>
      <c r="F967" s="10"/>
      <c r="G967" s="14">
        <v>10655603.279999999</v>
      </c>
      <c r="H967" s="14">
        <v>10373667.279999999</v>
      </c>
      <c r="I967" s="14">
        <v>10655603.279999999</v>
      </c>
      <c r="J967" s="14">
        <v>10373667.279999999</v>
      </c>
      <c r="K967" s="12">
        <v>30833</v>
      </c>
      <c r="L967" s="10" t="s">
        <v>101</v>
      </c>
      <c r="M967" s="10" t="s">
        <v>102</v>
      </c>
      <c r="N967" s="124" t="s">
        <v>396</v>
      </c>
      <c r="O967" s="124" t="s">
        <v>396</v>
      </c>
      <c r="P967" s="21">
        <v>32</v>
      </c>
      <c r="Q967" s="10" t="s">
        <v>54</v>
      </c>
      <c r="R967" s="10" t="s">
        <v>28</v>
      </c>
      <c r="S967" s="10"/>
      <c r="T967" s="10"/>
      <c r="U967" s="10" t="s">
        <v>864</v>
      </c>
      <c r="V967" s="10" t="s">
        <v>864</v>
      </c>
      <c r="W967" s="50">
        <f>+J967/$W$2</f>
        <v>1.3791343355484885E-4</v>
      </c>
      <c r="AC967" s="51"/>
      <c r="AD967" s="47"/>
      <c r="AE967" s="51"/>
      <c r="AF967" s="10"/>
    </row>
    <row r="968" spans="1:32">
      <c r="A968" s="10" t="s">
        <v>3512</v>
      </c>
      <c r="B968" s="10" t="s">
        <v>381</v>
      </c>
      <c r="C968" s="124">
        <v>46325</v>
      </c>
      <c r="D968" s="124" t="s">
        <v>492</v>
      </c>
      <c r="E968" s="21">
        <v>0.97273679000000002</v>
      </c>
      <c r="F968" s="10"/>
      <c r="G968" s="14">
        <v>80000000</v>
      </c>
      <c r="H968" s="14">
        <v>77818943.379999995</v>
      </c>
      <c r="I968" s="14">
        <v>80000000</v>
      </c>
      <c r="J968" s="14">
        <v>77818943.379999995</v>
      </c>
      <c r="K968" s="12">
        <v>3038</v>
      </c>
      <c r="L968" s="10" t="s">
        <v>101</v>
      </c>
      <c r="M968" s="10" t="s">
        <v>102</v>
      </c>
      <c r="N968" s="124" t="s">
        <v>678</v>
      </c>
      <c r="O968" s="124" t="s">
        <v>678</v>
      </c>
      <c r="P968" s="21">
        <v>33</v>
      </c>
      <c r="Q968" s="10" t="s">
        <v>54</v>
      </c>
      <c r="R968" s="10" t="s">
        <v>28</v>
      </c>
      <c r="S968" s="10"/>
      <c r="T968" s="10"/>
      <c r="U968" s="10" t="s">
        <v>3502</v>
      </c>
      <c r="V968" s="10" t="s">
        <v>3502</v>
      </c>
      <c r="W968" s="50">
        <f>+J968/$W$2</f>
        <v>1.0345692981533696E-3</v>
      </c>
    </row>
    <row r="969" spans="1:32">
      <c r="A969" s="10" t="s">
        <v>353</v>
      </c>
      <c r="B969" s="10" t="s">
        <v>381</v>
      </c>
      <c r="C969" s="124">
        <v>46325</v>
      </c>
      <c r="D969" s="124" t="s">
        <v>492</v>
      </c>
      <c r="E969" s="21">
        <v>0.97273683</v>
      </c>
      <c r="F969" s="10"/>
      <c r="G969" s="14">
        <v>2502550.36</v>
      </c>
      <c r="H969" s="14">
        <v>2434322.9</v>
      </c>
      <c r="I969" s="14">
        <v>2502550.36</v>
      </c>
      <c r="J969" s="14">
        <v>2434322.9</v>
      </c>
      <c r="K969" s="12">
        <v>3141</v>
      </c>
      <c r="L969" s="10" t="s">
        <v>101</v>
      </c>
      <c r="M969" s="10" t="s">
        <v>102</v>
      </c>
      <c r="N969" s="124" t="s">
        <v>364</v>
      </c>
      <c r="O969" s="124" t="s">
        <v>364</v>
      </c>
      <c r="P969" s="21">
        <v>33</v>
      </c>
      <c r="Q969" s="10" t="s">
        <v>54</v>
      </c>
      <c r="R969" s="10" t="s">
        <v>28</v>
      </c>
      <c r="S969" s="10"/>
      <c r="T969" s="10"/>
      <c r="U969" s="10" t="s">
        <v>1140</v>
      </c>
      <c r="V969" s="10" t="s">
        <v>1140</v>
      </c>
      <c r="W969" s="50">
        <f>+J969/$W$2</f>
        <v>3.236327332065705E-5</v>
      </c>
    </row>
    <row r="970" spans="1:32">
      <c r="A970" s="10" t="s">
        <v>353</v>
      </c>
      <c r="B970" s="10" t="s">
        <v>381</v>
      </c>
      <c r="C970" s="124">
        <v>46325</v>
      </c>
      <c r="D970" s="124" t="s">
        <v>492</v>
      </c>
      <c r="E970" s="21">
        <v>0.97273679999999996</v>
      </c>
      <c r="F970" s="10"/>
      <c r="G970" s="14">
        <v>2502550.36</v>
      </c>
      <c r="H970" s="14">
        <v>2434322.83</v>
      </c>
      <c r="I970" s="14">
        <v>2502550.36</v>
      </c>
      <c r="J970" s="14">
        <v>2434322.83</v>
      </c>
      <c r="K970" s="12">
        <v>3131</v>
      </c>
      <c r="L970" s="10" t="s">
        <v>101</v>
      </c>
      <c r="M970" s="10" t="s">
        <v>102</v>
      </c>
      <c r="N970" s="124" t="s">
        <v>433</v>
      </c>
      <c r="O970" s="124" t="s">
        <v>433</v>
      </c>
      <c r="P970" s="21">
        <v>33</v>
      </c>
      <c r="Q970" s="10" t="s">
        <v>54</v>
      </c>
      <c r="R970" s="10" t="s">
        <v>28</v>
      </c>
      <c r="S970" s="10"/>
      <c r="T970" s="10"/>
      <c r="U970" s="10" t="s">
        <v>1092</v>
      </c>
      <c r="V970" s="10" t="s">
        <v>1092</v>
      </c>
      <c r="W970" s="50">
        <f>+J970/$W$2</f>
        <v>3.2363272390037231E-5</v>
      </c>
    </row>
    <row r="971" spans="1:32">
      <c r="A971" s="10" t="s">
        <v>353</v>
      </c>
      <c r="B971" s="10" t="s">
        <v>381</v>
      </c>
      <c r="C971" s="124">
        <v>46325</v>
      </c>
      <c r="D971" s="124" t="s">
        <v>492</v>
      </c>
      <c r="E971" s="21">
        <v>0.97193381999999995</v>
      </c>
      <c r="F971" s="10"/>
      <c r="G971" s="14">
        <v>990902.64</v>
      </c>
      <c r="H971" s="14">
        <v>963091.79</v>
      </c>
      <c r="I971" s="14">
        <v>990902.64</v>
      </c>
      <c r="J971" s="14">
        <v>963091.79</v>
      </c>
      <c r="K971" s="12">
        <v>2957</v>
      </c>
      <c r="L971" s="10" t="s">
        <v>101</v>
      </c>
      <c r="M971" s="10" t="s">
        <v>102</v>
      </c>
      <c r="N971" s="124" t="s">
        <v>323</v>
      </c>
      <c r="O971" s="124" t="s">
        <v>323</v>
      </c>
      <c r="P971" s="21">
        <v>34</v>
      </c>
      <c r="Q971" s="10" t="s">
        <v>54</v>
      </c>
      <c r="R971" s="10" t="s">
        <v>28</v>
      </c>
      <c r="S971" s="10"/>
      <c r="T971" s="10"/>
      <c r="U971" s="10" t="s">
        <v>926</v>
      </c>
      <c r="V971" s="10" t="s">
        <v>926</v>
      </c>
      <c r="W971" s="50">
        <f>+J971/$W$2</f>
        <v>1.2803890080749288E-5</v>
      </c>
    </row>
    <row r="972" spans="1:32">
      <c r="A972" s="10" t="s">
        <v>353</v>
      </c>
      <c r="B972" s="10" t="s">
        <v>381</v>
      </c>
      <c r="C972" s="124">
        <v>46325</v>
      </c>
      <c r="D972" s="124" t="s">
        <v>492</v>
      </c>
      <c r="E972" s="21">
        <v>0.97193379000000002</v>
      </c>
      <c r="F972" s="10"/>
      <c r="G972" s="14">
        <v>1020845.65</v>
      </c>
      <c r="H972" s="14">
        <v>992194.38</v>
      </c>
      <c r="I972" s="14">
        <v>1020845.65</v>
      </c>
      <c r="J972" s="14">
        <v>992194.38</v>
      </c>
      <c r="K972" s="12">
        <v>2907</v>
      </c>
      <c r="L972" s="10" t="s">
        <v>101</v>
      </c>
      <c r="M972" s="10" t="s">
        <v>102</v>
      </c>
      <c r="N972" s="124" t="s">
        <v>323</v>
      </c>
      <c r="O972" s="124" t="s">
        <v>323</v>
      </c>
      <c r="P972" s="21">
        <v>34</v>
      </c>
      <c r="Q972" s="10" t="s">
        <v>54</v>
      </c>
      <c r="R972" s="10" t="s">
        <v>28</v>
      </c>
      <c r="S972" s="10"/>
      <c r="T972" s="10"/>
      <c r="U972" s="10" t="s">
        <v>927</v>
      </c>
      <c r="V972" s="10" t="s">
        <v>927</v>
      </c>
      <c r="W972" s="50">
        <f>+J972/$W$2</f>
        <v>1.319079646630275E-5</v>
      </c>
    </row>
    <row r="973" spans="1:32">
      <c r="A973" s="10" t="s">
        <v>186</v>
      </c>
      <c r="B973" s="10" t="s">
        <v>381</v>
      </c>
      <c r="C973" s="124">
        <v>46325</v>
      </c>
      <c r="D973" s="124" t="s">
        <v>492</v>
      </c>
      <c r="E973" s="21">
        <v>0.96953277999999998</v>
      </c>
      <c r="F973" s="10"/>
      <c r="G973" s="14">
        <v>10000000</v>
      </c>
      <c r="H973" s="14">
        <v>9695327.8499999996</v>
      </c>
      <c r="I973" s="14">
        <v>10000000</v>
      </c>
      <c r="J973" s="14">
        <v>9695327.8499999996</v>
      </c>
      <c r="K973" s="12">
        <v>16854860</v>
      </c>
      <c r="L973" s="10" t="s">
        <v>101</v>
      </c>
      <c r="M973" s="10" t="s">
        <v>102</v>
      </c>
      <c r="N973" s="124" t="s">
        <v>390</v>
      </c>
      <c r="O973" s="124" t="s">
        <v>390</v>
      </c>
      <c r="P973" s="21">
        <v>37</v>
      </c>
      <c r="Q973" s="10" t="s">
        <v>54</v>
      </c>
      <c r="R973" s="10" t="s">
        <v>28</v>
      </c>
      <c r="S973" s="10"/>
      <c r="T973" s="10"/>
      <c r="U973" s="10" t="s">
        <v>2060</v>
      </c>
      <c r="V973" s="10" t="s">
        <v>2060</v>
      </c>
      <c r="W973" s="50">
        <f>+J973/$W$2</f>
        <v>1.2889520332036816E-4</v>
      </c>
    </row>
    <row r="974" spans="1:32">
      <c r="A974" s="10" t="s">
        <v>1814</v>
      </c>
      <c r="B974" s="10" t="s">
        <v>381</v>
      </c>
      <c r="C974" s="124">
        <v>46325</v>
      </c>
      <c r="D974" s="124" t="s">
        <v>492</v>
      </c>
      <c r="E974" s="21">
        <v>0.97193388999999997</v>
      </c>
      <c r="F974" s="10"/>
      <c r="G974" s="14">
        <v>12000000</v>
      </c>
      <c r="H974" s="14">
        <v>11663206.65</v>
      </c>
      <c r="I974" s="14">
        <v>12000000</v>
      </c>
      <c r="J974" s="14">
        <v>11663206.65</v>
      </c>
      <c r="K974" s="12">
        <v>14330927</v>
      </c>
      <c r="L974" s="10" t="s">
        <v>101</v>
      </c>
      <c r="M974" s="10" t="s">
        <v>102</v>
      </c>
      <c r="N974" s="124" t="s">
        <v>398</v>
      </c>
      <c r="O974" s="124" t="s">
        <v>398</v>
      </c>
      <c r="P974" s="21">
        <v>34</v>
      </c>
      <c r="Q974" s="10" t="s">
        <v>54</v>
      </c>
      <c r="R974" s="10" t="s">
        <v>28</v>
      </c>
      <c r="S974" s="10"/>
      <c r="T974" s="10"/>
      <c r="U974" s="10" t="s">
        <v>1775</v>
      </c>
      <c r="V974" s="10" t="s">
        <v>1775</v>
      </c>
      <c r="W974" s="50">
        <f>+J974/$W$2</f>
        <v>1.5505730345356192E-4</v>
      </c>
    </row>
    <row r="975" spans="1:32">
      <c r="A975" s="10" t="s">
        <v>1915</v>
      </c>
      <c r="B975" s="10" t="s">
        <v>381</v>
      </c>
      <c r="C975" s="124">
        <v>46325</v>
      </c>
      <c r="D975" s="124" t="s">
        <v>492</v>
      </c>
      <c r="E975" s="21">
        <v>0.97273679000000002</v>
      </c>
      <c r="F975" s="10"/>
      <c r="G975" s="14">
        <v>20000000</v>
      </c>
      <c r="H975" s="14">
        <v>19454735.829999998</v>
      </c>
      <c r="I975" s="14">
        <v>20000000</v>
      </c>
      <c r="J975" s="14">
        <v>19454735.829999998</v>
      </c>
      <c r="K975" s="12">
        <v>174</v>
      </c>
      <c r="L975" s="10" t="s">
        <v>101</v>
      </c>
      <c r="M975" s="10" t="s">
        <v>102</v>
      </c>
      <c r="N975" s="124" t="s">
        <v>678</v>
      </c>
      <c r="O975" s="124" t="s">
        <v>678</v>
      </c>
      <c r="P975" s="21">
        <v>33</v>
      </c>
      <c r="Q975" s="10" t="s">
        <v>54</v>
      </c>
      <c r="R975" s="10" t="s">
        <v>28</v>
      </c>
      <c r="S975" s="10"/>
      <c r="T975" s="10"/>
      <c r="U975" s="10" t="s">
        <v>3486</v>
      </c>
      <c r="V975" s="10" t="s">
        <v>3486</v>
      </c>
      <c r="W975" s="50">
        <f>+J975/$W$2</f>
        <v>2.5864232433892384E-4</v>
      </c>
    </row>
    <row r="976" spans="1:32">
      <c r="A976" s="10" t="s">
        <v>2126</v>
      </c>
      <c r="B976" s="10" t="s">
        <v>381</v>
      </c>
      <c r="C976" s="124">
        <v>46325</v>
      </c>
      <c r="D976" s="124" t="s">
        <v>492</v>
      </c>
      <c r="E976" s="21">
        <v>0.97193381999999995</v>
      </c>
      <c r="F976" s="10"/>
      <c r="G976" s="14">
        <v>12000000</v>
      </c>
      <c r="H976" s="14">
        <v>11663205.789999999</v>
      </c>
      <c r="I976" s="14">
        <v>12000000</v>
      </c>
      <c r="J976" s="14">
        <v>11663205.789999999</v>
      </c>
      <c r="K976" s="12">
        <v>151</v>
      </c>
      <c r="L976" s="10" t="s">
        <v>101</v>
      </c>
      <c r="M976" s="10" t="s">
        <v>102</v>
      </c>
      <c r="N976" s="124" t="s">
        <v>421</v>
      </c>
      <c r="O976" s="124" t="s">
        <v>421</v>
      </c>
      <c r="P976" s="21">
        <v>34</v>
      </c>
      <c r="Q976" s="10" t="s">
        <v>54</v>
      </c>
      <c r="R976" s="10" t="s">
        <v>28</v>
      </c>
      <c r="S976" s="10"/>
      <c r="T976" s="10"/>
      <c r="U976" s="10" t="s">
        <v>2094</v>
      </c>
      <c r="V976" s="10" t="s">
        <v>2094</v>
      </c>
      <c r="W976" s="50">
        <f>+J976/$W$2</f>
        <v>1.5505729202023273E-4</v>
      </c>
    </row>
    <row r="977" spans="1:29">
      <c r="A977" s="10" t="s">
        <v>595</v>
      </c>
      <c r="B977" s="10" t="s">
        <v>381</v>
      </c>
      <c r="C977" s="124">
        <v>46325</v>
      </c>
      <c r="D977" s="124" t="s">
        <v>492</v>
      </c>
      <c r="E977" s="21">
        <v>0.97354110000000005</v>
      </c>
      <c r="F977" s="10"/>
      <c r="G977" s="14">
        <v>100000000</v>
      </c>
      <c r="H977" s="14">
        <v>97354110.340000004</v>
      </c>
      <c r="I977" s="14">
        <v>100000000</v>
      </c>
      <c r="J977" s="14">
        <v>97354110.340000004</v>
      </c>
      <c r="K977" s="12">
        <v>164</v>
      </c>
      <c r="L977" s="10" t="s">
        <v>101</v>
      </c>
      <c r="M977" s="10" t="s">
        <v>102</v>
      </c>
      <c r="N977" s="124" t="s">
        <v>279</v>
      </c>
      <c r="O977" s="124" t="s">
        <v>279</v>
      </c>
      <c r="P977" s="21">
        <v>32</v>
      </c>
      <c r="Q977" s="10" t="s">
        <v>54</v>
      </c>
      <c r="R977" s="10" t="s">
        <v>28</v>
      </c>
      <c r="S977" s="10"/>
      <c r="T977" s="10"/>
      <c r="U977" s="10" t="s">
        <v>1193</v>
      </c>
      <c r="V977" s="10" t="s">
        <v>1193</v>
      </c>
      <c r="W977" s="50">
        <f>+J977/$W$2</f>
        <v>1.2942809196852334E-3</v>
      </c>
    </row>
    <row r="978" spans="1:29">
      <c r="A978" s="10" t="s">
        <v>273</v>
      </c>
      <c r="B978" s="10" t="s">
        <v>381</v>
      </c>
      <c r="C978" s="124">
        <v>46325</v>
      </c>
      <c r="D978" s="124" t="s">
        <v>492</v>
      </c>
      <c r="E978" s="21">
        <v>0.97839502</v>
      </c>
      <c r="F978" s="10"/>
      <c r="G978" s="14">
        <v>4000000</v>
      </c>
      <c r="H978" s="14">
        <v>3913580.06</v>
      </c>
      <c r="I978" s="14">
        <v>4000000</v>
      </c>
      <c r="J978" s="14">
        <v>3913580.06</v>
      </c>
      <c r="K978" s="12">
        <v>90002228</v>
      </c>
      <c r="L978" s="10" t="s">
        <v>101</v>
      </c>
      <c r="M978" s="10" t="s">
        <v>102</v>
      </c>
      <c r="N978" s="124" t="s">
        <v>532</v>
      </c>
      <c r="O978" s="124" t="s">
        <v>532</v>
      </c>
      <c r="P978" s="21">
        <v>26</v>
      </c>
      <c r="Q978" s="10" t="s">
        <v>54</v>
      </c>
      <c r="R978" s="10" t="s">
        <v>28</v>
      </c>
      <c r="S978" s="10"/>
      <c r="T978" s="10"/>
      <c r="U978" s="10" t="s">
        <v>3033</v>
      </c>
      <c r="V978" s="10" t="s">
        <v>3033</v>
      </c>
      <c r="W978" s="50">
        <f>+J978/$W$2</f>
        <v>5.2029359434631052E-5</v>
      </c>
    </row>
    <row r="979" spans="1:29">
      <c r="A979" s="10" t="s">
        <v>1431</v>
      </c>
      <c r="B979" s="10" t="s">
        <v>381</v>
      </c>
      <c r="C979" s="124">
        <v>46325</v>
      </c>
      <c r="D979" s="124" t="s">
        <v>492</v>
      </c>
      <c r="E979" s="21">
        <v>0.97354116000000002</v>
      </c>
      <c r="F979" s="10"/>
      <c r="G979" s="14">
        <v>5444206</v>
      </c>
      <c r="H979" s="14">
        <v>5300158.5999999996</v>
      </c>
      <c r="I979" s="14">
        <v>5444206</v>
      </c>
      <c r="J979" s="14">
        <v>5300158.5999999996</v>
      </c>
      <c r="K979" s="12">
        <v>3443</v>
      </c>
      <c r="L979" s="10" t="s">
        <v>101</v>
      </c>
      <c r="M979" s="10" t="s">
        <v>102</v>
      </c>
      <c r="N979" s="124" t="s">
        <v>398</v>
      </c>
      <c r="O979" s="124" t="s">
        <v>398</v>
      </c>
      <c r="P979" s="21">
        <v>32</v>
      </c>
      <c r="Q979" s="10" t="s">
        <v>54</v>
      </c>
      <c r="R979" s="10" t="s">
        <v>28</v>
      </c>
      <c r="S979" s="10"/>
      <c r="T979" s="10"/>
      <c r="U979" s="10" t="s">
        <v>1787</v>
      </c>
      <c r="V979" s="10" t="s">
        <v>1787</v>
      </c>
      <c r="W979" s="50">
        <f>+J979/$W$2</f>
        <v>7.0463323257005466E-5</v>
      </c>
    </row>
    <row r="980" spans="1:29">
      <c r="A980" s="10" t="s">
        <v>562</v>
      </c>
      <c r="B980" s="10" t="s">
        <v>381</v>
      </c>
      <c r="C980" s="124">
        <v>46325</v>
      </c>
      <c r="D980" s="124" t="s">
        <v>492</v>
      </c>
      <c r="E980" s="21">
        <v>0.97354109</v>
      </c>
      <c r="F980" s="10"/>
      <c r="G980" s="14">
        <v>50000000</v>
      </c>
      <c r="H980" s="14">
        <v>48677054.530000001</v>
      </c>
      <c r="I980" s="14">
        <v>50000000</v>
      </c>
      <c r="J980" s="14">
        <v>48677054.530000001</v>
      </c>
      <c r="K980" s="12">
        <v>6691</v>
      </c>
      <c r="L980" s="10" t="s">
        <v>101</v>
      </c>
      <c r="M980" s="10" t="s">
        <v>102</v>
      </c>
      <c r="N980" s="124" t="s">
        <v>533</v>
      </c>
      <c r="O980" s="124" t="s">
        <v>533</v>
      </c>
      <c r="P980" s="21">
        <v>32</v>
      </c>
      <c r="Q980" s="10" t="s">
        <v>54</v>
      </c>
      <c r="R980" s="10" t="s">
        <v>28</v>
      </c>
      <c r="S980" s="10"/>
      <c r="T980" s="10"/>
      <c r="U980" s="10" t="s">
        <v>1843</v>
      </c>
      <c r="V980" s="10" t="s">
        <v>1843</v>
      </c>
      <c r="W980" s="50">
        <f>+J980/$W$2</f>
        <v>6.4714045133409265E-4</v>
      </c>
    </row>
    <row r="981" spans="1:29">
      <c r="A981" s="10" t="s">
        <v>562</v>
      </c>
      <c r="B981" s="10" t="s">
        <v>381</v>
      </c>
      <c r="C981" s="124">
        <v>46325</v>
      </c>
      <c r="D981" s="124" t="s">
        <v>492</v>
      </c>
      <c r="E981" s="21">
        <v>0.97354109</v>
      </c>
      <c r="F981" s="10"/>
      <c r="G981" s="14">
        <v>50000000</v>
      </c>
      <c r="H981" s="14">
        <v>48677054.530000001</v>
      </c>
      <c r="I981" s="14">
        <v>50000000</v>
      </c>
      <c r="J981" s="14">
        <v>48677054.530000001</v>
      </c>
      <c r="K981" s="12">
        <v>6690</v>
      </c>
      <c r="L981" s="10" t="s">
        <v>101</v>
      </c>
      <c r="M981" s="10" t="s">
        <v>102</v>
      </c>
      <c r="N981" s="124" t="s">
        <v>533</v>
      </c>
      <c r="O981" s="124" t="s">
        <v>533</v>
      </c>
      <c r="P981" s="21">
        <v>32</v>
      </c>
      <c r="Q981" s="10" t="s">
        <v>54</v>
      </c>
      <c r="R981" s="10" t="s">
        <v>28</v>
      </c>
      <c r="S981" s="10"/>
      <c r="T981" s="10"/>
      <c r="U981" s="10" t="s">
        <v>1849</v>
      </c>
      <c r="V981" s="10" t="s">
        <v>1849</v>
      </c>
      <c r="W981" s="50">
        <f>+J981/$W$2</f>
        <v>6.4714045133409265E-4</v>
      </c>
    </row>
    <row r="982" spans="1:29">
      <c r="A982" s="10" t="s">
        <v>290</v>
      </c>
      <c r="B982" s="10" t="s">
        <v>381</v>
      </c>
      <c r="C982" s="124">
        <v>46325</v>
      </c>
      <c r="D982" s="124" t="s">
        <v>492</v>
      </c>
      <c r="E982" s="21">
        <v>0.97113210000000005</v>
      </c>
      <c r="F982" s="10"/>
      <c r="G982" s="14">
        <v>6500000</v>
      </c>
      <c r="H982" s="14">
        <v>6312358.6399999997</v>
      </c>
      <c r="I982" s="14">
        <v>6500000</v>
      </c>
      <c r="J982" s="14">
        <v>6312358.6399999997</v>
      </c>
      <c r="K982" s="12">
        <v>40773810</v>
      </c>
      <c r="L982" s="10" t="s">
        <v>101</v>
      </c>
      <c r="M982" s="10" t="s">
        <v>102</v>
      </c>
      <c r="N982" s="124" t="s">
        <v>325</v>
      </c>
      <c r="O982" s="124" t="s">
        <v>325</v>
      </c>
      <c r="P982" s="21">
        <v>35</v>
      </c>
      <c r="Q982" s="10" t="s">
        <v>54</v>
      </c>
      <c r="R982" s="10" t="s">
        <v>28</v>
      </c>
      <c r="S982" s="10"/>
      <c r="T982" s="10"/>
      <c r="U982" s="10" t="s">
        <v>1590</v>
      </c>
      <c r="V982" s="10" t="s">
        <v>1590</v>
      </c>
      <c r="W982" s="50">
        <f>+J982/$W$2</f>
        <v>8.3920086346939022E-5</v>
      </c>
      <c r="AC982" s="47"/>
    </row>
    <row r="983" spans="1:29">
      <c r="A983" s="10" t="s">
        <v>465</v>
      </c>
      <c r="B983" s="10" t="s">
        <v>381</v>
      </c>
      <c r="C983" s="124">
        <v>46325</v>
      </c>
      <c r="D983" s="124" t="s">
        <v>492</v>
      </c>
      <c r="E983" s="21">
        <v>0.97273673999999999</v>
      </c>
      <c r="F983" s="10"/>
      <c r="G983" s="14">
        <v>25000000</v>
      </c>
      <c r="H983" s="14">
        <v>24318418.5</v>
      </c>
      <c r="I983" s="14">
        <v>25000000</v>
      </c>
      <c r="J983" s="14">
        <v>24318418.5</v>
      </c>
      <c r="K983" s="12">
        <v>14422593</v>
      </c>
      <c r="L983" s="10" t="s">
        <v>101</v>
      </c>
      <c r="M983" s="10" t="s">
        <v>102</v>
      </c>
      <c r="N983" s="124" t="s">
        <v>390</v>
      </c>
      <c r="O983" s="124" t="s">
        <v>390</v>
      </c>
      <c r="P983" s="21">
        <v>33</v>
      </c>
      <c r="Q983" s="10" t="s">
        <v>54</v>
      </c>
      <c r="R983" s="10" t="s">
        <v>28</v>
      </c>
      <c r="S983" s="10"/>
      <c r="T983" s="10"/>
      <c r="U983" s="10" t="s">
        <v>2054</v>
      </c>
      <c r="V983" s="10" t="s">
        <v>2054</v>
      </c>
      <c r="W983" s="50">
        <f>+J983/$W$2</f>
        <v>3.2330288830689752E-4</v>
      </c>
      <c r="AC983" s="47"/>
    </row>
    <row r="984" spans="1:29">
      <c r="A984" s="10" t="s">
        <v>465</v>
      </c>
      <c r="B984" s="10" t="s">
        <v>381</v>
      </c>
      <c r="C984" s="124">
        <v>46325</v>
      </c>
      <c r="D984" s="124" t="s">
        <v>492</v>
      </c>
      <c r="E984" s="21">
        <v>0.97354116000000002</v>
      </c>
      <c r="F984" s="10"/>
      <c r="G984" s="14">
        <v>10000000</v>
      </c>
      <c r="H984" s="14">
        <v>9735411.5600000005</v>
      </c>
      <c r="I984" s="14">
        <v>10000000</v>
      </c>
      <c r="J984" s="14">
        <v>9735411.5600000005</v>
      </c>
      <c r="K984" s="12">
        <v>14422570</v>
      </c>
      <c r="L984" s="10" t="s">
        <v>101</v>
      </c>
      <c r="M984" s="10" t="s">
        <v>102</v>
      </c>
      <c r="N984" s="124" t="s">
        <v>164</v>
      </c>
      <c r="O984" s="124" t="s">
        <v>164</v>
      </c>
      <c r="P984" s="21">
        <v>32</v>
      </c>
      <c r="Q984" s="10" t="s">
        <v>54</v>
      </c>
      <c r="R984" s="10" t="s">
        <v>28</v>
      </c>
      <c r="S984" s="10"/>
      <c r="T984" s="10"/>
      <c r="U984" s="10" t="s">
        <v>1974</v>
      </c>
      <c r="V984" s="10" t="s">
        <v>1974</v>
      </c>
      <c r="W984" s="50">
        <f>+J984/$W$2</f>
        <v>1.2942809896146655E-4</v>
      </c>
    </row>
    <row r="985" spans="1:29">
      <c r="A985" s="10" t="s">
        <v>2915</v>
      </c>
      <c r="B985" s="10" t="s">
        <v>381</v>
      </c>
      <c r="C985" s="124">
        <v>46325</v>
      </c>
      <c r="D985" s="124" t="s">
        <v>492</v>
      </c>
      <c r="E985" s="21">
        <v>0.97839502</v>
      </c>
      <c r="F985" s="10"/>
      <c r="G985" s="14">
        <v>25000000</v>
      </c>
      <c r="H985" s="14">
        <v>24459875.399999999</v>
      </c>
      <c r="I985" s="14">
        <v>25000000</v>
      </c>
      <c r="J985" s="14">
        <v>24459875.399999999</v>
      </c>
      <c r="K985" s="12">
        <v>88274454</v>
      </c>
      <c r="L985" s="10" t="s">
        <v>101</v>
      </c>
      <c r="M985" s="10" t="s">
        <v>102</v>
      </c>
      <c r="N985" s="124" t="s">
        <v>532</v>
      </c>
      <c r="O985" s="124" t="s">
        <v>532</v>
      </c>
      <c r="P985" s="21">
        <v>26</v>
      </c>
      <c r="Q985" s="10" t="s">
        <v>54</v>
      </c>
      <c r="R985" s="10" t="s">
        <v>28</v>
      </c>
      <c r="S985" s="10"/>
      <c r="T985" s="10"/>
      <c r="U985" s="10" t="s">
        <v>3007</v>
      </c>
      <c r="V985" s="10" t="s">
        <v>3007</v>
      </c>
      <c r="W985" s="50">
        <f>+J985/$W$2</f>
        <v>3.2518349679880825E-4</v>
      </c>
    </row>
    <row r="986" spans="1:29">
      <c r="A986" s="10" t="s">
        <v>2915</v>
      </c>
      <c r="B986" s="10" t="s">
        <v>381</v>
      </c>
      <c r="C986" s="124">
        <v>46325</v>
      </c>
      <c r="D986" s="124" t="s">
        <v>492</v>
      </c>
      <c r="E986" s="21">
        <v>0.97839502</v>
      </c>
      <c r="F986" s="10"/>
      <c r="G986" s="14">
        <v>25000000</v>
      </c>
      <c r="H986" s="14">
        <v>24459875.399999999</v>
      </c>
      <c r="I986" s="14">
        <v>25000000</v>
      </c>
      <c r="J986" s="14">
        <v>24459875.399999999</v>
      </c>
      <c r="K986" s="12">
        <v>88274456</v>
      </c>
      <c r="L986" s="10" t="s">
        <v>101</v>
      </c>
      <c r="M986" s="10" t="s">
        <v>102</v>
      </c>
      <c r="N986" s="124" t="s">
        <v>532</v>
      </c>
      <c r="O986" s="124" t="s">
        <v>532</v>
      </c>
      <c r="P986" s="21">
        <v>26</v>
      </c>
      <c r="Q986" s="10" t="s">
        <v>54</v>
      </c>
      <c r="R986" s="10" t="s">
        <v>28</v>
      </c>
      <c r="S986" s="10"/>
      <c r="T986" s="10"/>
      <c r="U986" s="10" t="s">
        <v>3008</v>
      </c>
      <c r="V986" s="10" t="s">
        <v>3008</v>
      </c>
      <c r="W986" s="50">
        <f>+J986/$W$2</f>
        <v>3.2518349679880825E-4</v>
      </c>
    </row>
    <row r="987" spans="1:29">
      <c r="A987" s="10" t="s">
        <v>1086</v>
      </c>
      <c r="B987" s="10" t="s">
        <v>381</v>
      </c>
      <c r="C987" s="124">
        <v>46325</v>
      </c>
      <c r="D987" s="124" t="s">
        <v>492</v>
      </c>
      <c r="E987" s="21">
        <v>0.97273686999999998</v>
      </c>
      <c r="F987" s="10"/>
      <c r="G987" s="14">
        <v>5556718.4800000004</v>
      </c>
      <c r="H987" s="14">
        <v>5405224.9199999999</v>
      </c>
      <c r="I987" s="14">
        <v>5556718.4800000004</v>
      </c>
      <c r="J987" s="14">
        <v>5405224.9199999999</v>
      </c>
      <c r="K987" s="12">
        <v>10568414</v>
      </c>
      <c r="L987" s="10" t="s">
        <v>101</v>
      </c>
      <c r="M987" s="10" t="s">
        <v>102</v>
      </c>
      <c r="N987" s="124" t="s">
        <v>423</v>
      </c>
      <c r="O987" s="124" t="s">
        <v>423</v>
      </c>
      <c r="P987" s="21">
        <v>33</v>
      </c>
      <c r="Q987" s="10" t="s">
        <v>54</v>
      </c>
      <c r="R987" s="10" t="s">
        <v>28</v>
      </c>
      <c r="S987" s="10"/>
      <c r="T987" s="10"/>
      <c r="U987" s="10" t="s">
        <v>2501</v>
      </c>
      <c r="V987" s="10" t="s">
        <v>2501</v>
      </c>
      <c r="W987" s="50">
        <f>+J987/$W$2</f>
        <v>7.186013467875878E-5</v>
      </c>
    </row>
    <row r="988" spans="1:29">
      <c r="A988" s="10" t="s">
        <v>382</v>
      </c>
      <c r="B988" s="10" t="s">
        <v>381</v>
      </c>
      <c r="C988" s="124">
        <v>46325</v>
      </c>
      <c r="D988" s="124" t="s">
        <v>492</v>
      </c>
      <c r="E988" s="21">
        <v>0.97354105999999996</v>
      </c>
      <c r="F988" s="10"/>
      <c r="G988" s="14">
        <v>2000000</v>
      </c>
      <c r="H988" s="14">
        <v>1947082.11</v>
      </c>
      <c r="I988" s="14">
        <v>2000000</v>
      </c>
      <c r="J988" s="14">
        <v>1947082.11</v>
      </c>
      <c r="K988" s="12">
        <v>1077</v>
      </c>
      <c r="L988" s="10" t="s">
        <v>101</v>
      </c>
      <c r="M988" s="10" t="s">
        <v>102</v>
      </c>
      <c r="N988" s="124" t="s">
        <v>432</v>
      </c>
      <c r="O988" s="124" t="s">
        <v>432</v>
      </c>
      <c r="P988" s="21">
        <v>32</v>
      </c>
      <c r="Q988" s="10" t="s">
        <v>54</v>
      </c>
      <c r="R988" s="10" t="s">
        <v>28</v>
      </c>
      <c r="S988" s="10"/>
      <c r="T988" s="10"/>
      <c r="U988" s="10" t="s">
        <v>1827</v>
      </c>
      <c r="V988" s="10" t="s">
        <v>1827</v>
      </c>
      <c r="W988" s="50">
        <f>+J988/$W$2</f>
        <v>2.5885617106790409E-5</v>
      </c>
    </row>
    <row r="989" spans="1:29">
      <c r="A989" s="10" t="s">
        <v>382</v>
      </c>
      <c r="B989" s="10" t="s">
        <v>381</v>
      </c>
      <c r="C989" s="124">
        <v>46325</v>
      </c>
      <c r="D989" s="124" t="s">
        <v>492</v>
      </c>
      <c r="E989" s="21">
        <v>0.97273677000000003</v>
      </c>
      <c r="F989" s="10"/>
      <c r="G989" s="14">
        <v>2500000</v>
      </c>
      <c r="H989" s="14">
        <v>2431841.92</v>
      </c>
      <c r="I989" s="14">
        <v>2500000</v>
      </c>
      <c r="J989" s="14">
        <v>2431841.92</v>
      </c>
      <c r="K989" s="12">
        <v>1010</v>
      </c>
      <c r="L989" s="10" t="s">
        <v>101</v>
      </c>
      <c r="M989" s="10" t="s">
        <v>102</v>
      </c>
      <c r="N989" s="124" t="s">
        <v>163</v>
      </c>
      <c r="O989" s="124" t="s">
        <v>163</v>
      </c>
      <c r="P989" s="21">
        <v>33</v>
      </c>
      <c r="Q989" s="10" t="s">
        <v>54</v>
      </c>
      <c r="R989" s="10" t="s">
        <v>28</v>
      </c>
      <c r="S989" s="10"/>
      <c r="T989" s="10"/>
      <c r="U989" s="10" t="s">
        <v>1656</v>
      </c>
      <c r="V989" s="10" t="s">
        <v>1656</v>
      </c>
      <c r="W989" s="50">
        <f>+J989/$W$2</f>
        <v>3.2330289761309568E-5</v>
      </c>
    </row>
    <row r="990" spans="1:29">
      <c r="A990" s="10" t="s">
        <v>382</v>
      </c>
      <c r="B990" s="10" t="s">
        <v>381</v>
      </c>
      <c r="C990" s="124">
        <v>46325</v>
      </c>
      <c r="D990" s="124" t="s">
        <v>492</v>
      </c>
      <c r="E990" s="21">
        <v>0.97515373999999999</v>
      </c>
      <c r="F990" s="10"/>
      <c r="G990" s="14">
        <v>2500000</v>
      </c>
      <c r="H990" s="14">
        <v>2437884.34</v>
      </c>
      <c r="I990" s="14">
        <v>2500000</v>
      </c>
      <c r="J990" s="14">
        <v>2437884.34</v>
      </c>
      <c r="K990" s="12">
        <v>909</v>
      </c>
      <c r="L990" s="10" t="s">
        <v>101</v>
      </c>
      <c r="M990" s="10" t="s">
        <v>102</v>
      </c>
      <c r="N990" s="124" t="s">
        <v>349</v>
      </c>
      <c r="O990" s="124" t="s">
        <v>349</v>
      </c>
      <c r="P990" s="21">
        <v>30</v>
      </c>
      <c r="Q990" s="10" t="s">
        <v>54</v>
      </c>
      <c r="R990" s="10" t="s">
        <v>28</v>
      </c>
      <c r="S990" s="10"/>
      <c r="T990" s="10"/>
      <c r="U990" s="10" t="s">
        <v>1332</v>
      </c>
      <c r="V990" s="10" t="s">
        <v>1332</v>
      </c>
      <c r="W990" s="50">
        <f>+J990/$W$2</f>
        <v>3.2410621129830237E-5</v>
      </c>
    </row>
    <row r="991" spans="1:29">
      <c r="A991" s="10" t="s">
        <v>382</v>
      </c>
      <c r="B991" s="10" t="s">
        <v>381</v>
      </c>
      <c r="C991" s="124">
        <v>46325</v>
      </c>
      <c r="D991" s="124" t="s">
        <v>492</v>
      </c>
      <c r="E991" s="21">
        <v>0.97515370000000001</v>
      </c>
      <c r="F991" s="10"/>
      <c r="G991" s="14">
        <v>2500000</v>
      </c>
      <c r="H991" s="14">
        <v>2437884.2400000002</v>
      </c>
      <c r="I991" s="14">
        <v>2500000</v>
      </c>
      <c r="J991" s="14">
        <v>2437884.2400000002</v>
      </c>
      <c r="K991" s="12">
        <v>886</v>
      </c>
      <c r="L991" s="10" t="s">
        <v>101</v>
      </c>
      <c r="M991" s="10" t="s">
        <v>102</v>
      </c>
      <c r="N991" s="124" t="s">
        <v>435</v>
      </c>
      <c r="O991" s="124" t="s">
        <v>435</v>
      </c>
      <c r="P991" s="21">
        <v>30</v>
      </c>
      <c r="Q991" s="10" t="s">
        <v>54</v>
      </c>
      <c r="R991" s="10" t="s">
        <v>28</v>
      </c>
      <c r="S991" s="10"/>
      <c r="T991" s="10"/>
      <c r="U991" s="10" t="s">
        <v>1325</v>
      </c>
      <c r="V991" s="10" t="s">
        <v>1325</v>
      </c>
      <c r="W991" s="50">
        <f>+J991/$W$2</f>
        <v>3.2410619800373354E-5</v>
      </c>
    </row>
    <row r="992" spans="1:29">
      <c r="A992" s="10" t="s">
        <v>3511</v>
      </c>
      <c r="B992" s="10" t="s">
        <v>381</v>
      </c>
      <c r="C992" s="124">
        <v>46325</v>
      </c>
      <c r="D992" s="124" t="s">
        <v>492</v>
      </c>
      <c r="E992" s="21">
        <v>0.97273679000000002</v>
      </c>
      <c r="F992" s="10"/>
      <c r="G992" s="14">
        <v>60000000</v>
      </c>
      <c r="H992" s="14">
        <v>58364207.530000001</v>
      </c>
      <c r="I992" s="14">
        <v>60000000</v>
      </c>
      <c r="J992" s="14">
        <v>58364207.530000001</v>
      </c>
      <c r="K992" s="12">
        <v>20863</v>
      </c>
      <c r="L992" s="10" t="s">
        <v>101</v>
      </c>
      <c r="M992" s="10" t="s">
        <v>102</v>
      </c>
      <c r="N992" s="124" t="s">
        <v>678</v>
      </c>
      <c r="O992" s="124" t="s">
        <v>678</v>
      </c>
      <c r="P992" s="21">
        <v>33</v>
      </c>
      <c r="Q992" s="10" t="s">
        <v>54</v>
      </c>
      <c r="R992" s="10" t="s">
        <v>28</v>
      </c>
      <c r="S992" s="10"/>
      <c r="T992" s="10"/>
      <c r="U992" s="10" t="s">
        <v>3494</v>
      </c>
      <c r="V992" s="10" t="s">
        <v>3494</v>
      </c>
      <c r="W992" s="50">
        <f>+J992/$W$2</f>
        <v>7.7592697354855441E-4</v>
      </c>
    </row>
    <row r="993" spans="1:29">
      <c r="A993" s="10" t="s">
        <v>3580</v>
      </c>
      <c r="B993" s="10" t="s">
        <v>381</v>
      </c>
      <c r="C993" s="124">
        <v>46325</v>
      </c>
      <c r="D993" s="124" t="s">
        <v>492</v>
      </c>
      <c r="E993" s="21">
        <v>0.97515375999999998</v>
      </c>
      <c r="F993" s="10"/>
      <c r="G993" s="14">
        <v>5930000</v>
      </c>
      <c r="H993" s="14">
        <v>5782661.8200000003</v>
      </c>
      <c r="I993" s="14">
        <v>5930000</v>
      </c>
      <c r="J993" s="14">
        <v>5782661.8200000003</v>
      </c>
      <c r="K993" s="12">
        <v>1025</v>
      </c>
      <c r="L993" s="10" t="s">
        <v>101</v>
      </c>
      <c r="M993" s="10" t="s">
        <v>102</v>
      </c>
      <c r="N993" s="124" t="s">
        <v>492</v>
      </c>
      <c r="O993" s="124" t="s">
        <v>492</v>
      </c>
      <c r="P993" s="21">
        <v>30</v>
      </c>
      <c r="Q993" s="10" t="s">
        <v>54</v>
      </c>
      <c r="R993" s="10" t="s">
        <v>28</v>
      </c>
      <c r="S993" s="10"/>
      <c r="T993" s="10"/>
      <c r="U993" s="10" t="s">
        <v>3562</v>
      </c>
      <c r="V993" s="10" t="s">
        <v>3562</v>
      </c>
      <c r="W993" s="50">
        <f>+J993/$W$2</f>
        <v>7.6877995520474354E-5</v>
      </c>
    </row>
    <row r="994" spans="1:29">
      <c r="A994" s="10" t="s">
        <v>477</v>
      </c>
      <c r="B994" s="10" t="s">
        <v>381</v>
      </c>
      <c r="C994" s="124">
        <v>46328</v>
      </c>
      <c r="D994" s="124" t="s">
        <v>492</v>
      </c>
      <c r="E994" s="21">
        <v>0.97458087000000004</v>
      </c>
      <c r="F994" s="10"/>
      <c r="G994" s="14">
        <v>7000000</v>
      </c>
      <c r="H994" s="14">
        <v>6822066.1100000003</v>
      </c>
      <c r="I994" s="14">
        <v>7000000</v>
      </c>
      <c r="J994" s="14">
        <v>6822066.1100000003</v>
      </c>
      <c r="K994" s="12">
        <v>6488</v>
      </c>
      <c r="L994" s="10" t="s">
        <v>101</v>
      </c>
      <c r="M994" s="10" t="s">
        <v>102</v>
      </c>
      <c r="N994" s="124" t="s">
        <v>422</v>
      </c>
      <c r="O994" s="124" t="s">
        <v>422</v>
      </c>
      <c r="P994" s="21">
        <v>28</v>
      </c>
      <c r="Q994" s="10" t="s">
        <v>54</v>
      </c>
      <c r="R994" s="10" t="s">
        <v>28</v>
      </c>
      <c r="S994" s="10"/>
      <c r="T994" s="10"/>
      <c r="U994" s="10" t="s">
        <v>2718</v>
      </c>
      <c r="V994" s="10" t="s">
        <v>2718</v>
      </c>
      <c r="W994" s="50">
        <f>+J994/$W$2</f>
        <v>9.0696427384190335E-5</v>
      </c>
    </row>
    <row r="995" spans="1:29">
      <c r="A995" s="10" t="s">
        <v>382</v>
      </c>
      <c r="B995" s="10" t="s">
        <v>381</v>
      </c>
      <c r="C995" s="124">
        <v>46328</v>
      </c>
      <c r="D995" s="124" t="s">
        <v>492</v>
      </c>
      <c r="E995" s="21">
        <v>0.97281466000000005</v>
      </c>
      <c r="F995" s="10"/>
      <c r="G995" s="14">
        <v>4000000</v>
      </c>
      <c r="H995" s="14">
        <v>3891258.63</v>
      </c>
      <c r="I995" s="14">
        <v>4000000</v>
      </c>
      <c r="J995" s="14">
        <v>3891258.63</v>
      </c>
      <c r="K995" s="12">
        <v>1151</v>
      </c>
      <c r="L995" s="10" t="s">
        <v>101</v>
      </c>
      <c r="M995" s="10" t="s">
        <v>102</v>
      </c>
      <c r="N995" s="124" t="s">
        <v>431</v>
      </c>
      <c r="O995" s="124" t="s">
        <v>431</v>
      </c>
      <c r="P995" s="21">
        <v>30</v>
      </c>
      <c r="Q995" s="10" t="s">
        <v>54</v>
      </c>
      <c r="R995" s="10" t="s">
        <v>28</v>
      </c>
      <c r="S995" s="10"/>
      <c r="T995" s="10"/>
      <c r="U995" s="10" t="s">
        <v>2262</v>
      </c>
      <c r="V995" s="10" t="s">
        <v>2262</v>
      </c>
      <c r="W995" s="50">
        <f>+J995/$W$2</f>
        <v>5.1732605647367278E-5</v>
      </c>
    </row>
    <row r="996" spans="1:29">
      <c r="A996" s="10" t="s">
        <v>382</v>
      </c>
      <c r="B996" s="10" t="s">
        <v>381</v>
      </c>
      <c r="C996" s="124">
        <v>46328</v>
      </c>
      <c r="D996" s="124" t="s">
        <v>492</v>
      </c>
      <c r="E996" s="21">
        <v>0.97281457999999998</v>
      </c>
      <c r="F996" s="10"/>
      <c r="G996" s="14">
        <v>5000000</v>
      </c>
      <c r="H996" s="14">
        <v>4864072.9000000004</v>
      </c>
      <c r="I996" s="14">
        <v>5000000</v>
      </c>
      <c r="J996" s="14">
        <v>4864072.9000000004</v>
      </c>
      <c r="K996" s="12">
        <v>1241</v>
      </c>
      <c r="L996" s="10" t="s">
        <v>101</v>
      </c>
      <c r="M996" s="10" t="s">
        <v>102</v>
      </c>
      <c r="N996" s="124" t="s">
        <v>422</v>
      </c>
      <c r="O996" s="124" t="s">
        <v>422</v>
      </c>
      <c r="P996" s="21">
        <v>30</v>
      </c>
      <c r="Q996" s="10" t="s">
        <v>54</v>
      </c>
      <c r="R996" s="10" t="s">
        <v>28</v>
      </c>
      <c r="S996" s="10"/>
      <c r="T996" s="10"/>
      <c r="U996" s="10" t="s">
        <v>2734</v>
      </c>
      <c r="V996" s="10" t="s">
        <v>2734</v>
      </c>
      <c r="W996" s="50">
        <f>+J996/$W$2</f>
        <v>6.4665751907563696E-5</v>
      </c>
    </row>
    <row r="997" spans="1:29">
      <c r="A997" s="10" t="s">
        <v>382</v>
      </c>
      <c r="B997" s="10" t="s">
        <v>381</v>
      </c>
      <c r="C997" s="124">
        <v>46328</v>
      </c>
      <c r="D997" s="124" t="s">
        <v>492</v>
      </c>
      <c r="E997" s="21">
        <v>0.97105461000000004</v>
      </c>
      <c r="F997" s="10"/>
      <c r="G997" s="14">
        <v>3000000</v>
      </c>
      <c r="H997" s="14">
        <v>2913163.83</v>
      </c>
      <c r="I997" s="14">
        <v>3000000</v>
      </c>
      <c r="J997" s="14">
        <v>2913163.83</v>
      </c>
      <c r="K997" s="12">
        <v>1047</v>
      </c>
      <c r="L997" s="10" t="s">
        <v>101</v>
      </c>
      <c r="M997" s="10" t="s">
        <v>102</v>
      </c>
      <c r="N997" s="124" t="s">
        <v>398</v>
      </c>
      <c r="O997" s="124" t="s">
        <v>398</v>
      </c>
      <c r="P997" s="21">
        <v>32</v>
      </c>
      <c r="Q997" s="10" t="s">
        <v>54</v>
      </c>
      <c r="R997" s="10" t="s">
        <v>28</v>
      </c>
      <c r="S997" s="10"/>
      <c r="T997" s="10"/>
      <c r="U997" s="10" t="s">
        <v>1752</v>
      </c>
      <c r="V997" s="10" t="s">
        <v>1752</v>
      </c>
      <c r="W997" s="50">
        <f>+J997/$W$2</f>
        <v>3.8729257017687387E-5</v>
      </c>
    </row>
    <row r="998" spans="1:29">
      <c r="A998" s="10" t="s">
        <v>353</v>
      </c>
      <c r="B998" s="10" t="s">
        <v>381</v>
      </c>
      <c r="C998" s="124">
        <v>46328</v>
      </c>
      <c r="D998" s="124" t="s">
        <v>492</v>
      </c>
      <c r="E998" s="21">
        <v>0.96755398000000004</v>
      </c>
      <c r="F998" s="10"/>
      <c r="G998" s="14">
        <v>3625698.78</v>
      </c>
      <c r="H998" s="14">
        <v>3508059.27</v>
      </c>
      <c r="I998" s="14">
        <v>3625698.78</v>
      </c>
      <c r="J998" s="14">
        <v>3508059.27</v>
      </c>
      <c r="K998" s="12">
        <v>3348</v>
      </c>
      <c r="L998" s="10" t="s">
        <v>101</v>
      </c>
      <c r="M998" s="10" t="s">
        <v>102</v>
      </c>
      <c r="N998" s="124" t="s">
        <v>348</v>
      </c>
      <c r="O998" s="124" t="s">
        <v>348</v>
      </c>
      <c r="P998" s="21">
        <v>36</v>
      </c>
      <c r="Q998" s="10" t="s">
        <v>54</v>
      </c>
      <c r="R998" s="10" t="s">
        <v>28</v>
      </c>
      <c r="S998" s="10"/>
      <c r="T998" s="10"/>
      <c r="U998" s="10" t="s">
        <v>1909</v>
      </c>
      <c r="V998" s="10" t="s">
        <v>1909</v>
      </c>
      <c r="W998" s="50">
        <f>+J998/$W$2</f>
        <v>4.6638135384617481E-5</v>
      </c>
    </row>
    <row r="999" spans="1:29">
      <c r="A999" s="10" t="s">
        <v>353</v>
      </c>
      <c r="B999" s="10" t="s">
        <v>381</v>
      </c>
      <c r="C999" s="124">
        <v>46328</v>
      </c>
      <c r="D999" s="124" t="s">
        <v>492</v>
      </c>
      <c r="E999" s="21">
        <v>0.96755400999999996</v>
      </c>
      <c r="F999" s="10"/>
      <c r="G999" s="14">
        <v>1874176.47</v>
      </c>
      <c r="H999" s="14">
        <v>1813366.95</v>
      </c>
      <c r="I999" s="14">
        <v>1874176.47</v>
      </c>
      <c r="J999" s="14">
        <v>1813366.95</v>
      </c>
      <c r="K999" s="12">
        <v>3467</v>
      </c>
      <c r="L999" s="10" t="s">
        <v>101</v>
      </c>
      <c r="M999" s="10" t="s">
        <v>102</v>
      </c>
      <c r="N999" s="124" t="s">
        <v>431</v>
      </c>
      <c r="O999" s="124" t="s">
        <v>431</v>
      </c>
      <c r="P999" s="21">
        <v>36</v>
      </c>
      <c r="Q999" s="10" t="s">
        <v>54</v>
      </c>
      <c r="R999" s="10" t="s">
        <v>28</v>
      </c>
      <c r="S999" s="10"/>
      <c r="T999" s="10"/>
      <c r="U999" s="10" t="s">
        <v>2277</v>
      </c>
      <c r="V999" s="10" t="s">
        <v>2277</v>
      </c>
      <c r="W999" s="50">
        <f>+J999/$W$2</f>
        <v>2.4107931710085068E-5</v>
      </c>
    </row>
    <row r="1000" spans="1:29">
      <c r="A1000" s="10" t="s">
        <v>2600</v>
      </c>
      <c r="B1000" s="10" t="s">
        <v>381</v>
      </c>
      <c r="C1000" s="124">
        <v>46328</v>
      </c>
      <c r="D1000" s="124" t="s">
        <v>492</v>
      </c>
      <c r="E1000" s="21">
        <v>0.97017721000000001</v>
      </c>
      <c r="F1000" s="10"/>
      <c r="G1000" s="14">
        <v>5300000</v>
      </c>
      <c r="H1000" s="14">
        <v>5141939.21</v>
      </c>
      <c r="I1000" s="14">
        <v>5300000</v>
      </c>
      <c r="J1000" s="14">
        <v>5141939.21</v>
      </c>
      <c r="K1000" s="12">
        <v>8175671</v>
      </c>
      <c r="L1000" s="10" t="s">
        <v>101</v>
      </c>
      <c r="M1000" s="10" t="s">
        <v>102</v>
      </c>
      <c r="N1000" s="124" t="s">
        <v>423</v>
      </c>
      <c r="O1000" s="124" t="s">
        <v>423</v>
      </c>
      <c r="P1000" s="21">
        <v>33</v>
      </c>
      <c r="Q1000" s="10" t="s">
        <v>54</v>
      </c>
      <c r="R1000" s="10" t="s">
        <v>28</v>
      </c>
      <c r="S1000" s="10"/>
      <c r="T1000" s="10"/>
      <c r="U1000" s="10" t="s">
        <v>2479</v>
      </c>
      <c r="V1000" s="10" t="s">
        <v>2479</v>
      </c>
      <c r="W1000" s="50">
        <f>+J1000/$W$2</f>
        <v>6.8359864688219207E-5</v>
      </c>
    </row>
    <row r="1001" spans="1:29">
      <c r="A1001" s="10" t="s">
        <v>494</v>
      </c>
      <c r="B1001" s="10" t="s">
        <v>381</v>
      </c>
      <c r="C1001" s="124">
        <v>46328</v>
      </c>
      <c r="D1001" s="124" t="s">
        <v>492</v>
      </c>
      <c r="E1001" s="21">
        <v>0.97635358999999999</v>
      </c>
      <c r="F1001" s="10"/>
      <c r="G1001" s="14">
        <v>15000000</v>
      </c>
      <c r="H1001" s="14">
        <v>14645303.83</v>
      </c>
      <c r="I1001" s="14">
        <v>15000000</v>
      </c>
      <c r="J1001" s="14">
        <v>14645303.83</v>
      </c>
      <c r="K1001" s="12">
        <v>68218060</v>
      </c>
      <c r="L1001" s="10" t="s">
        <v>101</v>
      </c>
      <c r="M1001" s="10" t="s">
        <v>102</v>
      </c>
      <c r="N1001" s="124" t="s">
        <v>399</v>
      </c>
      <c r="O1001" s="124" t="s">
        <v>399</v>
      </c>
      <c r="P1001" s="21">
        <v>26</v>
      </c>
      <c r="Q1001" s="10" t="s">
        <v>54</v>
      </c>
      <c r="R1001" s="10" t="s">
        <v>28</v>
      </c>
      <c r="S1001" s="10"/>
      <c r="T1001" s="10"/>
      <c r="U1001" s="10" t="s">
        <v>848</v>
      </c>
      <c r="V1001" s="10" t="s">
        <v>848</v>
      </c>
      <c r="W1001" s="50">
        <f>+J1001/$W$2</f>
        <v>1.947029996367185E-4</v>
      </c>
    </row>
    <row r="1002" spans="1:29">
      <c r="A1002" s="10" t="s">
        <v>494</v>
      </c>
      <c r="B1002" s="10" t="s">
        <v>381</v>
      </c>
      <c r="C1002" s="124">
        <v>46328</v>
      </c>
      <c r="D1002" s="124" t="s">
        <v>492</v>
      </c>
      <c r="E1002" s="21">
        <v>0.97724230999999995</v>
      </c>
      <c r="F1002" s="10"/>
      <c r="G1002" s="14">
        <v>32000000</v>
      </c>
      <c r="H1002" s="14">
        <v>31271753.989999998</v>
      </c>
      <c r="I1002" s="14">
        <v>32000000</v>
      </c>
      <c r="J1002" s="14">
        <v>31271753.989999998</v>
      </c>
      <c r="K1002" s="12">
        <v>5313</v>
      </c>
      <c r="L1002" s="10" t="s">
        <v>101</v>
      </c>
      <c r="M1002" s="10" t="s">
        <v>102</v>
      </c>
      <c r="N1002" s="124" t="s">
        <v>326</v>
      </c>
      <c r="O1002" s="124" t="s">
        <v>326</v>
      </c>
      <c r="P1002" s="21">
        <v>25</v>
      </c>
      <c r="Q1002" s="10" t="s">
        <v>54</v>
      </c>
      <c r="R1002" s="10" t="s">
        <v>28</v>
      </c>
      <c r="S1002" s="10"/>
      <c r="T1002" s="10"/>
      <c r="U1002" s="10" t="s">
        <v>967</v>
      </c>
      <c r="V1002" s="10" t="s">
        <v>967</v>
      </c>
      <c r="W1002" s="50">
        <f>+J1002/$W$2</f>
        <v>4.1574448549726805E-4</v>
      </c>
    </row>
    <row r="1003" spans="1:29">
      <c r="A1003" s="10" t="s">
        <v>494</v>
      </c>
      <c r="B1003" s="10" t="s">
        <v>381</v>
      </c>
      <c r="C1003" s="124">
        <v>46328</v>
      </c>
      <c r="D1003" s="124" t="s">
        <v>492</v>
      </c>
      <c r="E1003" s="21">
        <v>0.97546637000000003</v>
      </c>
      <c r="F1003" s="10"/>
      <c r="G1003" s="14">
        <v>15000000</v>
      </c>
      <c r="H1003" s="14">
        <v>14631995.619999999</v>
      </c>
      <c r="I1003" s="14">
        <v>15000000</v>
      </c>
      <c r="J1003" s="14">
        <v>14631995.619999999</v>
      </c>
      <c r="K1003" s="12">
        <v>235</v>
      </c>
      <c r="L1003" s="10" t="s">
        <v>101</v>
      </c>
      <c r="M1003" s="10" t="s">
        <v>102</v>
      </c>
      <c r="N1003" s="124" t="s">
        <v>333</v>
      </c>
      <c r="O1003" s="124" t="s">
        <v>333</v>
      </c>
      <c r="P1003" s="21">
        <v>27</v>
      </c>
      <c r="Q1003" s="10" t="s">
        <v>54</v>
      </c>
      <c r="R1003" s="10" t="s">
        <v>28</v>
      </c>
      <c r="S1003" s="10"/>
      <c r="T1003" s="10"/>
      <c r="U1003" s="10" t="s">
        <v>782</v>
      </c>
      <c r="V1003" s="10" t="s">
        <v>782</v>
      </c>
      <c r="W1003" s="50">
        <f>+J1003/$W$2</f>
        <v>1.9452607272302158E-4</v>
      </c>
    </row>
    <row r="1004" spans="1:29">
      <c r="A1004" s="10" t="s">
        <v>389</v>
      </c>
      <c r="B1004" s="10" t="s">
        <v>381</v>
      </c>
      <c r="C1004" s="124">
        <v>46328</v>
      </c>
      <c r="D1004" s="124" t="s">
        <v>492</v>
      </c>
      <c r="E1004" s="21">
        <v>0.97105467000000001</v>
      </c>
      <c r="F1004" s="10"/>
      <c r="G1004" s="14">
        <v>11829797.539999999</v>
      </c>
      <c r="H1004" s="14">
        <v>11487380.15</v>
      </c>
      <c r="I1004" s="14">
        <v>11829797.539999999</v>
      </c>
      <c r="J1004" s="14">
        <v>11487380.15</v>
      </c>
      <c r="K1004" s="12">
        <v>30888</v>
      </c>
      <c r="L1004" s="10" t="s">
        <v>101</v>
      </c>
      <c r="M1004" s="10" t="s">
        <v>102</v>
      </c>
      <c r="N1004" s="124" t="s">
        <v>365</v>
      </c>
      <c r="O1004" s="124" t="s">
        <v>365</v>
      </c>
      <c r="P1004" s="21">
        <v>32</v>
      </c>
      <c r="Q1004" s="10" t="s">
        <v>54</v>
      </c>
      <c r="R1004" s="10" t="s">
        <v>28</v>
      </c>
      <c r="S1004" s="10"/>
      <c r="T1004" s="10"/>
      <c r="U1004" s="10" t="s">
        <v>1081</v>
      </c>
      <c r="V1004" s="10" t="s">
        <v>1081</v>
      </c>
      <c r="W1004" s="50">
        <f>+J1004/$W$2</f>
        <v>1.5271976594918464E-4</v>
      </c>
      <c r="AC1004" s="47"/>
    </row>
    <row r="1005" spans="1:29">
      <c r="A1005" s="10" t="s">
        <v>389</v>
      </c>
      <c r="B1005" s="10" t="s">
        <v>381</v>
      </c>
      <c r="C1005" s="124">
        <v>46328</v>
      </c>
      <c r="D1005" s="124" t="s">
        <v>492</v>
      </c>
      <c r="E1005" s="21">
        <v>0.97105465000000002</v>
      </c>
      <c r="F1005" s="10"/>
      <c r="G1005" s="14">
        <v>10655603.279999999</v>
      </c>
      <c r="H1005" s="14">
        <v>10347173.07</v>
      </c>
      <c r="I1005" s="14">
        <v>10655603.279999999</v>
      </c>
      <c r="J1005" s="14">
        <v>10347173.07</v>
      </c>
      <c r="K1005" s="12">
        <v>30834</v>
      </c>
      <c r="L1005" s="10" t="s">
        <v>101</v>
      </c>
      <c r="M1005" s="10" t="s">
        <v>102</v>
      </c>
      <c r="N1005" s="124" t="s">
        <v>396</v>
      </c>
      <c r="O1005" s="124" t="s">
        <v>396</v>
      </c>
      <c r="P1005" s="21">
        <v>32</v>
      </c>
      <c r="Q1005" s="10" t="s">
        <v>54</v>
      </c>
      <c r="R1005" s="10" t="s">
        <v>28</v>
      </c>
      <c r="S1005" s="10"/>
      <c r="T1005" s="10"/>
      <c r="U1005" s="10" t="s">
        <v>865</v>
      </c>
      <c r="V1005" s="10" t="s">
        <v>865</v>
      </c>
      <c r="W1005" s="50">
        <f>+J1005/$W$2</f>
        <v>1.3756120445671037E-4</v>
      </c>
    </row>
    <row r="1006" spans="1:29">
      <c r="A1006" s="10" t="s">
        <v>353</v>
      </c>
      <c r="B1006" s="10" t="s">
        <v>381</v>
      </c>
      <c r="C1006" s="124">
        <v>46328</v>
      </c>
      <c r="D1006" s="124" t="s">
        <v>492</v>
      </c>
      <c r="E1006" s="21">
        <v>0.97017704000000005</v>
      </c>
      <c r="F1006" s="10"/>
      <c r="G1006" s="14">
        <v>2502550.36</v>
      </c>
      <c r="H1006" s="14">
        <v>2427916.89</v>
      </c>
      <c r="I1006" s="14">
        <v>2502550.36</v>
      </c>
      <c r="J1006" s="14">
        <v>2427916.89</v>
      </c>
      <c r="K1006" s="12">
        <v>3132</v>
      </c>
      <c r="L1006" s="10" t="s">
        <v>101</v>
      </c>
      <c r="M1006" s="10" t="s">
        <v>102</v>
      </c>
      <c r="N1006" s="124" t="s">
        <v>364</v>
      </c>
      <c r="O1006" s="124" t="s">
        <v>364</v>
      </c>
      <c r="P1006" s="21">
        <v>33</v>
      </c>
      <c r="Q1006" s="10" t="s">
        <v>54</v>
      </c>
      <c r="R1006" s="10" t="s">
        <v>28</v>
      </c>
      <c r="S1006" s="10"/>
      <c r="T1006" s="10"/>
      <c r="U1006" s="10" t="s">
        <v>1138</v>
      </c>
      <c r="V1006" s="10" t="s">
        <v>1138</v>
      </c>
      <c r="W1006" s="50">
        <f>+J1006/$W$2</f>
        <v>3.227810817985964E-5</v>
      </c>
    </row>
    <row r="1007" spans="1:29">
      <c r="A1007" s="10" t="s">
        <v>353</v>
      </c>
      <c r="B1007" s="10" t="s">
        <v>381</v>
      </c>
      <c r="C1007" s="124">
        <v>46328</v>
      </c>
      <c r="D1007" s="124" t="s">
        <v>492</v>
      </c>
      <c r="E1007" s="21">
        <v>0.97017704000000005</v>
      </c>
      <c r="F1007" s="10"/>
      <c r="G1007" s="14">
        <v>2502550.36</v>
      </c>
      <c r="H1007" s="14">
        <v>2427916.89</v>
      </c>
      <c r="I1007" s="14">
        <v>2502550.36</v>
      </c>
      <c r="J1007" s="14">
        <v>2427916.89</v>
      </c>
      <c r="K1007" s="12">
        <v>3142</v>
      </c>
      <c r="L1007" s="10" t="s">
        <v>101</v>
      </c>
      <c r="M1007" s="10" t="s">
        <v>102</v>
      </c>
      <c r="N1007" s="124" t="s">
        <v>364</v>
      </c>
      <c r="O1007" s="124" t="s">
        <v>364</v>
      </c>
      <c r="P1007" s="21">
        <v>33</v>
      </c>
      <c r="Q1007" s="10" t="s">
        <v>54</v>
      </c>
      <c r="R1007" s="10" t="s">
        <v>28</v>
      </c>
      <c r="S1007" s="10"/>
      <c r="T1007" s="10"/>
      <c r="U1007" s="10" t="s">
        <v>1141</v>
      </c>
      <c r="V1007" s="10" t="s">
        <v>1141</v>
      </c>
      <c r="W1007" s="50">
        <f>+J1007/$W$2</f>
        <v>3.227810817985964E-5</v>
      </c>
    </row>
    <row r="1008" spans="1:29">
      <c r="A1008" s="10" t="s">
        <v>353</v>
      </c>
      <c r="B1008" s="10" t="s">
        <v>381</v>
      </c>
      <c r="C1008" s="124">
        <v>46328</v>
      </c>
      <c r="D1008" s="124" t="s">
        <v>492</v>
      </c>
      <c r="E1008" s="21">
        <v>0.96930112999999996</v>
      </c>
      <c r="F1008" s="10"/>
      <c r="G1008" s="14">
        <v>1020845.65</v>
      </c>
      <c r="H1008" s="14">
        <v>989506.84</v>
      </c>
      <c r="I1008" s="14">
        <v>1020845.65</v>
      </c>
      <c r="J1008" s="14">
        <v>989506.84</v>
      </c>
      <c r="K1008" s="12">
        <v>2908</v>
      </c>
      <c r="L1008" s="10" t="s">
        <v>101</v>
      </c>
      <c r="M1008" s="10" t="s">
        <v>102</v>
      </c>
      <c r="N1008" s="124" t="s">
        <v>323</v>
      </c>
      <c r="O1008" s="124" t="s">
        <v>323</v>
      </c>
      <c r="P1008" s="21">
        <v>34</v>
      </c>
      <c r="Q1008" s="10" t="s">
        <v>54</v>
      </c>
      <c r="R1008" s="10" t="s">
        <v>28</v>
      </c>
      <c r="S1008" s="10"/>
      <c r="T1008" s="10"/>
      <c r="U1008" s="10" t="s">
        <v>908</v>
      </c>
      <c r="V1008" s="10" t="s">
        <v>908</v>
      </c>
      <c r="W1008" s="50">
        <f>+J1008/$W$2</f>
        <v>1.3155066780820105E-5</v>
      </c>
    </row>
    <row r="1009" spans="1:23">
      <c r="A1009" s="10" t="s">
        <v>353</v>
      </c>
      <c r="B1009" s="10" t="s">
        <v>381</v>
      </c>
      <c r="C1009" s="124">
        <v>46328</v>
      </c>
      <c r="D1009" s="124" t="s">
        <v>492</v>
      </c>
      <c r="E1009" s="21">
        <v>0.96930112000000002</v>
      </c>
      <c r="F1009" s="10"/>
      <c r="G1009" s="14">
        <v>990902.64</v>
      </c>
      <c r="H1009" s="14">
        <v>960483.04</v>
      </c>
      <c r="I1009" s="14">
        <v>990902.64</v>
      </c>
      <c r="J1009" s="14">
        <v>960483.04</v>
      </c>
      <c r="K1009" s="12">
        <v>2958</v>
      </c>
      <c r="L1009" s="10" t="s">
        <v>101</v>
      </c>
      <c r="M1009" s="10" t="s">
        <v>102</v>
      </c>
      <c r="N1009" s="124" t="s">
        <v>323</v>
      </c>
      <c r="O1009" s="124" t="s">
        <v>323</v>
      </c>
      <c r="P1009" s="21">
        <v>34</v>
      </c>
      <c r="Q1009" s="10" t="s">
        <v>54</v>
      </c>
      <c r="R1009" s="10" t="s">
        <v>28</v>
      </c>
      <c r="S1009" s="10"/>
      <c r="T1009" s="10"/>
      <c r="U1009" s="10" t="s">
        <v>909</v>
      </c>
      <c r="V1009" s="10" t="s">
        <v>909</v>
      </c>
      <c r="W1009" s="50">
        <f>+J1009/$W$2</f>
        <v>1.2769207874343858E-5</v>
      </c>
    </row>
    <row r="1010" spans="1:23">
      <c r="A1010" s="10" t="s">
        <v>899</v>
      </c>
      <c r="B1010" s="10" t="s">
        <v>381</v>
      </c>
      <c r="C1010" s="124">
        <v>46328</v>
      </c>
      <c r="D1010" s="124" t="s">
        <v>492</v>
      </c>
      <c r="E1010" s="21">
        <v>0.97105463999999997</v>
      </c>
      <c r="F1010" s="10"/>
      <c r="G1010" s="14">
        <v>475000000</v>
      </c>
      <c r="H1010" s="14">
        <v>461250954.10000002</v>
      </c>
      <c r="I1010" s="14">
        <v>475000000</v>
      </c>
      <c r="J1010" s="14">
        <v>461250954.10000002</v>
      </c>
      <c r="K1010" s="12">
        <v>1222</v>
      </c>
      <c r="L1010" s="10" t="s">
        <v>101</v>
      </c>
      <c r="M1010" s="10" t="s">
        <v>102</v>
      </c>
      <c r="N1010" s="124" t="s">
        <v>390</v>
      </c>
      <c r="O1010" s="124" t="s">
        <v>390</v>
      </c>
      <c r="P1010" s="21">
        <v>32</v>
      </c>
      <c r="Q1010" s="10" t="s">
        <v>54</v>
      </c>
      <c r="R1010" s="10" t="s">
        <v>28</v>
      </c>
      <c r="S1010" s="10"/>
      <c r="T1010" s="10"/>
      <c r="U1010" s="10" t="s">
        <v>2082</v>
      </c>
      <c r="V1010" s="10" t="s">
        <v>2082</v>
      </c>
      <c r="W1010" s="50">
        <f>+J1010/$W$2</f>
        <v>6.1321325519108991E-3</v>
      </c>
    </row>
    <row r="1011" spans="1:23">
      <c r="A1011" s="10" t="s">
        <v>219</v>
      </c>
      <c r="B1011" s="10" t="s">
        <v>381</v>
      </c>
      <c r="C1011" s="124">
        <v>46328</v>
      </c>
      <c r="D1011" s="124" t="s">
        <v>492</v>
      </c>
      <c r="E1011" s="21">
        <v>0.97105461999999998</v>
      </c>
      <c r="F1011" s="10"/>
      <c r="G1011" s="14">
        <v>50000000</v>
      </c>
      <c r="H1011" s="14">
        <v>48552730.960000001</v>
      </c>
      <c r="I1011" s="14">
        <v>50000000</v>
      </c>
      <c r="J1011" s="14">
        <v>48552730.960000001</v>
      </c>
      <c r="K1011" s="12">
        <v>5357</v>
      </c>
      <c r="L1011" s="10" t="s">
        <v>101</v>
      </c>
      <c r="M1011" s="10" t="s">
        <v>102</v>
      </c>
      <c r="N1011" s="124" t="s">
        <v>420</v>
      </c>
      <c r="O1011" s="124" t="s">
        <v>420</v>
      </c>
      <c r="P1011" s="21">
        <v>32</v>
      </c>
      <c r="Q1011" s="10" t="s">
        <v>54</v>
      </c>
      <c r="R1011" s="10" t="s">
        <v>28</v>
      </c>
      <c r="S1011" s="10"/>
      <c r="T1011" s="10"/>
      <c r="U1011" s="10" t="s">
        <v>2670</v>
      </c>
      <c r="V1011" s="10" t="s">
        <v>2670</v>
      </c>
      <c r="W1011" s="50">
        <f>+J1011/$W$2</f>
        <v>6.4548762307695812E-4</v>
      </c>
    </row>
    <row r="1012" spans="1:23">
      <c r="A1012" s="10" t="s">
        <v>186</v>
      </c>
      <c r="B1012" s="10" t="s">
        <v>381</v>
      </c>
      <c r="C1012" s="124">
        <v>46328</v>
      </c>
      <c r="D1012" s="124" t="s">
        <v>492</v>
      </c>
      <c r="E1012" s="21">
        <v>0.96668261</v>
      </c>
      <c r="F1012" s="10"/>
      <c r="G1012" s="14">
        <v>10000000</v>
      </c>
      <c r="H1012" s="14">
        <v>9666826.1300000008</v>
      </c>
      <c r="I1012" s="14">
        <v>10000000</v>
      </c>
      <c r="J1012" s="14">
        <v>9666826.1300000008</v>
      </c>
      <c r="K1012" s="12">
        <v>16854859</v>
      </c>
      <c r="L1012" s="10" t="s">
        <v>101</v>
      </c>
      <c r="M1012" s="10" t="s">
        <v>102</v>
      </c>
      <c r="N1012" s="124" t="s">
        <v>390</v>
      </c>
      <c r="O1012" s="124" t="s">
        <v>390</v>
      </c>
      <c r="P1012" s="21">
        <v>37</v>
      </c>
      <c r="Q1012" s="10" t="s">
        <v>54</v>
      </c>
      <c r="R1012" s="10" t="s">
        <v>28</v>
      </c>
      <c r="S1012" s="10"/>
      <c r="T1012" s="10"/>
      <c r="U1012" s="10" t="s">
        <v>2059</v>
      </c>
      <c r="V1012" s="10" t="s">
        <v>2059</v>
      </c>
      <c r="W1012" s="50">
        <f>+J1012/$W$2</f>
        <v>1.2851628524238073E-4</v>
      </c>
    </row>
    <row r="1013" spans="1:23">
      <c r="A1013" s="10" t="s">
        <v>595</v>
      </c>
      <c r="B1013" s="10" t="s">
        <v>381</v>
      </c>
      <c r="C1013" s="124">
        <v>46328</v>
      </c>
      <c r="D1013" s="124" t="s">
        <v>492</v>
      </c>
      <c r="E1013" s="21">
        <v>0.97105470000000005</v>
      </c>
      <c r="F1013" s="10"/>
      <c r="G1013" s="14">
        <v>100000000</v>
      </c>
      <c r="H1013" s="14">
        <v>97105469.730000004</v>
      </c>
      <c r="I1013" s="14">
        <v>100000000</v>
      </c>
      <c r="J1013" s="14">
        <v>97105469.730000004</v>
      </c>
      <c r="K1013" s="12">
        <v>165</v>
      </c>
      <c r="L1013" s="10" t="s">
        <v>101</v>
      </c>
      <c r="M1013" s="10" t="s">
        <v>102</v>
      </c>
      <c r="N1013" s="124" t="s">
        <v>279</v>
      </c>
      <c r="O1013" s="124" t="s">
        <v>279</v>
      </c>
      <c r="P1013" s="21">
        <v>32</v>
      </c>
      <c r="Q1013" s="10" t="s">
        <v>54</v>
      </c>
      <c r="R1013" s="10" t="s">
        <v>28</v>
      </c>
      <c r="S1013" s="10"/>
      <c r="T1013" s="10"/>
      <c r="U1013" s="10" t="s">
        <v>1194</v>
      </c>
      <c r="V1013" s="10" t="s">
        <v>1194</v>
      </c>
      <c r="W1013" s="50">
        <f>+J1013/$W$2</f>
        <v>1.2909753499844986E-3</v>
      </c>
    </row>
    <row r="1014" spans="1:23">
      <c r="A1014" s="10" t="s">
        <v>799</v>
      </c>
      <c r="B1014" s="10" t="s">
        <v>381</v>
      </c>
      <c r="C1014" s="124">
        <v>46328</v>
      </c>
      <c r="D1014" s="124" t="s">
        <v>492</v>
      </c>
      <c r="E1014" s="21">
        <v>0.97017706999999997</v>
      </c>
      <c r="F1014" s="10"/>
      <c r="G1014" s="14">
        <v>333534247</v>
      </c>
      <c r="H1014" s="14">
        <v>323587279.87</v>
      </c>
      <c r="I1014" s="14">
        <v>333534247</v>
      </c>
      <c r="J1014" s="14">
        <v>323587279.87</v>
      </c>
      <c r="K1014" s="12">
        <v>155636</v>
      </c>
      <c r="L1014" s="10" t="s">
        <v>101</v>
      </c>
      <c r="M1014" s="10" t="s">
        <v>102</v>
      </c>
      <c r="N1014" s="124" t="s">
        <v>352</v>
      </c>
      <c r="O1014" s="124" t="s">
        <v>352</v>
      </c>
      <c r="P1014" s="21">
        <v>33</v>
      </c>
      <c r="Q1014" s="10" t="s">
        <v>54</v>
      </c>
      <c r="R1014" s="10" t="s">
        <v>28</v>
      </c>
      <c r="S1014" s="10"/>
      <c r="T1014" s="10"/>
      <c r="U1014" s="10" t="s">
        <v>796</v>
      </c>
      <c r="V1014" s="10" t="s">
        <v>796</v>
      </c>
      <c r="W1014" s="50">
        <f>+J1014/$W$2</f>
        <v>4.3019533610437451E-3</v>
      </c>
    </row>
    <row r="1015" spans="1:23">
      <c r="A1015" s="10" t="s">
        <v>1431</v>
      </c>
      <c r="B1015" s="10" t="s">
        <v>381</v>
      </c>
      <c r="C1015" s="124">
        <v>46328</v>
      </c>
      <c r="D1015" s="124" t="s">
        <v>492</v>
      </c>
      <c r="E1015" s="21">
        <v>0.97105459999999999</v>
      </c>
      <c r="F1015" s="10"/>
      <c r="G1015" s="14">
        <v>5444206</v>
      </c>
      <c r="H1015" s="14">
        <v>5286621.3</v>
      </c>
      <c r="I1015" s="14">
        <v>5444206</v>
      </c>
      <c r="J1015" s="14">
        <v>5286621.3</v>
      </c>
      <c r="K1015" s="12">
        <v>3444</v>
      </c>
      <c r="L1015" s="10" t="s">
        <v>101</v>
      </c>
      <c r="M1015" s="10" t="s">
        <v>102</v>
      </c>
      <c r="N1015" s="124" t="s">
        <v>398</v>
      </c>
      <c r="O1015" s="124" t="s">
        <v>398</v>
      </c>
      <c r="P1015" s="21">
        <v>32</v>
      </c>
      <c r="Q1015" s="10" t="s">
        <v>54</v>
      </c>
      <c r="R1015" s="10" t="s">
        <v>28</v>
      </c>
      <c r="S1015" s="10"/>
      <c r="T1015" s="10"/>
      <c r="U1015" s="10" t="s">
        <v>1779</v>
      </c>
      <c r="V1015" s="10" t="s">
        <v>1779</v>
      </c>
      <c r="W1015" s="50">
        <f>+J1015/$W$2</f>
        <v>7.028335069053792E-5</v>
      </c>
    </row>
    <row r="1016" spans="1:23">
      <c r="A1016" s="10" t="s">
        <v>166</v>
      </c>
      <c r="B1016" s="10" t="s">
        <v>381</v>
      </c>
      <c r="C1016" s="124">
        <v>46328</v>
      </c>
      <c r="D1016" s="124" t="s">
        <v>492</v>
      </c>
      <c r="E1016" s="21">
        <v>0.96581300999999997</v>
      </c>
      <c r="F1016" s="10"/>
      <c r="G1016" s="14">
        <v>247000000</v>
      </c>
      <c r="H1016" s="14">
        <v>238555813.99000001</v>
      </c>
      <c r="I1016" s="14">
        <v>247000000</v>
      </c>
      <c r="J1016" s="14">
        <v>238555813.99000001</v>
      </c>
      <c r="K1016" s="12">
        <v>70403676</v>
      </c>
      <c r="L1016" s="10" t="s">
        <v>101</v>
      </c>
      <c r="M1016" s="10" t="s">
        <v>102</v>
      </c>
      <c r="N1016" s="124" t="s">
        <v>425</v>
      </c>
      <c r="O1016" s="124" t="s">
        <v>425</v>
      </c>
      <c r="P1016" s="21">
        <v>38</v>
      </c>
      <c r="Q1016" s="10" t="s">
        <v>54</v>
      </c>
      <c r="R1016" s="10" t="s">
        <v>28</v>
      </c>
      <c r="S1016" s="10"/>
      <c r="T1016" s="10"/>
      <c r="U1016" s="10" t="s">
        <v>1686</v>
      </c>
      <c r="V1016" s="10" t="s">
        <v>1686</v>
      </c>
      <c r="W1016" s="50">
        <f>+J1016/$W$2</f>
        <v>3.1714966861586822E-3</v>
      </c>
    </row>
    <row r="1017" spans="1:23">
      <c r="A1017" s="10" t="s">
        <v>562</v>
      </c>
      <c r="B1017" s="10" t="s">
        <v>381</v>
      </c>
      <c r="C1017" s="124">
        <v>46328</v>
      </c>
      <c r="D1017" s="124" t="s">
        <v>492</v>
      </c>
      <c r="E1017" s="21">
        <v>0.97105469</v>
      </c>
      <c r="F1017" s="10"/>
      <c r="G1017" s="14">
        <v>50000000</v>
      </c>
      <c r="H1017" s="14">
        <v>48552734.520000003</v>
      </c>
      <c r="I1017" s="14">
        <v>50000000</v>
      </c>
      <c r="J1017" s="14">
        <v>48552734.520000003</v>
      </c>
      <c r="K1017" s="12">
        <v>6688</v>
      </c>
      <c r="L1017" s="10" t="s">
        <v>101</v>
      </c>
      <c r="M1017" s="10" t="s">
        <v>102</v>
      </c>
      <c r="N1017" s="124" t="s">
        <v>533</v>
      </c>
      <c r="O1017" s="124" t="s">
        <v>533</v>
      </c>
      <c r="P1017" s="21">
        <v>32</v>
      </c>
      <c r="Q1017" s="10" t="s">
        <v>54</v>
      </c>
      <c r="R1017" s="10" t="s">
        <v>28</v>
      </c>
      <c r="S1017" s="10"/>
      <c r="T1017" s="10"/>
      <c r="U1017" s="10" t="s">
        <v>1844</v>
      </c>
      <c r="V1017" s="10" t="s">
        <v>1844</v>
      </c>
      <c r="W1017" s="50">
        <f>+J1017/$W$2</f>
        <v>6.4548767040562309E-4</v>
      </c>
    </row>
    <row r="1018" spans="1:23">
      <c r="A1018" s="10" t="s">
        <v>562</v>
      </c>
      <c r="B1018" s="10" t="s">
        <v>381</v>
      </c>
      <c r="C1018" s="124">
        <v>46328</v>
      </c>
      <c r="D1018" s="124" t="s">
        <v>492</v>
      </c>
      <c r="E1018" s="21">
        <v>0.97105469</v>
      </c>
      <c r="F1018" s="10"/>
      <c r="G1018" s="14">
        <v>50000000</v>
      </c>
      <c r="H1018" s="14">
        <v>48552734.520000003</v>
      </c>
      <c r="I1018" s="14">
        <v>50000000</v>
      </c>
      <c r="J1018" s="14">
        <v>48552734.520000003</v>
      </c>
      <c r="K1018" s="12">
        <v>6692</v>
      </c>
      <c r="L1018" s="10" t="s">
        <v>101</v>
      </c>
      <c r="M1018" s="10" t="s">
        <v>102</v>
      </c>
      <c r="N1018" s="124" t="s">
        <v>533</v>
      </c>
      <c r="O1018" s="124" t="s">
        <v>533</v>
      </c>
      <c r="P1018" s="21">
        <v>32</v>
      </c>
      <c r="Q1018" s="10" t="s">
        <v>54</v>
      </c>
      <c r="R1018" s="10" t="s">
        <v>28</v>
      </c>
      <c r="S1018" s="10"/>
      <c r="T1018" s="10"/>
      <c r="U1018" s="10" t="s">
        <v>1845</v>
      </c>
      <c r="V1018" s="10" t="s">
        <v>1845</v>
      </c>
      <c r="W1018" s="50">
        <f>+J1018/$W$2</f>
        <v>6.4548767040562309E-4</v>
      </c>
    </row>
    <row r="1019" spans="1:23">
      <c r="A1019" s="10" t="s">
        <v>597</v>
      </c>
      <c r="B1019" s="10" t="s">
        <v>381</v>
      </c>
      <c r="C1019" s="124">
        <v>46328</v>
      </c>
      <c r="D1019" s="124" t="s">
        <v>492</v>
      </c>
      <c r="E1019" s="21">
        <v>0.96494479</v>
      </c>
      <c r="F1019" s="10"/>
      <c r="G1019" s="14">
        <v>3750000</v>
      </c>
      <c r="H1019" s="14">
        <v>3618542.97</v>
      </c>
      <c r="I1019" s="14">
        <v>3750000</v>
      </c>
      <c r="J1019" s="14">
        <v>3618542.97</v>
      </c>
      <c r="K1019" s="12">
        <v>66918247</v>
      </c>
      <c r="L1019" s="10" t="s">
        <v>101</v>
      </c>
      <c r="M1019" s="10" t="s">
        <v>102</v>
      </c>
      <c r="N1019" s="124" t="s">
        <v>304</v>
      </c>
      <c r="O1019" s="124" t="s">
        <v>304</v>
      </c>
      <c r="P1019" s="21">
        <v>39</v>
      </c>
      <c r="Q1019" s="10" t="s">
        <v>54</v>
      </c>
      <c r="R1019" s="10" t="s">
        <v>28</v>
      </c>
      <c r="S1019" s="10"/>
      <c r="T1019" s="10"/>
      <c r="U1019" s="10" t="s">
        <v>590</v>
      </c>
      <c r="V1019" s="10" t="s">
        <v>590</v>
      </c>
      <c r="W1019" s="50">
        <f>+J1019/$W$2</f>
        <v>4.8106968537597098E-5</v>
      </c>
    </row>
    <row r="1020" spans="1:23">
      <c r="A1020" s="10" t="s">
        <v>3450</v>
      </c>
      <c r="B1020" s="10" t="s">
        <v>381</v>
      </c>
      <c r="C1020" s="124">
        <v>46328</v>
      </c>
      <c r="D1020" s="124" t="s">
        <v>492</v>
      </c>
      <c r="E1020" s="21">
        <v>0.97281466000000005</v>
      </c>
      <c r="F1020" s="10"/>
      <c r="G1020" s="14">
        <v>530000</v>
      </c>
      <c r="H1020" s="14">
        <v>515591.77</v>
      </c>
      <c r="I1020" s="14">
        <v>530000</v>
      </c>
      <c r="J1020" s="14">
        <v>515591.77</v>
      </c>
      <c r="K1020" s="12">
        <v>10711239</v>
      </c>
      <c r="L1020" s="10" t="s">
        <v>101</v>
      </c>
      <c r="M1020" s="10" t="s">
        <v>102</v>
      </c>
      <c r="N1020" s="124" t="s">
        <v>531</v>
      </c>
      <c r="O1020" s="124" t="s">
        <v>531</v>
      </c>
      <c r="P1020" s="21">
        <v>30</v>
      </c>
      <c r="Q1020" s="10" t="s">
        <v>54</v>
      </c>
      <c r="R1020" s="10" t="s">
        <v>28</v>
      </c>
      <c r="S1020" s="10"/>
      <c r="T1020" s="10"/>
      <c r="U1020" s="10" t="s">
        <v>3419</v>
      </c>
      <c r="V1020" s="10" t="s">
        <v>3419</v>
      </c>
      <c r="W1020" s="50">
        <f>+J1020/$W$2</f>
        <v>6.8545702685503822E-6</v>
      </c>
    </row>
    <row r="1021" spans="1:23">
      <c r="A1021" s="10" t="s">
        <v>132</v>
      </c>
      <c r="B1021" s="10" t="s">
        <v>381</v>
      </c>
      <c r="C1021" s="124">
        <v>46328</v>
      </c>
      <c r="D1021" s="124" t="s">
        <v>492</v>
      </c>
      <c r="E1021" s="21">
        <v>0.9710548</v>
      </c>
      <c r="F1021" s="10"/>
      <c r="G1021" s="14">
        <v>50000000</v>
      </c>
      <c r="H1021" s="14">
        <v>48552739.920000002</v>
      </c>
      <c r="I1021" s="14">
        <v>50000000</v>
      </c>
      <c r="J1021" s="14">
        <v>48552739.920000002</v>
      </c>
      <c r="K1021" s="12">
        <v>958</v>
      </c>
      <c r="L1021" s="10" t="s">
        <v>101</v>
      </c>
      <c r="M1021" s="10" t="s">
        <v>102</v>
      </c>
      <c r="N1021" s="124" t="s">
        <v>492</v>
      </c>
      <c r="O1021" s="124" t="s">
        <v>492</v>
      </c>
      <c r="P1021" s="21">
        <v>32</v>
      </c>
      <c r="Q1021" s="10" t="s">
        <v>54</v>
      </c>
      <c r="R1021" s="10" t="s">
        <v>28</v>
      </c>
      <c r="S1021" s="10"/>
      <c r="T1021" s="10"/>
      <c r="U1021" s="10" t="s">
        <v>3570</v>
      </c>
      <c r="V1021" s="10" t="s">
        <v>3570</v>
      </c>
      <c r="W1021" s="50">
        <f>+J1021/$W$2</f>
        <v>6.4548774219629469E-4</v>
      </c>
    </row>
    <row r="1022" spans="1:23">
      <c r="A1022" s="10" t="s">
        <v>427</v>
      </c>
      <c r="B1022" s="10" t="s">
        <v>381</v>
      </c>
      <c r="C1022" s="124">
        <v>46328</v>
      </c>
      <c r="D1022" s="124" t="s">
        <v>492</v>
      </c>
      <c r="E1022" s="21">
        <v>0.97458082999999995</v>
      </c>
      <c r="F1022" s="10"/>
      <c r="G1022" s="14">
        <v>2500000</v>
      </c>
      <c r="H1022" s="14">
        <v>2436452.08</v>
      </c>
      <c r="I1022" s="14">
        <v>2500000</v>
      </c>
      <c r="J1022" s="14">
        <v>2436452.08</v>
      </c>
      <c r="K1022" s="12">
        <v>90031824</v>
      </c>
      <c r="L1022" s="10" t="s">
        <v>101</v>
      </c>
      <c r="M1022" s="10" t="s">
        <v>102</v>
      </c>
      <c r="N1022" s="124" t="s">
        <v>277</v>
      </c>
      <c r="O1022" s="124" t="s">
        <v>277</v>
      </c>
      <c r="P1022" s="21">
        <v>28</v>
      </c>
      <c r="Q1022" s="10" t="s">
        <v>54</v>
      </c>
      <c r="R1022" s="10" t="s">
        <v>28</v>
      </c>
      <c r="S1022" s="10"/>
      <c r="T1022" s="10"/>
      <c r="U1022" s="10" t="s">
        <v>523</v>
      </c>
      <c r="V1022" s="10" t="s">
        <v>523</v>
      </c>
      <c r="W1022" s="50">
        <f>+J1022/$W$2</f>
        <v>3.2391579850694162E-5</v>
      </c>
    </row>
    <row r="1023" spans="1:23">
      <c r="A1023" s="10" t="s">
        <v>382</v>
      </c>
      <c r="B1023" s="10" t="s">
        <v>381</v>
      </c>
      <c r="C1023" s="124">
        <v>46328</v>
      </c>
      <c r="D1023" s="124" t="s">
        <v>492</v>
      </c>
      <c r="E1023" s="21">
        <v>0.97105465999999996</v>
      </c>
      <c r="F1023" s="10"/>
      <c r="G1023" s="14">
        <v>2000000</v>
      </c>
      <c r="H1023" s="14">
        <v>1942109.31</v>
      </c>
      <c r="I1023" s="14">
        <v>2000000</v>
      </c>
      <c r="J1023" s="14">
        <v>1942109.31</v>
      </c>
      <c r="K1023" s="12">
        <v>1079</v>
      </c>
      <c r="L1023" s="10" t="s">
        <v>101</v>
      </c>
      <c r="M1023" s="10" t="s">
        <v>102</v>
      </c>
      <c r="N1023" s="124" t="s">
        <v>432</v>
      </c>
      <c r="O1023" s="124" t="s">
        <v>432</v>
      </c>
      <c r="P1023" s="21">
        <v>32</v>
      </c>
      <c r="Q1023" s="10" t="s">
        <v>54</v>
      </c>
      <c r="R1023" s="10" t="s">
        <v>28</v>
      </c>
      <c r="S1023" s="10"/>
      <c r="T1023" s="10"/>
      <c r="U1023" s="10" t="s">
        <v>1828</v>
      </c>
      <c r="V1023" s="10" t="s">
        <v>1828</v>
      </c>
      <c r="W1023" s="50">
        <f>+J1023/$W$2</f>
        <v>2.5819505874969452E-5</v>
      </c>
    </row>
    <row r="1024" spans="1:23">
      <c r="A1024" s="10" t="s">
        <v>382</v>
      </c>
      <c r="B1024" s="10" t="s">
        <v>381</v>
      </c>
      <c r="C1024" s="124">
        <v>46328</v>
      </c>
      <c r="D1024" s="124" t="s">
        <v>492</v>
      </c>
      <c r="E1024" s="21">
        <v>0.97017708999999996</v>
      </c>
      <c r="F1024" s="10"/>
      <c r="G1024" s="14">
        <v>2500000</v>
      </c>
      <c r="H1024" s="14">
        <v>2425442.7200000002</v>
      </c>
      <c r="I1024" s="14">
        <v>2500000</v>
      </c>
      <c r="J1024" s="14">
        <v>2425442.7200000002</v>
      </c>
      <c r="K1024" s="12">
        <v>1009</v>
      </c>
      <c r="L1024" s="10" t="s">
        <v>101</v>
      </c>
      <c r="M1024" s="10" t="s">
        <v>102</v>
      </c>
      <c r="N1024" s="124" t="s">
        <v>163</v>
      </c>
      <c r="O1024" s="124" t="s">
        <v>163</v>
      </c>
      <c r="P1024" s="21">
        <v>33</v>
      </c>
      <c r="Q1024" s="10" t="s">
        <v>54</v>
      </c>
      <c r="R1024" s="10" t="s">
        <v>28</v>
      </c>
      <c r="S1024" s="10"/>
      <c r="T1024" s="10"/>
      <c r="U1024" s="10" t="s">
        <v>1657</v>
      </c>
      <c r="V1024" s="10" t="s">
        <v>1657</v>
      </c>
      <c r="W1024" s="50">
        <f>+J1024/$W$2</f>
        <v>3.2245215156525816E-5</v>
      </c>
    </row>
    <row r="1025" spans="1:29">
      <c r="A1025" s="10" t="s">
        <v>382</v>
      </c>
      <c r="B1025" s="10" t="s">
        <v>381</v>
      </c>
      <c r="C1025" s="124">
        <v>46328</v>
      </c>
      <c r="D1025" s="124" t="s">
        <v>492</v>
      </c>
      <c r="E1025" s="21">
        <v>0.97281452999999996</v>
      </c>
      <c r="F1025" s="10"/>
      <c r="G1025" s="14">
        <v>3800000</v>
      </c>
      <c r="H1025" s="14">
        <v>3696695.2</v>
      </c>
      <c r="I1025" s="14">
        <v>3800000</v>
      </c>
      <c r="J1025" s="14">
        <v>3696695.2</v>
      </c>
      <c r="K1025" s="12">
        <v>929</v>
      </c>
      <c r="L1025" s="10" t="s">
        <v>101</v>
      </c>
      <c r="M1025" s="10" t="s">
        <v>102</v>
      </c>
      <c r="N1025" s="124" t="s">
        <v>397</v>
      </c>
      <c r="O1025" s="124" t="s">
        <v>397</v>
      </c>
      <c r="P1025" s="21">
        <v>30</v>
      </c>
      <c r="Q1025" s="10" t="s">
        <v>54</v>
      </c>
      <c r="R1025" s="10" t="s">
        <v>28</v>
      </c>
      <c r="S1025" s="10"/>
      <c r="T1025" s="10"/>
      <c r="U1025" s="10" t="s">
        <v>1455</v>
      </c>
      <c r="V1025" s="10" t="s">
        <v>1455</v>
      </c>
      <c r="W1025" s="50">
        <f>+J1025/$W$2</f>
        <v>4.9145968737656361E-5</v>
      </c>
    </row>
    <row r="1026" spans="1:29">
      <c r="A1026" s="10" t="s">
        <v>382</v>
      </c>
      <c r="B1026" s="10" t="s">
        <v>381</v>
      </c>
      <c r="C1026" s="124">
        <v>46328</v>
      </c>
      <c r="D1026" s="124" t="s">
        <v>492</v>
      </c>
      <c r="E1026" s="21">
        <v>0.97281459999999997</v>
      </c>
      <c r="F1026" s="10"/>
      <c r="G1026" s="14">
        <v>2500000</v>
      </c>
      <c r="H1026" s="14">
        <v>2432036.5099999998</v>
      </c>
      <c r="I1026" s="14">
        <v>2500000</v>
      </c>
      <c r="J1026" s="14">
        <v>2432036.5099999998</v>
      </c>
      <c r="K1026" s="12">
        <v>887</v>
      </c>
      <c r="L1026" s="10" t="s">
        <v>101</v>
      </c>
      <c r="M1026" s="10" t="s">
        <v>102</v>
      </c>
      <c r="N1026" s="124" t="s">
        <v>435</v>
      </c>
      <c r="O1026" s="124" t="s">
        <v>435</v>
      </c>
      <c r="P1026" s="21">
        <v>30</v>
      </c>
      <c r="Q1026" s="10" t="s">
        <v>54</v>
      </c>
      <c r="R1026" s="10" t="s">
        <v>28</v>
      </c>
      <c r="S1026" s="10"/>
      <c r="T1026" s="10"/>
      <c r="U1026" s="10" t="s">
        <v>1326</v>
      </c>
      <c r="V1026" s="10" t="s">
        <v>1326</v>
      </c>
      <c r="W1026" s="50">
        <f>+J1026/$W$2</f>
        <v>3.233287675145597E-5</v>
      </c>
      <c r="AC1026" s="47"/>
    </row>
    <row r="1027" spans="1:29">
      <c r="A1027" s="10" t="s">
        <v>382</v>
      </c>
      <c r="B1027" s="10" t="s">
        <v>381</v>
      </c>
      <c r="C1027" s="124">
        <v>46328</v>
      </c>
      <c r="D1027" s="124" t="s">
        <v>492</v>
      </c>
      <c r="E1027" s="21">
        <v>0.97281465</v>
      </c>
      <c r="F1027" s="10"/>
      <c r="G1027" s="14">
        <v>5000000</v>
      </c>
      <c r="H1027" s="14">
        <v>4864073.24</v>
      </c>
      <c r="I1027" s="14">
        <v>5000000</v>
      </c>
      <c r="J1027" s="14">
        <v>4864073.24</v>
      </c>
      <c r="K1027" s="12">
        <v>1304</v>
      </c>
      <c r="L1027" s="10" t="s">
        <v>101</v>
      </c>
      <c r="M1027" s="10" t="s">
        <v>102</v>
      </c>
      <c r="N1027" s="124" t="s">
        <v>531</v>
      </c>
      <c r="O1027" s="124" t="s">
        <v>531</v>
      </c>
      <c r="P1027" s="21">
        <v>30</v>
      </c>
      <c r="Q1027" s="10" t="s">
        <v>54</v>
      </c>
      <c r="R1027" s="10" t="s">
        <v>28</v>
      </c>
      <c r="S1027" s="10"/>
      <c r="T1027" s="10"/>
      <c r="U1027" s="10" t="s">
        <v>3408</v>
      </c>
      <c r="V1027" s="10" t="s">
        <v>3408</v>
      </c>
      <c r="W1027" s="50">
        <f>+J1027/$W$2</f>
        <v>6.4665756427717086E-5</v>
      </c>
    </row>
    <row r="1028" spans="1:29">
      <c r="A1028" s="10" t="s">
        <v>382</v>
      </c>
      <c r="B1028" s="10" t="s">
        <v>381</v>
      </c>
      <c r="C1028" s="124">
        <v>46329</v>
      </c>
      <c r="D1028" s="124" t="s">
        <v>492</v>
      </c>
      <c r="E1028" s="21">
        <v>0.97022870000000005</v>
      </c>
      <c r="F1028" s="10"/>
      <c r="G1028" s="14">
        <v>4000000</v>
      </c>
      <c r="H1028" s="14">
        <v>3880914.82</v>
      </c>
      <c r="I1028" s="14">
        <v>4000000</v>
      </c>
      <c r="J1028" s="14">
        <v>3880914.82</v>
      </c>
      <c r="K1028" s="12">
        <v>1152</v>
      </c>
      <c r="L1028" s="10" t="s">
        <v>101</v>
      </c>
      <c r="M1028" s="10" t="s">
        <v>102</v>
      </c>
      <c r="N1028" s="124" t="s">
        <v>416</v>
      </c>
      <c r="O1028" s="124" t="s">
        <v>416</v>
      </c>
      <c r="P1028" s="21">
        <v>32</v>
      </c>
      <c r="Q1028" s="10" t="s">
        <v>54</v>
      </c>
      <c r="R1028" s="10" t="s">
        <v>28</v>
      </c>
      <c r="S1028" s="10"/>
      <c r="T1028" s="10"/>
      <c r="U1028" s="10" t="s">
        <v>2152</v>
      </c>
      <c r="V1028" s="10" t="s">
        <v>2152</v>
      </c>
      <c r="W1028" s="50">
        <f>+J1028/$W$2</f>
        <v>5.1595089153476129E-5</v>
      </c>
    </row>
    <row r="1029" spans="1:29">
      <c r="A1029" s="10" t="s">
        <v>382</v>
      </c>
      <c r="B1029" s="10" t="s">
        <v>381</v>
      </c>
      <c r="C1029" s="124">
        <v>46329</v>
      </c>
      <c r="D1029" s="124" t="s">
        <v>492</v>
      </c>
      <c r="E1029" s="21">
        <v>0.97203744999999997</v>
      </c>
      <c r="F1029" s="10"/>
      <c r="G1029" s="14">
        <v>5000000</v>
      </c>
      <c r="H1029" s="14">
        <v>4860187.24</v>
      </c>
      <c r="I1029" s="14">
        <v>5000000</v>
      </c>
      <c r="J1029" s="14">
        <v>4860187.24</v>
      </c>
      <c r="K1029" s="12">
        <v>1205</v>
      </c>
      <c r="L1029" s="10" t="s">
        <v>101</v>
      </c>
      <c r="M1029" s="10" t="s">
        <v>102</v>
      </c>
      <c r="N1029" s="124" t="s">
        <v>536</v>
      </c>
      <c r="O1029" s="124" t="s">
        <v>536</v>
      </c>
      <c r="P1029" s="21">
        <v>30</v>
      </c>
      <c r="Q1029" s="10" t="s">
        <v>54</v>
      </c>
      <c r="R1029" s="10" t="s">
        <v>28</v>
      </c>
      <c r="S1029" s="10"/>
      <c r="T1029" s="10"/>
      <c r="U1029" s="10" t="s">
        <v>2302</v>
      </c>
      <c r="V1029" s="10" t="s">
        <v>2302</v>
      </c>
      <c r="W1029" s="50">
        <f>+J1029/$W$2</f>
        <v>6.4614093733288141E-5</v>
      </c>
    </row>
    <row r="1030" spans="1:29">
      <c r="A1030" s="10" t="s">
        <v>382</v>
      </c>
      <c r="B1030" s="10" t="s">
        <v>381</v>
      </c>
      <c r="C1030" s="124">
        <v>46329</v>
      </c>
      <c r="D1030" s="124" t="s">
        <v>492</v>
      </c>
      <c r="E1030" s="21">
        <v>0.97203729999999999</v>
      </c>
      <c r="F1030" s="10"/>
      <c r="G1030" s="14">
        <v>4500000</v>
      </c>
      <c r="H1030" s="14">
        <v>4374167.83</v>
      </c>
      <c r="I1030" s="14">
        <v>4500000</v>
      </c>
      <c r="J1030" s="14">
        <v>4374167.83</v>
      </c>
      <c r="K1030" s="12">
        <v>1300</v>
      </c>
      <c r="L1030" s="10" t="s">
        <v>101</v>
      </c>
      <c r="M1030" s="10" t="s">
        <v>102</v>
      </c>
      <c r="N1030" s="124" t="s">
        <v>677</v>
      </c>
      <c r="O1030" s="124" t="s">
        <v>677</v>
      </c>
      <c r="P1030" s="21">
        <v>30</v>
      </c>
      <c r="Q1030" s="10" t="s">
        <v>54</v>
      </c>
      <c r="R1030" s="10" t="s">
        <v>28</v>
      </c>
      <c r="S1030" s="10"/>
      <c r="T1030" s="10"/>
      <c r="U1030" s="10" t="s">
        <v>3299</v>
      </c>
      <c r="V1030" s="10" t="s">
        <v>3299</v>
      </c>
      <c r="W1030" s="50">
        <f>+J1030/$W$2</f>
        <v>5.8152675239885119E-5</v>
      </c>
    </row>
    <row r="1031" spans="1:29">
      <c r="A1031" s="10" t="s">
        <v>382</v>
      </c>
      <c r="B1031" s="10" t="s">
        <v>381</v>
      </c>
      <c r="C1031" s="124">
        <v>46329</v>
      </c>
      <c r="D1031" s="124" t="s">
        <v>492</v>
      </c>
      <c r="E1031" s="21">
        <v>0.97203746999999996</v>
      </c>
      <c r="F1031" s="10"/>
      <c r="G1031" s="14">
        <v>4000000</v>
      </c>
      <c r="H1031" s="14">
        <v>3888149.88</v>
      </c>
      <c r="I1031" s="14">
        <v>4000000</v>
      </c>
      <c r="J1031" s="14">
        <v>3888149.88</v>
      </c>
      <c r="K1031" s="12">
        <v>1288</v>
      </c>
      <c r="L1031" s="10" t="s">
        <v>101</v>
      </c>
      <c r="M1031" s="10" t="s">
        <v>102</v>
      </c>
      <c r="N1031" s="124" t="s">
        <v>472</v>
      </c>
      <c r="O1031" s="124" t="s">
        <v>472</v>
      </c>
      <c r="P1031" s="21">
        <v>30</v>
      </c>
      <c r="Q1031" s="10" t="s">
        <v>54</v>
      </c>
      <c r="R1031" s="10" t="s">
        <v>28</v>
      </c>
      <c r="S1031" s="10"/>
      <c r="T1031" s="10"/>
      <c r="U1031" s="10" t="s">
        <v>3230</v>
      </c>
      <c r="V1031" s="10" t="s">
        <v>3230</v>
      </c>
      <c r="W1031" s="50">
        <f>+J1031/$W$2</f>
        <v>5.1691276156552572E-5</v>
      </c>
    </row>
    <row r="1032" spans="1:29">
      <c r="A1032" s="10" t="s">
        <v>2773</v>
      </c>
      <c r="B1032" s="10" t="s">
        <v>381</v>
      </c>
      <c r="C1032" s="124">
        <v>46329</v>
      </c>
      <c r="D1032" s="124" t="s">
        <v>492</v>
      </c>
      <c r="E1032" s="21">
        <v>0.97113212999999998</v>
      </c>
      <c r="F1032" s="10"/>
      <c r="G1032" s="14">
        <v>102281981.31999999</v>
      </c>
      <c r="H1032" s="14">
        <v>99329318.140000001</v>
      </c>
      <c r="I1032" s="14">
        <v>102281981.31999999</v>
      </c>
      <c r="J1032" s="14">
        <v>99329318.140000001</v>
      </c>
      <c r="K1032" s="12">
        <v>6311</v>
      </c>
      <c r="L1032" s="10" t="s">
        <v>101</v>
      </c>
      <c r="M1032" s="10" t="s">
        <v>102</v>
      </c>
      <c r="N1032" s="124" t="s">
        <v>422</v>
      </c>
      <c r="O1032" s="124" t="s">
        <v>422</v>
      </c>
      <c r="P1032" s="21">
        <v>31</v>
      </c>
      <c r="Q1032" s="10" t="s">
        <v>54</v>
      </c>
      <c r="R1032" s="10" t="s">
        <v>28</v>
      </c>
      <c r="S1032" s="10"/>
      <c r="T1032" s="10"/>
      <c r="U1032" s="10" t="s">
        <v>2768</v>
      </c>
      <c r="V1032" s="10" t="s">
        <v>2768</v>
      </c>
      <c r="W1032" s="50">
        <f>+J1032/$W$2</f>
        <v>1.3205404557132985E-3</v>
      </c>
    </row>
    <row r="1033" spans="1:29">
      <c r="A1033" s="10" t="s">
        <v>353</v>
      </c>
      <c r="B1033" s="10" t="s">
        <v>381</v>
      </c>
      <c r="C1033" s="124">
        <v>46329</v>
      </c>
      <c r="D1033" s="124" t="s">
        <v>492</v>
      </c>
      <c r="E1033" s="21">
        <v>0.96663147000000005</v>
      </c>
      <c r="F1033" s="10"/>
      <c r="G1033" s="14">
        <v>3625698.78</v>
      </c>
      <c r="H1033" s="14">
        <v>3504714.54</v>
      </c>
      <c r="I1033" s="14">
        <v>3625698.78</v>
      </c>
      <c r="J1033" s="14">
        <v>3504714.54</v>
      </c>
      <c r="K1033" s="12">
        <v>3349</v>
      </c>
      <c r="L1033" s="10" t="s">
        <v>101</v>
      </c>
      <c r="M1033" s="10" t="s">
        <v>102</v>
      </c>
      <c r="N1033" s="124" t="s">
        <v>348</v>
      </c>
      <c r="O1033" s="124" t="s">
        <v>348</v>
      </c>
      <c r="P1033" s="21">
        <v>36</v>
      </c>
      <c r="Q1033" s="10" t="s">
        <v>54</v>
      </c>
      <c r="R1033" s="10" t="s">
        <v>28</v>
      </c>
      <c r="S1033" s="10"/>
      <c r="T1033" s="10"/>
      <c r="U1033" s="10" t="s">
        <v>1910</v>
      </c>
      <c r="V1033" s="10" t="s">
        <v>1910</v>
      </c>
      <c r="W1033" s="50">
        <f>+J1033/$W$2</f>
        <v>4.6593668641452962E-5</v>
      </c>
    </row>
    <row r="1034" spans="1:29">
      <c r="A1034" s="10" t="s">
        <v>353</v>
      </c>
      <c r="B1034" s="10" t="s">
        <v>381</v>
      </c>
      <c r="C1034" s="124">
        <v>46329</v>
      </c>
      <c r="D1034" s="124" t="s">
        <v>492</v>
      </c>
      <c r="E1034" s="21">
        <v>0.96663149000000004</v>
      </c>
      <c r="F1034" s="10"/>
      <c r="G1034" s="14">
        <v>1874176.47</v>
      </c>
      <c r="H1034" s="14">
        <v>1811638</v>
      </c>
      <c r="I1034" s="14">
        <v>1874176.47</v>
      </c>
      <c r="J1034" s="14">
        <v>1811638</v>
      </c>
      <c r="K1034" s="12">
        <v>3468</v>
      </c>
      <c r="L1034" s="10" t="s">
        <v>101</v>
      </c>
      <c r="M1034" s="10" t="s">
        <v>102</v>
      </c>
      <c r="N1034" s="124" t="s">
        <v>431</v>
      </c>
      <c r="O1034" s="124" t="s">
        <v>431</v>
      </c>
      <c r="P1034" s="21">
        <v>36</v>
      </c>
      <c r="Q1034" s="10" t="s">
        <v>54</v>
      </c>
      <c r="R1034" s="10" t="s">
        <v>28</v>
      </c>
      <c r="S1034" s="10"/>
      <c r="T1034" s="10"/>
      <c r="U1034" s="10" t="s">
        <v>2278</v>
      </c>
      <c r="V1034" s="10" t="s">
        <v>2278</v>
      </c>
      <c r="W1034" s="50">
        <f>+J1034/$W$2</f>
        <v>2.4084946065326213E-5</v>
      </c>
    </row>
    <row r="1035" spans="1:29">
      <c r="A1035" s="10" t="s">
        <v>353</v>
      </c>
      <c r="B1035" s="10" t="s">
        <v>381</v>
      </c>
      <c r="C1035" s="124">
        <v>46329</v>
      </c>
      <c r="D1035" s="124" t="s">
        <v>492</v>
      </c>
      <c r="E1035" s="21">
        <v>0.96752826000000003</v>
      </c>
      <c r="F1035" s="10"/>
      <c r="G1035" s="14">
        <v>2510000.36</v>
      </c>
      <c r="H1035" s="14">
        <v>2428496.27</v>
      </c>
      <c r="I1035" s="14">
        <v>2510000.36</v>
      </c>
      <c r="J1035" s="14">
        <v>2428496.27</v>
      </c>
      <c r="K1035" s="12">
        <v>3156</v>
      </c>
      <c r="L1035" s="10" t="s">
        <v>101</v>
      </c>
      <c r="M1035" s="10" t="s">
        <v>102</v>
      </c>
      <c r="N1035" s="124" t="s">
        <v>531</v>
      </c>
      <c r="O1035" s="124" t="s">
        <v>531</v>
      </c>
      <c r="P1035" s="21">
        <v>35</v>
      </c>
      <c r="Q1035" s="10" t="s">
        <v>54</v>
      </c>
      <c r="R1035" s="10" t="s">
        <v>28</v>
      </c>
      <c r="S1035" s="10"/>
      <c r="T1035" s="10"/>
      <c r="U1035" s="10" t="s">
        <v>3413</v>
      </c>
      <c r="V1035" s="10" t="s">
        <v>3413</v>
      </c>
      <c r="W1035" s="50">
        <f>+J1035/$W$2</f>
        <v>3.2285810787141737E-5</v>
      </c>
    </row>
    <row r="1036" spans="1:29">
      <c r="A1036" s="10" t="s">
        <v>849</v>
      </c>
      <c r="B1036" s="10" t="s">
        <v>381</v>
      </c>
      <c r="C1036" s="124">
        <v>46329</v>
      </c>
      <c r="D1036" s="124" t="s">
        <v>492</v>
      </c>
      <c r="E1036" s="21">
        <v>0.96573633000000003</v>
      </c>
      <c r="F1036" s="10"/>
      <c r="G1036" s="14">
        <v>15000000</v>
      </c>
      <c r="H1036" s="14">
        <v>14486044.970000001</v>
      </c>
      <c r="I1036" s="14">
        <v>15000000</v>
      </c>
      <c r="J1036" s="14">
        <v>14486044.970000001</v>
      </c>
      <c r="K1036" s="12">
        <v>2592</v>
      </c>
      <c r="L1036" s="10" t="s">
        <v>101</v>
      </c>
      <c r="M1036" s="10" t="s">
        <v>102</v>
      </c>
      <c r="N1036" s="124" t="s">
        <v>349</v>
      </c>
      <c r="O1036" s="124" t="s">
        <v>349</v>
      </c>
      <c r="P1036" s="21">
        <v>37</v>
      </c>
      <c r="Q1036" s="10" t="s">
        <v>54</v>
      </c>
      <c r="R1036" s="10" t="s">
        <v>28</v>
      </c>
      <c r="S1036" s="10"/>
      <c r="T1036" s="10"/>
      <c r="U1036" s="10" t="s">
        <v>1346</v>
      </c>
      <c r="V1036" s="10" t="s">
        <v>1346</v>
      </c>
      <c r="W1036" s="50">
        <f>+J1036/$W$2</f>
        <v>1.9258572176248241E-4</v>
      </c>
    </row>
    <row r="1037" spans="1:29">
      <c r="A1037" s="10" t="s">
        <v>2600</v>
      </c>
      <c r="B1037" s="10" t="s">
        <v>381</v>
      </c>
      <c r="C1037" s="124">
        <v>46329</v>
      </c>
      <c r="D1037" s="124" t="s">
        <v>492</v>
      </c>
      <c r="E1037" s="21">
        <v>0.96932691000000004</v>
      </c>
      <c r="F1037" s="10"/>
      <c r="G1037" s="14">
        <v>5300000</v>
      </c>
      <c r="H1037" s="14">
        <v>5137432.62</v>
      </c>
      <c r="I1037" s="14">
        <v>5300000</v>
      </c>
      <c r="J1037" s="14">
        <v>5137432.62</v>
      </c>
      <c r="K1037" s="12">
        <v>8175672</v>
      </c>
      <c r="L1037" s="10" t="s">
        <v>101</v>
      </c>
      <c r="M1037" s="10" t="s">
        <v>102</v>
      </c>
      <c r="N1037" s="124" t="s">
        <v>423</v>
      </c>
      <c r="O1037" s="124" t="s">
        <v>423</v>
      </c>
      <c r="P1037" s="21">
        <v>33</v>
      </c>
      <c r="Q1037" s="10" t="s">
        <v>54</v>
      </c>
      <c r="R1037" s="10" t="s">
        <v>28</v>
      </c>
      <c r="S1037" s="10"/>
      <c r="T1037" s="10"/>
      <c r="U1037" s="10" t="s">
        <v>2478</v>
      </c>
      <c r="V1037" s="10" t="s">
        <v>2478</v>
      </c>
      <c r="W1037" s="50">
        <f>+J1037/$W$2</f>
        <v>6.8299951517327161E-5</v>
      </c>
    </row>
    <row r="1038" spans="1:29">
      <c r="A1038" s="10" t="s">
        <v>2607</v>
      </c>
      <c r="B1038" s="10" t="s">
        <v>381</v>
      </c>
      <c r="C1038" s="124">
        <v>46329</v>
      </c>
      <c r="D1038" s="124" t="s">
        <v>492</v>
      </c>
      <c r="E1038" s="21">
        <v>0.96932684999999996</v>
      </c>
      <c r="F1038" s="10"/>
      <c r="G1038" s="14">
        <v>155452.9</v>
      </c>
      <c r="H1038" s="14">
        <v>150684.67000000001</v>
      </c>
      <c r="I1038" s="14">
        <v>155452.9</v>
      </c>
      <c r="J1038" s="14">
        <v>150684.67000000001</v>
      </c>
      <c r="K1038" s="12">
        <v>348</v>
      </c>
      <c r="L1038" s="10" t="s">
        <v>101</v>
      </c>
      <c r="M1038" s="10" t="s">
        <v>102</v>
      </c>
      <c r="N1038" s="124" t="s">
        <v>423</v>
      </c>
      <c r="O1038" s="124" t="s">
        <v>423</v>
      </c>
      <c r="P1038" s="21">
        <v>33</v>
      </c>
      <c r="Q1038" s="10" t="s">
        <v>54</v>
      </c>
      <c r="R1038" s="10" t="s">
        <v>28</v>
      </c>
      <c r="S1038" s="10"/>
      <c r="T1038" s="10"/>
      <c r="U1038" s="10" t="s">
        <v>2515</v>
      </c>
      <c r="V1038" s="10" t="s">
        <v>2515</v>
      </c>
      <c r="W1038" s="50">
        <f>+J1038/$W$2</f>
        <v>2.0032877152176535E-6</v>
      </c>
    </row>
    <row r="1039" spans="1:29">
      <c r="A1039" s="10" t="s">
        <v>1821</v>
      </c>
      <c r="B1039" s="10" t="s">
        <v>381</v>
      </c>
      <c r="C1039" s="124">
        <v>46329</v>
      </c>
      <c r="D1039" s="124" t="s">
        <v>492</v>
      </c>
      <c r="E1039" s="21">
        <v>0.97022872999999998</v>
      </c>
      <c r="F1039" s="10"/>
      <c r="G1039" s="14">
        <v>43185942.649999999</v>
      </c>
      <c r="H1039" s="14">
        <v>41900242.100000001</v>
      </c>
      <c r="I1039" s="14">
        <v>43185942.649999999</v>
      </c>
      <c r="J1039" s="14">
        <v>41900242.100000001</v>
      </c>
      <c r="K1039" s="12">
        <v>40085351</v>
      </c>
      <c r="L1039" s="10" t="s">
        <v>101</v>
      </c>
      <c r="M1039" s="10" t="s">
        <v>102</v>
      </c>
      <c r="N1039" s="124" t="s">
        <v>398</v>
      </c>
      <c r="O1039" s="124" t="s">
        <v>398</v>
      </c>
      <c r="P1039" s="21">
        <v>32</v>
      </c>
      <c r="Q1039" s="10" t="s">
        <v>54</v>
      </c>
      <c r="R1039" s="10" t="s">
        <v>28</v>
      </c>
      <c r="S1039" s="10"/>
      <c r="T1039" s="10"/>
      <c r="U1039" s="10" t="s">
        <v>1804</v>
      </c>
      <c r="V1039" s="10" t="s">
        <v>1804</v>
      </c>
      <c r="W1039" s="50">
        <f>+J1039/$W$2</f>
        <v>5.5704565211295569E-4</v>
      </c>
      <c r="AB1039" s="43"/>
      <c r="AC1039" s="47"/>
    </row>
    <row r="1040" spans="1:29">
      <c r="A1040" s="10" t="s">
        <v>181</v>
      </c>
      <c r="B1040" s="10" t="s">
        <v>381</v>
      </c>
      <c r="C1040" s="124">
        <v>46329</v>
      </c>
      <c r="D1040" s="124" t="s">
        <v>492</v>
      </c>
      <c r="E1040" s="21">
        <v>0.97113214999999997</v>
      </c>
      <c r="F1040" s="10"/>
      <c r="G1040" s="14">
        <v>20344755.739999998</v>
      </c>
      <c r="H1040" s="14">
        <v>19757446.350000001</v>
      </c>
      <c r="I1040" s="14">
        <v>20344755.739999998</v>
      </c>
      <c r="J1040" s="14">
        <v>19757446.350000001</v>
      </c>
      <c r="K1040" s="12">
        <v>30418492</v>
      </c>
      <c r="L1040" s="10" t="s">
        <v>101</v>
      </c>
      <c r="M1040" s="10" t="s">
        <v>102</v>
      </c>
      <c r="N1040" s="124" t="s">
        <v>421</v>
      </c>
      <c r="O1040" s="124" t="s">
        <v>421</v>
      </c>
      <c r="P1040" s="21">
        <v>31</v>
      </c>
      <c r="Q1040" s="10" t="s">
        <v>54</v>
      </c>
      <c r="R1040" s="10" t="s">
        <v>28</v>
      </c>
      <c r="S1040" s="10"/>
      <c r="T1040" s="10"/>
      <c r="U1040" s="10" t="s">
        <v>2124</v>
      </c>
      <c r="V1040" s="10" t="s">
        <v>2124</v>
      </c>
      <c r="W1040" s="50">
        <f>+J1040/$W$2</f>
        <v>2.6266673017916729E-4</v>
      </c>
    </row>
    <row r="1041" spans="1:29">
      <c r="A1041" s="10" t="s">
        <v>389</v>
      </c>
      <c r="B1041" s="10" t="s">
        <v>381</v>
      </c>
      <c r="C1041" s="124">
        <v>46329</v>
      </c>
      <c r="D1041" s="124" t="s">
        <v>492</v>
      </c>
      <c r="E1041" s="21">
        <v>0.97022865000000003</v>
      </c>
      <c r="F1041" s="10"/>
      <c r="G1041" s="14">
        <v>11829797.539999999</v>
      </c>
      <c r="H1041" s="14">
        <v>11477608.539999999</v>
      </c>
      <c r="I1041" s="14">
        <v>11829797.539999999</v>
      </c>
      <c r="J1041" s="14">
        <v>11477608.539999999</v>
      </c>
      <c r="K1041" s="12">
        <v>30889</v>
      </c>
      <c r="L1041" s="10" t="s">
        <v>101</v>
      </c>
      <c r="M1041" s="10" t="s">
        <v>102</v>
      </c>
      <c r="N1041" s="124" t="s">
        <v>365</v>
      </c>
      <c r="O1041" s="124" t="s">
        <v>365</v>
      </c>
      <c r="P1041" s="21">
        <v>32</v>
      </c>
      <c r="Q1041" s="10" t="s">
        <v>54</v>
      </c>
      <c r="R1041" s="10" t="s">
        <v>28</v>
      </c>
      <c r="S1041" s="10"/>
      <c r="T1041" s="10"/>
      <c r="U1041" s="10" t="s">
        <v>1079</v>
      </c>
      <c r="V1041" s="10" t="s">
        <v>1079</v>
      </c>
      <c r="W1041" s="50">
        <f>+J1041/$W$2</f>
        <v>1.5258985660757143E-4</v>
      </c>
    </row>
    <row r="1042" spans="1:29">
      <c r="A1042" s="10" t="s">
        <v>389</v>
      </c>
      <c r="B1042" s="10" t="s">
        <v>381</v>
      </c>
      <c r="C1042" s="124">
        <v>46329</v>
      </c>
      <c r="D1042" s="124" t="s">
        <v>492</v>
      </c>
      <c r="E1042" s="21">
        <v>0.97022865000000003</v>
      </c>
      <c r="F1042" s="10"/>
      <c r="G1042" s="14">
        <v>16498838.289999999</v>
      </c>
      <c r="H1042" s="14">
        <v>16007645.66</v>
      </c>
      <c r="I1042" s="14">
        <v>16498838.289999999</v>
      </c>
      <c r="J1042" s="14">
        <v>16007645.66</v>
      </c>
      <c r="K1042" s="12">
        <v>30845</v>
      </c>
      <c r="L1042" s="10" t="s">
        <v>101</v>
      </c>
      <c r="M1042" s="10" t="s">
        <v>102</v>
      </c>
      <c r="N1042" s="124" t="s">
        <v>365</v>
      </c>
      <c r="O1042" s="124" t="s">
        <v>365</v>
      </c>
      <c r="P1042" s="21">
        <v>32</v>
      </c>
      <c r="Q1042" s="10" t="s">
        <v>54</v>
      </c>
      <c r="R1042" s="10" t="s">
        <v>28</v>
      </c>
      <c r="S1042" s="10"/>
      <c r="T1042" s="10"/>
      <c r="U1042" s="10" t="s">
        <v>1080</v>
      </c>
      <c r="V1042" s="10" t="s">
        <v>1080</v>
      </c>
      <c r="W1042" s="50">
        <f>+J1042/$W$2</f>
        <v>2.1281474685006234E-4</v>
      </c>
    </row>
    <row r="1043" spans="1:29">
      <c r="A1043" s="10" t="s">
        <v>389</v>
      </c>
      <c r="B1043" s="10" t="s">
        <v>381</v>
      </c>
      <c r="C1043" s="124">
        <v>46329</v>
      </c>
      <c r="D1043" s="124" t="s">
        <v>492</v>
      </c>
      <c r="E1043" s="21">
        <v>0.97022863000000004</v>
      </c>
      <c r="F1043" s="10"/>
      <c r="G1043" s="14">
        <v>10655603.279999999</v>
      </c>
      <c r="H1043" s="14">
        <v>10338371.390000001</v>
      </c>
      <c r="I1043" s="14">
        <v>10655603.279999999</v>
      </c>
      <c r="J1043" s="14">
        <v>10338371.390000001</v>
      </c>
      <c r="K1043" s="12">
        <v>30835</v>
      </c>
      <c r="L1043" s="10" t="s">
        <v>101</v>
      </c>
      <c r="M1043" s="10" t="s">
        <v>102</v>
      </c>
      <c r="N1043" s="124" t="s">
        <v>396</v>
      </c>
      <c r="O1043" s="124" t="s">
        <v>396</v>
      </c>
      <c r="P1043" s="21">
        <v>32</v>
      </c>
      <c r="Q1043" s="10" t="s">
        <v>54</v>
      </c>
      <c r="R1043" s="10" t="s">
        <v>28</v>
      </c>
      <c r="S1043" s="10"/>
      <c r="T1043" s="10"/>
      <c r="U1043" s="10" t="s">
        <v>862</v>
      </c>
      <c r="V1043" s="10" t="s">
        <v>862</v>
      </c>
      <c r="W1043" s="50">
        <f>+J1043/$W$2</f>
        <v>1.3744418991623139E-4</v>
      </c>
    </row>
    <row r="1044" spans="1:29">
      <c r="A1044" s="10" t="s">
        <v>141</v>
      </c>
      <c r="B1044" s="10" t="s">
        <v>381</v>
      </c>
      <c r="C1044" s="124">
        <v>46329</v>
      </c>
      <c r="D1044" s="124" t="s">
        <v>492</v>
      </c>
      <c r="E1044" s="21">
        <v>0.96842671999999996</v>
      </c>
      <c r="F1044" s="10"/>
      <c r="G1044" s="14">
        <v>20000000</v>
      </c>
      <c r="H1044" s="14">
        <v>19368534.390000001</v>
      </c>
      <c r="I1044" s="14">
        <v>20000000</v>
      </c>
      <c r="J1044" s="14">
        <v>19368534.390000001</v>
      </c>
      <c r="K1044" s="12">
        <v>58</v>
      </c>
      <c r="L1044" s="10" t="s">
        <v>101</v>
      </c>
      <c r="M1044" s="10" t="s">
        <v>102</v>
      </c>
      <c r="N1044" s="124" t="s">
        <v>279</v>
      </c>
      <c r="O1044" s="124" t="s">
        <v>279</v>
      </c>
      <c r="P1044" s="21">
        <v>34</v>
      </c>
      <c r="Q1044" s="10" t="s">
        <v>54</v>
      </c>
      <c r="R1044" s="10" t="s">
        <v>28</v>
      </c>
      <c r="S1044" s="10"/>
      <c r="T1044" s="10"/>
      <c r="U1044" s="10" t="s">
        <v>1192</v>
      </c>
      <c r="V1044" s="10" t="s">
        <v>1192</v>
      </c>
      <c r="W1044" s="50">
        <f>+J1044/$W$2</f>
        <v>2.5749631336258454E-4</v>
      </c>
      <c r="AC1044" s="47"/>
    </row>
    <row r="1045" spans="1:29">
      <c r="A1045" s="10" t="s">
        <v>353</v>
      </c>
      <c r="B1045" s="10" t="s">
        <v>381</v>
      </c>
      <c r="C1045" s="124">
        <v>46329</v>
      </c>
      <c r="D1045" s="124" t="s">
        <v>492</v>
      </c>
      <c r="E1045" s="21">
        <v>0.96932689000000005</v>
      </c>
      <c r="F1045" s="10"/>
      <c r="G1045" s="14">
        <v>2502550.36</v>
      </c>
      <c r="H1045" s="14">
        <v>2425789.35</v>
      </c>
      <c r="I1045" s="14">
        <v>2502550.36</v>
      </c>
      <c r="J1045" s="14">
        <v>2425789.35</v>
      </c>
      <c r="K1045" s="12">
        <v>3143</v>
      </c>
      <c r="L1045" s="10" t="s">
        <v>101</v>
      </c>
      <c r="M1045" s="10" t="s">
        <v>102</v>
      </c>
      <c r="N1045" s="124" t="s">
        <v>364</v>
      </c>
      <c r="O1045" s="124" t="s">
        <v>364</v>
      </c>
      <c r="P1045" s="21">
        <v>33</v>
      </c>
      <c r="Q1045" s="10" t="s">
        <v>54</v>
      </c>
      <c r="R1045" s="10" t="s">
        <v>28</v>
      </c>
      <c r="S1045" s="10"/>
      <c r="T1045" s="10"/>
      <c r="U1045" s="10" t="s">
        <v>1142</v>
      </c>
      <c r="V1045" s="10" t="s">
        <v>1142</v>
      </c>
      <c r="W1045" s="50">
        <f>+J1045/$W$2</f>
        <v>3.2249823452915388E-5</v>
      </c>
    </row>
    <row r="1046" spans="1:29">
      <c r="A1046" s="10" t="s">
        <v>353</v>
      </c>
      <c r="B1046" s="10" t="s">
        <v>381</v>
      </c>
      <c r="C1046" s="124">
        <v>46329</v>
      </c>
      <c r="D1046" s="124" t="s">
        <v>492</v>
      </c>
      <c r="E1046" s="21">
        <v>0.96932689000000005</v>
      </c>
      <c r="F1046" s="10"/>
      <c r="G1046" s="14">
        <v>2502550.36</v>
      </c>
      <c r="H1046" s="14">
        <v>2425789.35</v>
      </c>
      <c r="I1046" s="14">
        <v>2502550.36</v>
      </c>
      <c r="J1046" s="14">
        <v>2425789.35</v>
      </c>
      <c r="K1046" s="12">
        <v>3133</v>
      </c>
      <c r="L1046" s="10" t="s">
        <v>101</v>
      </c>
      <c r="M1046" s="10" t="s">
        <v>102</v>
      </c>
      <c r="N1046" s="124" t="s">
        <v>364</v>
      </c>
      <c r="O1046" s="124" t="s">
        <v>364</v>
      </c>
      <c r="P1046" s="21">
        <v>33</v>
      </c>
      <c r="Q1046" s="10" t="s">
        <v>54</v>
      </c>
      <c r="R1046" s="10" t="s">
        <v>28</v>
      </c>
      <c r="S1046" s="10"/>
      <c r="T1046" s="10"/>
      <c r="U1046" s="10" t="s">
        <v>1143</v>
      </c>
      <c r="V1046" s="10" t="s">
        <v>1143</v>
      </c>
      <c r="W1046" s="50">
        <f>+J1046/$W$2</f>
        <v>3.2249823452915388E-5</v>
      </c>
    </row>
    <row r="1047" spans="1:29">
      <c r="A1047" s="10" t="s">
        <v>353</v>
      </c>
      <c r="B1047" s="10" t="s">
        <v>381</v>
      </c>
      <c r="C1047" s="124">
        <v>46329</v>
      </c>
      <c r="D1047" s="124" t="s">
        <v>492</v>
      </c>
      <c r="E1047" s="21">
        <v>0.96842669999999997</v>
      </c>
      <c r="F1047" s="10"/>
      <c r="G1047" s="14">
        <v>990902.64</v>
      </c>
      <c r="H1047" s="14">
        <v>959616.57</v>
      </c>
      <c r="I1047" s="14">
        <v>990902.64</v>
      </c>
      <c r="J1047" s="14">
        <v>959616.57</v>
      </c>
      <c r="K1047" s="12">
        <v>2959</v>
      </c>
      <c r="L1047" s="10" t="s">
        <v>101</v>
      </c>
      <c r="M1047" s="10" t="s">
        <v>102</v>
      </c>
      <c r="N1047" s="124" t="s">
        <v>323</v>
      </c>
      <c r="O1047" s="124" t="s">
        <v>323</v>
      </c>
      <c r="P1047" s="21">
        <v>34</v>
      </c>
      <c r="Q1047" s="10" t="s">
        <v>54</v>
      </c>
      <c r="R1047" s="10" t="s">
        <v>28</v>
      </c>
      <c r="S1047" s="10"/>
      <c r="T1047" s="10"/>
      <c r="U1047" s="10" t="s">
        <v>912</v>
      </c>
      <c r="V1047" s="10" t="s">
        <v>912</v>
      </c>
      <c r="W1047" s="50">
        <f>+J1047/$W$2</f>
        <v>1.2757688529299637E-5</v>
      </c>
    </row>
    <row r="1048" spans="1:29">
      <c r="A1048" s="10" t="s">
        <v>353</v>
      </c>
      <c r="B1048" s="10" t="s">
        <v>381</v>
      </c>
      <c r="C1048" s="124">
        <v>46329</v>
      </c>
      <c r="D1048" s="124" t="s">
        <v>492</v>
      </c>
      <c r="E1048" s="21">
        <v>0.96842671999999996</v>
      </c>
      <c r="F1048" s="10"/>
      <c r="G1048" s="14">
        <v>1020845.65</v>
      </c>
      <c r="H1048" s="14">
        <v>988614.2</v>
      </c>
      <c r="I1048" s="14">
        <v>1020845.65</v>
      </c>
      <c r="J1048" s="14">
        <v>988614.2</v>
      </c>
      <c r="K1048" s="12">
        <v>2909</v>
      </c>
      <c r="L1048" s="10" t="s">
        <v>101</v>
      </c>
      <c r="M1048" s="10" t="s">
        <v>102</v>
      </c>
      <c r="N1048" s="124" t="s">
        <v>323</v>
      </c>
      <c r="O1048" s="124" t="s">
        <v>323</v>
      </c>
      <c r="P1048" s="21">
        <v>34</v>
      </c>
      <c r="Q1048" s="10" t="s">
        <v>54</v>
      </c>
      <c r="R1048" s="10" t="s">
        <v>28</v>
      </c>
      <c r="S1048" s="10"/>
      <c r="T1048" s="10"/>
      <c r="U1048" s="10" t="s">
        <v>913</v>
      </c>
      <c r="V1048" s="10" t="s">
        <v>913</v>
      </c>
      <c r="W1048" s="50">
        <f>+J1048/$W$2</f>
        <v>1.3143199516909902E-5</v>
      </c>
    </row>
    <row r="1049" spans="1:29">
      <c r="A1049" s="10" t="s">
        <v>273</v>
      </c>
      <c r="B1049" s="10" t="s">
        <v>381</v>
      </c>
      <c r="C1049" s="124">
        <v>46329</v>
      </c>
      <c r="D1049" s="124" t="s">
        <v>492</v>
      </c>
      <c r="E1049" s="21">
        <v>0.97567495999999998</v>
      </c>
      <c r="F1049" s="10"/>
      <c r="G1049" s="14">
        <v>15000000</v>
      </c>
      <c r="H1049" s="14">
        <v>14635124.460000001</v>
      </c>
      <c r="I1049" s="14">
        <v>15000000</v>
      </c>
      <c r="J1049" s="14">
        <v>14635124.460000001</v>
      </c>
      <c r="K1049" s="12">
        <v>9621093</v>
      </c>
      <c r="L1049" s="10" t="s">
        <v>101</v>
      </c>
      <c r="M1049" s="10" t="s">
        <v>102</v>
      </c>
      <c r="N1049" s="124" t="s">
        <v>319</v>
      </c>
      <c r="O1049" s="124" t="s">
        <v>319</v>
      </c>
      <c r="P1049" s="21">
        <v>26</v>
      </c>
      <c r="Q1049" s="10" t="s">
        <v>54</v>
      </c>
      <c r="R1049" s="10" t="s">
        <v>28</v>
      </c>
      <c r="S1049" s="10"/>
      <c r="T1049" s="10"/>
      <c r="U1049" s="10" t="s">
        <v>1011</v>
      </c>
      <c r="V1049" s="10" t="s">
        <v>1011</v>
      </c>
      <c r="W1049" s="50">
        <f>+J1049/$W$2</f>
        <v>1.9456766930172386E-4</v>
      </c>
    </row>
    <row r="1050" spans="1:29">
      <c r="A1050" s="10" t="s">
        <v>273</v>
      </c>
      <c r="B1050" s="10" t="s">
        <v>381</v>
      </c>
      <c r="C1050" s="124">
        <v>46329</v>
      </c>
      <c r="D1050" s="124" t="s">
        <v>492</v>
      </c>
      <c r="E1050" s="21">
        <v>0.97203737999999995</v>
      </c>
      <c r="F1050" s="10"/>
      <c r="G1050" s="14">
        <v>25000000</v>
      </c>
      <c r="H1050" s="14">
        <v>24300934.559999999</v>
      </c>
      <c r="I1050" s="14">
        <v>25000000</v>
      </c>
      <c r="J1050" s="14">
        <v>24300934.559999999</v>
      </c>
      <c r="K1050" s="12">
        <v>12742279</v>
      </c>
      <c r="L1050" s="10" t="s">
        <v>101</v>
      </c>
      <c r="M1050" s="10" t="s">
        <v>102</v>
      </c>
      <c r="N1050" s="124" t="s">
        <v>322</v>
      </c>
      <c r="O1050" s="124" t="s">
        <v>322</v>
      </c>
      <c r="P1050" s="21">
        <v>30</v>
      </c>
      <c r="Q1050" s="10" t="s">
        <v>54</v>
      </c>
      <c r="R1050" s="10" t="s">
        <v>28</v>
      </c>
      <c r="S1050" s="10"/>
      <c r="T1050" s="10"/>
      <c r="U1050" s="10" t="s">
        <v>1574</v>
      </c>
      <c r="V1050" s="10" t="s">
        <v>1574</v>
      </c>
      <c r="W1050" s="50">
        <f>+J1050/$W$2</f>
        <v>3.2307044686334782E-4</v>
      </c>
    </row>
    <row r="1051" spans="1:29">
      <c r="A1051" s="10" t="s">
        <v>219</v>
      </c>
      <c r="B1051" s="10" t="s">
        <v>381</v>
      </c>
      <c r="C1051" s="124">
        <v>46329</v>
      </c>
      <c r="D1051" s="124" t="s">
        <v>492</v>
      </c>
      <c r="E1051" s="21">
        <v>0.97022863999999998</v>
      </c>
      <c r="F1051" s="10"/>
      <c r="G1051" s="14">
        <v>50000000</v>
      </c>
      <c r="H1051" s="14">
        <v>48511431.759999998</v>
      </c>
      <c r="I1051" s="14">
        <v>50000000</v>
      </c>
      <c r="J1051" s="14">
        <v>48511431.759999998</v>
      </c>
      <c r="K1051" s="12">
        <v>5166</v>
      </c>
      <c r="L1051" s="10" t="s">
        <v>101</v>
      </c>
      <c r="M1051" s="10" t="s">
        <v>102</v>
      </c>
      <c r="N1051" s="124" t="s">
        <v>414</v>
      </c>
      <c r="O1051" s="124" t="s">
        <v>414</v>
      </c>
      <c r="P1051" s="21">
        <v>32</v>
      </c>
      <c r="Q1051" s="10" t="s">
        <v>54</v>
      </c>
      <c r="R1051" s="10" t="s">
        <v>28</v>
      </c>
      <c r="S1051" s="10"/>
      <c r="T1051" s="10"/>
      <c r="U1051" s="10" t="s">
        <v>1484</v>
      </c>
      <c r="V1051" s="10" t="s">
        <v>1484</v>
      </c>
      <c r="W1051" s="50">
        <f>+J1051/$W$2</f>
        <v>6.4493856802040638E-4</v>
      </c>
    </row>
    <row r="1052" spans="1:29">
      <c r="A1052" s="10" t="s">
        <v>186</v>
      </c>
      <c r="B1052" s="10" t="s">
        <v>381</v>
      </c>
      <c r="C1052" s="124">
        <v>46329</v>
      </c>
      <c r="D1052" s="124" t="s">
        <v>492</v>
      </c>
      <c r="E1052" s="21">
        <v>0.96573620999999998</v>
      </c>
      <c r="F1052" s="10"/>
      <c r="G1052" s="14">
        <v>10000000</v>
      </c>
      <c r="H1052" s="14">
        <v>9657362.1199999992</v>
      </c>
      <c r="I1052" s="14">
        <v>10000000</v>
      </c>
      <c r="J1052" s="14">
        <v>9657362.1199999992</v>
      </c>
      <c r="K1052" s="12">
        <v>16854858</v>
      </c>
      <c r="L1052" s="10" t="s">
        <v>101</v>
      </c>
      <c r="M1052" s="10" t="s">
        <v>102</v>
      </c>
      <c r="N1052" s="124" t="s">
        <v>390</v>
      </c>
      <c r="O1052" s="124" t="s">
        <v>390</v>
      </c>
      <c r="P1052" s="21">
        <v>37</v>
      </c>
      <c r="Q1052" s="10" t="s">
        <v>54</v>
      </c>
      <c r="R1052" s="10" t="s">
        <v>28</v>
      </c>
      <c r="S1052" s="10"/>
      <c r="T1052" s="10"/>
      <c r="U1052" s="10" t="s">
        <v>2061</v>
      </c>
      <c r="V1052" s="10" t="s">
        <v>2061</v>
      </c>
      <c r="W1052" s="50">
        <f>+J1052/$W$2</f>
        <v>1.2839046531013613E-4</v>
      </c>
    </row>
    <row r="1053" spans="1:29">
      <c r="A1053" s="10" t="s">
        <v>1671</v>
      </c>
      <c r="B1053" s="10" t="s">
        <v>381</v>
      </c>
      <c r="C1053" s="124">
        <v>46329</v>
      </c>
      <c r="D1053" s="124" t="s">
        <v>492</v>
      </c>
      <c r="E1053" s="21">
        <v>0.96932680999999998</v>
      </c>
      <c r="F1053" s="10"/>
      <c r="G1053" s="14">
        <v>44921898.869999997</v>
      </c>
      <c r="H1053" s="14">
        <v>43544000.840000004</v>
      </c>
      <c r="I1053" s="14">
        <v>44921898.869999997</v>
      </c>
      <c r="J1053" s="14">
        <v>43544000.840000004</v>
      </c>
      <c r="K1053" s="12">
        <v>72662198</v>
      </c>
      <c r="L1053" s="10" t="s">
        <v>101</v>
      </c>
      <c r="M1053" s="10" t="s">
        <v>102</v>
      </c>
      <c r="N1053" s="124" t="s">
        <v>163</v>
      </c>
      <c r="O1053" s="124" t="s">
        <v>163</v>
      </c>
      <c r="P1053" s="21">
        <v>33</v>
      </c>
      <c r="Q1053" s="10" t="s">
        <v>54</v>
      </c>
      <c r="R1053" s="10" t="s">
        <v>28</v>
      </c>
      <c r="S1053" s="10"/>
      <c r="T1053" s="10"/>
      <c r="U1053" s="10" t="s">
        <v>1660</v>
      </c>
      <c r="V1053" s="10" t="s">
        <v>1660</v>
      </c>
      <c r="W1053" s="50">
        <f>+J1053/$W$2</f>
        <v>5.7889871580300227E-4</v>
      </c>
    </row>
    <row r="1054" spans="1:29">
      <c r="A1054" s="10" t="s">
        <v>1883</v>
      </c>
      <c r="B1054" s="10" t="s">
        <v>381</v>
      </c>
      <c r="C1054" s="124">
        <v>46329</v>
      </c>
      <c r="D1054" s="124" t="s">
        <v>492</v>
      </c>
      <c r="E1054" s="21">
        <v>0.97022865999999997</v>
      </c>
      <c r="F1054" s="10"/>
      <c r="G1054" s="14">
        <v>100000000</v>
      </c>
      <c r="H1054" s="14">
        <v>97022865.959999993</v>
      </c>
      <c r="I1054" s="14">
        <v>100000000</v>
      </c>
      <c r="J1054" s="14">
        <v>97022865.959999993</v>
      </c>
      <c r="K1054" s="12">
        <v>1240</v>
      </c>
      <c r="L1054" s="10" t="s">
        <v>101</v>
      </c>
      <c r="M1054" s="10" t="s">
        <v>102</v>
      </c>
      <c r="N1054" s="124" t="s">
        <v>533</v>
      </c>
      <c r="O1054" s="124" t="s">
        <v>533</v>
      </c>
      <c r="P1054" s="21">
        <v>32</v>
      </c>
      <c r="Q1054" s="10" t="s">
        <v>54</v>
      </c>
      <c r="R1054" s="10" t="s">
        <v>28</v>
      </c>
      <c r="S1054" s="10"/>
      <c r="T1054" s="10"/>
      <c r="U1054" s="10" t="s">
        <v>1851</v>
      </c>
      <c r="V1054" s="10" t="s">
        <v>1851</v>
      </c>
      <c r="W1054" s="50">
        <f>+J1054/$W$2</f>
        <v>1.2898771684795606E-3</v>
      </c>
    </row>
    <row r="1055" spans="1:29">
      <c r="A1055" s="10" t="s">
        <v>1883</v>
      </c>
      <c r="B1055" s="10" t="s">
        <v>381</v>
      </c>
      <c r="C1055" s="124">
        <v>46329</v>
      </c>
      <c r="D1055" s="124" t="s">
        <v>492</v>
      </c>
      <c r="E1055" s="21">
        <v>0.97022865999999997</v>
      </c>
      <c r="F1055" s="10"/>
      <c r="G1055" s="14">
        <v>100000000</v>
      </c>
      <c r="H1055" s="14">
        <v>97022865.959999993</v>
      </c>
      <c r="I1055" s="14">
        <v>100000000</v>
      </c>
      <c r="J1055" s="14">
        <v>97022865.959999993</v>
      </c>
      <c r="K1055" s="12">
        <v>1241</v>
      </c>
      <c r="L1055" s="10" t="s">
        <v>101</v>
      </c>
      <c r="M1055" s="10" t="s">
        <v>102</v>
      </c>
      <c r="N1055" s="124" t="s">
        <v>533</v>
      </c>
      <c r="O1055" s="124" t="s">
        <v>533</v>
      </c>
      <c r="P1055" s="21">
        <v>32</v>
      </c>
      <c r="Q1055" s="10" t="s">
        <v>54</v>
      </c>
      <c r="R1055" s="10" t="s">
        <v>28</v>
      </c>
      <c r="S1055" s="10"/>
      <c r="T1055" s="10"/>
      <c r="U1055" s="10" t="s">
        <v>1852</v>
      </c>
      <c r="V1055" s="10" t="s">
        <v>1852</v>
      </c>
      <c r="W1055" s="50">
        <f>+J1055/$W$2</f>
        <v>1.2898771684795606E-3</v>
      </c>
    </row>
    <row r="1056" spans="1:29">
      <c r="A1056" s="10" t="s">
        <v>1883</v>
      </c>
      <c r="B1056" s="10" t="s">
        <v>381</v>
      </c>
      <c r="C1056" s="124">
        <v>46329</v>
      </c>
      <c r="D1056" s="124" t="s">
        <v>492</v>
      </c>
      <c r="E1056" s="21">
        <v>0.97022865999999997</v>
      </c>
      <c r="F1056" s="10"/>
      <c r="G1056" s="14">
        <v>100000000</v>
      </c>
      <c r="H1056" s="14">
        <v>97022865.959999993</v>
      </c>
      <c r="I1056" s="14">
        <v>100000000</v>
      </c>
      <c r="J1056" s="14">
        <v>97022865.959999993</v>
      </c>
      <c r="K1056" s="12">
        <v>1239</v>
      </c>
      <c r="L1056" s="10" t="s">
        <v>101</v>
      </c>
      <c r="M1056" s="10" t="s">
        <v>102</v>
      </c>
      <c r="N1056" s="124" t="s">
        <v>533</v>
      </c>
      <c r="O1056" s="124" t="s">
        <v>533</v>
      </c>
      <c r="P1056" s="21">
        <v>32</v>
      </c>
      <c r="Q1056" s="10" t="s">
        <v>54</v>
      </c>
      <c r="R1056" s="10" t="s">
        <v>28</v>
      </c>
      <c r="S1056" s="10"/>
      <c r="T1056" s="10"/>
      <c r="U1056" s="10" t="s">
        <v>1853</v>
      </c>
      <c r="V1056" s="10" t="s">
        <v>1853</v>
      </c>
      <c r="W1056" s="50">
        <f>+J1056/$W$2</f>
        <v>1.2898771684795606E-3</v>
      </c>
    </row>
    <row r="1057" spans="1:29">
      <c r="A1057" s="10" t="s">
        <v>2018</v>
      </c>
      <c r="B1057" s="10" t="s">
        <v>381</v>
      </c>
      <c r="C1057" s="124">
        <v>46329</v>
      </c>
      <c r="D1057" s="124" t="s">
        <v>492</v>
      </c>
      <c r="E1057" s="21">
        <v>0.97022872000000004</v>
      </c>
      <c r="F1057" s="10"/>
      <c r="G1057" s="14">
        <v>1217387.51</v>
      </c>
      <c r="H1057" s="14">
        <v>1181144.33</v>
      </c>
      <c r="I1057" s="14">
        <v>1217387.51</v>
      </c>
      <c r="J1057" s="14">
        <v>1181144.33</v>
      </c>
      <c r="K1057" s="12">
        <v>1808</v>
      </c>
      <c r="L1057" s="10" t="s">
        <v>101</v>
      </c>
      <c r="M1057" s="10" t="s">
        <v>102</v>
      </c>
      <c r="N1057" s="124" t="s">
        <v>164</v>
      </c>
      <c r="O1057" s="124" t="s">
        <v>164</v>
      </c>
      <c r="P1057" s="21">
        <v>32</v>
      </c>
      <c r="Q1057" s="10" t="s">
        <v>54</v>
      </c>
      <c r="R1057" s="10" t="s">
        <v>28</v>
      </c>
      <c r="S1057" s="10"/>
      <c r="T1057" s="10"/>
      <c r="U1057" s="10" t="s">
        <v>1985</v>
      </c>
      <c r="V1057" s="10" t="s">
        <v>1985</v>
      </c>
      <c r="W1057" s="50">
        <f>+J1057/$W$2</f>
        <v>1.5702804579842038E-5</v>
      </c>
      <c r="AC1057" s="47"/>
    </row>
    <row r="1058" spans="1:29">
      <c r="A1058" s="10" t="s">
        <v>404</v>
      </c>
      <c r="B1058" s="10" t="s">
        <v>381</v>
      </c>
      <c r="C1058" s="124">
        <v>46329</v>
      </c>
      <c r="D1058" s="124" t="s">
        <v>492</v>
      </c>
      <c r="E1058" s="21">
        <v>0.97203740000000005</v>
      </c>
      <c r="F1058" s="10"/>
      <c r="G1058" s="14">
        <v>4649844.34</v>
      </c>
      <c r="H1058" s="14">
        <v>4519822.5999999996</v>
      </c>
      <c r="I1058" s="14">
        <v>4649844.34</v>
      </c>
      <c r="J1058" s="14">
        <v>4519822.5999999996</v>
      </c>
      <c r="K1058" s="12">
        <v>22296</v>
      </c>
      <c r="L1058" s="10" t="s">
        <v>101</v>
      </c>
      <c r="M1058" s="10" t="s">
        <v>102</v>
      </c>
      <c r="N1058" s="124" t="s">
        <v>423</v>
      </c>
      <c r="O1058" s="124" t="s">
        <v>423</v>
      </c>
      <c r="P1058" s="21">
        <v>30</v>
      </c>
      <c r="Q1058" s="10" t="s">
        <v>54</v>
      </c>
      <c r="R1058" s="10" t="s">
        <v>28</v>
      </c>
      <c r="S1058" s="10"/>
      <c r="T1058" s="10"/>
      <c r="U1058" s="10" t="s">
        <v>2529</v>
      </c>
      <c r="V1058" s="10" t="s">
        <v>2529</v>
      </c>
      <c r="W1058" s="50">
        <f>+J1058/$W$2</f>
        <v>6.0089092603402269E-5</v>
      </c>
    </row>
    <row r="1059" spans="1:29">
      <c r="A1059" s="10" t="s">
        <v>151</v>
      </c>
      <c r="B1059" s="10" t="s">
        <v>381</v>
      </c>
      <c r="C1059" s="124">
        <v>46329</v>
      </c>
      <c r="D1059" s="124" t="s">
        <v>492</v>
      </c>
      <c r="E1059" s="21">
        <v>0.97476299</v>
      </c>
      <c r="F1059" s="10"/>
      <c r="G1059" s="14">
        <v>110000000</v>
      </c>
      <c r="H1059" s="14">
        <v>107223929.43000001</v>
      </c>
      <c r="I1059" s="14">
        <v>110000000</v>
      </c>
      <c r="J1059" s="14">
        <v>107223929.43000001</v>
      </c>
      <c r="K1059" s="12">
        <v>377</v>
      </c>
      <c r="L1059" s="10" t="s">
        <v>101</v>
      </c>
      <c r="M1059" s="10" t="s">
        <v>102</v>
      </c>
      <c r="N1059" s="124" t="s">
        <v>394</v>
      </c>
      <c r="O1059" s="124" t="s">
        <v>394</v>
      </c>
      <c r="P1059" s="21">
        <v>27</v>
      </c>
      <c r="Q1059" s="10" t="s">
        <v>54</v>
      </c>
      <c r="R1059" s="10" t="s">
        <v>28</v>
      </c>
      <c r="S1059" s="10"/>
      <c r="T1059" s="10"/>
      <c r="U1059" s="10" t="s">
        <v>802</v>
      </c>
      <c r="V1059" s="10" t="s">
        <v>802</v>
      </c>
      <c r="W1059" s="50">
        <f>+J1059/$W$2</f>
        <v>1.4254959088040183E-3</v>
      </c>
    </row>
    <row r="1060" spans="1:29">
      <c r="A1060" s="10" t="s">
        <v>273</v>
      </c>
      <c r="B1060" s="10" t="s">
        <v>381</v>
      </c>
      <c r="C1060" s="124">
        <v>46329</v>
      </c>
      <c r="D1060" s="124" t="s">
        <v>492</v>
      </c>
      <c r="E1060" s="21">
        <v>0.97476302000000004</v>
      </c>
      <c r="F1060" s="10"/>
      <c r="G1060" s="14">
        <v>10000000</v>
      </c>
      <c r="H1060" s="14">
        <v>9747630.1600000001</v>
      </c>
      <c r="I1060" s="14">
        <v>10000000</v>
      </c>
      <c r="J1060" s="14">
        <v>9747630.1600000001</v>
      </c>
      <c r="K1060" s="12">
        <v>2013</v>
      </c>
      <c r="L1060" s="10" t="s">
        <v>101</v>
      </c>
      <c r="M1060" s="10" t="s">
        <v>102</v>
      </c>
      <c r="N1060" s="124" t="s">
        <v>395</v>
      </c>
      <c r="O1060" s="124" t="s">
        <v>395</v>
      </c>
      <c r="P1060" s="21">
        <v>27</v>
      </c>
      <c r="Q1060" s="10" t="s">
        <v>54</v>
      </c>
      <c r="R1060" s="10" t="s">
        <v>28</v>
      </c>
      <c r="S1060" s="10"/>
      <c r="T1060" s="10"/>
      <c r="U1060" s="10" t="s">
        <v>834</v>
      </c>
      <c r="V1060" s="10" t="s">
        <v>834</v>
      </c>
      <c r="W1060" s="50">
        <f>+J1060/$W$2</f>
        <v>1.2959053998003306E-4</v>
      </c>
    </row>
    <row r="1061" spans="1:29">
      <c r="A1061" s="10" t="s">
        <v>273</v>
      </c>
      <c r="B1061" s="10" t="s">
        <v>381</v>
      </c>
      <c r="C1061" s="124">
        <v>46329</v>
      </c>
      <c r="D1061" s="124" t="s">
        <v>492</v>
      </c>
      <c r="E1061" s="21">
        <v>0.97567506000000004</v>
      </c>
      <c r="F1061" s="10"/>
      <c r="G1061" s="14">
        <v>4000000</v>
      </c>
      <c r="H1061" s="14">
        <v>3902700.22</v>
      </c>
      <c r="I1061" s="14">
        <v>4000000</v>
      </c>
      <c r="J1061" s="14">
        <v>3902700.22</v>
      </c>
      <c r="K1061" s="12">
        <v>90002222</v>
      </c>
      <c r="L1061" s="10" t="s">
        <v>101</v>
      </c>
      <c r="M1061" s="10" t="s">
        <v>102</v>
      </c>
      <c r="N1061" s="124" t="s">
        <v>532</v>
      </c>
      <c r="O1061" s="124" t="s">
        <v>532</v>
      </c>
      <c r="P1061" s="21">
        <v>26</v>
      </c>
      <c r="Q1061" s="10" t="s">
        <v>54</v>
      </c>
      <c r="R1061" s="10" t="s">
        <v>28</v>
      </c>
      <c r="S1061" s="10"/>
      <c r="T1061" s="10"/>
      <c r="U1061" s="10" t="s">
        <v>3034</v>
      </c>
      <c r="V1061" s="10" t="s">
        <v>3034</v>
      </c>
      <c r="W1061" s="50">
        <f>+J1061/$W$2</f>
        <v>5.1884716653016078E-5</v>
      </c>
    </row>
    <row r="1062" spans="1:29">
      <c r="A1062" s="10" t="s">
        <v>800</v>
      </c>
      <c r="B1062" s="10" t="s">
        <v>381</v>
      </c>
      <c r="C1062" s="124">
        <v>46329</v>
      </c>
      <c r="D1062" s="124" t="s">
        <v>492</v>
      </c>
      <c r="E1062" s="21">
        <v>0.96752819000000001</v>
      </c>
      <c r="F1062" s="10"/>
      <c r="G1062" s="14">
        <v>10867742.35</v>
      </c>
      <c r="H1062" s="14">
        <v>10514847.109999999</v>
      </c>
      <c r="I1062" s="14">
        <v>10867742.35</v>
      </c>
      <c r="J1062" s="14">
        <v>10514847.109999999</v>
      </c>
      <c r="K1062" s="12">
        <v>40603614</v>
      </c>
      <c r="L1062" s="10" t="s">
        <v>101</v>
      </c>
      <c r="M1062" s="10" t="s">
        <v>102</v>
      </c>
      <c r="N1062" s="124" t="s">
        <v>352</v>
      </c>
      <c r="O1062" s="124" t="s">
        <v>352</v>
      </c>
      <c r="P1062" s="21">
        <v>35</v>
      </c>
      <c r="Q1062" s="10" t="s">
        <v>54</v>
      </c>
      <c r="R1062" s="10" t="s">
        <v>28</v>
      </c>
      <c r="S1062" s="10"/>
      <c r="T1062" s="10"/>
      <c r="U1062" s="10" t="s">
        <v>797</v>
      </c>
      <c r="V1062" s="10" t="s">
        <v>797</v>
      </c>
      <c r="W1062" s="50">
        <f>+J1062/$W$2</f>
        <v>1.3979035852057707E-4</v>
      </c>
    </row>
    <row r="1063" spans="1:29">
      <c r="A1063" s="10" t="s">
        <v>1277</v>
      </c>
      <c r="B1063" s="10" t="s">
        <v>381</v>
      </c>
      <c r="C1063" s="124">
        <v>46329</v>
      </c>
      <c r="D1063" s="124" t="s">
        <v>492</v>
      </c>
      <c r="E1063" s="21">
        <v>0.97203729000000005</v>
      </c>
      <c r="F1063" s="10"/>
      <c r="G1063" s="14">
        <v>4957748.6399999997</v>
      </c>
      <c r="H1063" s="14">
        <v>4819116.54</v>
      </c>
      <c r="I1063" s="14">
        <v>4957748.6399999997</v>
      </c>
      <c r="J1063" s="14">
        <v>4819116.54</v>
      </c>
      <c r="K1063" s="12">
        <v>68735252</v>
      </c>
      <c r="L1063" s="10" t="s">
        <v>101</v>
      </c>
      <c r="M1063" s="10" t="s">
        <v>102</v>
      </c>
      <c r="N1063" s="124" t="s">
        <v>165</v>
      </c>
      <c r="O1063" s="124" t="s">
        <v>165</v>
      </c>
      <c r="P1063" s="21">
        <v>30</v>
      </c>
      <c r="Q1063" s="10" t="s">
        <v>54</v>
      </c>
      <c r="R1063" s="10" t="s">
        <v>28</v>
      </c>
      <c r="S1063" s="10"/>
      <c r="T1063" s="10"/>
      <c r="U1063" s="10" t="s">
        <v>1269</v>
      </c>
      <c r="V1063" s="10" t="s">
        <v>1269</v>
      </c>
      <c r="W1063" s="50">
        <f>+J1063/$W$2</f>
        <v>6.4068076485711533E-5</v>
      </c>
    </row>
    <row r="1064" spans="1:29">
      <c r="A1064" s="10" t="s">
        <v>1331</v>
      </c>
      <c r="B1064" s="10" t="s">
        <v>381</v>
      </c>
      <c r="C1064" s="124">
        <v>46329</v>
      </c>
      <c r="D1064" s="124" t="s">
        <v>492</v>
      </c>
      <c r="E1064" s="21">
        <v>0.97203735000000002</v>
      </c>
      <c r="F1064" s="10"/>
      <c r="G1064" s="14">
        <v>12000000</v>
      </c>
      <c r="H1064" s="14">
        <v>11664448.23</v>
      </c>
      <c r="I1064" s="14">
        <v>12000000</v>
      </c>
      <c r="J1064" s="14">
        <v>11664448.23</v>
      </c>
      <c r="K1064" s="12">
        <v>374</v>
      </c>
      <c r="L1064" s="10" t="s">
        <v>101</v>
      </c>
      <c r="M1064" s="10" t="s">
        <v>102</v>
      </c>
      <c r="N1064" s="124" t="s">
        <v>435</v>
      </c>
      <c r="O1064" s="124" t="s">
        <v>435</v>
      </c>
      <c r="P1064" s="21">
        <v>30</v>
      </c>
      <c r="Q1064" s="10" t="s">
        <v>54</v>
      </c>
      <c r="R1064" s="10" t="s">
        <v>28</v>
      </c>
      <c r="S1064" s="10"/>
      <c r="T1064" s="10"/>
      <c r="U1064" s="10" t="s">
        <v>1327</v>
      </c>
      <c r="V1064" s="10" t="s">
        <v>1327</v>
      </c>
      <c r="W1064" s="50">
        <f>+J1064/$W$2</f>
        <v>1.5507380972431569E-4</v>
      </c>
    </row>
    <row r="1065" spans="1:29">
      <c r="A1065" s="10" t="s">
        <v>1431</v>
      </c>
      <c r="B1065" s="10" t="s">
        <v>381</v>
      </c>
      <c r="C1065" s="124">
        <v>46329</v>
      </c>
      <c r="D1065" s="124" t="s">
        <v>492</v>
      </c>
      <c r="E1065" s="21">
        <v>0.97022872000000004</v>
      </c>
      <c r="F1065" s="10"/>
      <c r="G1065" s="14">
        <v>5444206</v>
      </c>
      <c r="H1065" s="14">
        <v>5282125.04</v>
      </c>
      <c r="I1065" s="14">
        <v>5444206</v>
      </c>
      <c r="J1065" s="14">
        <v>5282125.04</v>
      </c>
      <c r="K1065" s="12">
        <v>3445</v>
      </c>
      <c r="L1065" s="10" t="s">
        <v>101</v>
      </c>
      <c r="M1065" s="10" t="s">
        <v>102</v>
      </c>
      <c r="N1065" s="124" t="s">
        <v>398</v>
      </c>
      <c r="O1065" s="124" t="s">
        <v>398</v>
      </c>
      <c r="P1065" s="21">
        <v>32</v>
      </c>
      <c r="Q1065" s="10" t="s">
        <v>54</v>
      </c>
      <c r="R1065" s="10" t="s">
        <v>28</v>
      </c>
      <c r="S1065" s="10"/>
      <c r="T1065" s="10"/>
      <c r="U1065" s="10" t="s">
        <v>1789</v>
      </c>
      <c r="V1065" s="10" t="s">
        <v>1789</v>
      </c>
      <c r="W1065" s="50">
        <f>+J1065/$W$2</f>
        <v>7.022357485254177E-5</v>
      </c>
    </row>
    <row r="1066" spans="1:29">
      <c r="A1066" s="10" t="s">
        <v>317</v>
      </c>
      <c r="B1066" s="10" t="s">
        <v>381</v>
      </c>
      <c r="C1066" s="124">
        <v>46329</v>
      </c>
      <c r="D1066" s="124" t="s">
        <v>492</v>
      </c>
      <c r="E1066" s="21">
        <v>0.97022870999999999</v>
      </c>
      <c r="F1066" s="10"/>
      <c r="G1066" s="14">
        <v>200000000</v>
      </c>
      <c r="H1066" s="14">
        <v>194045741.12</v>
      </c>
      <c r="I1066" s="14">
        <v>200000000</v>
      </c>
      <c r="J1066" s="14">
        <v>194045741.12</v>
      </c>
      <c r="K1066" s="12">
        <v>9779581</v>
      </c>
      <c r="L1066" s="10" t="s">
        <v>101</v>
      </c>
      <c r="M1066" s="10" t="s">
        <v>102</v>
      </c>
      <c r="N1066" s="124" t="s">
        <v>417</v>
      </c>
      <c r="O1066" s="124" t="s">
        <v>417</v>
      </c>
      <c r="P1066" s="21">
        <v>32</v>
      </c>
      <c r="Q1066" s="10" t="s">
        <v>54</v>
      </c>
      <c r="R1066" s="10" t="s">
        <v>28</v>
      </c>
      <c r="S1066" s="10"/>
      <c r="T1066" s="10"/>
      <c r="U1066" s="10" t="s">
        <v>1684</v>
      </c>
      <c r="V1066" s="10" t="s">
        <v>1684</v>
      </c>
      <c r="W1066" s="50">
        <f>+J1066/$W$2</f>
        <v>2.5797544592691549E-3</v>
      </c>
    </row>
    <row r="1067" spans="1:29">
      <c r="A1067" s="10" t="s">
        <v>317</v>
      </c>
      <c r="B1067" s="10" t="s">
        <v>381</v>
      </c>
      <c r="C1067" s="124">
        <v>46329</v>
      </c>
      <c r="D1067" s="124" t="s">
        <v>492</v>
      </c>
      <c r="E1067" s="21">
        <v>0.97203733999999997</v>
      </c>
      <c r="F1067" s="10"/>
      <c r="G1067" s="14">
        <v>100000000</v>
      </c>
      <c r="H1067" s="14">
        <v>97203733.620000005</v>
      </c>
      <c r="I1067" s="14">
        <v>100000000</v>
      </c>
      <c r="J1067" s="14">
        <v>97203733.620000005</v>
      </c>
      <c r="K1067" s="12">
        <v>6716</v>
      </c>
      <c r="L1067" s="10" t="s">
        <v>101</v>
      </c>
      <c r="M1067" s="10" t="s">
        <v>102</v>
      </c>
      <c r="N1067" s="124" t="s">
        <v>323</v>
      </c>
      <c r="O1067" s="124" t="s">
        <v>323</v>
      </c>
      <c r="P1067" s="21">
        <v>30</v>
      </c>
      <c r="Q1067" s="10" t="s">
        <v>54</v>
      </c>
      <c r="R1067" s="10" t="s">
        <v>28</v>
      </c>
      <c r="S1067" s="10"/>
      <c r="T1067" s="10"/>
      <c r="U1067" s="10" t="s">
        <v>930</v>
      </c>
      <c r="V1067" s="10" t="s">
        <v>930</v>
      </c>
      <c r="W1067" s="50">
        <f>+J1067/$W$2</f>
        <v>1.2922817260324834E-3</v>
      </c>
    </row>
    <row r="1068" spans="1:29">
      <c r="A1068" s="10" t="s">
        <v>562</v>
      </c>
      <c r="B1068" s="10" t="s">
        <v>381</v>
      </c>
      <c r="C1068" s="124">
        <v>46329</v>
      </c>
      <c r="D1068" s="124" t="s">
        <v>492</v>
      </c>
      <c r="E1068" s="21">
        <v>0.97022865999999997</v>
      </c>
      <c r="F1068" s="10"/>
      <c r="G1068" s="14">
        <v>50000000</v>
      </c>
      <c r="H1068" s="14">
        <v>48511432.939999998</v>
      </c>
      <c r="I1068" s="14">
        <v>50000000</v>
      </c>
      <c r="J1068" s="14">
        <v>48511432.939999998</v>
      </c>
      <c r="K1068" s="12">
        <v>6693</v>
      </c>
      <c r="L1068" s="10" t="s">
        <v>101</v>
      </c>
      <c r="M1068" s="10" t="s">
        <v>102</v>
      </c>
      <c r="N1068" s="124" t="s">
        <v>533</v>
      </c>
      <c r="O1068" s="124" t="s">
        <v>533</v>
      </c>
      <c r="P1068" s="21">
        <v>32</v>
      </c>
      <c r="Q1068" s="10" t="s">
        <v>54</v>
      </c>
      <c r="R1068" s="10" t="s">
        <v>28</v>
      </c>
      <c r="S1068" s="10"/>
      <c r="T1068" s="10"/>
      <c r="U1068" s="10" t="s">
        <v>1846</v>
      </c>
      <c r="V1068" s="10" t="s">
        <v>1846</v>
      </c>
      <c r="W1068" s="50">
        <f>+J1068/$W$2</f>
        <v>6.4493858370799758E-4</v>
      </c>
      <c r="AC1068" s="47"/>
    </row>
    <row r="1069" spans="1:29">
      <c r="A1069" s="10" t="s">
        <v>562</v>
      </c>
      <c r="B1069" s="10" t="s">
        <v>381</v>
      </c>
      <c r="C1069" s="124">
        <v>46329</v>
      </c>
      <c r="D1069" s="124" t="s">
        <v>492</v>
      </c>
      <c r="E1069" s="21">
        <v>0.97022865999999997</v>
      </c>
      <c r="F1069" s="10"/>
      <c r="G1069" s="14">
        <v>50000000</v>
      </c>
      <c r="H1069" s="14">
        <v>48511432.939999998</v>
      </c>
      <c r="I1069" s="14">
        <v>50000000</v>
      </c>
      <c r="J1069" s="14">
        <v>48511432.939999998</v>
      </c>
      <c r="K1069" s="12">
        <v>6689</v>
      </c>
      <c r="L1069" s="10" t="s">
        <v>101</v>
      </c>
      <c r="M1069" s="10" t="s">
        <v>102</v>
      </c>
      <c r="N1069" s="124" t="s">
        <v>533</v>
      </c>
      <c r="O1069" s="124" t="s">
        <v>533</v>
      </c>
      <c r="P1069" s="21">
        <v>32</v>
      </c>
      <c r="Q1069" s="10" t="s">
        <v>54</v>
      </c>
      <c r="R1069" s="10" t="s">
        <v>28</v>
      </c>
      <c r="S1069" s="10"/>
      <c r="T1069" s="10"/>
      <c r="U1069" s="10" t="s">
        <v>1847</v>
      </c>
      <c r="V1069" s="10" t="s">
        <v>1847</v>
      </c>
      <c r="W1069" s="50">
        <f>+J1069/$W$2</f>
        <v>6.4493858370799758E-4</v>
      </c>
    </row>
    <row r="1070" spans="1:29">
      <c r="A1070" s="10" t="s">
        <v>798</v>
      </c>
      <c r="B1070" s="10" t="s">
        <v>381</v>
      </c>
      <c r="C1070" s="124">
        <v>46329</v>
      </c>
      <c r="D1070" s="124" t="s">
        <v>492</v>
      </c>
      <c r="E1070" s="21">
        <v>0.96484281000000005</v>
      </c>
      <c r="F1070" s="10"/>
      <c r="G1070" s="14">
        <v>750000000</v>
      </c>
      <c r="H1070" s="14">
        <v>723632105.70000005</v>
      </c>
      <c r="I1070" s="14">
        <v>750000000</v>
      </c>
      <c r="J1070" s="14">
        <v>723632105.70000005</v>
      </c>
      <c r="K1070" s="12">
        <v>163014</v>
      </c>
      <c r="L1070" s="10" t="s">
        <v>101</v>
      </c>
      <c r="M1070" s="10" t="s">
        <v>102</v>
      </c>
      <c r="N1070" s="124" t="s">
        <v>436</v>
      </c>
      <c r="O1070" s="124" t="s">
        <v>436</v>
      </c>
      <c r="P1070" s="21">
        <v>38</v>
      </c>
      <c r="Q1070" s="10" t="s">
        <v>54</v>
      </c>
      <c r="R1070" s="10" t="s">
        <v>28</v>
      </c>
      <c r="S1070" s="10"/>
      <c r="T1070" s="10"/>
      <c r="U1070" s="10" t="s">
        <v>1923</v>
      </c>
      <c r="V1070" s="10" t="s">
        <v>1923</v>
      </c>
      <c r="W1070" s="50">
        <f>+J1070/$W$2</f>
        <v>9.6203768285512553E-3</v>
      </c>
    </row>
    <row r="1071" spans="1:29">
      <c r="A1071" s="10" t="s">
        <v>665</v>
      </c>
      <c r="B1071" s="10" t="s">
        <v>381</v>
      </c>
      <c r="C1071" s="124">
        <v>46329</v>
      </c>
      <c r="D1071" s="124" t="s">
        <v>492</v>
      </c>
      <c r="E1071" s="21">
        <v>0.96932684999999996</v>
      </c>
      <c r="F1071" s="10"/>
      <c r="G1071" s="14">
        <v>1655023.2</v>
      </c>
      <c r="H1071" s="14">
        <v>1604258.42</v>
      </c>
      <c r="I1071" s="14">
        <v>1655023.2</v>
      </c>
      <c r="J1071" s="14">
        <v>1604258.42</v>
      </c>
      <c r="K1071" s="12">
        <v>610</v>
      </c>
      <c r="L1071" s="10" t="s">
        <v>101</v>
      </c>
      <c r="M1071" s="10" t="s">
        <v>102</v>
      </c>
      <c r="N1071" s="124" t="s">
        <v>157</v>
      </c>
      <c r="O1071" s="124" t="s">
        <v>157</v>
      </c>
      <c r="P1071" s="21">
        <v>33</v>
      </c>
      <c r="Q1071" s="10" t="s">
        <v>54</v>
      </c>
      <c r="R1071" s="10" t="s">
        <v>28</v>
      </c>
      <c r="S1071" s="10"/>
      <c r="T1071" s="10"/>
      <c r="U1071" s="10" t="s">
        <v>659</v>
      </c>
      <c r="V1071" s="10" t="s">
        <v>659</v>
      </c>
      <c r="W1071" s="50">
        <f>+J1071/$W$2</f>
        <v>2.132792396745125E-5</v>
      </c>
    </row>
    <row r="1072" spans="1:29">
      <c r="A1072" s="10" t="s">
        <v>665</v>
      </c>
      <c r="B1072" s="10" t="s">
        <v>381</v>
      </c>
      <c r="C1072" s="124">
        <v>46329</v>
      </c>
      <c r="D1072" s="124" t="s">
        <v>492</v>
      </c>
      <c r="E1072" s="21">
        <v>0.96932684000000002</v>
      </c>
      <c r="F1072" s="10"/>
      <c r="G1072" s="14">
        <v>3772034.12</v>
      </c>
      <c r="H1072" s="14">
        <v>3656333.92</v>
      </c>
      <c r="I1072" s="14">
        <v>3772034.12</v>
      </c>
      <c r="J1072" s="14">
        <v>3656333.92</v>
      </c>
      <c r="K1072" s="12">
        <v>639</v>
      </c>
      <c r="L1072" s="10" t="s">
        <v>101</v>
      </c>
      <c r="M1072" s="10" t="s">
        <v>102</v>
      </c>
      <c r="N1072" s="124" t="s">
        <v>157</v>
      </c>
      <c r="O1072" s="124" t="s">
        <v>157</v>
      </c>
      <c r="P1072" s="21">
        <v>33</v>
      </c>
      <c r="Q1072" s="10" t="s">
        <v>54</v>
      </c>
      <c r="R1072" s="10" t="s">
        <v>28</v>
      </c>
      <c r="S1072" s="10"/>
      <c r="T1072" s="10"/>
      <c r="U1072" s="10" t="s">
        <v>661</v>
      </c>
      <c r="V1072" s="10" t="s">
        <v>661</v>
      </c>
      <c r="W1072" s="50">
        <f>+J1072/$W$2</f>
        <v>4.8609382923091017E-5</v>
      </c>
    </row>
    <row r="1073" spans="1:29">
      <c r="A1073" s="10" t="s">
        <v>3452</v>
      </c>
      <c r="B1073" s="10" t="s">
        <v>381</v>
      </c>
      <c r="C1073" s="124">
        <v>46329</v>
      </c>
      <c r="D1073" s="124" t="s">
        <v>492</v>
      </c>
      <c r="E1073" s="21">
        <v>0.97203735999999996</v>
      </c>
      <c r="F1073" s="10"/>
      <c r="G1073" s="14">
        <v>2500000</v>
      </c>
      <c r="H1073" s="14">
        <v>2430093.41</v>
      </c>
      <c r="I1073" s="14">
        <v>2500000</v>
      </c>
      <c r="J1073" s="14">
        <v>2430093.41</v>
      </c>
      <c r="K1073" s="12">
        <v>360</v>
      </c>
      <c r="L1073" s="10" t="s">
        <v>101</v>
      </c>
      <c r="M1073" s="10" t="s">
        <v>102</v>
      </c>
      <c r="N1073" s="124" t="s">
        <v>531</v>
      </c>
      <c r="O1073" s="124" t="s">
        <v>531</v>
      </c>
      <c r="P1073" s="21">
        <v>30</v>
      </c>
      <c r="Q1073" s="10" t="s">
        <v>54</v>
      </c>
      <c r="R1073" s="10" t="s">
        <v>28</v>
      </c>
      <c r="S1073" s="10"/>
      <c r="T1073" s="10"/>
      <c r="U1073" s="10" t="s">
        <v>3430</v>
      </c>
      <c r="V1073" s="10" t="s">
        <v>3430</v>
      </c>
      <c r="W1073" s="50">
        <f>+J1073/$W$2</f>
        <v>3.2307044074784621E-5</v>
      </c>
    </row>
    <row r="1074" spans="1:29">
      <c r="A1074" s="10" t="s">
        <v>132</v>
      </c>
      <c r="B1074" s="10" t="s">
        <v>381</v>
      </c>
      <c r="C1074" s="124">
        <v>46329</v>
      </c>
      <c r="D1074" s="124" t="s">
        <v>492</v>
      </c>
      <c r="E1074" s="21">
        <v>0.97022872999999998</v>
      </c>
      <c r="F1074" s="10"/>
      <c r="G1074" s="14">
        <v>50000000</v>
      </c>
      <c r="H1074" s="14">
        <v>48511436.280000001</v>
      </c>
      <c r="I1074" s="14">
        <v>50000000</v>
      </c>
      <c r="J1074" s="14">
        <v>48511436.280000001</v>
      </c>
      <c r="K1074" s="12">
        <v>959</v>
      </c>
      <c r="L1074" s="10" t="s">
        <v>101</v>
      </c>
      <c r="M1074" s="10" t="s">
        <v>102</v>
      </c>
      <c r="N1074" s="124" t="s">
        <v>492</v>
      </c>
      <c r="O1074" s="124" t="s">
        <v>492</v>
      </c>
      <c r="P1074" s="21">
        <v>32</v>
      </c>
      <c r="Q1074" s="10" t="s">
        <v>54</v>
      </c>
      <c r="R1074" s="10" t="s">
        <v>28</v>
      </c>
      <c r="S1074" s="10"/>
      <c r="T1074" s="10"/>
      <c r="U1074" s="10" t="s">
        <v>3571</v>
      </c>
      <c r="V1074" s="10" t="s">
        <v>3571</v>
      </c>
      <c r="W1074" s="50">
        <f>+J1074/$W$2</f>
        <v>6.4493862811185751E-4</v>
      </c>
    </row>
    <row r="1075" spans="1:29">
      <c r="A1075" s="10" t="s">
        <v>2130</v>
      </c>
      <c r="B1075" s="10" t="s">
        <v>381</v>
      </c>
      <c r="C1075" s="124">
        <v>46329</v>
      </c>
      <c r="D1075" s="124" t="s">
        <v>492</v>
      </c>
      <c r="E1075" s="21">
        <v>0.97113214999999997</v>
      </c>
      <c r="F1075" s="10"/>
      <c r="G1075" s="14">
        <v>48042680.460000001</v>
      </c>
      <c r="H1075" s="14">
        <v>46655791.490000002</v>
      </c>
      <c r="I1075" s="14">
        <v>48042680.460000001</v>
      </c>
      <c r="J1075" s="14">
        <v>46655791.490000002</v>
      </c>
      <c r="K1075" s="12">
        <v>70667890</v>
      </c>
      <c r="L1075" s="10" t="s">
        <v>101</v>
      </c>
      <c r="M1075" s="10" t="s">
        <v>102</v>
      </c>
      <c r="N1075" s="124" t="s">
        <v>421</v>
      </c>
      <c r="O1075" s="124" t="s">
        <v>421</v>
      </c>
      <c r="P1075" s="21">
        <v>31</v>
      </c>
      <c r="Q1075" s="10" t="s">
        <v>54</v>
      </c>
      <c r="R1075" s="10" t="s">
        <v>28</v>
      </c>
      <c r="S1075" s="10"/>
      <c r="T1075" s="10"/>
      <c r="U1075" s="10" t="s">
        <v>2096</v>
      </c>
      <c r="V1075" s="10" t="s">
        <v>2096</v>
      </c>
      <c r="W1075" s="50">
        <f>+J1075/$W$2</f>
        <v>6.202686307483922E-4</v>
      </c>
    </row>
    <row r="1076" spans="1:29">
      <c r="A1076" s="10" t="s">
        <v>402</v>
      </c>
      <c r="B1076" s="10" t="s">
        <v>381</v>
      </c>
      <c r="C1076" s="124">
        <v>46329</v>
      </c>
      <c r="D1076" s="124" t="s">
        <v>492</v>
      </c>
      <c r="E1076" s="21">
        <v>0.97022865999999997</v>
      </c>
      <c r="F1076" s="10"/>
      <c r="G1076" s="14">
        <v>20000000</v>
      </c>
      <c r="H1076" s="14">
        <v>19404573.120000001</v>
      </c>
      <c r="I1076" s="14">
        <v>20000000</v>
      </c>
      <c r="J1076" s="14">
        <v>19404573.120000001</v>
      </c>
      <c r="K1076" s="12">
        <v>721</v>
      </c>
      <c r="L1076" s="10" t="s">
        <v>101</v>
      </c>
      <c r="M1076" s="10" t="s">
        <v>102</v>
      </c>
      <c r="N1076" s="124" t="s">
        <v>434</v>
      </c>
      <c r="O1076" s="124" t="s">
        <v>434</v>
      </c>
      <c r="P1076" s="21">
        <v>32</v>
      </c>
      <c r="Q1076" s="10" t="s">
        <v>54</v>
      </c>
      <c r="R1076" s="10" t="s">
        <v>28</v>
      </c>
      <c r="S1076" s="10"/>
      <c r="T1076" s="10"/>
      <c r="U1076" s="10" t="s">
        <v>2950</v>
      </c>
      <c r="V1076" s="10" t="s">
        <v>2950</v>
      </c>
      <c r="W1076" s="50">
        <f>+J1076/$W$2</f>
        <v>2.5797543273870324E-4</v>
      </c>
    </row>
    <row r="1077" spans="1:29">
      <c r="A1077" s="10" t="s">
        <v>465</v>
      </c>
      <c r="B1077" s="10" t="s">
        <v>381</v>
      </c>
      <c r="C1077" s="124">
        <v>46329</v>
      </c>
      <c r="D1077" s="124" t="s">
        <v>492</v>
      </c>
      <c r="E1077" s="21">
        <v>0.97022872999999998</v>
      </c>
      <c r="F1077" s="10"/>
      <c r="G1077" s="14">
        <v>10000000</v>
      </c>
      <c r="H1077" s="14">
        <v>9702287.2599999998</v>
      </c>
      <c r="I1077" s="14">
        <v>10000000</v>
      </c>
      <c r="J1077" s="14">
        <v>9702287.2599999998</v>
      </c>
      <c r="K1077" s="12">
        <v>14422571</v>
      </c>
      <c r="L1077" s="10" t="s">
        <v>101</v>
      </c>
      <c r="M1077" s="10" t="s">
        <v>102</v>
      </c>
      <c r="N1077" s="124" t="s">
        <v>164</v>
      </c>
      <c r="O1077" s="124" t="s">
        <v>164</v>
      </c>
      <c r="P1077" s="21">
        <v>32</v>
      </c>
      <c r="Q1077" s="10" t="s">
        <v>54</v>
      </c>
      <c r="R1077" s="10" t="s">
        <v>28</v>
      </c>
      <c r="S1077" s="10"/>
      <c r="T1077" s="10"/>
      <c r="U1077" s="10" t="s">
        <v>1976</v>
      </c>
      <c r="V1077" s="10" t="s">
        <v>1976</v>
      </c>
      <c r="W1077" s="50">
        <f>+J1077/$W$2</f>
        <v>1.2898772567554977E-4</v>
      </c>
    </row>
    <row r="1078" spans="1:29">
      <c r="A1078" s="10" t="s">
        <v>465</v>
      </c>
      <c r="B1078" s="10" t="s">
        <v>381</v>
      </c>
      <c r="C1078" s="124">
        <v>46329</v>
      </c>
      <c r="D1078" s="124" t="s">
        <v>492</v>
      </c>
      <c r="E1078" s="21">
        <v>0.96932682999999997</v>
      </c>
      <c r="F1078" s="10"/>
      <c r="G1078" s="14">
        <v>25000000</v>
      </c>
      <c r="H1078" s="14">
        <v>24233170.850000001</v>
      </c>
      <c r="I1078" s="14">
        <v>25000000</v>
      </c>
      <c r="J1078" s="14">
        <v>24233170.850000001</v>
      </c>
      <c r="K1078" s="12">
        <v>14422654</v>
      </c>
      <c r="L1078" s="10" t="s">
        <v>101</v>
      </c>
      <c r="M1078" s="10" t="s">
        <v>102</v>
      </c>
      <c r="N1078" s="124" t="s">
        <v>421</v>
      </c>
      <c r="O1078" s="124" t="s">
        <v>421</v>
      </c>
      <c r="P1078" s="21">
        <v>33</v>
      </c>
      <c r="Q1078" s="10" t="s">
        <v>54</v>
      </c>
      <c r="R1078" s="10" t="s">
        <v>28</v>
      </c>
      <c r="S1078" s="10"/>
      <c r="T1078" s="10"/>
      <c r="U1078" s="10" t="s">
        <v>2102</v>
      </c>
      <c r="V1078" s="10" t="s">
        <v>2102</v>
      </c>
      <c r="W1078" s="50">
        <f>+J1078/$W$2</f>
        <v>3.2216955755735166E-4</v>
      </c>
    </row>
    <row r="1079" spans="1:29">
      <c r="A1079" s="10" t="s">
        <v>1811</v>
      </c>
      <c r="B1079" s="10" t="s">
        <v>381</v>
      </c>
      <c r="C1079" s="124">
        <v>46329</v>
      </c>
      <c r="D1079" s="124" t="s">
        <v>492</v>
      </c>
      <c r="E1079" s="21">
        <v>0.97022872000000004</v>
      </c>
      <c r="F1079" s="10"/>
      <c r="G1079" s="14">
        <v>6714705.04</v>
      </c>
      <c r="H1079" s="14">
        <v>6514799.71</v>
      </c>
      <c r="I1079" s="14">
        <v>6714705.04</v>
      </c>
      <c r="J1079" s="14">
        <v>6514799.71</v>
      </c>
      <c r="K1079" s="12">
        <v>198202</v>
      </c>
      <c r="L1079" s="10" t="s">
        <v>101</v>
      </c>
      <c r="M1079" s="10" t="s">
        <v>102</v>
      </c>
      <c r="N1079" s="124" t="s">
        <v>398</v>
      </c>
      <c r="O1079" s="124" t="s">
        <v>398</v>
      </c>
      <c r="P1079" s="21">
        <v>32</v>
      </c>
      <c r="Q1079" s="10" t="s">
        <v>54</v>
      </c>
      <c r="R1079" s="10" t="s">
        <v>28</v>
      </c>
      <c r="S1079" s="10"/>
      <c r="T1079" s="10"/>
      <c r="U1079" s="10" t="s">
        <v>1773</v>
      </c>
      <c r="V1079" s="10" t="s">
        <v>1773</v>
      </c>
      <c r="W1079" s="50">
        <f>+J1079/$W$2</f>
        <v>8.6611453083757824E-5</v>
      </c>
    </row>
    <row r="1080" spans="1:29">
      <c r="A1080" s="10" t="s">
        <v>1086</v>
      </c>
      <c r="B1080" s="10" t="s">
        <v>381</v>
      </c>
      <c r="C1080" s="124">
        <v>46329</v>
      </c>
      <c r="D1080" s="124" t="s">
        <v>492</v>
      </c>
      <c r="E1080" s="21">
        <v>0.96932693999999997</v>
      </c>
      <c r="F1080" s="10"/>
      <c r="G1080" s="14">
        <v>258898.86</v>
      </c>
      <c r="H1080" s="14">
        <v>250957.64</v>
      </c>
      <c r="I1080" s="14">
        <v>258898.86</v>
      </c>
      <c r="J1080" s="14">
        <v>250957.64</v>
      </c>
      <c r="K1080" s="12">
        <v>10568416</v>
      </c>
      <c r="L1080" s="10" t="s">
        <v>101</v>
      </c>
      <c r="M1080" s="10" t="s">
        <v>102</v>
      </c>
      <c r="N1080" s="124" t="s">
        <v>423</v>
      </c>
      <c r="O1080" s="124" t="s">
        <v>423</v>
      </c>
      <c r="P1080" s="21">
        <v>33</v>
      </c>
      <c r="Q1080" s="10" t="s">
        <v>54</v>
      </c>
      <c r="R1080" s="10" t="s">
        <v>28</v>
      </c>
      <c r="S1080" s="10"/>
      <c r="T1080" s="10"/>
      <c r="U1080" s="10" t="s">
        <v>2500</v>
      </c>
      <c r="V1080" s="10" t="s">
        <v>2500</v>
      </c>
      <c r="W1080" s="50">
        <f>+J1080/$W$2</f>
        <v>3.3363736155244879E-6</v>
      </c>
      <c r="AC1080" s="47"/>
    </row>
    <row r="1081" spans="1:29">
      <c r="A1081" s="10" t="s">
        <v>426</v>
      </c>
      <c r="B1081" s="10" t="s">
        <v>381</v>
      </c>
      <c r="C1081" s="124">
        <v>46329</v>
      </c>
      <c r="D1081" s="124" t="s">
        <v>492</v>
      </c>
      <c r="E1081" s="21">
        <v>0.97385273000000006</v>
      </c>
      <c r="F1081" s="10"/>
      <c r="G1081" s="14">
        <v>12500000</v>
      </c>
      <c r="H1081" s="14">
        <v>12173159.140000001</v>
      </c>
      <c r="I1081" s="14">
        <v>12500000</v>
      </c>
      <c r="J1081" s="14">
        <v>12173159.140000001</v>
      </c>
      <c r="K1081" s="12">
        <v>90027773</v>
      </c>
      <c r="L1081" s="10" t="s">
        <v>101</v>
      </c>
      <c r="M1081" s="10" t="s">
        <v>102</v>
      </c>
      <c r="N1081" s="124" t="s">
        <v>677</v>
      </c>
      <c r="O1081" s="124" t="s">
        <v>677</v>
      </c>
      <c r="P1081" s="21">
        <v>28</v>
      </c>
      <c r="Q1081" s="10" t="s">
        <v>54</v>
      </c>
      <c r="R1081" s="10" t="s">
        <v>28</v>
      </c>
      <c r="S1081" s="10"/>
      <c r="T1081" s="10"/>
      <c r="U1081" s="10" t="s">
        <v>3295</v>
      </c>
      <c r="V1081" s="10" t="s">
        <v>3295</v>
      </c>
      <c r="W1081" s="50">
        <f>+J1081/$W$2</f>
        <v>1.6183690192606516E-4</v>
      </c>
    </row>
    <row r="1082" spans="1:29">
      <c r="A1082" s="10" t="s">
        <v>427</v>
      </c>
      <c r="B1082" s="10" t="s">
        <v>381</v>
      </c>
      <c r="C1082" s="124">
        <v>46329</v>
      </c>
      <c r="D1082" s="124" t="s">
        <v>492</v>
      </c>
      <c r="E1082" s="21">
        <v>0.97567499000000002</v>
      </c>
      <c r="F1082" s="10"/>
      <c r="G1082" s="14">
        <v>20000000</v>
      </c>
      <c r="H1082" s="14">
        <v>19513499.719999999</v>
      </c>
      <c r="I1082" s="14">
        <v>20000000</v>
      </c>
      <c r="J1082" s="14">
        <v>19513499.719999999</v>
      </c>
      <c r="K1082" s="12">
        <v>22804</v>
      </c>
      <c r="L1082" s="10" t="s">
        <v>101</v>
      </c>
      <c r="M1082" s="10" t="s">
        <v>102</v>
      </c>
      <c r="N1082" s="124" t="s">
        <v>678</v>
      </c>
      <c r="O1082" s="124" t="s">
        <v>678</v>
      </c>
      <c r="P1082" s="21">
        <v>26</v>
      </c>
      <c r="Q1082" s="10" t="s">
        <v>54</v>
      </c>
      <c r="R1082" s="10" t="s">
        <v>28</v>
      </c>
      <c r="S1082" s="10"/>
      <c r="T1082" s="10"/>
      <c r="U1082" s="10" t="s">
        <v>3466</v>
      </c>
      <c r="V1082" s="10" t="s">
        <v>3466</v>
      </c>
      <c r="W1082" s="50">
        <f>+J1082/$W$2</f>
        <v>2.5942356491857541E-4</v>
      </c>
    </row>
    <row r="1083" spans="1:29">
      <c r="A1083" s="10" t="s">
        <v>303</v>
      </c>
      <c r="B1083" s="10" t="s">
        <v>381</v>
      </c>
      <c r="C1083" s="124">
        <v>46329</v>
      </c>
      <c r="D1083" s="124" t="s">
        <v>492</v>
      </c>
      <c r="E1083" s="21">
        <v>0.97933998</v>
      </c>
      <c r="F1083" s="10"/>
      <c r="G1083" s="14">
        <v>13000000</v>
      </c>
      <c r="H1083" s="14">
        <v>12731419.74</v>
      </c>
      <c r="I1083" s="14">
        <v>13000000</v>
      </c>
      <c r="J1083" s="14">
        <v>12731419.74</v>
      </c>
      <c r="K1083" s="12">
        <v>34115</v>
      </c>
      <c r="L1083" s="10" t="s">
        <v>101</v>
      </c>
      <c r="M1083" s="10" t="s">
        <v>102</v>
      </c>
      <c r="N1083" s="124" t="s">
        <v>156</v>
      </c>
      <c r="O1083" s="124" t="s">
        <v>156</v>
      </c>
      <c r="P1083" s="21">
        <v>22</v>
      </c>
      <c r="Q1083" s="10" t="s">
        <v>54</v>
      </c>
      <c r="R1083" s="10" t="s">
        <v>28</v>
      </c>
      <c r="S1083" s="10"/>
      <c r="T1083" s="10"/>
      <c r="U1083" s="10" t="s">
        <v>749</v>
      </c>
      <c r="V1083" s="10" t="s">
        <v>749</v>
      </c>
      <c r="W1083" s="50">
        <f>+J1083/$W$2</f>
        <v>1.6925873589145816E-4</v>
      </c>
    </row>
    <row r="1084" spans="1:29">
      <c r="A1084" s="10" t="s">
        <v>382</v>
      </c>
      <c r="B1084" s="10" t="s">
        <v>381</v>
      </c>
      <c r="C1084" s="124">
        <v>46329</v>
      </c>
      <c r="D1084" s="124" t="s">
        <v>492</v>
      </c>
      <c r="E1084" s="21">
        <v>0.97022861999999999</v>
      </c>
      <c r="F1084" s="10"/>
      <c r="G1084" s="14">
        <v>2000000</v>
      </c>
      <c r="H1084" s="14">
        <v>1940457.23</v>
      </c>
      <c r="I1084" s="14">
        <v>2000000</v>
      </c>
      <c r="J1084" s="14">
        <v>1940457.23</v>
      </c>
      <c r="K1084" s="12">
        <v>1080</v>
      </c>
      <c r="L1084" s="10" t="s">
        <v>101</v>
      </c>
      <c r="M1084" s="10" t="s">
        <v>102</v>
      </c>
      <c r="N1084" s="124" t="s">
        <v>432</v>
      </c>
      <c r="O1084" s="124" t="s">
        <v>432</v>
      </c>
      <c r="P1084" s="21">
        <v>32</v>
      </c>
      <c r="Q1084" s="10" t="s">
        <v>54</v>
      </c>
      <c r="R1084" s="10" t="s">
        <v>28</v>
      </c>
      <c r="S1084" s="10"/>
      <c r="T1084" s="10"/>
      <c r="U1084" s="10" t="s">
        <v>1833</v>
      </c>
      <c r="V1084" s="10" t="s">
        <v>1833</v>
      </c>
      <c r="W1084" s="50">
        <f>+J1084/$W$2</f>
        <v>2.5797542183715676E-5</v>
      </c>
    </row>
    <row r="1085" spans="1:29">
      <c r="A1085" s="10" t="s">
        <v>715</v>
      </c>
      <c r="B1085" s="10" t="s">
        <v>381</v>
      </c>
      <c r="C1085" s="124">
        <v>46329</v>
      </c>
      <c r="D1085" s="124" t="s">
        <v>492</v>
      </c>
      <c r="E1085" s="21">
        <v>0.97022863999999998</v>
      </c>
      <c r="F1085" s="10"/>
      <c r="G1085" s="14">
        <v>3517425</v>
      </c>
      <c r="H1085" s="14">
        <v>3412706.48</v>
      </c>
      <c r="I1085" s="14">
        <v>3517425</v>
      </c>
      <c r="J1085" s="14">
        <v>3412706.48</v>
      </c>
      <c r="K1085" s="12">
        <v>67525725</v>
      </c>
      <c r="L1085" s="10" t="s">
        <v>101</v>
      </c>
      <c r="M1085" s="10" t="s">
        <v>102</v>
      </c>
      <c r="N1085" s="124" t="s">
        <v>318</v>
      </c>
      <c r="O1085" s="124" t="s">
        <v>318</v>
      </c>
      <c r="P1085" s="21">
        <v>32</v>
      </c>
      <c r="Q1085" s="10" t="s">
        <v>54</v>
      </c>
      <c r="R1085" s="10" t="s">
        <v>28</v>
      </c>
      <c r="S1085" s="10"/>
      <c r="T1085" s="10"/>
      <c r="U1085" s="10" t="s">
        <v>709</v>
      </c>
      <c r="V1085" s="10" t="s">
        <v>709</v>
      </c>
      <c r="W1085" s="50">
        <f>+J1085/$W$2</f>
        <v>4.537046115592037E-5</v>
      </c>
    </row>
    <row r="1086" spans="1:29">
      <c r="A1086" s="10" t="s">
        <v>386</v>
      </c>
      <c r="B1086" s="10" t="s">
        <v>381</v>
      </c>
      <c r="C1086" s="124">
        <v>46329</v>
      </c>
      <c r="D1086" s="124" t="s">
        <v>492</v>
      </c>
      <c r="E1086" s="21">
        <v>0.96484285999999997</v>
      </c>
      <c r="F1086" s="10"/>
      <c r="G1086" s="14">
        <v>15000000</v>
      </c>
      <c r="H1086" s="14">
        <v>14472642.939999999</v>
      </c>
      <c r="I1086" s="14">
        <v>15000000</v>
      </c>
      <c r="J1086" s="14">
        <v>14472642.939999999</v>
      </c>
      <c r="K1086" s="12">
        <v>70219573</v>
      </c>
      <c r="L1086" s="10" t="s">
        <v>101</v>
      </c>
      <c r="M1086" s="10" t="s">
        <v>102</v>
      </c>
      <c r="N1086" s="124" t="s">
        <v>164</v>
      </c>
      <c r="O1086" s="124" t="s">
        <v>164</v>
      </c>
      <c r="P1086" s="21">
        <v>38</v>
      </c>
      <c r="Q1086" s="10" t="s">
        <v>54</v>
      </c>
      <c r="R1086" s="10" t="s">
        <v>28</v>
      </c>
      <c r="S1086" s="10"/>
      <c r="T1086" s="10"/>
      <c r="U1086" s="10" t="s">
        <v>1991</v>
      </c>
      <c r="V1086" s="10" t="s">
        <v>1991</v>
      </c>
      <c r="W1086" s="50">
        <f>+J1086/$W$2</f>
        <v>1.9240754755233891E-4</v>
      </c>
    </row>
    <row r="1087" spans="1:29">
      <c r="A1087" s="10" t="s">
        <v>477</v>
      </c>
      <c r="B1087" s="10" t="s">
        <v>381</v>
      </c>
      <c r="C1087" s="124">
        <v>46330</v>
      </c>
      <c r="D1087" s="124" t="s">
        <v>492</v>
      </c>
      <c r="E1087" s="21">
        <v>0.97219274</v>
      </c>
      <c r="F1087" s="10"/>
      <c r="G1087" s="14">
        <v>7000000</v>
      </c>
      <c r="H1087" s="14">
        <v>6805349.21</v>
      </c>
      <c r="I1087" s="14">
        <v>7000000</v>
      </c>
      <c r="J1087" s="14">
        <v>6805349.21</v>
      </c>
      <c r="K1087" s="12">
        <v>90000069</v>
      </c>
      <c r="L1087" s="10" t="s">
        <v>101</v>
      </c>
      <c r="M1087" s="10" t="s">
        <v>102</v>
      </c>
      <c r="N1087" s="124" t="s">
        <v>390</v>
      </c>
      <c r="O1087" s="124" t="s">
        <v>390</v>
      </c>
      <c r="P1087" s="21">
        <v>29</v>
      </c>
      <c r="Q1087" s="10" t="s">
        <v>54</v>
      </c>
      <c r="R1087" s="10" t="s">
        <v>28</v>
      </c>
      <c r="S1087" s="10"/>
      <c r="T1087" s="10"/>
      <c r="U1087" s="10" t="s">
        <v>2037</v>
      </c>
      <c r="V1087" s="10" t="s">
        <v>2037</v>
      </c>
      <c r="W1087" s="50">
        <f>+J1087/$W$2</f>
        <v>9.0474183406707276E-5</v>
      </c>
    </row>
    <row r="1088" spans="1:29">
      <c r="A1088" s="10" t="s">
        <v>2416</v>
      </c>
      <c r="B1088" s="10" t="s">
        <v>381</v>
      </c>
      <c r="C1088" s="124">
        <v>46330</v>
      </c>
      <c r="D1088" s="124" t="s">
        <v>492</v>
      </c>
      <c r="E1088" s="21">
        <v>0.97126135000000002</v>
      </c>
      <c r="F1088" s="10"/>
      <c r="G1088" s="14">
        <v>5577023.0199999996</v>
      </c>
      <c r="H1088" s="14">
        <v>5416746.9100000001</v>
      </c>
      <c r="I1088" s="14">
        <v>5577023.0199999996</v>
      </c>
      <c r="J1088" s="14">
        <v>5416746.9100000001</v>
      </c>
      <c r="K1088" s="12">
        <v>90017210</v>
      </c>
      <c r="L1088" s="10" t="s">
        <v>101</v>
      </c>
      <c r="M1088" s="10" t="s">
        <v>102</v>
      </c>
      <c r="N1088" s="124" t="s">
        <v>552</v>
      </c>
      <c r="O1088" s="124" t="s">
        <v>552</v>
      </c>
      <c r="P1088" s="21">
        <v>30</v>
      </c>
      <c r="Q1088" s="10" t="s">
        <v>54</v>
      </c>
      <c r="R1088" s="10" t="s">
        <v>28</v>
      </c>
      <c r="S1088" s="10"/>
      <c r="T1088" s="10"/>
      <c r="U1088" s="10" t="s">
        <v>2406</v>
      </c>
      <c r="V1088" s="10" t="s">
        <v>2406</v>
      </c>
      <c r="W1088" s="50">
        <f>+J1088/$W$2</f>
        <v>7.2013314567740593E-5</v>
      </c>
    </row>
    <row r="1089" spans="1:29">
      <c r="A1089" s="10" t="s">
        <v>382</v>
      </c>
      <c r="B1089" s="10" t="s">
        <v>381</v>
      </c>
      <c r="C1089" s="124">
        <v>46330</v>
      </c>
      <c r="D1089" s="124" t="s">
        <v>492</v>
      </c>
      <c r="E1089" s="21">
        <v>0.97126137999999995</v>
      </c>
      <c r="F1089" s="10"/>
      <c r="G1089" s="14">
        <v>5000000</v>
      </c>
      <c r="H1089" s="14">
        <v>4856306.8899999997</v>
      </c>
      <c r="I1089" s="14">
        <v>5000000</v>
      </c>
      <c r="J1089" s="14">
        <v>4856306.8899999997</v>
      </c>
      <c r="K1089" s="12">
        <v>1199</v>
      </c>
      <c r="L1089" s="10" t="s">
        <v>101</v>
      </c>
      <c r="M1089" s="10" t="s">
        <v>102</v>
      </c>
      <c r="N1089" s="124" t="s">
        <v>431</v>
      </c>
      <c r="O1089" s="124" t="s">
        <v>431</v>
      </c>
      <c r="P1089" s="21">
        <v>30</v>
      </c>
      <c r="Q1089" s="10" t="s">
        <v>54</v>
      </c>
      <c r="R1089" s="10" t="s">
        <v>28</v>
      </c>
      <c r="S1089" s="10"/>
      <c r="T1089" s="10"/>
      <c r="U1089" s="10" t="s">
        <v>2267</v>
      </c>
      <c r="V1089" s="10" t="s">
        <v>2267</v>
      </c>
      <c r="W1089" s="50">
        <f>+J1089/$W$2</f>
        <v>6.4562506153173027E-5</v>
      </c>
    </row>
    <row r="1090" spans="1:29">
      <c r="A1090" s="10" t="s">
        <v>382</v>
      </c>
      <c r="B1090" s="10" t="s">
        <v>381</v>
      </c>
      <c r="C1090" s="124">
        <v>46330</v>
      </c>
      <c r="D1090" s="124" t="s">
        <v>492</v>
      </c>
      <c r="E1090" s="21">
        <v>0.97126148999999995</v>
      </c>
      <c r="F1090" s="10"/>
      <c r="G1090" s="14">
        <v>5000000</v>
      </c>
      <c r="H1090" s="14">
        <v>4856307.45</v>
      </c>
      <c r="I1090" s="14">
        <v>5000000</v>
      </c>
      <c r="J1090" s="14">
        <v>4856307.45</v>
      </c>
      <c r="K1090" s="12">
        <v>1243</v>
      </c>
      <c r="L1090" s="10" t="s">
        <v>101</v>
      </c>
      <c r="M1090" s="10" t="s">
        <v>102</v>
      </c>
      <c r="N1090" s="124" t="s">
        <v>422</v>
      </c>
      <c r="O1090" s="124" t="s">
        <v>422</v>
      </c>
      <c r="P1090" s="21">
        <v>30</v>
      </c>
      <c r="Q1090" s="10" t="s">
        <v>54</v>
      </c>
      <c r="R1090" s="10" t="s">
        <v>28</v>
      </c>
      <c r="S1090" s="10"/>
      <c r="T1090" s="10"/>
      <c r="U1090" s="10" t="s">
        <v>2737</v>
      </c>
      <c r="V1090" s="10" t="s">
        <v>2737</v>
      </c>
      <c r="W1090" s="50">
        <f>+J1090/$W$2</f>
        <v>6.4562513598131563E-5</v>
      </c>
      <c r="AC1090" s="47"/>
    </row>
    <row r="1091" spans="1:29">
      <c r="A1091" s="10" t="s">
        <v>382</v>
      </c>
      <c r="B1091" s="10" t="s">
        <v>381</v>
      </c>
      <c r="C1091" s="124">
        <v>46330</v>
      </c>
      <c r="D1091" s="124" t="s">
        <v>492</v>
      </c>
      <c r="E1091" s="21">
        <v>0.97126142999999998</v>
      </c>
      <c r="F1091" s="10"/>
      <c r="G1091" s="14">
        <v>4000000</v>
      </c>
      <c r="H1091" s="14">
        <v>3885045.72</v>
      </c>
      <c r="I1091" s="14">
        <v>4000000</v>
      </c>
      <c r="J1091" s="14">
        <v>3885045.72</v>
      </c>
      <c r="K1091" s="12">
        <v>1289</v>
      </c>
      <c r="L1091" s="10" t="s">
        <v>101</v>
      </c>
      <c r="M1091" s="10" t="s">
        <v>102</v>
      </c>
      <c r="N1091" s="124" t="s">
        <v>472</v>
      </c>
      <c r="O1091" s="124" t="s">
        <v>472</v>
      </c>
      <c r="P1091" s="21">
        <v>30</v>
      </c>
      <c r="Q1091" s="10" t="s">
        <v>54</v>
      </c>
      <c r="R1091" s="10" t="s">
        <v>28</v>
      </c>
      <c r="S1091" s="10"/>
      <c r="T1091" s="10"/>
      <c r="U1091" s="10" t="s">
        <v>3232</v>
      </c>
      <c r="V1091" s="10" t="s">
        <v>3232</v>
      </c>
      <c r="W1091" s="50">
        <f>+J1091/$W$2</f>
        <v>5.1650007687808738E-5</v>
      </c>
    </row>
    <row r="1092" spans="1:29">
      <c r="A1092" s="10" t="s">
        <v>382</v>
      </c>
      <c r="B1092" s="10" t="s">
        <v>381</v>
      </c>
      <c r="C1092" s="124">
        <v>46330</v>
      </c>
      <c r="D1092" s="124" t="s">
        <v>492</v>
      </c>
      <c r="E1092" s="21">
        <v>0.96940409000000005</v>
      </c>
      <c r="F1092" s="10"/>
      <c r="G1092" s="14">
        <v>3000000</v>
      </c>
      <c r="H1092" s="14">
        <v>2908212.28</v>
      </c>
      <c r="I1092" s="14">
        <v>3000000</v>
      </c>
      <c r="J1092" s="14">
        <v>2908212.28</v>
      </c>
      <c r="K1092" s="12">
        <v>1048</v>
      </c>
      <c r="L1092" s="10" t="s">
        <v>101</v>
      </c>
      <c r="M1092" s="10" t="s">
        <v>102</v>
      </c>
      <c r="N1092" s="124" t="s">
        <v>398</v>
      </c>
      <c r="O1092" s="124" t="s">
        <v>398</v>
      </c>
      <c r="P1092" s="21">
        <v>32</v>
      </c>
      <c r="Q1092" s="10" t="s">
        <v>54</v>
      </c>
      <c r="R1092" s="10" t="s">
        <v>28</v>
      </c>
      <c r="S1092" s="10"/>
      <c r="T1092" s="10"/>
      <c r="U1092" s="10" t="s">
        <v>1733</v>
      </c>
      <c r="V1092" s="10" t="s">
        <v>1733</v>
      </c>
      <c r="W1092" s="50">
        <f>+J1092/$W$2</f>
        <v>3.8663428295453823E-5</v>
      </c>
    </row>
    <row r="1093" spans="1:29">
      <c r="A1093" s="10" t="s">
        <v>3262</v>
      </c>
      <c r="B1093" s="10" t="s">
        <v>381</v>
      </c>
      <c r="C1093" s="124">
        <v>46330</v>
      </c>
      <c r="D1093" s="124" t="s">
        <v>492</v>
      </c>
      <c r="E1093" s="21">
        <v>0.96847815999999998</v>
      </c>
      <c r="F1093" s="10"/>
      <c r="G1093" s="14">
        <v>3882407.02</v>
      </c>
      <c r="H1093" s="14">
        <v>3760026.4</v>
      </c>
      <c r="I1093" s="14">
        <v>3882407.02</v>
      </c>
      <c r="J1093" s="14">
        <v>3760026.4</v>
      </c>
      <c r="K1093" s="12">
        <v>1682739</v>
      </c>
      <c r="L1093" s="10" t="s">
        <v>101</v>
      </c>
      <c r="M1093" s="10" t="s">
        <v>102</v>
      </c>
      <c r="N1093" s="124" t="s">
        <v>472</v>
      </c>
      <c r="O1093" s="124" t="s">
        <v>472</v>
      </c>
      <c r="P1093" s="21">
        <v>33</v>
      </c>
      <c r="Q1093" s="10" t="s">
        <v>54</v>
      </c>
      <c r="R1093" s="10" t="s">
        <v>28</v>
      </c>
      <c r="S1093" s="10"/>
      <c r="T1093" s="10"/>
      <c r="U1093" s="10" t="s">
        <v>3253</v>
      </c>
      <c r="V1093" s="10" t="s">
        <v>3253</v>
      </c>
      <c r="W1093" s="50">
        <f>+J1093/$W$2</f>
        <v>4.9987929734418618E-5</v>
      </c>
    </row>
    <row r="1094" spans="1:29">
      <c r="A1094" s="10" t="s">
        <v>334</v>
      </c>
      <c r="B1094" s="10" t="s">
        <v>381</v>
      </c>
      <c r="C1094" s="124">
        <v>46330</v>
      </c>
      <c r="D1094" s="124" t="s">
        <v>492</v>
      </c>
      <c r="E1094" s="21">
        <v>0.96940402000000003</v>
      </c>
      <c r="F1094" s="10"/>
      <c r="G1094" s="14">
        <v>40000000</v>
      </c>
      <c r="H1094" s="14">
        <v>38776160.780000001</v>
      </c>
      <c r="I1094" s="14">
        <v>40000000</v>
      </c>
      <c r="J1094" s="14">
        <v>38776160.780000001</v>
      </c>
      <c r="K1094" s="12">
        <v>13953435</v>
      </c>
      <c r="L1094" s="10" t="s">
        <v>101</v>
      </c>
      <c r="M1094" s="10" t="s">
        <v>102</v>
      </c>
      <c r="N1094" s="124" t="s">
        <v>396</v>
      </c>
      <c r="O1094" s="124" t="s">
        <v>396</v>
      </c>
      <c r="P1094" s="21">
        <v>32</v>
      </c>
      <c r="Q1094" s="10" t="s">
        <v>54</v>
      </c>
      <c r="R1094" s="10" t="s">
        <v>28</v>
      </c>
      <c r="S1094" s="10"/>
      <c r="T1094" s="10"/>
      <c r="U1094" s="10" t="s">
        <v>859</v>
      </c>
      <c r="V1094" s="10" t="s">
        <v>859</v>
      </c>
      <c r="W1094" s="50">
        <f>+J1094/$W$2</f>
        <v>5.1551233800942436E-4</v>
      </c>
    </row>
    <row r="1095" spans="1:29">
      <c r="A1095" s="10" t="s">
        <v>3269</v>
      </c>
      <c r="B1095" s="10" t="s">
        <v>381</v>
      </c>
      <c r="C1095" s="124">
        <v>46330</v>
      </c>
      <c r="D1095" s="124" t="s">
        <v>492</v>
      </c>
      <c r="E1095" s="21">
        <v>0.97593593000000001</v>
      </c>
      <c r="F1095" s="10"/>
      <c r="G1095" s="14">
        <v>18000000</v>
      </c>
      <c r="H1095" s="14">
        <v>17566846.73</v>
      </c>
      <c r="I1095" s="14">
        <v>18000000</v>
      </c>
      <c r="J1095" s="14">
        <v>17566846.73</v>
      </c>
      <c r="K1095" s="12">
        <v>20569</v>
      </c>
      <c r="L1095" s="10" t="s">
        <v>101</v>
      </c>
      <c r="M1095" s="10" t="s">
        <v>102</v>
      </c>
      <c r="N1095" s="124" t="s">
        <v>472</v>
      </c>
      <c r="O1095" s="124" t="s">
        <v>472</v>
      </c>
      <c r="P1095" s="21">
        <v>25</v>
      </c>
      <c r="Q1095" s="10" t="s">
        <v>54</v>
      </c>
      <c r="R1095" s="10" t="s">
        <v>28</v>
      </c>
      <c r="S1095" s="10"/>
      <c r="T1095" s="10"/>
      <c r="U1095" s="10" t="s">
        <v>3177</v>
      </c>
      <c r="V1095" s="10" t="s">
        <v>3177</v>
      </c>
      <c r="W1095" s="50">
        <f>+J1095/$W$2</f>
        <v>2.3354365277715645E-4</v>
      </c>
    </row>
    <row r="1096" spans="1:29">
      <c r="A1096" s="10" t="s">
        <v>415</v>
      </c>
      <c r="B1096" s="10" t="s">
        <v>381</v>
      </c>
      <c r="C1096" s="124">
        <v>46330</v>
      </c>
      <c r="D1096" s="124" t="s">
        <v>492</v>
      </c>
      <c r="E1096" s="21">
        <v>0.97593587999999998</v>
      </c>
      <c r="F1096" s="10"/>
      <c r="G1096" s="14">
        <v>695186.79</v>
      </c>
      <c r="H1096" s="14">
        <v>678457.73</v>
      </c>
      <c r="I1096" s="14">
        <v>695186.79</v>
      </c>
      <c r="J1096" s="14">
        <v>678457.73</v>
      </c>
      <c r="K1096" s="12">
        <v>40014794</v>
      </c>
      <c r="L1096" s="10" t="s">
        <v>101</v>
      </c>
      <c r="M1096" s="10" t="s">
        <v>102</v>
      </c>
      <c r="N1096" s="124" t="s">
        <v>436</v>
      </c>
      <c r="O1096" s="124" t="s">
        <v>436</v>
      </c>
      <c r="P1096" s="21">
        <v>25</v>
      </c>
      <c r="Q1096" s="10" t="s">
        <v>54</v>
      </c>
      <c r="R1096" s="10" t="s">
        <v>28</v>
      </c>
      <c r="S1096" s="10"/>
      <c r="T1096" s="10"/>
      <c r="U1096" s="10" t="s">
        <v>1920</v>
      </c>
      <c r="V1096" s="10" t="s">
        <v>1920</v>
      </c>
      <c r="W1096" s="50">
        <f>+J1096/$W$2</f>
        <v>9.0198029819719247E-6</v>
      </c>
    </row>
    <row r="1097" spans="1:29">
      <c r="A1097" s="10" t="s">
        <v>353</v>
      </c>
      <c r="B1097" s="10" t="s">
        <v>381</v>
      </c>
      <c r="C1097" s="124">
        <v>46330</v>
      </c>
      <c r="D1097" s="124" t="s">
        <v>492</v>
      </c>
      <c r="E1097" s="21">
        <v>0.96571072000000002</v>
      </c>
      <c r="F1097" s="10"/>
      <c r="G1097" s="14">
        <v>3256800.5</v>
      </c>
      <c r="H1097" s="14">
        <v>3145127.15</v>
      </c>
      <c r="I1097" s="14">
        <v>3256800.5</v>
      </c>
      <c r="J1097" s="14">
        <v>3145127.15</v>
      </c>
      <c r="K1097" s="12">
        <v>3577</v>
      </c>
      <c r="L1097" s="10" t="s">
        <v>101</v>
      </c>
      <c r="M1097" s="10" t="s">
        <v>102</v>
      </c>
      <c r="N1097" s="124" t="s">
        <v>532</v>
      </c>
      <c r="O1097" s="124" t="s">
        <v>532</v>
      </c>
      <c r="P1097" s="21">
        <v>36</v>
      </c>
      <c r="Q1097" s="10" t="s">
        <v>54</v>
      </c>
      <c r="R1097" s="10" t="s">
        <v>28</v>
      </c>
      <c r="S1097" s="10"/>
      <c r="T1097" s="10"/>
      <c r="U1097" s="10" t="s">
        <v>3099</v>
      </c>
      <c r="V1097" s="10" t="s">
        <v>3099</v>
      </c>
      <c r="W1097" s="50">
        <f>+J1097/$W$2</f>
        <v>4.1813109338810041E-5</v>
      </c>
    </row>
    <row r="1098" spans="1:29">
      <c r="A1098" s="10" t="s">
        <v>353</v>
      </c>
      <c r="B1098" s="10" t="s">
        <v>381</v>
      </c>
      <c r="C1098" s="124">
        <v>46330</v>
      </c>
      <c r="D1098" s="124" t="s">
        <v>492</v>
      </c>
      <c r="E1098" s="21">
        <v>0.96663136999999999</v>
      </c>
      <c r="F1098" s="10"/>
      <c r="G1098" s="14">
        <v>3789564.21</v>
      </c>
      <c r="H1098" s="14">
        <v>3663111.64</v>
      </c>
      <c r="I1098" s="14">
        <v>3789564.21</v>
      </c>
      <c r="J1098" s="14">
        <v>3663111.64</v>
      </c>
      <c r="K1098" s="12">
        <v>3269</v>
      </c>
      <c r="L1098" s="10" t="s">
        <v>101</v>
      </c>
      <c r="M1098" s="10" t="s">
        <v>102</v>
      </c>
      <c r="N1098" s="124" t="s">
        <v>531</v>
      </c>
      <c r="O1098" s="124" t="s">
        <v>531</v>
      </c>
      <c r="P1098" s="21">
        <v>35</v>
      </c>
      <c r="Q1098" s="10" t="s">
        <v>54</v>
      </c>
      <c r="R1098" s="10" t="s">
        <v>28</v>
      </c>
      <c r="S1098" s="10"/>
      <c r="T1098" s="10"/>
      <c r="U1098" s="10" t="s">
        <v>3415</v>
      </c>
      <c r="V1098" s="10" t="s">
        <v>3415</v>
      </c>
      <c r="W1098" s="50">
        <f>+J1098/$W$2</f>
        <v>4.8699489788063977E-5</v>
      </c>
    </row>
    <row r="1099" spans="1:29">
      <c r="A1099" s="10" t="s">
        <v>353</v>
      </c>
      <c r="B1099" s="10" t="s">
        <v>381</v>
      </c>
      <c r="C1099" s="124">
        <v>46330</v>
      </c>
      <c r="D1099" s="124" t="s">
        <v>492</v>
      </c>
      <c r="E1099" s="21">
        <v>0.96663136999999999</v>
      </c>
      <c r="F1099" s="10"/>
      <c r="G1099" s="14">
        <v>2510000.36</v>
      </c>
      <c r="H1099" s="14">
        <v>2426245.08</v>
      </c>
      <c r="I1099" s="14">
        <v>2510000.36</v>
      </c>
      <c r="J1099" s="14">
        <v>2426245.08</v>
      </c>
      <c r="K1099" s="12">
        <v>3157</v>
      </c>
      <c r="L1099" s="10" t="s">
        <v>101</v>
      </c>
      <c r="M1099" s="10" t="s">
        <v>102</v>
      </c>
      <c r="N1099" s="124" t="s">
        <v>531</v>
      </c>
      <c r="O1099" s="124" t="s">
        <v>531</v>
      </c>
      <c r="P1099" s="21">
        <v>35</v>
      </c>
      <c r="Q1099" s="10" t="s">
        <v>54</v>
      </c>
      <c r="R1099" s="10" t="s">
        <v>28</v>
      </c>
      <c r="S1099" s="10"/>
      <c r="T1099" s="10"/>
      <c r="U1099" s="10" t="s">
        <v>3416</v>
      </c>
      <c r="V1099" s="10" t="s">
        <v>3416</v>
      </c>
      <c r="W1099" s="50">
        <f>+J1099/$W$2</f>
        <v>3.2255882186763075E-5</v>
      </c>
    </row>
    <row r="1100" spans="1:29">
      <c r="A1100" s="10" t="s">
        <v>849</v>
      </c>
      <c r="B1100" s="10" t="s">
        <v>381</v>
      </c>
      <c r="C1100" s="124">
        <v>46330</v>
      </c>
      <c r="D1100" s="124" t="s">
        <v>492</v>
      </c>
      <c r="E1100" s="21">
        <v>0.96479179999999998</v>
      </c>
      <c r="F1100" s="10"/>
      <c r="G1100" s="14">
        <v>25000000</v>
      </c>
      <c r="H1100" s="14">
        <v>24119794.93</v>
      </c>
      <c r="I1100" s="14">
        <v>25000000</v>
      </c>
      <c r="J1100" s="14">
        <v>24119794.93</v>
      </c>
      <c r="K1100" s="12">
        <v>2593</v>
      </c>
      <c r="L1100" s="10" t="s">
        <v>101</v>
      </c>
      <c r="M1100" s="10" t="s">
        <v>102</v>
      </c>
      <c r="N1100" s="124" t="s">
        <v>349</v>
      </c>
      <c r="O1100" s="124" t="s">
        <v>349</v>
      </c>
      <c r="P1100" s="21">
        <v>37</v>
      </c>
      <c r="Q1100" s="10" t="s">
        <v>54</v>
      </c>
      <c r="R1100" s="10" t="s">
        <v>28</v>
      </c>
      <c r="S1100" s="10"/>
      <c r="T1100" s="10"/>
      <c r="U1100" s="10" t="s">
        <v>1343</v>
      </c>
      <c r="V1100" s="10" t="s">
        <v>1343</v>
      </c>
      <c r="W1100" s="50">
        <f>+J1100/$W$2</f>
        <v>3.2066227358654354E-4</v>
      </c>
    </row>
    <row r="1101" spans="1:29">
      <c r="A1101" s="10" t="s">
        <v>2287</v>
      </c>
      <c r="B1101" s="10" t="s">
        <v>381</v>
      </c>
      <c r="C1101" s="124">
        <v>46330</v>
      </c>
      <c r="D1101" s="124" t="s">
        <v>492</v>
      </c>
      <c r="E1101" s="21">
        <v>0.98065564000000005</v>
      </c>
      <c r="F1101" s="10"/>
      <c r="G1101" s="14">
        <v>346488.63</v>
      </c>
      <c r="H1101" s="14">
        <v>339786.03</v>
      </c>
      <c r="I1101" s="14">
        <v>346488.63</v>
      </c>
      <c r="J1101" s="14">
        <v>339786.03</v>
      </c>
      <c r="K1101" s="12">
        <v>69480923</v>
      </c>
      <c r="L1101" s="10" t="s">
        <v>101</v>
      </c>
      <c r="M1101" s="10" t="s">
        <v>102</v>
      </c>
      <c r="N1101" s="124" t="s">
        <v>431</v>
      </c>
      <c r="O1101" s="124" t="s">
        <v>431</v>
      </c>
      <c r="P1101" s="21">
        <v>20</v>
      </c>
      <c r="Q1101" s="10" t="s">
        <v>54</v>
      </c>
      <c r="R1101" s="10" t="s">
        <v>28</v>
      </c>
      <c r="S1101" s="10"/>
      <c r="T1101" s="10"/>
      <c r="U1101" s="10" t="s">
        <v>2251</v>
      </c>
      <c r="V1101" s="10" t="s">
        <v>2251</v>
      </c>
      <c r="W1101" s="50">
        <f>+J1101/$W$2</f>
        <v>4.5173087594217581E-6</v>
      </c>
    </row>
    <row r="1102" spans="1:29">
      <c r="A1102" s="10" t="s">
        <v>2423</v>
      </c>
      <c r="B1102" s="10" t="s">
        <v>381</v>
      </c>
      <c r="C1102" s="124">
        <v>46330</v>
      </c>
      <c r="D1102" s="124" t="s">
        <v>492</v>
      </c>
      <c r="E1102" s="21">
        <v>0.97126135000000002</v>
      </c>
      <c r="F1102" s="10"/>
      <c r="G1102" s="14">
        <v>6150126.3399999999</v>
      </c>
      <c r="H1102" s="14">
        <v>5973379.9900000002</v>
      </c>
      <c r="I1102" s="14">
        <v>6150126.3399999999</v>
      </c>
      <c r="J1102" s="14">
        <v>5973379.9900000002</v>
      </c>
      <c r="K1102" s="12">
        <v>58</v>
      </c>
      <c r="L1102" s="10" t="s">
        <v>101</v>
      </c>
      <c r="M1102" s="10" t="s">
        <v>102</v>
      </c>
      <c r="N1102" s="124" t="s">
        <v>552</v>
      </c>
      <c r="O1102" s="124" t="s">
        <v>552</v>
      </c>
      <c r="P1102" s="21">
        <v>30</v>
      </c>
      <c r="Q1102" s="10" t="s">
        <v>54</v>
      </c>
      <c r="R1102" s="10" t="s">
        <v>28</v>
      </c>
      <c r="S1102" s="10"/>
      <c r="T1102" s="10"/>
      <c r="U1102" s="10" t="s">
        <v>2380</v>
      </c>
      <c r="V1102" s="10" t="s">
        <v>2380</v>
      </c>
      <c r="W1102" s="50">
        <f>+J1102/$W$2</f>
        <v>7.9413511356489996E-5</v>
      </c>
    </row>
    <row r="1103" spans="1:29">
      <c r="A1103" s="10" t="s">
        <v>2424</v>
      </c>
      <c r="B1103" s="10" t="s">
        <v>381</v>
      </c>
      <c r="C1103" s="124">
        <v>46330</v>
      </c>
      <c r="D1103" s="124" t="s">
        <v>492</v>
      </c>
      <c r="E1103" s="21">
        <v>0.97126135000000002</v>
      </c>
      <c r="F1103" s="10"/>
      <c r="G1103" s="14">
        <v>5103695.5599999996</v>
      </c>
      <c r="H1103" s="14">
        <v>4957022.2300000004</v>
      </c>
      <c r="I1103" s="14">
        <v>5103695.5599999996</v>
      </c>
      <c r="J1103" s="14">
        <v>4957022.2300000004</v>
      </c>
      <c r="K1103" s="12">
        <v>828</v>
      </c>
      <c r="L1103" s="10" t="s">
        <v>101</v>
      </c>
      <c r="M1103" s="10" t="s">
        <v>102</v>
      </c>
      <c r="N1103" s="124" t="s">
        <v>552</v>
      </c>
      <c r="O1103" s="124" t="s">
        <v>552</v>
      </c>
      <c r="P1103" s="21">
        <v>30</v>
      </c>
      <c r="Q1103" s="10" t="s">
        <v>54</v>
      </c>
      <c r="R1103" s="10" t="s">
        <v>28</v>
      </c>
      <c r="S1103" s="10"/>
      <c r="T1103" s="10"/>
      <c r="U1103" s="10" t="s">
        <v>2382</v>
      </c>
      <c r="V1103" s="10" t="s">
        <v>2382</v>
      </c>
      <c r="W1103" s="50">
        <f>+J1103/$W$2</f>
        <v>6.5901473171888137E-5</v>
      </c>
    </row>
    <row r="1104" spans="1:29">
      <c r="A1104" s="10" t="s">
        <v>2424</v>
      </c>
      <c r="B1104" s="10" t="s">
        <v>381</v>
      </c>
      <c r="C1104" s="124">
        <v>46330</v>
      </c>
      <c r="D1104" s="124" t="s">
        <v>492</v>
      </c>
      <c r="E1104" s="21">
        <v>0.97126133999999997</v>
      </c>
      <c r="F1104" s="10"/>
      <c r="G1104" s="14">
        <v>2500000</v>
      </c>
      <c r="H1104" s="14">
        <v>2428153.35</v>
      </c>
      <c r="I1104" s="14">
        <v>2500000</v>
      </c>
      <c r="J1104" s="14">
        <v>2428153.35</v>
      </c>
      <c r="K1104" s="12">
        <v>821</v>
      </c>
      <c r="L1104" s="10" t="s">
        <v>101</v>
      </c>
      <c r="M1104" s="10" t="s">
        <v>102</v>
      </c>
      <c r="N1104" s="124" t="s">
        <v>552</v>
      </c>
      <c r="O1104" s="124" t="s">
        <v>552</v>
      </c>
      <c r="P1104" s="21">
        <v>30</v>
      </c>
      <c r="Q1104" s="10" t="s">
        <v>54</v>
      </c>
      <c r="R1104" s="10" t="s">
        <v>28</v>
      </c>
      <c r="S1104" s="10"/>
      <c r="T1104" s="10"/>
      <c r="U1104" s="10" t="s">
        <v>2383</v>
      </c>
      <c r="V1104" s="10" t="s">
        <v>2383</v>
      </c>
      <c r="W1104" s="50">
        <f>+J1104/$W$2</f>
        <v>3.2281251813602479E-5</v>
      </c>
    </row>
    <row r="1105" spans="1:29">
      <c r="A1105" s="10" t="s">
        <v>2600</v>
      </c>
      <c r="B1105" s="10" t="s">
        <v>381</v>
      </c>
      <c r="C1105" s="124">
        <v>46330</v>
      </c>
      <c r="D1105" s="124" t="s">
        <v>492</v>
      </c>
      <c r="E1105" s="21">
        <v>0.96847808999999996</v>
      </c>
      <c r="F1105" s="10"/>
      <c r="G1105" s="14">
        <v>5300000</v>
      </c>
      <c r="H1105" s="14">
        <v>5132933.9000000004</v>
      </c>
      <c r="I1105" s="14">
        <v>5300000</v>
      </c>
      <c r="J1105" s="14">
        <v>5132933.9000000004</v>
      </c>
      <c r="K1105" s="12">
        <v>8175673</v>
      </c>
      <c r="L1105" s="10" t="s">
        <v>101</v>
      </c>
      <c r="M1105" s="10" t="s">
        <v>102</v>
      </c>
      <c r="N1105" s="124" t="s">
        <v>423</v>
      </c>
      <c r="O1105" s="124" t="s">
        <v>423</v>
      </c>
      <c r="P1105" s="21">
        <v>33</v>
      </c>
      <c r="Q1105" s="10" t="s">
        <v>54</v>
      </c>
      <c r="R1105" s="10" t="s">
        <v>28</v>
      </c>
      <c r="S1105" s="10"/>
      <c r="T1105" s="10"/>
      <c r="U1105" s="10" t="s">
        <v>2480</v>
      </c>
      <c r="V1105" s="10" t="s">
        <v>2480</v>
      </c>
      <c r="W1105" s="50">
        <f>+J1105/$W$2</f>
        <v>6.8240142974691708E-5</v>
      </c>
    </row>
    <row r="1106" spans="1:29">
      <c r="A1106" s="10" t="s">
        <v>2603</v>
      </c>
      <c r="B1106" s="10" t="s">
        <v>381</v>
      </c>
      <c r="C1106" s="124">
        <v>46330</v>
      </c>
      <c r="D1106" s="124" t="s">
        <v>492</v>
      </c>
      <c r="E1106" s="21">
        <v>0.96847810999999995</v>
      </c>
      <c r="F1106" s="10"/>
      <c r="G1106" s="14">
        <v>1428441.71</v>
      </c>
      <c r="H1106" s="14">
        <v>1383414.52</v>
      </c>
      <c r="I1106" s="14">
        <v>1428441.71</v>
      </c>
      <c r="J1106" s="14">
        <v>1383414.52</v>
      </c>
      <c r="K1106" s="12">
        <v>274</v>
      </c>
      <c r="L1106" s="10" t="s">
        <v>101</v>
      </c>
      <c r="M1106" s="10" t="s">
        <v>102</v>
      </c>
      <c r="N1106" s="124" t="s">
        <v>423</v>
      </c>
      <c r="O1106" s="124" t="s">
        <v>423</v>
      </c>
      <c r="P1106" s="21">
        <v>33</v>
      </c>
      <c r="Q1106" s="10" t="s">
        <v>54</v>
      </c>
      <c r="R1106" s="10" t="s">
        <v>28</v>
      </c>
      <c r="S1106" s="10"/>
      <c r="T1106" s="10"/>
      <c r="U1106" s="10" t="s">
        <v>2509</v>
      </c>
      <c r="V1106" s="10" t="s">
        <v>2509</v>
      </c>
      <c r="W1106" s="50">
        <f>+J1106/$W$2</f>
        <v>1.8391899540741114E-5</v>
      </c>
    </row>
    <row r="1107" spans="1:29">
      <c r="A1107" s="10" t="s">
        <v>2612</v>
      </c>
      <c r="B1107" s="10" t="s">
        <v>381</v>
      </c>
      <c r="C1107" s="124">
        <v>46330</v>
      </c>
      <c r="D1107" s="124" t="s">
        <v>492</v>
      </c>
      <c r="E1107" s="21">
        <v>0.96940408</v>
      </c>
      <c r="F1107" s="10"/>
      <c r="G1107" s="14">
        <v>891634.28</v>
      </c>
      <c r="H1107" s="14">
        <v>864353.91</v>
      </c>
      <c r="I1107" s="14">
        <v>891634.28</v>
      </c>
      <c r="J1107" s="14">
        <v>864353.91</v>
      </c>
      <c r="K1107" s="12">
        <v>1996</v>
      </c>
      <c r="L1107" s="10" t="s">
        <v>101</v>
      </c>
      <c r="M1107" s="10" t="s">
        <v>102</v>
      </c>
      <c r="N1107" s="124" t="s">
        <v>423</v>
      </c>
      <c r="O1107" s="124" t="s">
        <v>423</v>
      </c>
      <c r="P1107" s="21">
        <v>32</v>
      </c>
      <c r="Q1107" s="10" t="s">
        <v>54</v>
      </c>
      <c r="R1107" s="10" t="s">
        <v>28</v>
      </c>
      <c r="S1107" s="10"/>
      <c r="T1107" s="10"/>
      <c r="U1107" s="10" t="s">
        <v>2544</v>
      </c>
      <c r="V1107" s="10" t="s">
        <v>2544</v>
      </c>
      <c r="W1107" s="50">
        <f>+J1107/$W$2</f>
        <v>1.1491212540090144E-5</v>
      </c>
    </row>
    <row r="1108" spans="1:29">
      <c r="A1108" s="10" t="s">
        <v>389</v>
      </c>
      <c r="B1108" s="10" t="s">
        <v>381</v>
      </c>
      <c r="C1108" s="124">
        <v>46330</v>
      </c>
      <c r="D1108" s="124" t="s">
        <v>492</v>
      </c>
      <c r="E1108" s="21">
        <v>0.96940404000000002</v>
      </c>
      <c r="F1108" s="10"/>
      <c r="G1108" s="14">
        <v>11829797.539999999</v>
      </c>
      <c r="H1108" s="14">
        <v>11467853.529999999</v>
      </c>
      <c r="I1108" s="14">
        <v>11829797.539999999</v>
      </c>
      <c r="J1108" s="14">
        <v>11467853.529999999</v>
      </c>
      <c r="K1108" s="12">
        <v>30890</v>
      </c>
      <c r="L1108" s="10" t="s">
        <v>101</v>
      </c>
      <c r="M1108" s="10" t="s">
        <v>102</v>
      </c>
      <c r="N1108" s="124" t="s">
        <v>365</v>
      </c>
      <c r="O1108" s="124" t="s">
        <v>365</v>
      </c>
      <c r="P1108" s="21">
        <v>32</v>
      </c>
      <c r="Q1108" s="10" t="s">
        <v>54</v>
      </c>
      <c r="R1108" s="10" t="s">
        <v>28</v>
      </c>
      <c r="S1108" s="10"/>
      <c r="T1108" s="10"/>
      <c r="U1108" s="10" t="s">
        <v>1076</v>
      </c>
      <c r="V1108" s="10" t="s">
        <v>1076</v>
      </c>
      <c r="W1108" s="50">
        <f>+J1108/$W$2</f>
        <v>1.5246016795580065E-4</v>
      </c>
    </row>
    <row r="1109" spans="1:29">
      <c r="A1109" s="10" t="s">
        <v>389</v>
      </c>
      <c r="B1109" s="10" t="s">
        <v>381</v>
      </c>
      <c r="C1109" s="124">
        <v>46330</v>
      </c>
      <c r="D1109" s="124" t="s">
        <v>492</v>
      </c>
      <c r="E1109" s="21">
        <v>0.96940404000000002</v>
      </c>
      <c r="F1109" s="10"/>
      <c r="G1109" s="14">
        <v>16498838.289999999</v>
      </c>
      <c r="H1109" s="14">
        <v>15994040.49</v>
      </c>
      <c r="I1109" s="14">
        <v>16498838.289999999</v>
      </c>
      <c r="J1109" s="14">
        <v>15994040.49</v>
      </c>
      <c r="K1109" s="12">
        <v>30846</v>
      </c>
      <c r="L1109" s="10" t="s">
        <v>101</v>
      </c>
      <c r="M1109" s="10" t="s">
        <v>102</v>
      </c>
      <c r="N1109" s="124" t="s">
        <v>365</v>
      </c>
      <c r="O1109" s="124" t="s">
        <v>365</v>
      </c>
      <c r="P1109" s="21">
        <v>32</v>
      </c>
      <c r="Q1109" s="10" t="s">
        <v>54</v>
      </c>
      <c r="R1109" s="10" t="s">
        <v>28</v>
      </c>
      <c r="S1109" s="10"/>
      <c r="T1109" s="10"/>
      <c r="U1109" s="10" t="s">
        <v>1077</v>
      </c>
      <c r="V1109" s="10" t="s">
        <v>1077</v>
      </c>
      <c r="W1109" s="50">
        <f>+J1109/$W$2</f>
        <v>2.1263387198120908E-4</v>
      </c>
    </row>
    <row r="1110" spans="1:29">
      <c r="A1110" s="10" t="s">
        <v>389</v>
      </c>
      <c r="B1110" s="10" t="s">
        <v>381</v>
      </c>
      <c r="C1110" s="124">
        <v>46330</v>
      </c>
      <c r="D1110" s="124" t="s">
        <v>492</v>
      </c>
      <c r="E1110" s="21">
        <v>0.96940404000000002</v>
      </c>
      <c r="F1110" s="10"/>
      <c r="G1110" s="14">
        <v>11490967.4</v>
      </c>
      <c r="H1110" s="14">
        <v>11139390.220000001</v>
      </c>
      <c r="I1110" s="14">
        <v>11490967.4</v>
      </c>
      <c r="J1110" s="14">
        <v>11139390.220000001</v>
      </c>
      <c r="K1110" s="12">
        <v>30900</v>
      </c>
      <c r="L1110" s="10" t="s">
        <v>101</v>
      </c>
      <c r="M1110" s="10" t="s">
        <v>102</v>
      </c>
      <c r="N1110" s="124" t="s">
        <v>365</v>
      </c>
      <c r="O1110" s="124" t="s">
        <v>365</v>
      </c>
      <c r="P1110" s="21">
        <v>32</v>
      </c>
      <c r="Q1110" s="10" t="s">
        <v>54</v>
      </c>
      <c r="R1110" s="10" t="s">
        <v>28</v>
      </c>
      <c r="S1110" s="10"/>
      <c r="T1110" s="10"/>
      <c r="U1110" s="10" t="s">
        <v>1078</v>
      </c>
      <c r="V1110" s="10" t="s">
        <v>1078</v>
      </c>
      <c r="W1110" s="50">
        <f>+J1110/$W$2</f>
        <v>1.4809338987663225E-4</v>
      </c>
    </row>
    <row r="1111" spans="1:29">
      <c r="A1111" s="10" t="s">
        <v>389</v>
      </c>
      <c r="B1111" s="10" t="s">
        <v>381</v>
      </c>
      <c r="C1111" s="124">
        <v>46330</v>
      </c>
      <c r="D1111" s="124" t="s">
        <v>492</v>
      </c>
      <c r="E1111" s="21">
        <v>0.96940404000000002</v>
      </c>
      <c r="F1111" s="10"/>
      <c r="G1111" s="14">
        <v>9142894.3200000003</v>
      </c>
      <c r="H1111" s="14">
        <v>8863158.6899999995</v>
      </c>
      <c r="I1111" s="14">
        <v>9142894.3200000003</v>
      </c>
      <c r="J1111" s="14">
        <v>8863158.6899999995</v>
      </c>
      <c r="K1111" s="12">
        <v>9933024</v>
      </c>
      <c r="L1111" s="10" t="s">
        <v>101</v>
      </c>
      <c r="M1111" s="10" t="s">
        <v>102</v>
      </c>
      <c r="N1111" s="124" t="s">
        <v>365</v>
      </c>
      <c r="O1111" s="124" t="s">
        <v>365</v>
      </c>
      <c r="P1111" s="21">
        <v>32</v>
      </c>
      <c r="Q1111" s="10" t="s">
        <v>54</v>
      </c>
      <c r="R1111" s="10" t="s">
        <v>28</v>
      </c>
      <c r="S1111" s="10"/>
      <c r="T1111" s="10"/>
      <c r="U1111" s="10" t="s">
        <v>1082</v>
      </c>
      <c r="V1111" s="10" t="s">
        <v>1082</v>
      </c>
      <c r="W1111" s="50">
        <f>+J1111/$W$2</f>
        <v>1.1783187315406131E-4</v>
      </c>
    </row>
    <row r="1112" spans="1:29">
      <c r="A1112" s="10" t="s">
        <v>353</v>
      </c>
      <c r="B1112" s="10" t="s">
        <v>381</v>
      </c>
      <c r="C1112" s="124">
        <v>46330</v>
      </c>
      <c r="D1112" s="124" t="s">
        <v>492</v>
      </c>
      <c r="E1112" s="21">
        <v>0.96755385999999999</v>
      </c>
      <c r="F1112" s="10"/>
      <c r="G1112" s="14">
        <v>990902.64</v>
      </c>
      <c r="H1112" s="14">
        <v>958751.67</v>
      </c>
      <c r="I1112" s="14">
        <v>990902.64</v>
      </c>
      <c r="J1112" s="14">
        <v>958751.67</v>
      </c>
      <c r="K1112" s="12">
        <v>2960</v>
      </c>
      <c r="L1112" s="10" t="s">
        <v>101</v>
      </c>
      <c r="M1112" s="10" t="s">
        <v>102</v>
      </c>
      <c r="N1112" s="124" t="s">
        <v>323</v>
      </c>
      <c r="O1112" s="124" t="s">
        <v>323</v>
      </c>
      <c r="P1112" s="21">
        <v>34</v>
      </c>
      <c r="Q1112" s="10" t="s">
        <v>54</v>
      </c>
      <c r="R1112" s="10" t="s">
        <v>28</v>
      </c>
      <c r="S1112" s="10"/>
      <c r="T1112" s="10"/>
      <c r="U1112" s="10" t="s">
        <v>914</v>
      </c>
      <c r="V1112" s="10" t="s">
        <v>914</v>
      </c>
      <c r="W1112" s="50">
        <f>+J1112/$W$2</f>
        <v>1.2746190056728461E-5</v>
      </c>
    </row>
    <row r="1113" spans="1:29">
      <c r="A1113" s="10" t="s">
        <v>353</v>
      </c>
      <c r="B1113" s="10" t="s">
        <v>381</v>
      </c>
      <c r="C1113" s="124">
        <v>46330</v>
      </c>
      <c r="D1113" s="124" t="s">
        <v>492</v>
      </c>
      <c r="E1113" s="21">
        <v>0.96755384</v>
      </c>
      <c r="F1113" s="10"/>
      <c r="G1113" s="14">
        <v>1020845.65</v>
      </c>
      <c r="H1113" s="14">
        <v>987723.13</v>
      </c>
      <c r="I1113" s="14">
        <v>1020845.65</v>
      </c>
      <c r="J1113" s="14">
        <v>987723.13</v>
      </c>
      <c r="K1113" s="12">
        <v>2910</v>
      </c>
      <c r="L1113" s="10" t="s">
        <v>101</v>
      </c>
      <c r="M1113" s="10" t="s">
        <v>102</v>
      </c>
      <c r="N1113" s="124" t="s">
        <v>323</v>
      </c>
      <c r="O1113" s="124" t="s">
        <v>323</v>
      </c>
      <c r="P1113" s="21">
        <v>34</v>
      </c>
      <c r="Q1113" s="10" t="s">
        <v>54</v>
      </c>
      <c r="R1113" s="10" t="s">
        <v>28</v>
      </c>
      <c r="S1113" s="10"/>
      <c r="T1113" s="10"/>
      <c r="U1113" s="10" t="s">
        <v>915</v>
      </c>
      <c r="V1113" s="10" t="s">
        <v>915</v>
      </c>
      <c r="W1113" s="50">
        <f>+J1113/$W$2</f>
        <v>1.3131353125472745E-5</v>
      </c>
    </row>
    <row r="1114" spans="1:29">
      <c r="A1114" s="10" t="s">
        <v>273</v>
      </c>
      <c r="B1114" s="10" t="s">
        <v>381</v>
      </c>
      <c r="C1114" s="124">
        <v>46330</v>
      </c>
      <c r="D1114" s="124" t="s">
        <v>492</v>
      </c>
      <c r="E1114" s="21">
        <v>0.97126137999999995</v>
      </c>
      <c r="F1114" s="10"/>
      <c r="G1114" s="14">
        <v>11000000</v>
      </c>
      <c r="H1114" s="14">
        <v>10683875.140000001</v>
      </c>
      <c r="I1114" s="14">
        <v>11000000</v>
      </c>
      <c r="J1114" s="14">
        <v>10683875.140000001</v>
      </c>
      <c r="K1114" s="12">
        <v>10679147</v>
      </c>
      <c r="L1114" s="10" t="s">
        <v>101</v>
      </c>
      <c r="M1114" s="10" t="s">
        <v>102</v>
      </c>
      <c r="N1114" s="124" t="s">
        <v>322</v>
      </c>
      <c r="O1114" s="124" t="s">
        <v>322</v>
      </c>
      <c r="P1114" s="21">
        <v>30</v>
      </c>
      <c r="Q1114" s="10" t="s">
        <v>54</v>
      </c>
      <c r="R1114" s="10" t="s">
        <v>28</v>
      </c>
      <c r="S1114" s="10"/>
      <c r="T1114" s="10"/>
      <c r="U1114" s="10" t="s">
        <v>1583</v>
      </c>
      <c r="V1114" s="10" t="s">
        <v>1583</v>
      </c>
      <c r="W1114" s="50">
        <f>+J1114/$W$2</f>
        <v>1.4203751329767842E-4</v>
      </c>
    </row>
    <row r="1115" spans="1:29">
      <c r="A1115" s="10" t="s">
        <v>2168</v>
      </c>
      <c r="B1115" s="10" t="s">
        <v>381</v>
      </c>
      <c r="C1115" s="124">
        <v>46330</v>
      </c>
      <c r="D1115" s="124" t="s">
        <v>492</v>
      </c>
      <c r="E1115" s="21">
        <v>0.96940406999999995</v>
      </c>
      <c r="F1115" s="10"/>
      <c r="G1115" s="14">
        <v>2749536.48</v>
      </c>
      <c r="H1115" s="14">
        <v>2665411.85</v>
      </c>
      <c r="I1115" s="14">
        <v>2749536.48</v>
      </c>
      <c r="J1115" s="14">
        <v>2665411.85</v>
      </c>
      <c r="K1115" s="12">
        <v>74760911</v>
      </c>
      <c r="L1115" s="10" t="s">
        <v>101</v>
      </c>
      <c r="M1115" s="10" t="s">
        <v>102</v>
      </c>
      <c r="N1115" s="124" t="s">
        <v>416</v>
      </c>
      <c r="O1115" s="124" t="s">
        <v>416</v>
      </c>
      <c r="P1115" s="21">
        <v>32</v>
      </c>
      <c r="Q1115" s="10" t="s">
        <v>54</v>
      </c>
      <c r="R1115" s="10" t="s">
        <v>28</v>
      </c>
      <c r="S1115" s="10"/>
      <c r="T1115" s="10"/>
      <c r="U1115" s="10" t="s">
        <v>2146</v>
      </c>
      <c r="V1115" s="10" t="s">
        <v>2146</v>
      </c>
      <c r="W1115" s="50">
        <f>+J1115/$W$2</f>
        <v>3.5435501269641818E-5</v>
      </c>
      <c r="AC1115" s="47"/>
    </row>
    <row r="1116" spans="1:29">
      <c r="A1116" s="10" t="s">
        <v>762</v>
      </c>
      <c r="B1116" s="10" t="s">
        <v>381</v>
      </c>
      <c r="C1116" s="124">
        <v>46330</v>
      </c>
      <c r="D1116" s="124" t="s">
        <v>492</v>
      </c>
      <c r="E1116" s="21">
        <v>0.97406079000000001</v>
      </c>
      <c r="F1116" s="10"/>
      <c r="G1116" s="14">
        <v>33170000</v>
      </c>
      <c r="H1116" s="14">
        <v>32309596.559999999</v>
      </c>
      <c r="I1116" s="14">
        <v>33170000</v>
      </c>
      <c r="J1116" s="14">
        <v>32309596.559999999</v>
      </c>
      <c r="K1116" s="12">
        <v>32240</v>
      </c>
      <c r="L1116" s="10" t="s">
        <v>101</v>
      </c>
      <c r="M1116" s="10" t="s">
        <v>102</v>
      </c>
      <c r="N1116" s="124" t="s">
        <v>422</v>
      </c>
      <c r="O1116" s="124" t="s">
        <v>422</v>
      </c>
      <c r="P1116" s="21">
        <v>27</v>
      </c>
      <c r="Q1116" s="10" t="s">
        <v>54</v>
      </c>
      <c r="R1116" s="10" t="s">
        <v>28</v>
      </c>
      <c r="S1116" s="10"/>
      <c r="T1116" s="10"/>
      <c r="U1116" s="10" t="s">
        <v>2730</v>
      </c>
      <c r="V1116" s="10" t="s">
        <v>2730</v>
      </c>
      <c r="W1116" s="50">
        <f>+J1116/$W$2</f>
        <v>4.2954215496696872E-4</v>
      </c>
    </row>
    <row r="1117" spans="1:29">
      <c r="A1117" s="10" t="s">
        <v>1816</v>
      </c>
      <c r="B1117" s="10" t="s">
        <v>381</v>
      </c>
      <c r="C1117" s="124">
        <v>46330</v>
      </c>
      <c r="D1117" s="124" t="s">
        <v>492</v>
      </c>
      <c r="E1117" s="21">
        <v>0.96940409999999999</v>
      </c>
      <c r="F1117" s="10"/>
      <c r="G1117" s="14">
        <v>6427534.4199999999</v>
      </c>
      <c r="H1117" s="14">
        <v>6230878.2000000002</v>
      </c>
      <c r="I1117" s="14">
        <v>6427534.4199999999</v>
      </c>
      <c r="J1117" s="14">
        <v>6230878.2000000002</v>
      </c>
      <c r="K1117" s="12">
        <v>68962809</v>
      </c>
      <c r="L1117" s="10" t="s">
        <v>101</v>
      </c>
      <c r="M1117" s="10" t="s">
        <v>102</v>
      </c>
      <c r="N1117" s="124" t="s">
        <v>398</v>
      </c>
      <c r="O1117" s="124" t="s">
        <v>398</v>
      </c>
      <c r="P1117" s="21">
        <v>32</v>
      </c>
      <c r="Q1117" s="10" t="s">
        <v>54</v>
      </c>
      <c r="R1117" s="10" t="s">
        <v>28</v>
      </c>
      <c r="S1117" s="10"/>
      <c r="T1117" s="10"/>
      <c r="U1117" s="10" t="s">
        <v>1803</v>
      </c>
      <c r="V1117" s="10" t="s">
        <v>1803</v>
      </c>
      <c r="W1117" s="50">
        <f>+J1117/$W$2</f>
        <v>8.2836839029992122E-5</v>
      </c>
    </row>
    <row r="1118" spans="1:29">
      <c r="A1118" s="10" t="s">
        <v>1884</v>
      </c>
      <c r="B1118" s="10" t="s">
        <v>381</v>
      </c>
      <c r="C1118" s="124">
        <v>46330</v>
      </c>
      <c r="D1118" s="124" t="s">
        <v>492</v>
      </c>
      <c r="E1118" s="21">
        <v>0.96940402999999997</v>
      </c>
      <c r="F1118" s="10"/>
      <c r="G1118" s="14">
        <v>18999660.98</v>
      </c>
      <c r="H1118" s="14">
        <v>18418347.93</v>
      </c>
      <c r="I1118" s="14">
        <v>18999660.98</v>
      </c>
      <c r="J1118" s="14">
        <v>18418347.93</v>
      </c>
      <c r="K1118" s="12">
        <v>11972702</v>
      </c>
      <c r="L1118" s="10" t="s">
        <v>101</v>
      </c>
      <c r="M1118" s="10" t="s">
        <v>102</v>
      </c>
      <c r="N1118" s="124" t="s">
        <v>533</v>
      </c>
      <c r="O1118" s="124" t="s">
        <v>533</v>
      </c>
      <c r="P1118" s="21">
        <v>32</v>
      </c>
      <c r="Q1118" s="10" t="s">
        <v>54</v>
      </c>
      <c r="R1118" s="10" t="s">
        <v>28</v>
      </c>
      <c r="S1118" s="10"/>
      <c r="T1118" s="10"/>
      <c r="U1118" s="10" t="s">
        <v>1880</v>
      </c>
      <c r="V1118" s="10" t="s">
        <v>1880</v>
      </c>
      <c r="W1118" s="50">
        <f>+J1118/$W$2</f>
        <v>2.4486399407964651E-4</v>
      </c>
    </row>
    <row r="1119" spans="1:29">
      <c r="A1119" s="10" t="s">
        <v>1884</v>
      </c>
      <c r="B1119" s="10" t="s">
        <v>381</v>
      </c>
      <c r="C1119" s="124">
        <v>46330</v>
      </c>
      <c r="D1119" s="124" t="s">
        <v>492</v>
      </c>
      <c r="E1119" s="21">
        <v>0.96940402999999997</v>
      </c>
      <c r="F1119" s="10"/>
      <c r="G1119" s="14">
        <v>1650365.38</v>
      </c>
      <c r="H1119" s="14">
        <v>1599870.85</v>
      </c>
      <c r="I1119" s="14">
        <v>1650365.38</v>
      </c>
      <c r="J1119" s="14">
        <v>1599870.85</v>
      </c>
      <c r="K1119" s="12">
        <v>11996325</v>
      </c>
      <c r="L1119" s="10" t="s">
        <v>101</v>
      </c>
      <c r="M1119" s="10" t="s">
        <v>102</v>
      </c>
      <c r="N1119" s="124" t="s">
        <v>533</v>
      </c>
      <c r="O1119" s="124" t="s">
        <v>533</v>
      </c>
      <c r="P1119" s="21">
        <v>32</v>
      </c>
      <c r="Q1119" s="10" t="s">
        <v>54</v>
      </c>
      <c r="R1119" s="10" t="s">
        <v>28</v>
      </c>
      <c r="S1119" s="10"/>
      <c r="T1119" s="10"/>
      <c r="U1119" s="10" t="s">
        <v>1881</v>
      </c>
      <c r="V1119" s="10" t="s">
        <v>1881</v>
      </c>
      <c r="W1119" s="50">
        <f>+J1119/$W$2</f>
        <v>2.1269593116139982E-5</v>
      </c>
      <c r="AC1119" s="47"/>
    </row>
    <row r="1120" spans="1:29">
      <c r="A1120" s="10" t="s">
        <v>2087</v>
      </c>
      <c r="B1120" s="10" t="s">
        <v>381</v>
      </c>
      <c r="C1120" s="124">
        <v>46330</v>
      </c>
      <c r="D1120" s="124" t="s">
        <v>492</v>
      </c>
      <c r="E1120" s="21">
        <v>0.97033190000000002</v>
      </c>
      <c r="F1120" s="10"/>
      <c r="G1120" s="14">
        <v>8523310</v>
      </c>
      <c r="H1120" s="14">
        <v>8270439.5599999996</v>
      </c>
      <c r="I1120" s="14">
        <v>8523310</v>
      </c>
      <c r="J1120" s="14">
        <v>8270439.5599999996</v>
      </c>
      <c r="K1120" s="12">
        <v>13680133</v>
      </c>
      <c r="L1120" s="10" t="s">
        <v>101</v>
      </c>
      <c r="M1120" s="10" t="s">
        <v>102</v>
      </c>
      <c r="N1120" s="124" t="s">
        <v>390</v>
      </c>
      <c r="O1120" s="124" t="s">
        <v>390</v>
      </c>
      <c r="P1120" s="21">
        <v>31</v>
      </c>
      <c r="Q1120" s="10" t="s">
        <v>54</v>
      </c>
      <c r="R1120" s="10" t="s">
        <v>28</v>
      </c>
      <c r="S1120" s="10"/>
      <c r="T1120" s="10"/>
      <c r="U1120" s="10" t="s">
        <v>2072</v>
      </c>
      <c r="V1120" s="10" t="s">
        <v>2072</v>
      </c>
      <c r="W1120" s="50">
        <f>+J1120/$W$2</f>
        <v>1.0995192789019674E-4</v>
      </c>
    </row>
    <row r="1121" spans="1:29">
      <c r="A1121" s="10" t="s">
        <v>404</v>
      </c>
      <c r="B1121" s="10" t="s">
        <v>381</v>
      </c>
      <c r="C1121" s="124">
        <v>46330</v>
      </c>
      <c r="D1121" s="124" t="s">
        <v>492</v>
      </c>
      <c r="E1121" s="21">
        <v>0.97126137000000001</v>
      </c>
      <c r="F1121" s="10"/>
      <c r="G1121" s="14">
        <v>6377416</v>
      </c>
      <c r="H1121" s="14">
        <v>6194137.8300000001</v>
      </c>
      <c r="I1121" s="14">
        <v>6377416</v>
      </c>
      <c r="J1121" s="14">
        <v>6194137.8300000001</v>
      </c>
      <c r="K1121" s="12">
        <v>22298</v>
      </c>
      <c r="L1121" s="10" t="s">
        <v>101</v>
      </c>
      <c r="M1121" s="10" t="s">
        <v>102</v>
      </c>
      <c r="N1121" s="124" t="s">
        <v>423</v>
      </c>
      <c r="O1121" s="124" t="s">
        <v>423</v>
      </c>
      <c r="P1121" s="21">
        <v>30</v>
      </c>
      <c r="Q1121" s="10" t="s">
        <v>54</v>
      </c>
      <c r="R1121" s="10" t="s">
        <v>28</v>
      </c>
      <c r="S1121" s="10"/>
      <c r="T1121" s="10"/>
      <c r="U1121" s="10" t="s">
        <v>2527</v>
      </c>
      <c r="V1121" s="10" t="s">
        <v>2527</v>
      </c>
      <c r="W1121" s="50">
        <f>+J1121/$W$2</f>
        <v>8.2348391652607608E-5</v>
      </c>
    </row>
    <row r="1122" spans="1:29">
      <c r="A1122" s="10" t="s">
        <v>404</v>
      </c>
      <c r="B1122" s="10" t="s">
        <v>381</v>
      </c>
      <c r="C1122" s="124">
        <v>46330</v>
      </c>
      <c r="D1122" s="124" t="s">
        <v>492</v>
      </c>
      <c r="E1122" s="21">
        <v>0.97126137000000001</v>
      </c>
      <c r="F1122" s="10"/>
      <c r="G1122" s="14">
        <v>6704674.6699999999</v>
      </c>
      <c r="H1122" s="14">
        <v>6511991.5199999996</v>
      </c>
      <c r="I1122" s="14">
        <v>6704674.6699999999</v>
      </c>
      <c r="J1122" s="14">
        <v>6511991.5199999996</v>
      </c>
      <c r="K1122" s="12">
        <v>21851</v>
      </c>
      <c r="L1122" s="10" t="s">
        <v>101</v>
      </c>
      <c r="M1122" s="10" t="s">
        <v>102</v>
      </c>
      <c r="N1122" s="124" t="s">
        <v>423</v>
      </c>
      <c r="O1122" s="124" t="s">
        <v>423</v>
      </c>
      <c r="P1122" s="21">
        <v>30</v>
      </c>
      <c r="Q1122" s="10" t="s">
        <v>54</v>
      </c>
      <c r="R1122" s="10" t="s">
        <v>28</v>
      </c>
      <c r="S1122" s="10"/>
      <c r="T1122" s="10"/>
      <c r="U1122" s="10" t="s">
        <v>2532</v>
      </c>
      <c r="V1122" s="10" t="s">
        <v>2532</v>
      </c>
      <c r="W1122" s="50">
        <f>+J1122/$W$2</f>
        <v>8.6574119408547206E-5</v>
      </c>
    </row>
    <row r="1123" spans="1:29">
      <c r="A1123" s="10" t="s">
        <v>404</v>
      </c>
      <c r="B1123" s="10" t="s">
        <v>381</v>
      </c>
      <c r="C1123" s="124">
        <v>46330</v>
      </c>
      <c r="D1123" s="124" t="s">
        <v>492</v>
      </c>
      <c r="E1123" s="21">
        <v>0.97126137000000001</v>
      </c>
      <c r="F1123" s="10"/>
      <c r="G1123" s="14">
        <v>9655864.5399999991</v>
      </c>
      <c r="H1123" s="14">
        <v>9378368.2300000004</v>
      </c>
      <c r="I1123" s="14">
        <v>9655864.5399999991</v>
      </c>
      <c r="J1123" s="14">
        <v>9378368.2300000004</v>
      </c>
      <c r="K1123" s="12">
        <v>22534</v>
      </c>
      <c r="L1123" s="10" t="s">
        <v>101</v>
      </c>
      <c r="M1123" s="10" t="s">
        <v>102</v>
      </c>
      <c r="N1123" s="124" t="s">
        <v>423</v>
      </c>
      <c r="O1123" s="124" t="s">
        <v>423</v>
      </c>
      <c r="P1123" s="21">
        <v>30</v>
      </c>
      <c r="Q1123" s="10" t="s">
        <v>54</v>
      </c>
      <c r="R1123" s="10" t="s">
        <v>28</v>
      </c>
      <c r="S1123" s="10"/>
      <c r="T1123" s="10"/>
      <c r="U1123" s="10" t="s">
        <v>2533</v>
      </c>
      <c r="V1123" s="10" t="s">
        <v>2533</v>
      </c>
      <c r="W1123" s="50">
        <f>+J1123/$W$2</f>
        <v>1.2468136183957219E-4</v>
      </c>
    </row>
    <row r="1124" spans="1:29">
      <c r="A1124" s="10" t="s">
        <v>719</v>
      </c>
      <c r="B1124" s="10" t="s">
        <v>381</v>
      </c>
      <c r="C1124" s="124">
        <v>46330</v>
      </c>
      <c r="D1124" s="124" t="s">
        <v>492</v>
      </c>
      <c r="E1124" s="21">
        <v>0.97126135000000002</v>
      </c>
      <c r="F1124" s="10"/>
      <c r="G1124" s="14">
        <v>2700000</v>
      </c>
      <c r="H1124" s="14">
        <v>2622405.64</v>
      </c>
      <c r="I1124" s="14">
        <v>2700000</v>
      </c>
      <c r="J1124" s="14">
        <v>2622405.64</v>
      </c>
      <c r="K1124" s="12">
        <v>6910</v>
      </c>
      <c r="L1124" s="10" t="s">
        <v>101</v>
      </c>
      <c r="M1124" s="10" t="s">
        <v>102</v>
      </c>
      <c r="N1124" s="124" t="s">
        <v>552</v>
      </c>
      <c r="O1124" s="124" t="s">
        <v>552</v>
      </c>
      <c r="P1124" s="21">
        <v>30</v>
      </c>
      <c r="Q1124" s="10" t="s">
        <v>54</v>
      </c>
      <c r="R1124" s="10" t="s">
        <v>28</v>
      </c>
      <c r="S1124" s="10"/>
      <c r="T1124" s="10"/>
      <c r="U1124" s="10" t="s">
        <v>2391</v>
      </c>
      <c r="V1124" s="10" t="s">
        <v>2391</v>
      </c>
      <c r="W1124" s="50">
        <f>+J1124/$W$2</f>
        <v>3.4863752251171187E-5</v>
      </c>
      <c r="AC1124" s="47"/>
    </row>
    <row r="1125" spans="1:29">
      <c r="A1125" s="10" t="s">
        <v>127</v>
      </c>
      <c r="B1125" s="10" t="s">
        <v>125</v>
      </c>
      <c r="C1125" s="124">
        <v>46330</v>
      </c>
      <c r="D1125" s="124" t="s">
        <v>492</v>
      </c>
      <c r="E1125" s="21">
        <v>0.99217160000000004</v>
      </c>
      <c r="F1125" s="10" t="s">
        <v>3573</v>
      </c>
      <c r="G1125" s="14">
        <v>50000</v>
      </c>
      <c r="H1125" s="14">
        <v>49608.58</v>
      </c>
      <c r="I1125" s="14">
        <v>76198487.920000002</v>
      </c>
      <c r="J1125" s="14">
        <v>75601975.670000002</v>
      </c>
      <c r="K1125" s="12">
        <v>158025</v>
      </c>
      <c r="L1125" s="10" t="s">
        <v>101</v>
      </c>
      <c r="M1125" s="10" t="s">
        <v>102</v>
      </c>
      <c r="N1125" s="124" t="s">
        <v>433</v>
      </c>
      <c r="O1125" s="124" t="s">
        <v>433</v>
      </c>
      <c r="P1125" s="21">
        <v>8</v>
      </c>
      <c r="Q1125" s="10" t="s">
        <v>54</v>
      </c>
      <c r="R1125" s="10" t="s">
        <v>28</v>
      </c>
      <c r="S1125" s="10"/>
      <c r="T1125" s="10"/>
      <c r="U1125" s="10" t="s">
        <v>1101</v>
      </c>
      <c r="V1125" s="10" t="s">
        <v>1101</v>
      </c>
      <c r="W1125" s="50">
        <f>+J1125/$W$2</f>
        <v>1.0050956683642397E-3</v>
      </c>
    </row>
    <row r="1126" spans="1:29">
      <c r="A1126" s="10" t="s">
        <v>273</v>
      </c>
      <c r="B1126" s="10" t="s">
        <v>381</v>
      </c>
      <c r="C1126" s="124">
        <v>46330</v>
      </c>
      <c r="D1126" s="124" t="s">
        <v>492</v>
      </c>
      <c r="E1126" s="21">
        <v>0.97033179000000003</v>
      </c>
      <c r="F1126" s="10"/>
      <c r="G1126" s="14">
        <v>6000000</v>
      </c>
      <c r="H1126" s="14">
        <v>5821990.75</v>
      </c>
      <c r="I1126" s="14">
        <v>6000000</v>
      </c>
      <c r="J1126" s="14">
        <v>5821990.75</v>
      </c>
      <c r="K1126" s="12">
        <v>12299306</v>
      </c>
      <c r="L1126" s="10" t="s">
        <v>101</v>
      </c>
      <c r="M1126" s="10" t="s">
        <v>102</v>
      </c>
      <c r="N1126" s="124" t="s">
        <v>551</v>
      </c>
      <c r="O1126" s="124" t="s">
        <v>551</v>
      </c>
      <c r="P1126" s="21">
        <v>31</v>
      </c>
      <c r="Q1126" s="10" t="s">
        <v>54</v>
      </c>
      <c r="R1126" s="10" t="s">
        <v>28</v>
      </c>
      <c r="S1126" s="10"/>
      <c r="T1126" s="10"/>
      <c r="U1126" s="10" t="s">
        <v>2179</v>
      </c>
      <c r="V1126" s="10" t="s">
        <v>2179</v>
      </c>
      <c r="W1126" s="50">
        <f>+J1126/$W$2</f>
        <v>7.7400856686919847E-5</v>
      </c>
    </row>
    <row r="1127" spans="1:29">
      <c r="A1127" s="10" t="s">
        <v>785</v>
      </c>
      <c r="B1127" s="10" t="s">
        <v>381</v>
      </c>
      <c r="C1127" s="124">
        <v>46330</v>
      </c>
      <c r="D1127" s="124" t="s">
        <v>492</v>
      </c>
      <c r="E1127" s="21">
        <v>0.97126137000000001</v>
      </c>
      <c r="F1127" s="10"/>
      <c r="G1127" s="14">
        <v>10900000</v>
      </c>
      <c r="H1127" s="14">
        <v>10586748.939999999</v>
      </c>
      <c r="I1127" s="14">
        <v>10900000</v>
      </c>
      <c r="J1127" s="14">
        <v>10586748.939999999</v>
      </c>
      <c r="K1127" s="12">
        <v>237</v>
      </c>
      <c r="L1127" s="10" t="s">
        <v>101</v>
      </c>
      <c r="M1127" s="10" t="s">
        <v>102</v>
      </c>
      <c r="N1127" s="124" t="s">
        <v>333</v>
      </c>
      <c r="O1127" s="124" t="s">
        <v>333</v>
      </c>
      <c r="P1127" s="21">
        <v>30</v>
      </c>
      <c r="Q1127" s="10" t="s">
        <v>54</v>
      </c>
      <c r="R1127" s="10" t="s">
        <v>28</v>
      </c>
      <c r="S1127" s="10"/>
      <c r="T1127" s="10"/>
      <c r="U1127" s="10" t="s">
        <v>779</v>
      </c>
      <c r="V1127" s="10" t="s">
        <v>779</v>
      </c>
      <c r="W1127" s="50">
        <f>+J1127/$W$2</f>
        <v>1.4074626234769277E-4</v>
      </c>
    </row>
    <row r="1128" spans="1:29">
      <c r="A1128" s="10" t="s">
        <v>1189</v>
      </c>
      <c r="B1128" s="10" t="s">
        <v>381</v>
      </c>
      <c r="C1128" s="124">
        <v>46330</v>
      </c>
      <c r="D1128" s="124" t="s">
        <v>492</v>
      </c>
      <c r="E1128" s="21">
        <v>0.97546635000000004</v>
      </c>
      <c r="F1128" s="10"/>
      <c r="G1128" s="14">
        <v>4981378.5599999996</v>
      </c>
      <c r="H1128" s="14">
        <v>4859167.18</v>
      </c>
      <c r="I1128" s="14">
        <v>4981378.5599999996</v>
      </c>
      <c r="J1128" s="14">
        <v>4859167.18</v>
      </c>
      <c r="K1128" s="12">
        <v>30098403</v>
      </c>
      <c r="L1128" s="10" t="s">
        <v>101</v>
      </c>
      <c r="M1128" s="10" t="s">
        <v>102</v>
      </c>
      <c r="N1128" s="124" t="s">
        <v>421</v>
      </c>
      <c r="O1128" s="124" t="s">
        <v>421</v>
      </c>
      <c r="P1128" s="21">
        <v>25.5</v>
      </c>
      <c r="Q1128" s="10" t="s">
        <v>54</v>
      </c>
      <c r="R1128" s="10" t="s">
        <v>28</v>
      </c>
      <c r="S1128" s="10"/>
      <c r="T1128" s="10"/>
      <c r="U1128" s="10" t="s">
        <v>2109</v>
      </c>
      <c r="V1128" s="10" t="s">
        <v>2109</v>
      </c>
      <c r="W1128" s="50">
        <f>+J1128/$W$2</f>
        <v>6.4600532475419075E-5</v>
      </c>
    </row>
    <row r="1129" spans="1:29">
      <c r="A1129" s="10" t="s">
        <v>1189</v>
      </c>
      <c r="B1129" s="10" t="s">
        <v>381</v>
      </c>
      <c r="C1129" s="124">
        <v>46330</v>
      </c>
      <c r="D1129" s="124" t="s">
        <v>492</v>
      </c>
      <c r="E1129" s="21">
        <v>0.97406057000000001</v>
      </c>
      <c r="F1129" s="10"/>
      <c r="G1129" s="14">
        <v>48904.31</v>
      </c>
      <c r="H1129" s="14">
        <v>47635.76</v>
      </c>
      <c r="I1129" s="14">
        <v>48904.31</v>
      </c>
      <c r="J1129" s="14">
        <v>47635.76</v>
      </c>
      <c r="K1129" s="12">
        <v>30097747</v>
      </c>
      <c r="L1129" s="10" t="s">
        <v>101</v>
      </c>
      <c r="M1129" s="10" t="s">
        <v>102</v>
      </c>
      <c r="N1129" s="124" t="s">
        <v>164</v>
      </c>
      <c r="O1129" s="124" t="s">
        <v>164</v>
      </c>
      <c r="P1129" s="21">
        <v>27</v>
      </c>
      <c r="Q1129" s="10" t="s">
        <v>54</v>
      </c>
      <c r="R1129" s="10" t="s">
        <v>28</v>
      </c>
      <c r="S1129" s="10"/>
      <c r="T1129" s="10"/>
      <c r="U1129" s="10" t="s">
        <v>2008</v>
      </c>
      <c r="V1129" s="10" t="s">
        <v>2008</v>
      </c>
      <c r="W1129" s="50">
        <f>+J1129/$W$2</f>
        <v>6.3329688954461315E-7</v>
      </c>
    </row>
    <row r="1130" spans="1:29">
      <c r="A1130" s="10" t="s">
        <v>1428</v>
      </c>
      <c r="B1130" s="10" t="s">
        <v>381</v>
      </c>
      <c r="C1130" s="124">
        <v>46330</v>
      </c>
      <c r="D1130" s="124" t="s">
        <v>492</v>
      </c>
      <c r="E1130" s="21">
        <v>0.96479177000000005</v>
      </c>
      <c r="F1130" s="10"/>
      <c r="G1130" s="14">
        <v>68000000</v>
      </c>
      <c r="H1130" s="14">
        <v>65605840.640000001</v>
      </c>
      <c r="I1130" s="14">
        <v>68000000</v>
      </c>
      <c r="J1130" s="14">
        <v>65605840.640000001</v>
      </c>
      <c r="K1130" s="12">
        <v>29850239</v>
      </c>
      <c r="L1130" s="10" t="s">
        <v>101</v>
      </c>
      <c r="M1130" s="10" t="s">
        <v>102</v>
      </c>
      <c r="N1130" s="124" t="s">
        <v>548</v>
      </c>
      <c r="O1130" s="124" t="s">
        <v>548</v>
      </c>
      <c r="P1130" s="21">
        <v>37</v>
      </c>
      <c r="Q1130" s="10" t="s">
        <v>54</v>
      </c>
      <c r="R1130" s="10" t="s">
        <v>28</v>
      </c>
      <c r="S1130" s="10"/>
      <c r="T1130" s="10"/>
      <c r="U1130" s="10" t="s">
        <v>1368</v>
      </c>
      <c r="V1130" s="10" t="s">
        <v>1368</v>
      </c>
      <c r="W1130" s="50">
        <f>+J1130/$W$2</f>
        <v>8.7220136328824331E-4</v>
      </c>
    </row>
    <row r="1131" spans="1:29">
      <c r="A1131" s="10" t="s">
        <v>1431</v>
      </c>
      <c r="B1131" s="10" t="s">
        <v>381</v>
      </c>
      <c r="C1131" s="124">
        <v>46330</v>
      </c>
      <c r="D1131" s="124" t="s">
        <v>492</v>
      </c>
      <c r="E1131" s="21">
        <v>0.96940409000000005</v>
      </c>
      <c r="F1131" s="10"/>
      <c r="G1131" s="14">
        <v>5444206</v>
      </c>
      <c r="H1131" s="14">
        <v>5277635.58</v>
      </c>
      <c r="I1131" s="14">
        <v>5444206</v>
      </c>
      <c r="J1131" s="14">
        <v>5277635.58</v>
      </c>
      <c r="K1131" s="12">
        <v>3446</v>
      </c>
      <c r="L1131" s="10" t="s">
        <v>101</v>
      </c>
      <c r="M1131" s="10" t="s">
        <v>102</v>
      </c>
      <c r="N1131" s="124" t="s">
        <v>398</v>
      </c>
      <c r="O1131" s="124" t="s">
        <v>398</v>
      </c>
      <c r="P1131" s="21">
        <v>32</v>
      </c>
      <c r="Q1131" s="10" t="s">
        <v>54</v>
      </c>
      <c r="R1131" s="10" t="s">
        <v>28</v>
      </c>
      <c r="S1131" s="10"/>
      <c r="T1131" s="10"/>
      <c r="U1131" s="10" t="s">
        <v>1780</v>
      </c>
      <c r="V1131" s="10" t="s">
        <v>1780</v>
      </c>
      <c r="W1131" s="50">
        <f>+J1131/$W$2</f>
        <v>7.0163889417613573E-5</v>
      </c>
    </row>
    <row r="1132" spans="1:29">
      <c r="A1132" s="10" t="s">
        <v>1084</v>
      </c>
      <c r="B1132" s="10" t="s">
        <v>381</v>
      </c>
      <c r="C1132" s="124">
        <v>46330</v>
      </c>
      <c r="D1132" s="124" t="s">
        <v>492</v>
      </c>
      <c r="E1132" s="21">
        <v>0.96847815999999998</v>
      </c>
      <c r="F1132" s="10"/>
      <c r="G1132" s="14">
        <v>30000000</v>
      </c>
      <c r="H1132" s="14">
        <v>29054344.82</v>
      </c>
      <c r="I1132" s="14">
        <v>30000000</v>
      </c>
      <c r="J1132" s="14">
        <v>29054344.82</v>
      </c>
      <c r="K1132" s="12">
        <v>11405025</v>
      </c>
      <c r="L1132" s="10" t="s">
        <v>101</v>
      </c>
      <c r="M1132" s="10" t="s">
        <v>102</v>
      </c>
      <c r="N1132" s="124" t="s">
        <v>536</v>
      </c>
      <c r="O1132" s="124" t="s">
        <v>536</v>
      </c>
      <c r="P1132" s="21">
        <v>33</v>
      </c>
      <c r="Q1132" s="10" t="s">
        <v>54</v>
      </c>
      <c r="R1132" s="10" t="s">
        <v>28</v>
      </c>
      <c r="S1132" s="10"/>
      <c r="T1132" s="10"/>
      <c r="U1132" s="10" t="s">
        <v>2310</v>
      </c>
      <c r="V1132" s="10" t="s">
        <v>2310</v>
      </c>
      <c r="W1132" s="50">
        <f>+J1132/$W$2</f>
        <v>3.862649866877875E-4</v>
      </c>
      <c r="AC1132" s="47"/>
    </row>
    <row r="1133" spans="1:29">
      <c r="A1133" s="10" t="s">
        <v>1084</v>
      </c>
      <c r="B1133" s="10" t="s">
        <v>381</v>
      </c>
      <c r="C1133" s="124">
        <v>46330</v>
      </c>
      <c r="D1133" s="124" t="s">
        <v>492</v>
      </c>
      <c r="E1133" s="21">
        <v>0.96847815999999998</v>
      </c>
      <c r="F1133" s="10"/>
      <c r="G1133" s="14">
        <v>30000000</v>
      </c>
      <c r="H1133" s="14">
        <v>29054344.82</v>
      </c>
      <c r="I1133" s="14">
        <v>30000000</v>
      </c>
      <c r="J1133" s="14">
        <v>29054344.82</v>
      </c>
      <c r="K1133" s="12">
        <v>11405026</v>
      </c>
      <c r="L1133" s="10" t="s">
        <v>101</v>
      </c>
      <c r="M1133" s="10" t="s">
        <v>102</v>
      </c>
      <c r="N1133" s="124" t="s">
        <v>536</v>
      </c>
      <c r="O1133" s="124" t="s">
        <v>536</v>
      </c>
      <c r="P1133" s="21">
        <v>33</v>
      </c>
      <c r="Q1133" s="10" t="s">
        <v>54</v>
      </c>
      <c r="R1133" s="10" t="s">
        <v>28</v>
      </c>
      <c r="S1133" s="10"/>
      <c r="T1133" s="10"/>
      <c r="U1133" s="10" t="s">
        <v>2311</v>
      </c>
      <c r="V1133" s="10" t="s">
        <v>2311</v>
      </c>
      <c r="W1133" s="50">
        <f>+J1133/$W$2</f>
        <v>3.862649866877875E-4</v>
      </c>
    </row>
    <row r="1134" spans="1:29">
      <c r="A1134" s="10" t="s">
        <v>419</v>
      </c>
      <c r="B1134" s="10" t="s">
        <v>381</v>
      </c>
      <c r="C1134" s="124">
        <v>46330</v>
      </c>
      <c r="D1134" s="124" t="s">
        <v>492</v>
      </c>
      <c r="E1134" s="21">
        <v>0.96755385000000005</v>
      </c>
      <c r="F1134" s="10"/>
      <c r="G1134" s="14">
        <v>3000000</v>
      </c>
      <c r="H1134" s="14">
        <v>2902661.54</v>
      </c>
      <c r="I1134" s="14">
        <v>3000000</v>
      </c>
      <c r="J1134" s="14">
        <v>2902661.54</v>
      </c>
      <c r="K1134" s="12">
        <v>4565</v>
      </c>
      <c r="L1134" s="10" t="s">
        <v>101</v>
      </c>
      <c r="M1134" s="10" t="s">
        <v>102</v>
      </c>
      <c r="N1134" s="124" t="s">
        <v>323</v>
      </c>
      <c r="O1134" s="124" t="s">
        <v>323</v>
      </c>
      <c r="P1134" s="21">
        <v>34</v>
      </c>
      <c r="Q1134" s="10" t="s">
        <v>54</v>
      </c>
      <c r="R1134" s="10" t="s">
        <v>28</v>
      </c>
      <c r="S1134" s="10"/>
      <c r="T1134" s="10"/>
      <c r="U1134" s="10" t="s">
        <v>928</v>
      </c>
      <c r="V1134" s="10" t="s">
        <v>928</v>
      </c>
      <c r="W1134" s="50">
        <f>+J1134/$W$2</f>
        <v>3.8589633600529864E-5</v>
      </c>
    </row>
    <row r="1135" spans="1:29">
      <c r="A1135" s="10" t="s">
        <v>688</v>
      </c>
      <c r="B1135" s="10" t="s">
        <v>381</v>
      </c>
      <c r="C1135" s="124">
        <v>46330</v>
      </c>
      <c r="D1135" s="124" t="s">
        <v>492</v>
      </c>
      <c r="E1135" s="21">
        <v>0.96387460000000003</v>
      </c>
      <c r="F1135" s="10"/>
      <c r="G1135" s="14">
        <v>40000000</v>
      </c>
      <c r="H1135" s="14">
        <v>38554984.159999996</v>
      </c>
      <c r="I1135" s="14">
        <v>40000000</v>
      </c>
      <c r="J1135" s="14">
        <v>38554984.159999996</v>
      </c>
      <c r="K1135" s="12">
        <v>70393048</v>
      </c>
      <c r="L1135" s="10" t="s">
        <v>101</v>
      </c>
      <c r="M1135" s="10" t="s">
        <v>102</v>
      </c>
      <c r="N1135" s="124" t="s">
        <v>164</v>
      </c>
      <c r="O1135" s="124" t="s">
        <v>164</v>
      </c>
      <c r="P1135" s="21">
        <v>38</v>
      </c>
      <c r="Q1135" s="10" t="s">
        <v>54</v>
      </c>
      <c r="R1135" s="10" t="s">
        <v>28</v>
      </c>
      <c r="S1135" s="10"/>
      <c r="T1135" s="10"/>
      <c r="U1135" s="10" t="s">
        <v>1998</v>
      </c>
      <c r="V1135" s="10" t="s">
        <v>1998</v>
      </c>
      <c r="W1135" s="50">
        <f>+J1135/$W$2</f>
        <v>5.125718902137769E-4</v>
      </c>
    </row>
    <row r="1136" spans="1:29">
      <c r="A1136" s="10" t="s">
        <v>688</v>
      </c>
      <c r="B1136" s="10" t="s">
        <v>381</v>
      </c>
      <c r="C1136" s="124">
        <v>46330</v>
      </c>
      <c r="D1136" s="124" t="s">
        <v>492</v>
      </c>
      <c r="E1136" s="21">
        <v>0.96387465999999999</v>
      </c>
      <c r="F1136" s="10"/>
      <c r="G1136" s="14">
        <v>40000000</v>
      </c>
      <c r="H1136" s="14">
        <v>38554986.43</v>
      </c>
      <c r="I1136" s="14">
        <v>40000000</v>
      </c>
      <c r="J1136" s="14">
        <v>38554986.43</v>
      </c>
      <c r="K1136" s="12">
        <v>70393053</v>
      </c>
      <c r="L1136" s="10" t="s">
        <v>101</v>
      </c>
      <c r="M1136" s="10" t="s">
        <v>102</v>
      </c>
      <c r="N1136" s="124" t="s">
        <v>390</v>
      </c>
      <c r="O1136" s="124" t="s">
        <v>390</v>
      </c>
      <c r="P1136" s="21">
        <v>38</v>
      </c>
      <c r="Q1136" s="10" t="s">
        <v>54</v>
      </c>
      <c r="R1136" s="10" t="s">
        <v>28</v>
      </c>
      <c r="S1136" s="10"/>
      <c r="T1136" s="10"/>
      <c r="U1136" s="10" t="s">
        <v>2079</v>
      </c>
      <c r="V1136" s="10" t="s">
        <v>2079</v>
      </c>
      <c r="W1136" s="50">
        <f>+J1136/$W$2</f>
        <v>5.1257192039244821E-4</v>
      </c>
    </row>
    <row r="1137" spans="1:23">
      <c r="A1137" s="10" t="s">
        <v>562</v>
      </c>
      <c r="B1137" s="10" t="s">
        <v>381</v>
      </c>
      <c r="C1137" s="124">
        <v>46330</v>
      </c>
      <c r="D1137" s="124" t="s">
        <v>492</v>
      </c>
      <c r="E1137" s="21">
        <v>0.96940402999999997</v>
      </c>
      <c r="F1137" s="10"/>
      <c r="G1137" s="14">
        <v>50000000</v>
      </c>
      <c r="H1137" s="14">
        <v>48470201.530000001</v>
      </c>
      <c r="I1137" s="14">
        <v>50000000</v>
      </c>
      <c r="J1137" s="14">
        <v>48470201.530000001</v>
      </c>
      <c r="K1137" s="12">
        <v>6694</v>
      </c>
      <c r="L1137" s="10" t="s">
        <v>101</v>
      </c>
      <c r="M1137" s="10" t="s">
        <v>102</v>
      </c>
      <c r="N1137" s="124" t="s">
        <v>533</v>
      </c>
      <c r="O1137" s="124" t="s">
        <v>533</v>
      </c>
      <c r="P1137" s="21">
        <v>32</v>
      </c>
      <c r="Q1137" s="10" t="s">
        <v>54</v>
      </c>
      <c r="R1137" s="10" t="s">
        <v>28</v>
      </c>
      <c r="S1137" s="10"/>
      <c r="T1137" s="10"/>
      <c r="U1137" s="10" t="s">
        <v>1848</v>
      </c>
      <c r="V1137" s="10" t="s">
        <v>1848</v>
      </c>
      <c r="W1137" s="50">
        <f>+J1137/$W$2</f>
        <v>6.4439042989026618E-4</v>
      </c>
    </row>
    <row r="1138" spans="1:23">
      <c r="A1138" s="10" t="s">
        <v>562</v>
      </c>
      <c r="B1138" s="10" t="s">
        <v>381</v>
      </c>
      <c r="C1138" s="124">
        <v>46330</v>
      </c>
      <c r="D1138" s="124" t="s">
        <v>492</v>
      </c>
      <c r="E1138" s="21">
        <v>0.96940402999999997</v>
      </c>
      <c r="F1138" s="10"/>
      <c r="G1138" s="14">
        <v>50000000</v>
      </c>
      <c r="H1138" s="14">
        <v>48470201.530000001</v>
      </c>
      <c r="I1138" s="14">
        <v>50000000</v>
      </c>
      <c r="J1138" s="14">
        <v>48470201.530000001</v>
      </c>
      <c r="K1138" s="12">
        <v>6695</v>
      </c>
      <c r="L1138" s="10" t="s">
        <v>101</v>
      </c>
      <c r="M1138" s="10" t="s">
        <v>102</v>
      </c>
      <c r="N1138" s="124" t="s">
        <v>533</v>
      </c>
      <c r="O1138" s="124" t="s">
        <v>533</v>
      </c>
      <c r="P1138" s="21">
        <v>32</v>
      </c>
      <c r="Q1138" s="10" t="s">
        <v>54</v>
      </c>
      <c r="R1138" s="10" t="s">
        <v>28</v>
      </c>
      <c r="S1138" s="10"/>
      <c r="T1138" s="10"/>
      <c r="U1138" s="10" t="s">
        <v>1850</v>
      </c>
      <c r="V1138" s="10" t="s">
        <v>1850</v>
      </c>
      <c r="W1138" s="50">
        <f>+J1138/$W$2</f>
        <v>6.4439042989026618E-4</v>
      </c>
    </row>
    <row r="1139" spans="1:23">
      <c r="A1139" s="10" t="s">
        <v>597</v>
      </c>
      <c r="B1139" s="10" t="s">
        <v>381</v>
      </c>
      <c r="C1139" s="124">
        <v>46330</v>
      </c>
      <c r="D1139" s="124" t="s">
        <v>492</v>
      </c>
      <c r="E1139" s="21">
        <v>0.96755389999999997</v>
      </c>
      <c r="F1139" s="10"/>
      <c r="G1139" s="14">
        <v>6200000</v>
      </c>
      <c r="H1139" s="14">
        <v>5998834.1699999999</v>
      </c>
      <c r="I1139" s="14">
        <v>6200000</v>
      </c>
      <c r="J1139" s="14">
        <v>5998834.1699999999</v>
      </c>
      <c r="K1139" s="12">
        <v>69261880</v>
      </c>
      <c r="L1139" s="10" t="s">
        <v>101</v>
      </c>
      <c r="M1139" s="10" t="s">
        <v>102</v>
      </c>
      <c r="N1139" s="124" t="s">
        <v>398</v>
      </c>
      <c r="O1139" s="124" t="s">
        <v>398</v>
      </c>
      <c r="P1139" s="21">
        <v>34</v>
      </c>
      <c r="Q1139" s="10" t="s">
        <v>54</v>
      </c>
      <c r="R1139" s="10" t="s">
        <v>28</v>
      </c>
      <c r="S1139" s="10"/>
      <c r="T1139" s="10"/>
      <c r="U1139" s="10" t="s">
        <v>1766</v>
      </c>
      <c r="V1139" s="10" t="s">
        <v>1766</v>
      </c>
      <c r="W1139" s="50">
        <f>+J1139/$W$2</f>
        <v>7.9751913704220116E-5</v>
      </c>
    </row>
    <row r="1140" spans="1:23">
      <c r="A1140" s="10" t="s">
        <v>607</v>
      </c>
      <c r="B1140" s="10" t="s">
        <v>381</v>
      </c>
      <c r="C1140" s="124">
        <v>46330</v>
      </c>
      <c r="D1140" s="124" t="s">
        <v>492</v>
      </c>
      <c r="E1140" s="21">
        <v>0.96847812</v>
      </c>
      <c r="F1140" s="10"/>
      <c r="G1140" s="14">
        <v>1300000</v>
      </c>
      <c r="H1140" s="14">
        <v>1259021.55</v>
      </c>
      <c r="I1140" s="14">
        <v>1300000</v>
      </c>
      <c r="J1140" s="14">
        <v>1259021.55</v>
      </c>
      <c r="K1140" s="12">
        <v>553</v>
      </c>
      <c r="L1140" s="10" t="s">
        <v>101</v>
      </c>
      <c r="M1140" s="10" t="s">
        <v>102</v>
      </c>
      <c r="N1140" s="124" t="s">
        <v>164</v>
      </c>
      <c r="O1140" s="124" t="s">
        <v>164</v>
      </c>
      <c r="P1140" s="21">
        <v>33</v>
      </c>
      <c r="Q1140" s="10" t="s">
        <v>54</v>
      </c>
      <c r="R1140" s="10" t="s">
        <v>28</v>
      </c>
      <c r="S1140" s="10"/>
      <c r="T1140" s="10"/>
      <c r="U1140" s="10" t="s">
        <v>1955</v>
      </c>
      <c r="V1140" s="10" t="s">
        <v>1955</v>
      </c>
      <c r="W1140" s="50">
        <f>+J1140/$W$2</f>
        <v>1.6738148640530509E-5</v>
      </c>
    </row>
    <row r="1141" spans="1:23">
      <c r="A1141" s="10" t="s">
        <v>607</v>
      </c>
      <c r="B1141" s="10" t="s">
        <v>381</v>
      </c>
      <c r="C1141" s="124">
        <v>46330</v>
      </c>
      <c r="D1141" s="124" t="s">
        <v>492</v>
      </c>
      <c r="E1141" s="21">
        <v>0.96847812</v>
      </c>
      <c r="F1141" s="10"/>
      <c r="G1141" s="14">
        <v>1300000</v>
      </c>
      <c r="H1141" s="14">
        <v>1259021.55</v>
      </c>
      <c r="I1141" s="14">
        <v>1300000</v>
      </c>
      <c r="J1141" s="14">
        <v>1259021.55</v>
      </c>
      <c r="K1141" s="12">
        <v>554</v>
      </c>
      <c r="L1141" s="10" t="s">
        <v>101</v>
      </c>
      <c r="M1141" s="10" t="s">
        <v>102</v>
      </c>
      <c r="N1141" s="124" t="s">
        <v>164</v>
      </c>
      <c r="O1141" s="124" t="s">
        <v>164</v>
      </c>
      <c r="P1141" s="21">
        <v>33</v>
      </c>
      <c r="Q1141" s="10" t="s">
        <v>54</v>
      </c>
      <c r="R1141" s="10" t="s">
        <v>28</v>
      </c>
      <c r="S1141" s="10"/>
      <c r="T1141" s="10"/>
      <c r="U1141" s="10" t="s">
        <v>1958</v>
      </c>
      <c r="V1141" s="10" t="s">
        <v>1958</v>
      </c>
      <c r="W1141" s="50">
        <f>+J1141/$W$2</f>
        <v>1.6738148640530509E-5</v>
      </c>
    </row>
    <row r="1142" spans="1:23">
      <c r="A1142" s="10" t="s">
        <v>614</v>
      </c>
      <c r="B1142" s="10" t="s">
        <v>381</v>
      </c>
      <c r="C1142" s="124">
        <v>46330</v>
      </c>
      <c r="D1142" s="124" t="s">
        <v>492</v>
      </c>
      <c r="E1142" s="21">
        <v>0.96940409000000005</v>
      </c>
      <c r="F1142" s="10"/>
      <c r="G1142" s="14">
        <v>2558197.12</v>
      </c>
      <c r="H1142" s="14">
        <v>2479926.7599999998</v>
      </c>
      <c r="I1142" s="14">
        <v>2558197.12</v>
      </c>
      <c r="J1142" s="14">
        <v>2479926.7599999998</v>
      </c>
      <c r="K1142" s="12">
        <v>356</v>
      </c>
      <c r="L1142" s="10" t="s">
        <v>101</v>
      </c>
      <c r="M1142" s="10" t="s">
        <v>102</v>
      </c>
      <c r="N1142" s="124" t="s">
        <v>321</v>
      </c>
      <c r="O1142" s="124" t="s">
        <v>321</v>
      </c>
      <c r="P1142" s="21">
        <v>32</v>
      </c>
      <c r="Q1142" s="10" t="s">
        <v>54</v>
      </c>
      <c r="R1142" s="10" t="s">
        <v>28</v>
      </c>
      <c r="S1142" s="10"/>
      <c r="T1142" s="10"/>
      <c r="U1142" s="10" t="s">
        <v>1231</v>
      </c>
      <c r="V1142" s="10" t="s">
        <v>1231</v>
      </c>
      <c r="W1142" s="50">
        <f>+J1142/$W$2</f>
        <v>3.2969556975819221E-5</v>
      </c>
    </row>
    <row r="1143" spans="1:23">
      <c r="A1143" s="10" t="s">
        <v>686</v>
      </c>
      <c r="B1143" s="10" t="s">
        <v>381</v>
      </c>
      <c r="C1143" s="124">
        <v>46330</v>
      </c>
      <c r="D1143" s="124" t="s">
        <v>492</v>
      </c>
      <c r="E1143" s="21">
        <v>0.96571068000000004</v>
      </c>
      <c r="F1143" s="10"/>
      <c r="G1143" s="14">
        <v>20408241.140000001</v>
      </c>
      <c r="H1143" s="14">
        <v>19708456.359999999</v>
      </c>
      <c r="I1143" s="14">
        <v>20408241.140000001</v>
      </c>
      <c r="J1143" s="14">
        <v>19708456.359999999</v>
      </c>
      <c r="K1143" s="12">
        <v>67998060</v>
      </c>
      <c r="L1143" s="10" t="s">
        <v>101</v>
      </c>
      <c r="M1143" s="10" t="s">
        <v>102</v>
      </c>
      <c r="N1143" s="124" t="s">
        <v>156</v>
      </c>
      <c r="O1143" s="124" t="s">
        <v>156</v>
      </c>
      <c r="P1143" s="21">
        <v>36</v>
      </c>
      <c r="Q1143" s="10" t="s">
        <v>54</v>
      </c>
      <c r="R1143" s="10" t="s">
        <v>28</v>
      </c>
      <c r="S1143" s="10"/>
      <c r="T1143" s="10"/>
      <c r="U1143" s="10" t="s">
        <v>752</v>
      </c>
      <c r="V1143" s="10" t="s">
        <v>752</v>
      </c>
      <c r="W1143" s="50">
        <f>+J1143/$W$2</f>
        <v>2.6201542938569149E-4</v>
      </c>
    </row>
    <row r="1144" spans="1:23">
      <c r="A1144" s="10" t="s">
        <v>303</v>
      </c>
      <c r="B1144" s="10" t="s">
        <v>381</v>
      </c>
      <c r="C1144" s="124">
        <v>46330</v>
      </c>
      <c r="D1144" s="124" t="s">
        <v>492</v>
      </c>
      <c r="E1144" s="21">
        <v>0.97593589000000003</v>
      </c>
      <c r="F1144" s="10"/>
      <c r="G1144" s="14">
        <v>12000000</v>
      </c>
      <c r="H1144" s="14">
        <v>11711230.689999999</v>
      </c>
      <c r="I1144" s="14">
        <v>12000000</v>
      </c>
      <c r="J1144" s="14">
        <v>11711230.689999999</v>
      </c>
      <c r="K1144" s="12">
        <v>34562</v>
      </c>
      <c r="L1144" s="10" t="s">
        <v>101</v>
      </c>
      <c r="M1144" s="10" t="s">
        <v>102</v>
      </c>
      <c r="N1144" s="124" t="s">
        <v>321</v>
      </c>
      <c r="O1144" s="124" t="s">
        <v>321</v>
      </c>
      <c r="P1144" s="21">
        <v>25</v>
      </c>
      <c r="Q1144" s="10" t="s">
        <v>54</v>
      </c>
      <c r="R1144" s="10" t="s">
        <v>28</v>
      </c>
      <c r="S1144" s="10"/>
      <c r="T1144" s="10"/>
      <c r="U1144" s="10" t="s">
        <v>1212</v>
      </c>
      <c r="V1144" s="10" t="s">
        <v>1212</v>
      </c>
      <c r="W1144" s="50">
        <f>+J1144/$W$2</f>
        <v>1.5569576235828741E-4</v>
      </c>
    </row>
    <row r="1145" spans="1:23">
      <c r="A1145" s="10" t="s">
        <v>293</v>
      </c>
      <c r="B1145" s="10" t="s">
        <v>125</v>
      </c>
      <c r="C1145" s="124">
        <v>46330</v>
      </c>
      <c r="D1145" s="124" t="s">
        <v>492</v>
      </c>
      <c r="E1145" s="21">
        <v>0.99217135999999995</v>
      </c>
      <c r="F1145" s="10" t="s">
        <v>3573</v>
      </c>
      <c r="G1145" s="14">
        <v>500000</v>
      </c>
      <c r="H1145" s="14">
        <v>496085.68</v>
      </c>
      <c r="I1145" s="14">
        <v>761984879.16999996</v>
      </c>
      <c r="J1145" s="14">
        <v>756019573.87</v>
      </c>
      <c r="K1145" s="12">
        <v>152502</v>
      </c>
      <c r="L1145" s="10" t="s">
        <v>101</v>
      </c>
      <c r="M1145" s="10" t="s">
        <v>102</v>
      </c>
      <c r="N1145" s="124" t="s">
        <v>310</v>
      </c>
      <c r="O1145" s="124" t="s">
        <v>310</v>
      </c>
      <c r="P1145" s="21">
        <v>8</v>
      </c>
      <c r="Q1145" s="10" t="s">
        <v>54</v>
      </c>
      <c r="R1145" s="10" t="s">
        <v>28</v>
      </c>
      <c r="S1145" s="10"/>
      <c r="T1145" s="10"/>
      <c r="U1145" s="10" t="s">
        <v>681</v>
      </c>
      <c r="V1145" s="10" t="s">
        <v>681</v>
      </c>
      <c r="W1145" s="50">
        <f>+J1145/$W$2</f>
        <v>1.005095425299638E-2</v>
      </c>
    </row>
    <row r="1146" spans="1:23">
      <c r="A1146" s="10" t="s">
        <v>392</v>
      </c>
      <c r="B1146" s="10" t="s">
        <v>381</v>
      </c>
      <c r="C1146" s="124">
        <v>46330</v>
      </c>
      <c r="D1146" s="124" t="s">
        <v>492</v>
      </c>
      <c r="E1146" s="21">
        <v>0.96847806999999997</v>
      </c>
      <c r="F1146" s="10"/>
      <c r="G1146" s="14">
        <v>2000000</v>
      </c>
      <c r="H1146" s="14">
        <v>1936956.14</v>
      </c>
      <c r="I1146" s="14">
        <v>2000000</v>
      </c>
      <c r="J1146" s="14">
        <v>1936956.14</v>
      </c>
      <c r="K1146" s="12">
        <v>42</v>
      </c>
      <c r="L1146" s="10" t="s">
        <v>101</v>
      </c>
      <c r="M1146" s="10" t="s">
        <v>102</v>
      </c>
      <c r="N1146" s="124" t="s">
        <v>476</v>
      </c>
      <c r="O1146" s="124" t="s">
        <v>476</v>
      </c>
      <c r="P1146" s="21">
        <v>33</v>
      </c>
      <c r="Q1146" s="10" t="s">
        <v>54</v>
      </c>
      <c r="R1146" s="10" t="s">
        <v>28</v>
      </c>
      <c r="S1146" s="10"/>
      <c r="T1146" s="10"/>
      <c r="U1146" s="10" t="s">
        <v>1516</v>
      </c>
      <c r="V1146" s="10" t="s">
        <v>1516</v>
      </c>
      <c r="W1146" s="50">
        <f>+J1146/$W$2</f>
        <v>2.5750996701770687E-5</v>
      </c>
    </row>
    <row r="1147" spans="1:23">
      <c r="A1147" s="10" t="s">
        <v>402</v>
      </c>
      <c r="B1147" s="10" t="s">
        <v>381</v>
      </c>
      <c r="C1147" s="124">
        <v>46330</v>
      </c>
      <c r="D1147" s="124" t="s">
        <v>492</v>
      </c>
      <c r="E1147" s="21">
        <v>0.96940424999999997</v>
      </c>
      <c r="F1147" s="10"/>
      <c r="G1147" s="14">
        <v>20000000</v>
      </c>
      <c r="H1147" s="14">
        <v>19388084.969999999</v>
      </c>
      <c r="I1147" s="14">
        <v>20000000</v>
      </c>
      <c r="J1147" s="14">
        <v>19388084.969999999</v>
      </c>
      <c r="K1147" s="12">
        <v>724</v>
      </c>
      <c r="L1147" s="10" t="s">
        <v>101</v>
      </c>
      <c r="M1147" s="10" t="s">
        <v>102</v>
      </c>
      <c r="N1147" s="124" t="s">
        <v>434</v>
      </c>
      <c r="O1147" s="124" t="s">
        <v>434</v>
      </c>
      <c r="P1147" s="21">
        <v>32</v>
      </c>
      <c r="Q1147" s="10" t="s">
        <v>54</v>
      </c>
      <c r="R1147" s="10" t="s">
        <v>28</v>
      </c>
      <c r="S1147" s="10"/>
      <c r="T1147" s="10"/>
      <c r="U1147" s="10" t="s">
        <v>2937</v>
      </c>
      <c r="V1147" s="10" t="s">
        <v>2937</v>
      </c>
      <c r="W1147" s="50">
        <f>+J1147/$W$2</f>
        <v>2.5775622989383736E-4</v>
      </c>
    </row>
    <row r="1148" spans="1:23">
      <c r="A1148" s="10" t="s">
        <v>465</v>
      </c>
      <c r="B1148" s="10" t="s">
        <v>381</v>
      </c>
      <c r="C1148" s="124">
        <v>46330</v>
      </c>
      <c r="D1148" s="124" t="s">
        <v>492</v>
      </c>
      <c r="E1148" s="21">
        <v>0.96755385999999999</v>
      </c>
      <c r="F1148" s="10"/>
      <c r="G1148" s="14">
        <v>10000000</v>
      </c>
      <c r="H1148" s="14">
        <v>9675538.5500000007</v>
      </c>
      <c r="I1148" s="14">
        <v>10000000</v>
      </c>
      <c r="J1148" s="14">
        <v>9675538.5500000007</v>
      </c>
      <c r="K1148" s="12">
        <v>14284512</v>
      </c>
      <c r="L1148" s="10" t="s">
        <v>101</v>
      </c>
      <c r="M1148" s="10" t="s">
        <v>102</v>
      </c>
      <c r="N1148" s="124" t="s">
        <v>425</v>
      </c>
      <c r="O1148" s="124" t="s">
        <v>425</v>
      </c>
      <c r="P1148" s="21">
        <v>34</v>
      </c>
      <c r="Q1148" s="10" t="s">
        <v>54</v>
      </c>
      <c r="R1148" s="10" t="s">
        <v>28</v>
      </c>
      <c r="S1148" s="10"/>
      <c r="T1148" s="10"/>
      <c r="U1148" s="10" t="s">
        <v>1689</v>
      </c>
      <c r="V1148" s="10" t="s">
        <v>1689</v>
      </c>
      <c r="W1148" s="50">
        <f>+J1148/$W$2</f>
        <v>1.2863211310964697E-4</v>
      </c>
    </row>
    <row r="1149" spans="1:23">
      <c r="A1149" s="10" t="s">
        <v>2915</v>
      </c>
      <c r="B1149" s="10" t="s">
        <v>381</v>
      </c>
      <c r="C1149" s="124">
        <v>46330</v>
      </c>
      <c r="D1149" s="124" t="s">
        <v>492</v>
      </c>
      <c r="E1149" s="21">
        <v>0.97499734000000005</v>
      </c>
      <c r="F1149" s="10"/>
      <c r="G1149" s="14">
        <v>819152.75</v>
      </c>
      <c r="H1149" s="14">
        <v>798671.75</v>
      </c>
      <c r="I1149" s="14">
        <v>819152.75</v>
      </c>
      <c r="J1149" s="14">
        <v>798671.75</v>
      </c>
      <c r="K1149" s="12">
        <v>991</v>
      </c>
      <c r="L1149" s="10" t="s">
        <v>101</v>
      </c>
      <c r="M1149" s="10" t="s">
        <v>102</v>
      </c>
      <c r="N1149" s="124" t="s">
        <v>531</v>
      </c>
      <c r="O1149" s="124" t="s">
        <v>531</v>
      </c>
      <c r="P1149" s="21">
        <v>26</v>
      </c>
      <c r="Q1149" s="10" t="s">
        <v>54</v>
      </c>
      <c r="R1149" s="10" t="s">
        <v>28</v>
      </c>
      <c r="S1149" s="10"/>
      <c r="T1149" s="10"/>
      <c r="U1149" s="10" t="s">
        <v>3353</v>
      </c>
      <c r="V1149" s="10" t="s">
        <v>3353</v>
      </c>
      <c r="W1149" s="50">
        <f>+J1149/$W$2</f>
        <v>1.0617996543818191E-5</v>
      </c>
    </row>
    <row r="1150" spans="1:23">
      <c r="A1150" s="10" t="s">
        <v>2915</v>
      </c>
      <c r="B1150" s="10" t="s">
        <v>381</v>
      </c>
      <c r="C1150" s="124">
        <v>46330</v>
      </c>
      <c r="D1150" s="124" t="s">
        <v>492</v>
      </c>
      <c r="E1150" s="21">
        <v>0.97499734000000005</v>
      </c>
      <c r="F1150" s="10"/>
      <c r="G1150" s="14">
        <v>819152.75</v>
      </c>
      <c r="H1150" s="14">
        <v>798671.75</v>
      </c>
      <c r="I1150" s="14">
        <v>819152.75</v>
      </c>
      <c r="J1150" s="14">
        <v>798671.75</v>
      </c>
      <c r="K1150" s="12">
        <v>989</v>
      </c>
      <c r="L1150" s="10" t="s">
        <v>101</v>
      </c>
      <c r="M1150" s="10" t="s">
        <v>102</v>
      </c>
      <c r="N1150" s="124" t="s">
        <v>531</v>
      </c>
      <c r="O1150" s="124" t="s">
        <v>531</v>
      </c>
      <c r="P1150" s="21">
        <v>26</v>
      </c>
      <c r="Q1150" s="10" t="s">
        <v>54</v>
      </c>
      <c r="R1150" s="10" t="s">
        <v>28</v>
      </c>
      <c r="S1150" s="10"/>
      <c r="T1150" s="10"/>
      <c r="U1150" s="10" t="s">
        <v>3358</v>
      </c>
      <c r="V1150" s="10" t="s">
        <v>3358</v>
      </c>
      <c r="W1150" s="50">
        <f>+J1150/$W$2</f>
        <v>1.0617996543818191E-5</v>
      </c>
    </row>
    <row r="1151" spans="1:23">
      <c r="A1151" s="10" t="s">
        <v>2915</v>
      </c>
      <c r="B1151" s="10" t="s">
        <v>381</v>
      </c>
      <c r="C1151" s="124">
        <v>46330</v>
      </c>
      <c r="D1151" s="124" t="s">
        <v>492</v>
      </c>
      <c r="E1151" s="21">
        <v>0.97499734000000005</v>
      </c>
      <c r="F1151" s="10"/>
      <c r="G1151" s="14">
        <v>819152.75</v>
      </c>
      <c r="H1151" s="14">
        <v>798671.75</v>
      </c>
      <c r="I1151" s="14">
        <v>819152.75</v>
      </c>
      <c r="J1151" s="14">
        <v>798671.75</v>
      </c>
      <c r="K1151" s="12">
        <v>990</v>
      </c>
      <c r="L1151" s="10" t="s">
        <v>101</v>
      </c>
      <c r="M1151" s="10" t="s">
        <v>102</v>
      </c>
      <c r="N1151" s="124" t="s">
        <v>531</v>
      </c>
      <c r="O1151" s="124" t="s">
        <v>531</v>
      </c>
      <c r="P1151" s="21">
        <v>26</v>
      </c>
      <c r="Q1151" s="10" t="s">
        <v>54</v>
      </c>
      <c r="R1151" s="10" t="s">
        <v>28</v>
      </c>
      <c r="S1151" s="10"/>
      <c r="T1151" s="10"/>
      <c r="U1151" s="10" t="s">
        <v>3361</v>
      </c>
      <c r="V1151" s="10" t="s">
        <v>3361</v>
      </c>
      <c r="W1151" s="50">
        <f>+J1151/$W$2</f>
        <v>1.0617996543818191E-5</v>
      </c>
    </row>
    <row r="1152" spans="1:23">
      <c r="A1152" s="10" t="s">
        <v>124</v>
      </c>
      <c r="B1152" s="10" t="s">
        <v>125</v>
      </c>
      <c r="C1152" s="124">
        <v>46330</v>
      </c>
      <c r="D1152" s="124" t="s">
        <v>492</v>
      </c>
      <c r="E1152" s="21">
        <v>0.99120129999999995</v>
      </c>
      <c r="F1152" s="10" t="s">
        <v>3573</v>
      </c>
      <c r="G1152" s="14">
        <v>100000</v>
      </c>
      <c r="H1152" s="14">
        <v>99120.13</v>
      </c>
      <c r="I1152" s="14">
        <v>152396975.83000001</v>
      </c>
      <c r="J1152" s="14">
        <v>151056080.56</v>
      </c>
      <c r="K1152" s="12">
        <v>155821</v>
      </c>
      <c r="L1152" s="10" t="s">
        <v>101</v>
      </c>
      <c r="M1152" s="10" t="s">
        <v>102</v>
      </c>
      <c r="N1152" s="124" t="s">
        <v>333</v>
      </c>
      <c r="O1152" s="124" t="s">
        <v>333</v>
      </c>
      <c r="P1152" s="21">
        <v>9</v>
      </c>
      <c r="Q1152" s="10" t="s">
        <v>54</v>
      </c>
      <c r="R1152" s="10" t="s">
        <v>28</v>
      </c>
      <c r="S1152" s="10"/>
      <c r="T1152" s="10"/>
      <c r="U1152" s="10" t="s">
        <v>784</v>
      </c>
      <c r="V1152" s="10" t="s">
        <v>784</v>
      </c>
      <c r="W1152" s="50">
        <f>+J1152/$W$2</f>
        <v>2.0082254584675146E-3</v>
      </c>
    </row>
    <row r="1153" spans="1:29">
      <c r="A1153" s="10" t="s">
        <v>544</v>
      </c>
      <c r="B1153" s="10" t="s">
        <v>125</v>
      </c>
      <c r="C1153" s="124">
        <v>46330</v>
      </c>
      <c r="D1153" s="124" t="s">
        <v>492</v>
      </c>
      <c r="E1153" s="21">
        <v>0.99023329999999998</v>
      </c>
      <c r="F1153" s="10" t="s">
        <v>3573</v>
      </c>
      <c r="G1153" s="14">
        <v>100000</v>
      </c>
      <c r="H1153" s="14">
        <v>99023.33</v>
      </c>
      <c r="I1153" s="14">
        <v>152396975.83000001</v>
      </c>
      <c r="J1153" s="14">
        <v>150908560.28999999</v>
      </c>
      <c r="K1153" s="12">
        <v>165199</v>
      </c>
      <c r="L1153" s="10" t="s">
        <v>101</v>
      </c>
      <c r="M1153" s="10" t="s">
        <v>102</v>
      </c>
      <c r="N1153" s="124" t="s">
        <v>423</v>
      </c>
      <c r="O1153" s="124" t="s">
        <v>423</v>
      </c>
      <c r="P1153" s="21">
        <v>10</v>
      </c>
      <c r="Q1153" s="10" t="s">
        <v>54</v>
      </c>
      <c r="R1153" s="10" t="s">
        <v>28</v>
      </c>
      <c r="S1153" s="10"/>
      <c r="T1153" s="10"/>
      <c r="U1153" s="10" t="s">
        <v>2596</v>
      </c>
      <c r="V1153" s="10" t="s">
        <v>2596</v>
      </c>
      <c r="W1153" s="50">
        <f>+J1153/$W$2</f>
        <v>2.0062642400858663E-3</v>
      </c>
    </row>
    <row r="1154" spans="1:29">
      <c r="A1154" s="10" t="s">
        <v>544</v>
      </c>
      <c r="B1154" s="10" t="s">
        <v>125</v>
      </c>
      <c r="C1154" s="124">
        <v>46330</v>
      </c>
      <c r="D1154" s="124" t="s">
        <v>492</v>
      </c>
      <c r="E1154" s="21">
        <v>0.99217140000000004</v>
      </c>
      <c r="F1154" s="10" t="s">
        <v>3573</v>
      </c>
      <c r="G1154" s="14">
        <v>188100</v>
      </c>
      <c r="H1154" s="14">
        <v>186627.44</v>
      </c>
      <c r="I1154" s="14">
        <v>286658711.54000002</v>
      </c>
      <c r="J1154" s="14">
        <v>284414574.63999999</v>
      </c>
      <c r="K1154" s="12">
        <v>160722</v>
      </c>
      <c r="L1154" s="10" t="s">
        <v>101</v>
      </c>
      <c r="M1154" s="10" t="s">
        <v>102</v>
      </c>
      <c r="N1154" s="124" t="s">
        <v>414</v>
      </c>
      <c r="O1154" s="124" t="s">
        <v>414</v>
      </c>
      <c r="P1154" s="21">
        <v>8</v>
      </c>
      <c r="Q1154" s="10" t="s">
        <v>54</v>
      </c>
      <c r="R1154" s="10" t="s">
        <v>28</v>
      </c>
      <c r="S1154" s="10"/>
      <c r="T1154" s="10"/>
      <c r="U1154" s="10" t="s">
        <v>1503</v>
      </c>
      <c r="V1154" s="10" t="s">
        <v>1503</v>
      </c>
      <c r="W1154" s="50">
        <f>+J1154/$W$2</f>
        <v>3.781169135554176E-3</v>
      </c>
    </row>
    <row r="1155" spans="1:29">
      <c r="A1155" s="10" t="s">
        <v>426</v>
      </c>
      <c r="B1155" s="10" t="s">
        <v>381</v>
      </c>
      <c r="C1155" s="124">
        <v>46330</v>
      </c>
      <c r="D1155" s="124" t="s">
        <v>492</v>
      </c>
      <c r="E1155" s="21">
        <v>0.97126133999999997</v>
      </c>
      <c r="F1155" s="10"/>
      <c r="G1155" s="14">
        <v>5580000</v>
      </c>
      <c r="H1155" s="14">
        <v>5419638.2800000003</v>
      </c>
      <c r="I1155" s="14">
        <v>5580000</v>
      </c>
      <c r="J1155" s="14">
        <v>5419638.2800000003</v>
      </c>
      <c r="K1155" s="12">
        <v>11415151</v>
      </c>
      <c r="L1155" s="10" t="s">
        <v>101</v>
      </c>
      <c r="M1155" s="10" t="s">
        <v>102</v>
      </c>
      <c r="N1155" s="124" t="s">
        <v>486</v>
      </c>
      <c r="O1155" s="124" t="s">
        <v>486</v>
      </c>
      <c r="P1155" s="21">
        <v>30</v>
      </c>
      <c r="Q1155" s="10" t="s">
        <v>54</v>
      </c>
      <c r="R1155" s="10" t="s">
        <v>28</v>
      </c>
      <c r="S1155" s="10"/>
      <c r="T1155" s="10"/>
      <c r="U1155" s="10" t="s">
        <v>2801</v>
      </c>
      <c r="V1155" s="10" t="s">
        <v>2801</v>
      </c>
      <c r="W1155" s="50">
        <f>+J1155/$W$2</f>
        <v>7.2051754085185522E-5</v>
      </c>
    </row>
    <row r="1156" spans="1:29">
      <c r="A1156" s="10" t="s">
        <v>427</v>
      </c>
      <c r="B1156" s="10" t="s">
        <v>381</v>
      </c>
      <c r="C1156" s="124">
        <v>46330</v>
      </c>
      <c r="D1156" s="124" t="s">
        <v>492</v>
      </c>
      <c r="E1156" s="21">
        <v>0.97406073999999998</v>
      </c>
      <c r="F1156" s="10"/>
      <c r="G1156" s="14">
        <v>1000000</v>
      </c>
      <c r="H1156" s="14">
        <v>974060.74</v>
      </c>
      <c r="I1156" s="14">
        <v>1000000</v>
      </c>
      <c r="J1156" s="14">
        <v>974060.74</v>
      </c>
      <c r="K1156" s="12">
        <v>11484</v>
      </c>
      <c r="L1156" s="10" t="s">
        <v>101</v>
      </c>
      <c r="M1156" s="10" t="s">
        <v>102</v>
      </c>
      <c r="N1156" s="124" t="s">
        <v>472</v>
      </c>
      <c r="O1156" s="124" t="s">
        <v>472</v>
      </c>
      <c r="P1156" s="21">
        <v>27</v>
      </c>
      <c r="Q1156" s="10" t="s">
        <v>54</v>
      </c>
      <c r="R1156" s="10" t="s">
        <v>28</v>
      </c>
      <c r="S1156" s="10"/>
      <c r="T1156" s="10"/>
      <c r="U1156" s="10" t="s">
        <v>3169</v>
      </c>
      <c r="V1156" s="10" t="s">
        <v>3169</v>
      </c>
      <c r="W1156" s="50">
        <f>+J1156/$W$2</f>
        <v>1.294971754139168E-5</v>
      </c>
    </row>
    <row r="1157" spans="1:29">
      <c r="A1157" s="10" t="s">
        <v>427</v>
      </c>
      <c r="B1157" s="10" t="s">
        <v>381</v>
      </c>
      <c r="C1157" s="124">
        <v>46330</v>
      </c>
      <c r="D1157" s="124" t="s">
        <v>492</v>
      </c>
      <c r="E1157" s="21">
        <v>0.97499754000000005</v>
      </c>
      <c r="F1157" s="10"/>
      <c r="G1157" s="14">
        <v>10000000</v>
      </c>
      <c r="H1157" s="14">
        <v>9749975.3599999994</v>
      </c>
      <c r="I1157" s="14">
        <v>10000000</v>
      </c>
      <c r="J1157" s="14">
        <v>9749975.3599999994</v>
      </c>
      <c r="K1157" s="12">
        <v>22805</v>
      </c>
      <c r="L1157" s="10" t="s">
        <v>101</v>
      </c>
      <c r="M1157" s="10" t="s">
        <v>102</v>
      </c>
      <c r="N1157" s="124" t="s">
        <v>678</v>
      </c>
      <c r="O1157" s="124" t="s">
        <v>678</v>
      </c>
      <c r="P1157" s="21">
        <v>26</v>
      </c>
      <c r="Q1157" s="10" t="s">
        <v>54</v>
      </c>
      <c r="R1157" s="10" t="s">
        <v>28</v>
      </c>
      <c r="S1157" s="10"/>
      <c r="T1157" s="10"/>
      <c r="U1157" s="10" t="s">
        <v>3469</v>
      </c>
      <c r="V1157" s="10" t="s">
        <v>3469</v>
      </c>
      <c r="W1157" s="50">
        <f>+J1157/$W$2</f>
        <v>1.2962171840282633E-4</v>
      </c>
    </row>
    <row r="1158" spans="1:29">
      <c r="A1158" s="10" t="s">
        <v>382</v>
      </c>
      <c r="B1158" s="10" t="s">
        <v>381</v>
      </c>
      <c r="C1158" s="124">
        <v>46330</v>
      </c>
      <c r="D1158" s="124" t="s">
        <v>492</v>
      </c>
      <c r="E1158" s="21">
        <v>0.96847815999999998</v>
      </c>
      <c r="F1158" s="10"/>
      <c r="G1158" s="14">
        <v>2500000</v>
      </c>
      <c r="H1158" s="14">
        <v>2421195.4</v>
      </c>
      <c r="I1158" s="14">
        <v>2500000</v>
      </c>
      <c r="J1158" s="14">
        <v>2421195.4</v>
      </c>
      <c r="K1158" s="12">
        <v>1014</v>
      </c>
      <c r="L1158" s="10" t="s">
        <v>101</v>
      </c>
      <c r="M1158" s="10" t="s">
        <v>102</v>
      </c>
      <c r="N1158" s="124" t="s">
        <v>163</v>
      </c>
      <c r="O1158" s="124" t="s">
        <v>163</v>
      </c>
      <c r="P1158" s="21">
        <v>33</v>
      </c>
      <c r="Q1158" s="10" t="s">
        <v>54</v>
      </c>
      <c r="R1158" s="10" t="s">
        <v>28</v>
      </c>
      <c r="S1158" s="10"/>
      <c r="T1158" s="10"/>
      <c r="U1158" s="10" t="s">
        <v>1636</v>
      </c>
      <c r="V1158" s="10" t="s">
        <v>1636</v>
      </c>
      <c r="W1158" s="50">
        <f>+J1158/$W$2</f>
        <v>3.2188748868491345E-5</v>
      </c>
    </row>
    <row r="1159" spans="1:29">
      <c r="A1159" s="10" t="s">
        <v>382</v>
      </c>
      <c r="B1159" s="10" t="s">
        <v>381</v>
      </c>
      <c r="C1159" s="124">
        <v>46330</v>
      </c>
      <c r="D1159" s="124" t="s">
        <v>492</v>
      </c>
      <c r="E1159" s="21">
        <v>0.97126135000000002</v>
      </c>
      <c r="F1159" s="10"/>
      <c r="G1159" s="14">
        <v>5000000</v>
      </c>
      <c r="H1159" s="14">
        <v>4856306.74</v>
      </c>
      <c r="I1159" s="14">
        <v>5000000</v>
      </c>
      <c r="J1159" s="14">
        <v>4856306.74</v>
      </c>
      <c r="K1159" s="12">
        <v>1307</v>
      </c>
      <c r="L1159" s="10" t="s">
        <v>101</v>
      </c>
      <c r="M1159" s="10" t="s">
        <v>102</v>
      </c>
      <c r="N1159" s="124" t="s">
        <v>492</v>
      </c>
      <c r="O1159" s="124" t="s">
        <v>492</v>
      </c>
      <c r="P1159" s="21">
        <v>30</v>
      </c>
      <c r="Q1159" s="10" t="s">
        <v>54</v>
      </c>
      <c r="R1159" s="10" t="s">
        <v>28</v>
      </c>
      <c r="S1159" s="10"/>
      <c r="T1159" s="10"/>
      <c r="U1159" s="10" t="s">
        <v>3531</v>
      </c>
      <c r="V1159" s="10" t="s">
        <v>3531</v>
      </c>
      <c r="W1159" s="50">
        <f>+J1159/$W$2</f>
        <v>6.4562504158987706E-5</v>
      </c>
    </row>
    <row r="1160" spans="1:29">
      <c r="A1160" s="10" t="s">
        <v>382</v>
      </c>
      <c r="B1160" s="10" t="s">
        <v>381</v>
      </c>
      <c r="C1160" s="124">
        <v>46331</v>
      </c>
      <c r="D1160" s="124" t="s">
        <v>492</v>
      </c>
      <c r="E1160" s="21">
        <v>0.97048663999999996</v>
      </c>
      <c r="F1160" s="10"/>
      <c r="G1160" s="14">
        <v>5000000</v>
      </c>
      <c r="H1160" s="14">
        <v>4852433.22</v>
      </c>
      <c r="I1160" s="14">
        <v>5000000</v>
      </c>
      <c r="J1160" s="14">
        <v>4852433.22</v>
      </c>
      <c r="K1160" s="12">
        <v>1206</v>
      </c>
      <c r="L1160" s="10" t="s">
        <v>101</v>
      </c>
      <c r="M1160" s="10" t="s">
        <v>102</v>
      </c>
      <c r="N1160" s="124" t="s">
        <v>536</v>
      </c>
      <c r="O1160" s="124" t="s">
        <v>536</v>
      </c>
      <c r="P1160" s="21">
        <v>30</v>
      </c>
      <c r="Q1160" s="10" t="s">
        <v>54</v>
      </c>
      <c r="R1160" s="10" t="s">
        <v>28</v>
      </c>
      <c r="S1160" s="10"/>
      <c r="T1160" s="10"/>
      <c r="U1160" s="10" t="s">
        <v>2298</v>
      </c>
      <c r="V1160" s="10" t="s">
        <v>2298</v>
      </c>
      <c r="W1160" s="50">
        <f>+J1160/$W$2</f>
        <v>6.4511007380777609E-5</v>
      </c>
    </row>
    <row r="1161" spans="1:29">
      <c r="A1161" s="10" t="s">
        <v>382</v>
      </c>
      <c r="B1161" s="10" t="s">
        <v>381</v>
      </c>
      <c r="C1161" s="124">
        <v>46331</v>
      </c>
      <c r="D1161" s="124" t="s">
        <v>492</v>
      </c>
      <c r="E1161" s="21">
        <v>0.97048679999999998</v>
      </c>
      <c r="F1161" s="10"/>
      <c r="G1161" s="14">
        <v>4500000</v>
      </c>
      <c r="H1161" s="14">
        <v>4367190.58</v>
      </c>
      <c r="I1161" s="14">
        <v>4500000</v>
      </c>
      <c r="J1161" s="14">
        <v>4367190.58</v>
      </c>
      <c r="K1161" s="12">
        <v>1265</v>
      </c>
      <c r="L1161" s="10" t="s">
        <v>101</v>
      </c>
      <c r="M1161" s="10" t="s">
        <v>102</v>
      </c>
      <c r="N1161" s="124" t="s">
        <v>532</v>
      </c>
      <c r="O1161" s="124" t="s">
        <v>532</v>
      </c>
      <c r="P1161" s="21">
        <v>30</v>
      </c>
      <c r="Q1161" s="10" t="s">
        <v>54</v>
      </c>
      <c r="R1161" s="10" t="s">
        <v>28</v>
      </c>
      <c r="S1161" s="10"/>
      <c r="T1161" s="10"/>
      <c r="U1161" s="10" t="s">
        <v>3084</v>
      </c>
      <c r="V1161" s="10" t="s">
        <v>3084</v>
      </c>
      <c r="W1161" s="50">
        <f>+J1161/$W$2</f>
        <v>5.8059915709595791E-5</v>
      </c>
    </row>
    <row r="1162" spans="1:29">
      <c r="A1162" s="10" t="s">
        <v>382</v>
      </c>
      <c r="B1162" s="10" t="s">
        <v>381</v>
      </c>
      <c r="C1162" s="124">
        <v>46331</v>
      </c>
      <c r="D1162" s="124" t="s">
        <v>492</v>
      </c>
      <c r="E1162" s="21">
        <v>0.97048663000000002</v>
      </c>
      <c r="F1162" s="10"/>
      <c r="G1162" s="14">
        <v>5000000</v>
      </c>
      <c r="H1162" s="14">
        <v>4852433.13</v>
      </c>
      <c r="I1162" s="14">
        <v>5000000</v>
      </c>
      <c r="J1162" s="14">
        <v>4852433.13</v>
      </c>
      <c r="K1162" s="12">
        <v>1290</v>
      </c>
      <c r="L1162" s="10" t="s">
        <v>101</v>
      </c>
      <c r="M1162" s="10" t="s">
        <v>102</v>
      </c>
      <c r="N1162" s="124" t="s">
        <v>472</v>
      </c>
      <c r="O1162" s="124" t="s">
        <v>472</v>
      </c>
      <c r="P1162" s="21">
        <v>30</v>
      </c>
      <c r="Q1162" s="10" t="s">
        <v>54</v>
      </c>
      <c r="R1162" s="10" t="s">
        <v>28</v>
      </c>
      <c r="S1162" s="10"/>
      <c r="T1162" s="10"/>
      <c r="U1162" s="10" t="s">
        <v>3228</v>
      </c>
      <c r="V1162" s="10" t="s">
        <v>3228</v>
      </c>
      <c r="W1162" s="50">
        <f>+J1162/$W$2</f>
        <v>6.4511006184266416E-5</v>
      </c>
    </row>
    <row r="1163" spans="1:29">
      <c r="A1163" s="10" t="s">
        <v>382</v>
      </c>
      <c r="B1163" s="10" t="s">
        <v>381</v>
      </c>
      <c r="C1163" s="124">
        <v>46331</v>
      </c>
      <c r="D1163" s="124" t="s">
        <v>492</v>
      </c>
      <c r="E1163" s="21">
        <v>0.96858087000000004</v>
      </c>
      <c r="F1163" s="10"/>
      <c r="G1163" s="14">
        <v>3000000</v>
      </c>
      <c r="H1163" s="14">
        <v>2905742.61</v>
      </c>
      <c r="I1163" s="14">
        <v>3000000</v>
      </c>
      <c r="J1163" s="14">
        <v>2905742.61</v>
      </c>
      <c r="K1163" s="12">
        <v>1049</v>
      </c>
      <c r="L1163" s="10" t="s">
        <v>101</v>
      </c>
      <c r="M1163" s="10" t="s">
        <v>102</v>
      </c>
      <c r="N1163" s="124" t="s">
        <v>398</v>
      </c>
      <c r="O1163" s="124" t="s">
        <v>398</v>
      </c>
      <c r="P1163" s="21">
        <v>32</v>
      </c>
      <c r="Q1163" s="10" t="s">
        <v>54</v>
      </c>
      <c r="R1163" s="10" t="s">
        <v>28</v>
      </c>
      <c r="S1163" s="10"/>
      <c r="T1163" s="10"/>
      <c r="U1163" s="10" t="s">
        <v>1753</v>
      </c>
      <c r="V1163" s="10" t="s">
        <v>1753</v>
      </c>
      <c r="W1163" s="50">
        <f>+J1163/$W$2</f>
        <v>3.8630595097679679E-5</v>
      </c>
    </row>
    <row r="1164" spans="1:29">
      <c r="A1164" s="10" t="s">
        <v>334</v>
      </c>
      <c r="B1164" s="10" t="s">
        <v>381</v>
      </c>
      <c r="C1164" s="124">
        <v>46331</v>
      </c>
      <c r="D1164" s="124" t="s">
        <v>492</v>
      </c>
      <c r="E1164" s="21">
        <v>0.96858093000000001</v>
      </c>
      <c r="F1164" s="10"/>
      <c r="G1164" s="14">
        <v>40000000</v>
      </c>
      <c r="H1164" s="14">
        <v>38743237.240000002</v>
      </c>
      <c r="I1164" s="14">
        <v>40000000</v>
      </c>
      <c r="J1164" s="14">
        <v>38743237.240000002</v>
      </c>
      <c r="K1164" s="12">
        <v>13953436</v>
      </c>
      <c r="L1164" s="10" t="s">
        <v>101</v>
      </c>
      <c r="M1164" s="10" t="s">
        <v>102</v>
      </c>
      <c r="N1164" s="124" t="s">
        <v>365</v>
      </c>
      <c r="O1164" s="124" t="s">
        <v>365</v>
      </c>
      <c r="P1164" s="21">
        <v>32</v>
      </c>
      <c r="Q1164" s="10" t="s">
        <v>54</v>
      </c>
      <c r="R1164" s="10" t="s">
        <v>28</v>
      </c>
      <c r="S1164" s="10"/>
      <c r="T1164" s="10"/>
      <c r="U1164" s="10" t="s">
        <v>1068</v>
      </c>
      <c r="V1164" s="10" t="s">
        <v>1068</v>
      </c>
      <c r="W1164" s="50">
        <f>+J1164/$W$2</f>
        <v>5.1507463374114368E-4</v>
      </c>
    </row>
    <row r="1165" spans="1:29">
      <c r="A1165" s="10" t="s">
        <v>353</v>
      </c>
      <c r="B1165" s="10" t="s">
        <v>381</v>
      </c>
      <c r="C1165" s="124">
        <v>46331</v>
      </c>
      <c r="D1165" s="124" t="s">
        <v>492</v>
      </c>
      <c r="E1165" s="21">
        <v>0.96479172999999996</v>
      </c>
      <c r="F1165" s="10"/>
      <c r="G1165" s="14">
        <v>3625698.78</v>
      </c>
      <c r="H1165" s="14">
        <v>3498044.2</v>
      </c>
      <c r="I1165" s="14">
        <v>3625698.78</v>
      </c>
      <c r="J1165" s="14">
        <v>3498044.2</v>
      </c>
      <c r="K1165" s="12">
        <v>3350</v>
      </c>
      <c r="L1165" s="10" t="s">
        <v>101</v>
      </c>
      <c r="M1165" s="10" t="s">
        <v>102</v>
      </c>
      <c r="N1165" s="124" t="s">
        <v>348</v>
      </c>
      <c r="O1165" s="124" t="s">
        <v>348</v>
      </c>
      <c r="P1165" s="21">
        <v>36</v>
      </c>
      <c r="Q1165" s="10" t="s">
        <v>54</v>
      </c>
      <c r="R1165" s="10" t="s">
        <v>28</v>
      </c>
      <c r="S1165" s="10"/>
      <c r="T1165" s="10"/>
      <c r="U1165" s="10" t="s">
        <v>1903</v>
      </c>
      <c r="V1165" s="10" t="s">
        <v>1903</v>
      </c>
      <c r="W1165" s="50">
        <f>+J1165/$W$2</f>
        <v>4.6504989347279747E-5</v>
      </c>
      <c r="AC1165" s="47"/>
    </row>
    <row r="1166" spans="1:29">
      <c r="A1166" s="10" t="s">
        <v>353</v>
      </c>
      <c r="B1166" s="10" t="s">
        <v>381</v>
      </c>
      <c r="C1166" s="124">
        <v>46331</v>
      </c>
      <c r="D1166" s="124" t="s">
        <v>492</v>
      </c>
      <c r="E1166" s="21">
        <v>0.96573635000000002</v>
      </c>
      <c r="F1166" s="10"/>
      <c r="G1166" s="14">
        <v>3256800.5</v>
      </c>
      <c r="H1166" s="14">
        <v>3145210.63</v>
      </c>
      <c r="I1166" s="14">
        <v>3256800.5</v>
      </c>
      <c r="J1166" s="14">
        <v>3145210.63</v>
      </c>
      <c r="K1166" s="12">
        <v>3578</v>
      </c>
      <c r="L1166" s="10" t="s">
        <v>101</v>
      </c>
      <c r="M1166" s="10" t="s">
        <v>102</v>
      </c>
      <c r="N1166" s="124" t="s">
        <v>422</v>
      </c>
      <c r="O1166" s="124" t="s">
        <v>422</v>
      </c>
      <c r="P1166" s="21">
        <v>35</v>
      </c>
      <c r="Q1166" s="10" t="s">
        <v>54</v>
      </c>
      <c r="R1166" s="10" t="s">
        <v>28</v>
      </c>
      <c r="S1166" s="10"/>
      <c r="T1166" s="10"/>
      <c r="U1166" s="10" t="s">
        <v>2751</v>
      </c>
      <c r="V1166" s="10" t="s">
        <v>2751</v>
      </c>
      <c r="W1166" s="50">
        <f>+J1166/$W$2</f>
        <v>4.1814219169415015E-5</v>
      </c>
    </row>
    <row r="1167" spans="1:29">
      <c r="A1167" s="10" t="s">
        <v>849</v>
      </c>
      <c r="B1167" s="10" t="s">
        <v>381</v>
      </c>
      <c r="C1167" s="124">
        <v>46331</v>
      </c>
      <c r="D1167" s="124" t="s">
        <v>492</v>
      </c>
      <c r="E1167" s="21">
        <v>0.96384910999999995</v>
      </c>
      <c r="F1167" s="10"/>
      <c r="G1167" s="14">
        <v>20000000</v>
      </c>
      <c r="H1167" s="14">
        <v>19276982.149999999</v>
      </c>
      <c r="I1167" s="14">
        <v>20000000</v>
      </c>
      <c r="J1167" s="14">
        <v>19276982.149999999</v>
      </c>
      <c r="K1167" s="12">
        <v>2594</v>
      </c>
      <c r="L1167" s="10" t="s">
        <v>101</v>
      </c>
      <c r="M1167" s="10" t="s">
        <v>102</v>
      </c>
      <c r="N1167" s="124" t="s">
        <v>349</v>
      </c>
      <c r="O1167" s="124" t="s">
        <v>349</v>
      </c>
      <c r="P1167" s="21">
        <v>37</v>
      </c>
      <c r="Q1167" s="10" t="s">
        <v>54</v>
      </c>
      <c r="R1167" s="10" t="s">
        <v>28</v>
      </c>
      <c r="S1167" s="10"/>
      <c r="T1167" s="10"/>
      <c r="U1167" s="10" t="s">
        <v>1347</v>
      </c>
      <c r="V1167" s="10" t="s">
        <v>1347</v>
      </c>
      <c r="W1167" s="50">
        <f>+J1167/$W$2</f>
        <v>2.5627916580741081E-4</v>
      </c>
    </row>
    <row r="1168" spans="1:29">
      <c r="A1168" s="10" t="s">
        <v>2600</v>
      </c>
      <c r="B1168" s="10" t="s">
        <v>381</v>
      </c>
      <c r="C1168" s="124">
        <v>46331</v>
      </c>
      <c r="D1168" s="124" t="s">
        <v>492</v>
      </c>
      <c r="E1168" s="21">
        <v>0.96763076999999997</v>
      </c>
      <c r="F1168" s="10"/>
      <c r="G1168" s="14">
        <v>5300000</v>
      </c>
      <c r="H1168" s="14">
        <v>5128443.08</v>
      </c>
      <c r="I1168" s="14">
        <v>5300000</v>
      </c>
      <c r="J1168" s="14">
        <v>5128443.08</v>
      </c>
      <c r="K1168" s="12">
        <v>8175674</v>
      </c>
      <c r="L1168" s="10" t="s">
        <v>101</v>
      </c>
      <c r="M1168" s="10" t="s">
        <v>102</v>
      </c>
      <c r="N1168" s="124" t="s">
        <v>423</v>
      </c>
      <c r="O1168" s="124" t="s">
        <v>423</v>
      </c>
      <c r="P1168" s="21">
        <v>33</v>
      </c>
      <c r="Q1168" s="10" t="s">
        <v>54</v>
      </c>
      <c r="R1168" s="10" t="s">
        <v>28</v>
      </c>
      <c r="S1168" s="10"/>
      <c r="T1168" s="10"/>
      <c r="U1168" s="10" t="s">
        <v>2487</v>
      </c>
      <c r="V1168" s="10" t="s">
        <v>2487</v>
      </c>
      <c r="W1168" s="50">
        <f>+J1168/$W$2</f>
        <v>6.8180439459149925E-5</v>
      </c>
    </row>
    <row r="1169" spans="1:29">
      <c r="A1169" s="10" t="s">
        <v>494</v>
      </c>
      <c r="B1169" s="10" t="s">
        <v>381</v>
      </c>
      <c r="C1169" s="124">
        <v>46331</v>
      </c>
      <c r="D1169" s="124" t="s">
        <v>492</v>
      </c>
      <c r="E1169" s="21">
        <v>0.97335932999999997</v>
      </c>
      <c r="F1169" s="10"/>
      <c r="G1169" s="14">
        <v>15000000</v>
      </c>
      <c r="H1169" s="14">
        <v>14600389.880000001</v>
      </c>
      <c r="I1169" s="14">
        <v>15000000</v>
      </c>
      <c r="J1169" s="14">
        <v>14600389.880000001</v>
      </c>
      <c r="K1169" s="12">
        <v>236</v>
      </c>
      <c r="L1169" s="10" t="s">
        <v>101</v>
      </c>
      <c r="M1169" s="10" t="s">
        <v>102</v>
      </c>
      <c r="N1169" s="124" t="s">
        <v>333</v>
      </c>
      <c r="O1169" s="124" t="s">
        <v>333</v>
      </c>
      <c r="P1169" s="21">
        <v>27</v>
      </c>
      <c r="Q1169" s="10" t="s">
        <v>54</v>
      </c>
      <c r="R1169" s="10" t="s">
        <v>28</v>
      </c>
      <c r="S1169" s="10"/>
      <c r="T1169" s="10"/>
      <c r="U1169" s="10" t="s">
        <v>783</v>
      </c>
      <c r="V1169" s="10" t="s">
        <v>783</v>
      </c>
      <c r="W1169" s="50">
        <f>+J1169/$W$2</f>
        <v>1.9410588803752993E-4</v>
      </c>
    </row>
    <row r="1170" spans="1:29">
      <c r="A1170" s="10" t="s">
        <v>494</v>
      </c>
      <c r="B1170" s="10" t="s">
        <v>381</v>
      </c>
      <c r="C1170" s="124">
        <v>46331</v>
      </c>
      <c r="D1170" s="124" t="s">
        <v>492</v>
      </c>
      <c r="E1170" s="21">
        <v>0.97335932999999997</v>
      </c>
      <c r="F1170" s="10"/>
      <c r="G1170" s="14">
        <v>25000000</v>
      </c>
      <c r="H1170" s="14">
        <v>24333983.25</v>
      </c>
      <c r="I1170" s="14">
        <v>25000000</v>
      </c>
      <c r="J1170" s="14">
        <v>24333983.25</v>
      </c>
      <c r="K1170" s="12">
        <v>9508922</v>
      </c>
      <c r="L1170" s="10" t="s">
        <v>101</v>
      </c>
      <c r="M1170" s="10" t="s">
        <v>102</v>
      </c>
      <c r="N1170" s="124" t="s">
        <v>530</v>
      </c>
      <c r="O1170" s="124" t="s">
        <v>530</v>
      </c>
      <c r="P1170" s="21">
        <v>27</v>
      </c>
      <c r="Q1170" s="10" t="s">
        <v>54</v>
      </c>
      <c r="R1170" s="10" t="s">
        <v>28</v>
      </c>
      <c r="S1170" s="10"/>
      <c r="T1170" s="10"/>
      <c r="U1170" s="10" t="s">
        <v>855</v>
      </c>
      <c r="V1170" s="10" t="s">
        <v>855</v>
      </c>
      <c r="W1170" s="50">
        <f>+J1170/$W$2</f>
        <v>3.2350981494691625E-4</v>
      </c>
    </row>
    <row r="1171" spans="1:29">
      <c r="A1171" s="10" t="s">
        <v>1102</v>
      </c>
      <c r="B1171" s="10" t="s">
        <v>381</v>
      </c>
      <c r="C1171" s="124">
        <v>46331</v>
      </c>
      <c r="D1171" s="124" t="s">
        <v>492</v>
      </c>
      <c r="E1171" s="21">
        <v>0.96479179999999998</v>
      </c>
      <c r="F1171" s="10"/>
      <c r="G1171" s="14">
        <v>3140560.45</v>
      </c>
      <c r="H1171" s="14">
        <v>3029986.98</v>
      </c>
      <c r="I1171" s="14">
        <v>3140560.45</v>
      </c>
      <c r="J1171" s="14">
        <v>3029986.98</v>
      </c>
      <c r="K1171" s="12">
        <v>1114</v>
      </c>
      <c r="L1171" s="10" t="s">
        <v>101</v>
      </c>
      <c r="M1171" s="10" t="s">
        <v>102</v>
      </c>
      <c r="N1171" s="124" t="s">
        <v>390</v>
      </c>
      <c r="O1171" s="124" t="s">
        <v>390</v>
      </c>
      <c r="P1171" s="21">
        <v>36</v>
      </c>
      <c r="Q1171" s="10" t="s">
        <v>54</v>
      </c>
      <c r="R1171" s="10" t="s">
        <v>28</v>
      </c>
      <c r="S1171" s="10"/>
      <c r="T1171" s="10"/>
      <c r="U1171" s="10" t="s">
        <v>2041</v>
      </c>
      <c r="V1171" s="10" t="s">
        <v>2041</v>
      </c>
      <c r="W1171" s="50">
        <f>+J1171/$W$2</f>
        <v>4.0282370424963847E-5</v>
      </c>
    </row>
    <row r="1172" spans="1:29">
      <c r="A1172" s="10" t="s">
        <v>1102</v>
      </c>
      <c r="B1172" s="10" t="s">
        <v>381</v>
      </c>
      <c r="C1172" s="124">
        <v>46331</v>
      </c>
      <c r="D1172" s="124" t="s">
        <v>492</v>
      </c>
      <c r="E1172" s="21">
        <v>0.96479197000000005</v>
      </c>
      <c r="F1172" s="10"/>
      <c r="G1172" s="14">
        <v>3256800.5</v>
      </c>
      <c r="H1172" s="14">
        <v>3142134.98</v>
      </c>
      <c r="I1172" s="14">
        <v>3256800.5</v>
      </c>
      <c r="J1172" s="14">
        <v>3142134.98</v>
      </c>
      <c r="K1172" s="12">
        <v>1281</v>
      </c>
      <c r="L1172" s="10" t="s">
        <v>101</v>
      </c>
      <c r="M1172" s="10" t="s">
        <v>102</v>
      </c>
      <c r="N1172" s="124" t="s">
        <v>532</v>
      </c>
      <c r="O1172" s="124" t="s">
        <v>532</v>
      </c>
      <c r="P1172" s="21">
        <v>36</v>
      </c>
      <c r="Q1172" s="10" t="s">
        <v>54</v>
      </c>
      <c r="R1172" s="10" t="s">
        <v>28</v>
      </c>
      <c r="S1172" s="10"/>
      <c r="T1172" s="10"/>
      <c r="U1172" s="10" t="s">
        <v>3094</v>
      </c>
      <c r="V1172" s="10" t="s">
        <v>3094</v>
      </c>
      <c r="W1172" s="50">
        <f>+J1172/$W$2</f>
        <v>4.17733297288282E-5</v>
      </c>
    </row>
    <row r="1173" spans="1:29">
      <c r="A1173" s="10" t="s">
        <v>353</v>
      </c>
      <c r="B1173" s="10" t="s">
        <v>381</v>
      </c>
      <c r="C1173" s="124">
        <v>46331</v>
      </c>
      <c r="D1173" s="124" t="s">
        <v>492</v>
      </c>
      <c r="E1173" s="21">
        <v>0.96668259999999995</v>
      </c>
      <c r="F1173" s="10"/>
      <c r="G1173" s="14">
        <v>1020845.65</v>
      </c>
      <c r="H1173" s="14">
        <v>986833.73</v>
      </c>
      <c r="I1173" s="14">
        <v>1020845.65</v>
      </c>
      <c r="J1173" s="14">
        <v>986833.73</v>
      </c>
      <c r="K1173" s="12">
        <v>2911</v>
      </c>
      <c r="L1173" s="10" t="s">
        <v>101</v>
      </c>
      <c r="M1173" s="10" t="s">
        <v>102</v>
      </c>
      <c r="N1173" s="124" t="s">
        <v>326</v>
      </c>
      <c r="O1173" s="124" t="s">
        <v>326</v>
      </c>
      <c r="P1173" s="21">
        <v>34</v>
      </c>
      <c r="Q1173" s="10" t="s">
        <v>54</v>
      </c>
      <c r="R1173" s="10" t="s">
        <v>28</v>
      </c>
      <c r="S1173" s="10"/>
      <c r="T1173" s="10"/>
      <c r="U1173" s="10" t="s">
        <v>957</v>
      </c>
      <c r="V1173" s="10" t="s">
        <v>957</v>
      </c>
      <c r="W1173" s="50">
        <f>+J1173/$W$2</f>
        <v>1.3119528935965513E-5</v>
      </c>
      <c r="AC1173" s="47"/>
    </row>
    <row r="1174" spans="1:29">
      <c r="A1174" s="10" t="s">
        <v>353</v>
      </c>
      <c r="B1174" s="10" t="s">
        <v>381</v>
      </c>
      <c r="C1174" s="124">
        <v>46331</v>
      </c>
      <c r="D1174" s="124" t="s">
        <v>492</v>
      </c>
      <c r="E1174" s="21">
        <v>0.96668259999999995</v>
      </c>
      <c r="F1174" s="10"/>
      <c r="G1174" s="14">
        <v>990902.64</v>
      </c>
      <c r="H1174" s="14">
        <v>957888.34</v>
      </c>
      <c r="I1174" s="14">
        <v>990902.64</v>
      </c>
      <c r="J1174" s="14">
        <v>957888.34</v>
      </c>
      <c r="K1174" s="12">
        <v>2961</v>
      </c>
      <c r="L1174" s="10" t="s">
        <v>101</v>
      </c>
      <c r="M1174" s="10" t="s">
        <v>102</v>
      </c>
      <c r="N1174" s="124" t="s">
        <v>326</v>
      </c>
      <c r="O1174" s="124" t="s">
        <v>326</v>
      </c>
      <c r="P1174" s="21">
        <v>34</v>
      </c>
      <c r="Q1174" s="10" t="s">
        <v>54</v>
      </c>
      <c r="R1174" s="10" t="s">
        <v>28</v>
      </c>
      <c r="S1174" s="10"/>
      <c r="T1174" s="10"/>
      <c r="U1174" s="10" t="s">
        <v>960</v>
      </c>
      <c r="V1174" s="10" t="s">
        <v>960</v>
      </c>
      <c r="W1174" s="50">
        <f>+J1174/$W$2</f>
        <v>1.2734712456630329E-5</v>
      </c>
      <c r="AC1174" s="47"/>
    </row>
    <row r="1175" spans="1:29">
      <c r="A1175" s="10" t="s">
        <v>273</v>
      </c>
      <c r="B1175" s="10" t="s">
        <v>381</v>
      </c>
      <c r="C1175" s="124">
        <v>46331</v>
      </c>
      <c r="D1175" s="124" t="s">
        <v>492</v>
      </c>
      <c r="E1175" s="21">
        <v>0.97239986</v>
      </c>
      <c r="F1175" s="10"/>
      <c r="G1175" s="14">
        <v>60000000</v>
      </c>
      <c r="H1175" s="14">
        <v>58343991.439999998</v>
      </c>
      <c r="I1175" s="14">
        <v>60000000</v>
      </c>
      <c r="J1175" s="14">
        <v>58343991.439999998</v>
      </c>
      <c r="K1175" s="12">
        <v>99</v>
      </c>
      <c r="L1175" s="10" t="s">
        <v>101</v>
      </c>
      <c r="M1175" s="10" t="s">
        <v>102</v>
      </c>
      <c r="N1175" s="124" t="s">
        <v>326</v>
      </c>
      <c r="O1175" s="124" t="s">
        <v>326</v>
      </c>
      <c r="P1175" s="21">
        <v>28</v>
      </c>
      <c r="Q1175" s="10" t="s">
        <v>54</v>
      </c>
      <c r="R1175" s="10" t="s">
        <v>28</v>
      </c>
      <c r="S1175" s="10"/>
      <c r="T1175" s="10"/>
      <c r="U1175" s="10" t="s">
        <v>981</v>
      </c>
      <c r="V1175" s="10" t="s">
        <v>981</v>
      </c>
      <c r="W1175" s="50">
        <f>+J1175/$W$2</f>
        <v>7.7565820934880709E-4</v>
      </c>
    </row>
    <row r="1176" spans="1:29">
      <c r="A1176" s="10" t="s">
        <v>899</v>
      </c>
      <c r="B1176" s="10" t="s">
        <v>381</v>
      </c>
      <c r="C1176" s="124">
        <v>46331</v>
      </c>
      <c r="D1176" s="124" t="s">
        <v>492</v>
      </c>
      <c r="E1176" s="21">
        <v>0.96858089999999997</v>
      </c>
      <c r="F1176" s="10"/>
      <c r="G1176" s="14">
        <v>475000000</v>
      </c>
      <c r="H1176" s="14">
        <v>460075925.88999999</v>
      </c>
      <c r="I1176" s="14">
        <v>475000000</v>
      </c>
      <c r="J1176" s="14">
        <v>460075925.88999999</v>
      </c>
      <c r="K1176" s="12">
        <v>1281</v>
      </c>
      <c r="L1176" s="10" t="s">
        <v>101</v>
      </c>
      <c r="M1176" s="10" t="s">
        <v>102</v>
      </c>
      <c r="N1176" s="124" t="s">
        <v>420</v>
      </c>
      <c r="O1176" s="124" t="s">
        <v>420</v>
      </c>
      <c r="P1176" s="21">
        <v>32</v>
      </c>
      <c r="Q1176" s="10" t="s">
        <v>54</v>
      </c>
      <c r="R1176" s="10" t="s">
        <v>28</v>
      </c>
      <c r="S1176" s="10"/>
      <c r="T1176" s="10"/>
      <c r="U1176" s="10" t="s">
        <v>2652</v>
      </c>
      <c r="V1176" s="10" t="s">
        <v>2652</v>
      </c>
      <c r="W1176" s="50">
        <f>+J1176/$W$2</f>
        <v>6.1165110585092988E-3</v>
      </c>
    </row>
    <row r="1177" spans="1:29">
      <c r="A1177" s="10" t="s">
        <v>383</v>
      </c>
      <c r="B1177" s="10" t="s">
        <v>381</v>
      </c>
      <c r="C1177" s="124">
        <v>46331</v>
      </c>
      <c r="D1177" s="124" t="s">
        <v>492</v>
      </c>
      <c r="E1177" s="21">
        <v>0.96573635000000002</v>
      </c>
      <c r="F1177" s="10"/>
      <c r="G1177" s="14">
        <v>50000000</v>
      </c>
      <c r="H1177" s="14">
        <v>48286817.520000003</v>
      </c>
      <c r="I1177" s="14">
        <v>50000000</v>
      </c>
      <c r="J1177" s="14">
        <v>48286817.520000003</v>
      </c>
      <c r="K1177" s="12">
        <v>69489833</v>
      </c>
      <c r="L1177" s="10" t="s">
        <v>101</v>
      </c>
      <c r="M1177" s="10" t="s">
        <v>102</v>
      </c>
      <c r="N1177" s="124" t="s">
        <v>421</v>
      </c>
      <c r="O1177" s="124" t="s">
        <v>421</v>
      </c>
      <c r="P1177" s="21">
        <v>35</v>
      </c>
      <c r="Q1177" s="10" t="s">
        <v>54</v>
      </c>
      <c r="R1177" s="10" t="s">
        <v>28</v>
      </c>
      <c r="S1177" s="10"/>
      <c r="T1177" s="10"/>
      <c r="U1177" s="10" t="s">
        <v>2108</v>
      </c>
      <c r="V1177" s="10" t="s">
        <v>2108</v>
      </c>
      <c r="W1177" s="50">
        <f>+J1177/$W$2</f>
        <v>6.4195241854909696E-4</v>
      </c>
    </row>
    <row r="1178" spans="1:29">
      <c r="A1178" s="10" t="s">
        <v>2019</v>
      </c>
      <c r="B1178" s="10" t="s">
        <v>381</v>
      </c>
      <c r="C1178" s="124">
        <v>46331</v>
      </c>
      <c r="D1178" s="124" t="s">
        <v>492</v>
      </c>
      <c r="E1178" s="21">
        <v>0.96858085999999999</v>
      </c>
      <c r="F1178" s="10"/>
      <c r="G1178" s="14">
        <v>9915945.7599999998</v>
      </c>
      <c r="H1178" s="14">
        <v>9604395.3000000007</v>
      </c>
      <c r="I1178" s="14">
        <v>9915945.7599999998</v>
      </c>
      <c r="J1178" s="14">
        <v>9604395.3000000007</v>
      </c>
      <c r="K1178" s="12">
        <v>69407769</v>
      </c>
      <c r="L1178" s="10" t="s">
        <v>101</v>
      </c>
      <c r="M1178" s="10" t="s">
        <v>102</v>
      </c>
      <c r="N1178" s="124" t="s">
        <v>164</v>
      </c>
      <c r="O1178" s="124" t="s">
        <v>164</v>
      </c>
      <c r="P1178" s="21">
        <v>32</v>
      </c>
      <c r="Q1178" s="10" t="s">
        <v>54</v>
      </c>
      <c r="R1178" s="10" t="s">
        <v>28</v>
      </c>
      <c r="S1178" s="10"/>
      <c r="T1178" s="10"/>
      <c r="U1178" s="10" t="s">
        <v>1988</v>
      </c>
      <c r="V1178" s="10" t="s">
        <v>1988</v>
      </c>
      <c r="W1178" s="50">
        <f>+J1178/$W$2</f>
        <v>1.2768629427654563E-4</v>
      </c>
    </row>
    <row r="1179" spans="1:29">
      <c r="A1179" s="10" t="s">
        <v>2086</v>
      </c>
      <c r="B1179" s="10" t="s">
        <v>381</v>
      </c>
      <c r="C1179" s="124">
        <v>46331</v>
      </c>
      <c r="D1179" s="124" t="s">
        <v>492</v>
      </c>
      <c r="E1179" s="21">
        <v>0.96953283999999995</v>
      </c>
      <c r="F1179" s="10"/>
      <c r="G1179" s="14">
        <v>1598248</v>
      </c>
      <c r="H1179" s="14">
        <v>1549553.93</v>
      </c>
      <c r="I1179" s="14">
        <v>1598248</v>
      </c>
      <c r="J1179" s="14">
        <v>1549553.93</v>
      </c>
      <c r="K1179" s="12">
        <v>11999346</v>
      </c>
      <c r="L1179" s="10" t="s">
        <v>101</v>
      </c>
      <c r="M1179" s="10" t="s">
        <v>102</v>
      </c>
      <c r="N1179" s="124" t="s">
        <v>390</v>
      </c>
      <c r="O1179" s="124" t="s">
        <v>390</v>
      </c>
      <c r="P1179" s="21">
        <v>31</v>
      </c>
      <c r="Q1179" s="10" t="s">
        <v>54</v>
      </c>
      <c r="R1179" s="10" t="s">
        <v>28</v>
      </c>
      <c r="S1179" s="10"/>
      <c r="T1179" s="10"/>
      <c r="U1179" s="10" t="s">
        <v>2067</v>
      </c>
      <c r="V1179" s="10" t="s">
        <v>2067</v>
      </c>
      <c r="W1179" s="50">
        <f>+J1179/$W$2</f>
        <v>2.0600651360461786E-5</v>
      </c>
    </row>
    <row r="1180" spans="1:29">
      <c r="A1180" s="10" t="s">
        <v>2167</v>
      </c>
      <c r="B1180" s="10" t="s">
        <v>381</v>
      </c>
      <c r="C1180" s="124">
        <v>46331</v>
      </c>
      <c r="D1180" s="124" t="s">
        <v>492</v>
      </c>
      <c r="E1180" s="21">
        <v>0.96858082999999995</v>
      </c>
      <c r="F1180" s="10"/>
      <c r="G1180" s="14">
        <v>4758168.4800000004</v>
      </c>
      <c r="H1180" s="14">
        <v>4608670.79</v>
      </c>
      <c r="I1180" s="14">
        <v>4758168.4800000004</v>
      </c>
      <c r="J1180" s="14">
        <v>4608670.79</v>
      </c>
      <c r="K1180" s="12">
        <v>90022875</v>
      </c>
      <c r="L1180" s="10" t="s">
        <v>101</v>
      </c>
      <c r="M1180" s="10" t="s">
        <v>102</v>
      </c>
      <c r="N1180" s="124" t="s">
        <v>416</v>
      </c>
      <c r="O1180" s="124" t="s">
        <v>416</v>
      </c>
      <c r="P1180" s="21">
        <v>32</v>
      </c>
      <c r="Q1180" s="10" t="s">
        <v>54</v>
      </c>
      <c r="R1180" s="10" t="s">
        <v>28</v>
      </c>
      <c r="S1180" s="10"/>
      <c r="T1180" s="10"/>
      <c r="U1180" s="10" t="s">
        <v>2145</v>
      </c>
      <c r="V1180" s="10" t="s">
        <v>2145</v>
      </c>
      <c r="W1180" s="50">
        <f>+J1180/$W$2</f>
        <v>6.1270290979762151E-5</v>
      </c>
    </row>
    <row r="1181" spans="1:29">
      <c r="A1181" s="10" t="s">
        <v>404</v>
      </c>
      <c r="B1181" s="10" t="s">
        <v>381</v>
      </c>
      <c r="C1181" s="124">
        <v>46331</v>
      </c>
      <c r="D1181" s="124" t="s">
        <v>492</v>
      </c>
      <c r="E1181" s="21">
        <v>0.97048657999999999</v>
      </c>
      <c r="F1181" s="10"/>
      <c r="G1181" s="14">
        <v>5568708.9100000001</v>
      </c>
      <c r="H1181" s="14">
        <v>5404357.2599999998</v>
      </c>
      <c r="I1181" s="14">
        <v>5568708.9100000001</v>
      </c>
      <c r="J1181" s="14">
        <v>5404357.2599999998</v>
      </c>
      <c r="K1181" s="12">
        <v>23042</v>
      </c>
      <c r="L1181" s="10" t="s">
        <v>101</v>
      </c>
      <c r="M1181" s="10" t="s">
        <v>102</v>
      </c>
      <c r="N1181" s="124" t="s">
        <v>423</v>
      </c>
      <c r="O1181" s="124" t="s">
        <v>423</v>
      </c>
      <c r="P1181" s="21">
        <v>30</v>
      </c>
      <c r="Q1181" s="10" t="s">
        <v>54</v>
      </c>
      <c r="R1181" s="10" t="s">
        <v>28</v>
      </c>
      <c r="S1181" s="10"/>
      <c r="T1181" s="10"/>
      <c r="U1181" s="10" t="s">
        <v>2524</v>
      </c>
      <c r="V1181" s="10" t="s">
        <v>2524</v>
      </c>
      <c r="W1181" s="50">
        <f>+J1181/$W$2</f>
        <v>7.1848599513177661E-5</v>
      </c>
    </row>
    <row r="1182" spans="1:29">
      <c r="A1182" s="10" t="s">
        <v>471</v>
      </c>
      <c r="B1182" s="10" t="s">
        <v>381</v>
      </c>
      <c r="C1182" s="124">
        <v>46331</v>
      </c>
      <c r="D1182" s="124" t="s">
        <v>492</v>
      </c>
      <c r="E1182" s="21">
        <v>0.97048659000000004</v>
      </c>
      <c r="F1182" s="10"/>
      <c r="G1182" s="14">
        <v>11923076.92</v>
      </c>
      <c r="H1182" s="14">
        <v>11571186.220000001</v>
      </c>
      <c r="I1182" s="14">
        <v>11923076.92</v>
      </c>
      <c r="J1182" s="14">
        <v>11571186.220000001</v>
      </c>
      <c r="K1182" s="12">
        <v>90021990</v>
      </c>
      <c r="L1182" s="10" t="s">
        <v>101</v>
      </c>
      <c r="M1182" s="10" t="s">
        <v>102</v>
      </c>
      <c r="N1182" s="124" t="s">
        <v>300</v>
      </c>
      <c r="O1182" s="124" t="s">
        <v>300</v>
      </c>
      <c r="P1182" s="21">
        <v>30</v>
      </c>
      <c r="Q1182" s="10" t="s">
        <v>54</v>
      </c>
      <c r="R1182" s="10" t="s">
        <v>28</v>
      </c>
      <c r="S1182" s="10"/>
      <c r="T1182" s="10"/>
      <c r="U1182" s="10" t="s">
        <v>573</v>
      </c>
      <c r="V1182" s="10" t="s">
        <v>573</v>
      </c>
      <c r="W1182" s="50">
        <f>+J1182/$W$2</f>
        <v>1.5383393151421304E-4</v>
      </c>
    </row>
    <row r="1183" spans="1:29">
      <c r="A1183" s="10" t="s">
        <v>1084</v>
      </c>
      <c r="B1183" s="10" t="s">
        <v>381</v>
      </c>
      <c r="C1183" s="124">
        <v>46331</v>
      </c>
      <c r="D1183" s="124" t="s">
        <v>492</v>
      </c>
      <c r="E1183" s="21">
        <v>0.96763083999999999</v>
      </c>
      <c r="F1183" s="10"/>
      <c r="G1183" s="14">
        <v>40000000</v>
      </c>
      <c r="H1183" s="14">
        <v>38705233.579999998</v>
      </c>
      <c r="I1183" s="14">
        <v>40000000</v>
      </c>
      <c r="J1183" s="14">
        <v>38705233.579999998</v>
      </c>
      <c r="K1183" s="12">
        <v>11405027</v>
      </c>
      <c r="L1183" s="10" t="s">
        <v>101</v>
      </c>
      <c r="M1183" s="10" t="s">
        <v>102</v>
      </c>
      <c r="N1183" s="124" t="s">
        <v>536</v>
      </c>
      <c r="O1183" s="124" t="s">
        <v>536</v>
      </c>
      <c r="P1183" s="21">
        <v>33</v>
      </c>
      <c r="Q1183" s="10" t="s">
        <v>54</v>
      </c>
      <c r="R1183" s="10" t="s">
        <v>28</v>
      </c>
      <c r="S1183" s="10"/>
      <c r="T1183" s="10"/>
      <c r="U1183" s="10" t="s">
        <v>2312</v>
      </c>
      <c r="V1183" s="10" t="s">
        <v>2312</v>
      </c>
      <c r="W1183" s="50">
        <f>+J1183/$W$2</f>
        <v>5.1456939146791634E-4</v>
      </c>
    </row>
    <row r="1184" spans="1:29">
      <c r="A1184" s="10" t="s">
        <v>3451</v>
      </c>
      <c r="B1184" s="10" t="s">
        <v>381</v>
      </c>
      <c r="C1184" s="124">
        <v>46331</v>
      </c>
      <c r="D1184" s="124" t="s">
        <v>492</v>
      </c>
      <c r="E1184" s="21">
        <v>0.97432081999999998</v>
      </c>
      <c r="F1184" s="10"/>
      <c r="G1184" s="14">
        <v>50000000</v>
      </c>
      <c r="H1184" s="14">
        <v>48716040.759999998</v>
      </c>
      <c r="I1184" s="14">
        <v>50000000</v>
      </c>
      <c r="J1184" s="14">
        <v>48716040.759999998</v>
      </c>
      <c r="K1184" s="12">
        <v>1372559</v>
      </c>
      <c r="L1184" s="10" t="s">
        <v>101</v>
      </c>
      <c r="M1184" s="10" t="s">
        <v>102</v>
      </c>
      <c r="N1184" s="124" t="s">
        <v>531</v>
      </c>
      <c r="O1184" s="124" t="s">
        <v>531</v>
      </c>
      <c r="P1184" s="21">
        <v>26</v>
      </c>
      <c r="Q1184" s="10" t="s">
        <v>54</v>
      </c>
      <c r="R1184" s="10" t="s">
        <v>28</v>
      </c>
      <c r="S1184" s="10"/>
      <c r="T1184" s="10"/>
      <c r="U1184" s="10" t="s">
        <v>3385</v>
      </c>
      <c r="V1184" s="10" t="s">
        <v>3385</v>
      </c>
      <c r="W1184" s="50">
        <f>+J1184/$W$2</f>
        <v>6.4765875645180404E-4</v>
      </c>
      <c r="AC1184" s="47"/>
    </row>
    <row r="1185" spans="1:29">
      <c r="A1185" s="10" t="s">
        <v>166</v>
      </c>
      <c r="B1185" s="10" t="s">
        <v>381</v>
      </c>
      <c r="C1185" s="124">
        <v>46331</v>
      </c>
      <c r="D1185" s="124" t="s">
        <v>492</v>
      </c>
      <c r="E1185" s="21">
        <v>0.9629084</v>
      </c>
      <c r="F1185" s="10"/>
      <c r="G1185" s="14">
        <v>170000000</v>
      </c>
      <c r="H1185" s="14">
        <v>163694427.97999999</v>
      </c>
      <c r="I1185" s="14">
        <v>170000000</v>
      </c>
      <c r="J1185" s="14">
        <v>163694427.97999999</v>
      </c>
      <c r="K1185" s="12">
        <v>70406571</v>
      </c>
      <c r="L1185" s="10" t="s">
        <v>101</v>
      </c>
      <c r="M1185" s="10" t="s">
        <v>102</v>
      </c>
      <c r="N1185" s="124" t="s">
        <v>475</v>
      </c>
      <c r="O1185" s="124" t="s">
        <v>475</v>
      </c>
      <c r="P1185" s="21">
        <v>38</v>
      </c>
      <c r="Q1185" s="10" t="s">
        <v>54</v>
      </c>
      <c r="R1185" s="10" t="s">
        <v>28</v>
      </c>
      <c r="S1185" s="10"/>
      <c r="T1185" s="10"/>
      <c r="U1185" s="10" t="s">
        <v>2333</v>
      </c>
      <c r="V1185" s="10" t="s">
        <v>2333</v>
      </c>
      <c r="W1185" s="50">
        <f>+J1185/$W$2</f>
        <v>2.1762468379956292E-3</v>
      </c>
    </row>
    <row r="1186" spans="1:29">
      <c r="A1186" s="10" t="s">
        <v>688</v>
      </c>
      <c r="B1186" s="10" t="s">
        <v>381</v>
      </c>
      <c r="C1186" s="124">
        <v>46331</v>
      </c>
      <c r="D1186" s="124" t="s">
        <v>492</v>
      </c>
      <c r="E1186" s="21">
        <v>0.96290829</v>
      </c>
      <c r="F1186" s="10"/>
      <c r="G1186" s="14">
        <v>60000000</v>
      </c>
      <c r="H1186" s="14">
        <v>57774497.119999997</v>
      </c>
      <c r="I1186" s="14">
        <v>60000000</v>
      </c>
      <c r="J1186" s="14">
        <v>57774497.119999997</v>
      </c>
      <c r="K1186" s="12">
        <v>70393049</v>
      </c>
      <c r="L1186" s="10" t="s">
        <v>101</v>
      </c>
      <c r="M1186" s="10" t="s">
        <v>102</v>
      </c>
      <c r="N1186" s="124" t="s">
        <v>164</v>
      </c>
      <c r="O1186" s="124" t="s">
        <v>164</v>
      </c>
      <c r="P1186" s="21">
        <v>38</v>
      </c>
      <c r="Q1186" s="10" t="s">
        <v>54</v>
      </c>
      <c r="R1186" s="10" t="s">
        <v>28</v>
      </c>
      <c r="S1186" s="10"/>
      <c r="T1186" s="10"/>
      <c r="U1186" s="10" t="s">
        <v>1997</v>
      </c>
      <c r="V1186" s="10" t="s">
        <v>1997</v>
      </c>
      <c r="W1186" s="50">
        <f>+J1186/$W$2</f>
        <v>7.680870279197856E-4</v>
      </c>
    </row>
    <row r="1187" spans="1:29">
      <c r="A1187" s="10" t="s">
        <v>404</v>
      </c>
      <c r="B1187" s="10" t="s">
        <v>381</v>
      </c>
      <c r="C1187" s="124">
        <v>46331</v>
      </c>
      <c r="D1187" s="124" t="s">
        <v>492</v>
      </c>
      <c r="E1187" s="21">
        <v>0.97335945999999995</v>
      </c>
      <c r="F1187" s="10"/>
      <c r="G1187" s="14">
        <v>2500000</v>
      </c>
      <c r="H1187" s="14">
        <v>2433398.65</v>
      </c>
      <c r="I1187" s="14">
        <v>2500000</v>
      </c>
      <c r="J1187" s="14">
        <v>2433398.65</v>
      </c>
      <c r="K1187" s="12">
        <v>69814628</v>
      </c>
      <c r="L1187" s="10" t="s">
        <v>101</v>
      </c>
      <c r="M1187" s="10" t="s">
        <v>102</v>
      </c>
      <c r="N1187" s="124" t="s">
        <v>486</v>
      </c>
      <c r="O1187" s="124" t="s">
        <v>486</v>
      </c>
      <c r="P1187" s="21">
        <v>27</v>
      </c>
      <c r="Q1187" s="10" t="s">
        <v>54</v>
      </c>
      <c r="R1187" s="10" t="s">
        <v>28</v>
      </c>
      <c r="S1187" s="10"/>
      <c r="T1187" s="10"/>
      <c r="U1187" s="10" t="s">
        <v>2836</v>
      </c>
      <c r="V1187" s="10" t="s">
        <v>2836</v>
      </c>
      <c r="W1187" s="50">
        <f>+J1187/$W$2</f>
        <v>3.235098581542649E-5</v>
      </c>
    </row>
    <row r="1188" spans="1:29">
      <c r="A1188" s="10" t="s">
        <v>597</v>
      </c>
      <c r="B1188" s="10" t="s">
        <v>381</v>
      </c>
      <c r="C1188" s="124">
        <v>46331</v>
      </c>
      <c r="D1188" s="124" t="s">
        <v>492</v>
      </c>
      <c r="E1188" s="21">
        <v>0.96196932999999996</v>
      </c>
      <c r="F1188" s="10"/>
      <c r="G1188" s="14">
        <v>3750000</v>
      </c>
      <c r="H1188" s="14">
        <v>3607384.99</v>
      </c>
      <c r="I1188" s="14">
        <v>3750000</v>
      </c>
      <c r="J1188" s="14">
        <v>3607384.99</v>
      </c>
      <c r="K1188" s="12">
        <v>66918287</v>
      </c>
      <c r="L1188" s="10" t="s">
        <v>101</v>
      </c>
      <c r="M1188" s="10" t="s">
        <v>102</v>
      </c>
      <c r="N1188" s="124" t="s">
        <v>304</v>
      </c>
      <c r="O1188" s="124" t="s">
        <v>304</v>
      </c>
      <c r="P1188" s="21">
        <v>39</v>
      </c>
      <c r="Q1188" s="10" t="s">
        <v>54</v>
      </c>
      <c r="R1188" s="10" t="s">
        <v>28</v>
      </c>
      <c r="S1188" s="10"/>
      <c r="T1188" s="10"/>
      <c r="U1188" s="10" t="s">
        <v>591</v>
      </c>
      <c r="V1188" s="10" t="s">
        <v>591</v>
      </c>
      <c r="W1188" s="50">
        <f>+J1188/$W$2</f>
        <v>4.7958628004610931E-5</v>
      </c>
    </row>
    <row r="1189" spans="1:29">
      <c r="A1189" s="10" t="s">
        <v>607</v>
      </c>
      <c r="B1189" s="10" t="s">
        <v>381</v>
      </c>
      <c r="C1189" s="124">
        <v>46331</v>
      </c>
      <c r="D1189" s="124" t="s">
        <v>492</v>
      </c>
      <c r="E1189" s="21">
        <v>0.96763078000000002</v>
      </c>
      <c r="F1189" s="10"/>
      <c r="G1189" s="14">
        <v>1300000</v>
      </c>
      <c r="H1189" s="14">
        <v>1257920.02</v>
      </c>
      <c r="I1189" s="14">
        <v>1300000</v>
      </c>
      <c r="J1189" s="14">
        <v>1257920.02</v>
      </c>
      <c r="K1189" s="12">
        <v>555</v>
      </c>
      <c r="L1189" s="10" t="s">
        <v>101</v>
      </c>
      <c r="M1189" s="10" t="s">
        <v>102</v>
      </c>
      <c r="N1189" s="124" t="s">
        <v>164</v>
      </c>
      <c r="O1189" s="124" t="s">
        <v>164</v>
      </c>
      <c r="P1189" s="21">
        <v>33</v>
      </c>
      <c r="Q1189" s="10" t="s">
        <v>54</v>
      </c>
      <c r="R1189" s="10" t="s">
        <v>28</v>
      </c>
      <c r="S1189" s="10"/>
      <c r="T1189" s="10"/>
      <c r="U1189" s="10" t="s">
        <v>1959</v>
      </c>
      <c r="V1189" s="10" t="s">
        <v>1959</v>
      </c>
      <c r="W1189" s="50">
        <f>+J1189/$W$2</f>
        <v>1.6723504274139795E-5</v>
      </c>
    </row>
    <row r="1190" spans="1:29">
      <c r="A1190" s="10" t="s">
        <v>402</v>
      </c>
      <c r="B1190" s="10" t="s">
        <v>381</v>
      </c>
      <c r="C1190" s="124">
        <v>46331</v>
      </c>
      <c r="D1190" s="124" t="s">
        <v>492</v>
      </c>
      <c r="E1190" s="21">
        <v>0.96858100000000003</v>
      </c>
      <c r="F1190" s="10"/>
      <c r="G1190" s="14">
        <v>20000000</v>
      </c>
      <c r="H1190" s="14">
        <v>19371619.91</v>
      </c>
      <c r="I1190" s="14">
        <v>20000000</v>
      </c>
      <c r="J1190" s="14">
        <v>19371619.91</v>
      </c>
      <c r="K1190" s="12">
        <v>727</v>
      </c>
      <c r="L1190" s="10" t="s">
        <v>101</v>
      </c>
      <c r="M1190" s="10" t="s">
        <v>102</v>
      </c>
      <c r="N1190" s="124" t="s">
        <v>434</v>
      </c>
      <c r="O1190" s="124" t="s">
        <v>434</v>
      </c>
      <c r="P1190" s="21">
        <v>32</v>
      </c>
      <c r="Q1190" s="10" t="s">
        <v>54</v>
      </c>
      <c r="R1190" s="10" t="s">
        <v>28</v>
      </c>
      <c r="S1190" s="10"/>
      <c r="T1190" s="10"/>
      <c r="U1190" s="10" t="s">
        <v>2938</v>
      </c>
      <c r="V1190" s="10" t="s">
        <v>2938</v>
      </c>
      <c r="W1190" s="50">
        <f>+J1190/$W$2</f>
        <v>2.5753733402056561E-4</v>
      </c>
    </row>
    <row r="1191" spans="1:29">
      <c r="A1191" s="10" t="s">
        <v>465</v>
      </c>
      <c r="B1191" s="10" t="s">
        <v>381</v>
      </c>
      <c r="C1191" s="124">
        <v>46331</v>
      </c>
      <c r="D1191" s="124" t="s">
        <v>492</v>
      </c>
      <c r="E1191" s="21">
        <v>0.96858085999999999</v>
      </c>
      <c r="F1191" s="10"/>
      <c r="G1191" s="14">
        <v>10000000</v>
      </c>
      <c r="H1191" s="14">
        <v>9685808.6300000008</v>
      </c>
      <c r="I1191" s="14">
        <v>10000000</v>
      </c>
      <c r="J1191" s="14">
        <v>9685808.6300000008</v>
      </c>
      <c r="K1191" s="12">
        <v>14422572</v>
      </c>
      <c r="L1191" s="10" t="s">
        <v>101</v>
      </c>
      <c r="M1191" s="10" t="s">
        <v>102</v>
      </c>
      <c r="N1191" s="124" t="s">
        <v>164</v>
      </c>
      <c r="O1191" s="124" t="s">
        <v>164</v>
      </c>
      <c r="P1191" s="21">
        <v>32</v>
      </c>
      <c r="Q1191" s="10" t="s">
        <v>54</v>
      </c>
      <c r="R1191" s="10" t="s">
        <v>28</v>
      </c>
      <c r="S1191" s="10"/>
      <c r="T1191" s="10"/>
      <c r="U1191" s="10" t="s">
        <v>1961</v>
      </c>
      <c r="V1191" s="10" t="s">
        <v>1961</v>
      </c>
      <c r="W1191" s="50">
        <f>+J1191/$W$2</f>
        <v>1.2876864939497911E-4</v>
      </c>
    </row>
    <row r="1192" spans="1:29">
      <c r="A1192" s="10" t="s">
        <v>2915</v>
      </c>
      <c r="B1192" s="10" t="s">
        <v>381</v>
      </c>
      <c r="C1192" s="124">
        <v>46331</v>
      </c>
      <c r="D1192" s="124" t="s">
        <v>492</v>
      </c>
      <c r="E1192" s="21">
        <v>0.97528395000000001</v>
      </c>
      <c r="F1192" s="10"/>
      <c r="G1192" s="14">
        <v>15000000</v>
      </c>
      <c r="H1192" s="14">
        <v>14629259.199999999</v>
      </c>
      <c r="I1192" s="14">
        <v>15000000</v>
      </c>
      <c r="J1192" s="14">
        <v>14629259.199999999</v>
      </c>
      <c r="K1192" s="12">
        <v>69911195</v>
      </c>
      <c r="L1192" s="10" t="s">
        <v>101</v>
      </c>
      <c r="M1192" s="10" t="s">
        <v>102</v>
      </c>
      <c r="N1192" s="124" t="s">
        <v>472</v>
      </c>
      <c r="O1192" s="124" t="s">
        <v>472</v>
      </c>
      <c r="P1192" s="21">
        <v>25</v>
      </c>
      <c r="Q1192" s="10" t="s">
        <v>54</v>
      </c>
      <c r="R1192" s="10" t="s">
        <v>28</v>
      </c>
      <c r="S1192" s="10"/>
      <c r="T1192" s="10"/>
      <c r="U1192" s="10" t="s">
        <v>3183</v>
      </c>
      <c r="V1192" s="10" t="s">
        <v>3183</v>
      </c>
      <c r="W1192" s="50">
        <f>+J1192/$W$2</f>
        <v>1.9448969319901506E-4</v>
      </c>
    </row>
    <row r="1193" spans="1:29">
      <c r="A1193" s="10" t="s">
        <v>675</v>
      </c>
      <c r="B1193" s="10" t="s">
        <v>381</v>
      </c>
      <c r="C1193" s="124">
        <v>46331</v>
      </c>
      <c r="D1193" s="124" t="s">
        <v>492</v>
      </c>
      <c r="E1193" s="21">
        <v>0.96668255999999997</v>
      </c>
      <c r="F1193" s="10"/>
      <c r="G1193" s="14">
        <v>200000000</v>
      </c>
      <c r="H1193" s="14">
        <v>193336511.46000001</v>
      </c>
      <c r="I1193" s="14">
        <v>200000000</v>
      </c>
      <c r="J1193" s="14">
        <v>193336511.46000001</v>
      </c>
      <c r="K1193" s="12">
        <v>90004087</v>
      </c>
      <c r="L1193" s="10" t="s">
        <v>101</v>
      </c>
      <c r="M1193" s="10" t="s">
        <v>102</v>
      </c>
      <c r="N1193" s="124" t="s">
        <v>425</v>
      </c>
      <c r="O1193" s="124" t="s">
        <v>425</v>
      </c>
      <c r="P1193" s="21">
        <v>34</v>
      </c>
      <c r="Q1193" s="10" t="s">
        <v>54</v>
      </c>
      <c r="R1193" s="10" t="s">
        <v>28</v>
      </c>
      <c r="S1193" s="10"/>
      <c r="T1193" s="10"/>
      <c r="U1193" s="10" t="s">
        <v>1714</v>
      </c>
      <c r="V1193" s="10" t="s">
        <v>1714</v>
      </c>
      <c r="W1193" s="50">
        <f>+J1193/$W$2</f>
        <v>2.570325556746118E-3</v>
      </c>
    </row>
    <row r="1194" spans="1:29">
      <c r="A1194" s="10" t="s">
        <v>427</v>
      </c>
      <c r="B1194" s="10" t="s">
        <v>381</v>
      </c>
      <c r="C1194" s="124">
        <v>46331</v>
      </c>
      <c r="D1194" s="124" t="s">
        <v>492</v>
      </c>
      <c r="E1194" s="21">
        <v>0.97335934000000002</v>
      </c>
      <c r="F1194" s="10"/>
      <c r="G1194" s="14">
        <v>1000000</v>
      </c>
      <c r="H1194" s="14">
        <v>973359.34</v>
      </c>
      <c r="I1194" s="14">
        <v>1000000</v>
      </c>
      <c r="J1194" s="14">
        <v>973359.34</v>
      </c>
      <c r="K1194" s="12">
        <v>11485</v>
      </c>
      <c r="L1194" s="10" t="s">
        <v>101</v>
      </c>
      <c r="M1194" s="10" t="s">
        <v>102</v>
      </c>
      <c r="N1194" s="124" t="s">
        <v>472</v>
      </c>
      <c r="O1194" s="124" t="s">
        <v>472</v>
      </c>
      <c r="P1194" s="21">
        <v>27</v>
      </c>
      <c r="Q1194" s="10" t="s">
        <v>54</v>
      </c>
      <c r="R1194" s="10" t="s">
        <v>28</v>
      </c>
      <c r="S1194" s="10"/>
      <c r="T1194" s="10"/>
      <c r="U1194" s="10" t="s">
        <v>3166</v>
      </c>
      <c r="V1194" s="10" t="s">
        <v>3166</v>
      </c>
      <c r="W1194" s="50">
        <f>+J1194/$W$2</f>
        <v>1.2940392730822338E-5</v>
      </c>
    </row>
    <row r="1195" spans="1:29">
      <c r="A1195" s="10" t="s">
        <v>427</v>
      </c>
      <c r="B1195" s="10" t="s">
        <v>381</v>
      </c>
      <c r="C1195" s="124">
        <v>46331</v>
      </c>
      <c r="D1195" s="124" t="s">
        <v>492</v>
      </c>
      <c r="E1195" s="21">
        <v>0.97240000000000004</v>
      </c>
      <c r="F1195" s="10"/>
      <c r="G1195" s="14">
        <v>1500000</v>
      </c>
      <c r="H1195" s="14">
        <v>1458600</v>
      </c>
      <c r="I1195" s="14">
        <v>1500000</v>
      </c>
      <c r="J1195" s="14">
        <v>1458600</v>
      </c>
      <c r="K1195" s="12">
        <v>14315893</v>
      </c>
      <c r="L1195" s="10" t="s">
        <v>101</v>
      </c>
      <c r="M1195" s="10" t="s">
        <v>102</v>
      </c>
      <c r="N1195" s="124" t="s">
        <v>486</v>
      </c>
      <c r="O1195" s="124" t="s">
        <v>486</v>
      </c>
      <c r="P1195" s="21">
        <v>28</v>
      </c>
      <c r="Q1195" s="10" t="s">
        <v>54</v>
      </c>
      <c r="R1195" s="10" t="s">
        <v>28</v>
      </c>
      <c r="S1195" s="10"/>
      <c r="T1195" s="10"/>
      <c r="U1195" s="10" t="s">
        <v>2777</v>
      </c>
      <c r="V1195" s="10" t="s">
        <v>2777</v>
      </c>
      <c r="W1195" s="50">
        <f>+J1195/$W$2</f>
        <v>1.9391458078757903E-5</v>
      </c>
    </row>
    <row r="1196" spans="1:29">
      <c r="A1196" s="10" t="s">
        <v>427</v>
      </c>
      <c r="B1196" s="10" t="s">
        <v>381</v>
      </c>
      <c r="C1196" s="124">
        <v>46331</v>
      </c>
      <c r="D1196" s="124" t="s">
        <v>492</v>
      </c>
      <c r="E1196" s="21">
        <v>0.97432079000000005</v>
      </c>
      <c r="F1196" s="10"/>
      <c r="G1196" s="14">
        <v>10000000</v>
      </c>
      <c r="H1196" s="14">
        <v>9743207.8599999994</v>
      </c>
      <c r="I1196" s="14">
        <v>10000000</v>
      </c>
      <c r="J1196" s="14">
        <v>9743207.8599999994</v>
      </c>
      <c r="K1196" s="12">
        <v>22806</v>
      </c>
      <c r="L1196" s="10" t="s">
        <v>101</v>
      </c>
      <c r="M1196" s="10" t="s">
        <v>102</v>
      </c>
      <c r="N1196" s="124" t="s">
        <v>678</v>
      </c>
      <c r="O1196" s="124" t="s">
        <v>678</v>
      </c>
      <c r="P1196" s="21">
        <v>26</v>
      </c>
      <c r="Q1196" s="10" t="s">
        <v>54</v>
      </c>
      <c r="R1196" s="10" t="s">
        <v>28</v>
      </c>
      <c r="S1196" s="10"/>
      <c r="T1196" s="10"/>
      <c r="U1196" s="10" t="s">
        <v>3470</v>
      </c>
      <c r="V1196" s="10" t="s">
        <v>3470</v>
      </c>
      <c r="W1196" s="50">
        <f>+J1196/$W$2</f>
        <v>1.295317474083467E-4</v>
      </c>
    </row>
    <row r="1197" spans="1:29">
      <c r="A1197" s="10" t="s">
        <v>382</v>
      </c>
      <c r="B1197" s="10" t="s">
        <v>381</v>
      </c>
      <c r="C1197" s="124">
        <v>46331</v>
      </c>
      <c r="D1197" s="124" t="s">
        <v>492</v>
      </c>
      <c r="E1197" s="21">
        <v>0.96763083999999999</v>
      </c>
      <c r="F1197" s="10"/>
      <c r="G1197" s="14">
        <v>2500000</v>
      </c>
      <c r="H1197" s="14">
        <v>2419077.11</v>
      </c>
      <c r="I1197" s="14">
        <v>2500000</v>
      </c>
      <c r="J1197" s="14">
        <v>2419077.11</v>
      </c>
      <c r="K1197" s="12">
        <v>1011</v>
      </c>
      <c r="L1197" s="10" t="s">
        <v>101</v>
      </c>
      <c r="M1197" s="10" t="s">
        <v>102</v>
      </c>
      <c r="N1197" s="124" t="s">
        <v>163</v>
      </c>
      <c r="O1197" s="124" t="s">
        <v>163</v>
      </c>
      <c r="P1197" s="21">
        <v>33</v>
      </c>
      <c r="Q1197" s="10" t="s">
        <v>54</v>
      </c>
      <c r="R1197" s="10" t="s">
        <v>28</v>
      </c>
      <c r="S1197" s="10"/>
      <c r="T1197" s="10"/>
      <c r="U1197" s="10" t="s">
        <v>1655</v>
      </c>
      <c r="V1197" s="10" t="s">
        <v>1655</v>
      </c>
      <c r="W1197" s="50">
        <f>+J1197/$W$2</f>
        <v>3.2160587116308665E-5</v>
      </c>
    </row>
    <row r="1198" spans="1:29">
      <c r="A1198" s="10" t="s">
        <v>382</v>
      </c>
      <c r="B1198" s="10" t="s">
        <v>381</v>
      </c>
      <c r="C1198" s="124">
        <v>46331</v>
      </c>
      <c r="D1198" s="124" t="s">
        <v>492</v>
      </c>
      <c r="E1198" s="21">
        <v>0.97048681999999997</v>
      </c>
      <c r="F1198" s="10"/>
      <c r="G1198" s="14">
        <v>5000000</v>
      </c>
      <c r="H1198" s="14">
        <v>4852434.08</v>
      </c>
      <c r="I1198" s="14">
        <v>5000000</v>
      </c>
      <c r="J1198" s="14">
        <v>4852434.08</v>
      </c>
      <c r="K1198" s="12">
        <v>1308</v>
      </c>
      <c r="L1198" s="10" t="s">
        <v>101</v>
      </c>
      <c r="M1198" s="10" t="s">
        <v>102</v>
      </c>
      <c r="N1198" s="124" t="s">
        <v>492</v>
      </c>
      <c r="O1198" s="124" t="s">
        <v>492</v>
      </c>
      <c r="P1198" s="21">
        <v>30</v>
      </c>
      <c r="Q1198" s="10" t="s">
        <v>54</v>
      </c>
      <c r="R1198" s="10" t="s">
        <v>28</v>
      </c>
      <c r="S1198" s="10"/>
      <c r="T1198" s="10"/>
      <c r="U1198" s="10" t="s">
        <v>3532</v>
      </c>
      <c r="V1198" s="10" t="s">
        <v>3532</v>
      </c>
      <c r="W1198" s="50">
        <f>+J1198/$W$2</f>
        <v>6.45110188141068E-5</v>
      </c>
      <c r="AC1198" s="47"/>
    </row>
    <row r="1199" spans="1:29">
      <c r="A1199" s="10" t="s">
        <v>477</v>
      </c>
      <c r="B1199" s="10" t="s">
        <v>381</v>
      </c>
      <c r="C1199" s="124">
        <v>46335</v>
      </c>
      <c r="D1199" s="124" t="s">
        <v>492</v>
      </c>
      <c r="E1199" s="21">
        <v>0.96950711000000001</v>
      </c>
      <c r="F1199" s="10"/>
      <c r="G1199" s="14">
        <v>7000000</v>
      </c>
      <c r="H1199" s="14">
        <v>6786549.7699999996</v>
      </c>
      <c r="I1199" s="14">
        <v>7000000</v>
      </c>
      <c r="J1199" s="14">
        <v>6786549.7699999996</v>
      </c>
      <c r="K1199" s="12">
        <v>6489</v>
      </c>
      <c r="L1199" s="10" t="s">
        <v>101</v>
      </c>
      <c r="M1199" s="10" t="s">
        <v>102</v>
      </c>
      <c r="N1199" s="124" t="s">
        <v>422</v>
      </c>
      <c r="O1199" s="124" t="s">
        <v>422</v>
      </c>
      <c r="P1199" s="21">
        <v>28</v>
      </c>
      <c r="Q1199" s="10" t="s">
        <v>54</v>
      </c>
      <c r="R1199" s="10" t="s">
        <v>28</v>
      </c>
      <c r="S1199" s="10"/>
      <c r="T1199" s="10"/>
      <c r="U1199" s="10" t="s">
        <v>2720</v>
      </c>
      <c r="V1199" s="10" t="s">
        <v>2720</v>
      </c>
      <c r="W1199" s="50">
        <f>+J1199/$W$2</f>
        <v>9.0224252957876795E-5</v>
      </c>
      <c r="AC1199" s="47"/>
    </row>
    <row r="1200" spans="1:29">
      <c r="A1200" s="10" t="s">
        <v>382</v>
      </c>
      <c r="B1200" s="10" t="s">
        <v>381</v>
      </c>
      <c r="C1200" s="124">
        <v>46335</v>
      </c>
      <c r="D1200" s="124" t="s">
        <v>492</v>
      </c>
      <c r="E1200" s="21">
        <v>0.96740000000000004</v>
      </c>
      <c r="F1200" s="10"/>
      <c r="G1200" s="14">
        <v>5000000</v>
      </c>
      <c r="H1200" s="14">
        <v>4837000</v>
      </c>
      <c r="I1200" s="14">
        <v>5000000</v>
      </c>
      <c r="J1200" s="14">
        <v>4837000</v>
      </c>
      <c r="K1200" s="12">
        <v>1207</v>
      </c>
      <c r="L1200" s="10" t="s">
        <v>101</v>
      </c>
      <c r="M1200" s="10" t="s">
        <v>102</v>
      </c>
      <c r="N1200" s="124" t="s">
        <v>536</v>
      </c>
      <c r="O1200" s="124" t="s">
        <v>536</v>
      </c>
      <c r="P1200" s="21">
        <v>30</v>
      </c>
      <c r="Q1200" s="10" t="s">
        <v>54</v>
      </c>
      <c r="R1200" s="10" t="s">
        <v>28</v>
      </c>
      <c r="S1200" s="10"/>
      <c r="T1200" s="10"/>
      <c r="U1200" s="10" t="s">
        <v>2296</v>
      </c>
      <c r="V1200" s="10" t="s">
        <v>2296</v>
      </c>
      <c r="W1200" s="50">
        <f>+J1200/$W$2</f>
        <v>6.4305829375395579E-5</v>
      </c>
    </row>
    <row r="1201" spans="1:23">
      <c r="A1201" s="10" t="s">
        <v>382</v>
      </c>
      <c r="B1201" s="10" t="s">
        <v>381</v>
      </c>
      <c r="C1201" s="124">
        <v>46335</v>
      </c>
      <c r="D1201" s="124" t="s">
        <v>492</v>
      </c>
      <c r="E1201" s="21">
        <v>0.96740015000000001</v>
      </c>
      <c r="F1201" s="10"/>
      <c r="G1201" s="14">
        <v>4500000</v>
      </c>
      <c r="H1201" s="14">
        <v>4353300.68</v>
      </c>
      <c r="I1201" s="14">
        <v>4500000</v>
      </c>
      <c r="J1201" s="14">
        <v>4353300.68</v>
      </c>
      <c r="K1201" s="12">
        <v>1289</v>
      </c>
      <c r="L1201" s="10" t="s">
        <v>101</v>
      </c>
      <c r="M1201" s="10" t="s">
        <v>102</v>
      </c>
      <c r="N1201" s="124" t="s">
        <v>532</v>
      </c>
      <c r="O1201" s="124" t="s">
        <v>532</v>
      </c>
      <c r="P1201" s="21">
        <v>30</v>
      </c>
      <c r="Q1201" s="10" t="s">
        <v>54</v>
      </c>
      <c r="R1201" s="10" t="s">
        <v>28</v>
      </c>
      <c r="S1201" s="10"/>
      <c r="T1201" s="10"/>
      <c r="U1201" s="10" t="s">
        <v>3085</v>
      </c>
      <c r="V1201" s="10" t="s">
        <v>3085</v>
      </c>
      <c r="W1201" s="50">
        <f>+J1201/$W$2</f>
        <v>5.7875255478162813E-5</v>
      </c>
    </row>
    <row r="1202" spans="1:23">
      <c r="A1202" s="10" t="s">
        <v>382</v>
      </c>
      <c r="B1202" s="10" t="s">
        <v>381</v>
      </c>
      <c r="C1202" s="124">
        <v>46335</v>
      </c>
      <c r="D1202" s="124" t="s">
        <v>492</v>
      </c>
      <c r="E1202" s="21">
        <v>0.96530205000000002</v>
      </c>
      <c r="F1202" s="10"/>
      <c r="G1202" s="14">
        <v>3000000</v>
      </c>
      <c r="H1202" s="14">
        <v>2895906.15</v>
      </c>
      <c r="I1202" s="14">
        <v>3000000</v>
      </c>
      <c r="J1202" s="14">
        <v>2895906.15</v>
      </c>
      <c r="K1202" s="12">
        <v>1050</v>
      </c>
      <c r="L1202" s="10" t="s">
        <v>101</v>
      </c>
      <c r="M1202" s="10" t="s">
        <v>102</v>
      </c>
      <c r="N1202" s="124" t="s">
        <v>398</v>
      </c>
      <c r="O1202" s="124" t="s">
        <v>398</v>
      </c>
      <c r="P1202" s="21">
        <v>32</v>
      </c>
      <c r="Q1202" s="10" t="s">
        <v>54</v>
      </c>
      <c r="R1202" s="10" t="s">
        <v>28</v>
      </c>
      <c r="S1202" s="10"/>
      <c r="T1202" s="10"/>
      <c r="U1202" s="10" t="s">
        <v>1734</v>
      </c>
      <c r="V1202" s="10" t="s">
        <v>1734</v>
      </c>
      <c r="W1202" s="50">
        <f>+J1202/$W$2</f>
        <v>3.849982360327862E-5</v>
      </c>
    </row>
    <row r="1203" spans="1:23">
      <c r="A1203" s="10" t="s">
        <v>334</v>
      </c>
      <c r="B1203" s="10" t="s">
        <v>381</v>
      </c>
      <c r="C1203" s="124">
        <v>46335</v>
      </c>
      <c r="D1203" s="124" t="s">
        <v>492</v>
      </c>
      <c r="E1203" s="21">
        <v>0.96530212000000004</v>
      </c>
      <c r="F1203" s="10"/>
      <c r="G1203" s="14">
        <v>40000000</v>
      </c>
      <c r="H1203" s="14">
        <v>38612084.670000002</v>
      </c>
      <c r="I1203" s="14">
        <v>40000000</v>
      </c>
      <c r="J1203" s="14">
        <v>38612084.670000002</v>
      </c>
      <c r="K1203" s="12">
        <v>13953437</v>
      </c>
      <c r="L1203" s="10" t="s">
        <v>101</v>
      </c>
      <c r="M1203" s="10" t="s">
        <v>102</v>
      </c>
      <c r="N1203" s="124" t="s">
        <v>365</v>
      </c>
      <c r="O1203" s="124" t="s">
        <v>365</v>
      </c>
      <c r="P1203" s="21">
        <v>32</v>
      </c>
      <c r="Q1203" s="10" t="s">
        <v>54</v>
      </c>
      <c r="R1203" s="10" t="s">
        <v>28</v>
      </c>
      <c r="S1203" s="10"/>
      <c r="T1203" s="10"/>
      <c r="U1203" s="10" t="s">
        <v>1069</v>
      </c>
      <c r="V1203" s="10" t="s">
        <v>1069</v>
      </c>
      <c r="W1203" s="50">
        <f>+J1203/$W$2</f>
        <v>5.1333101687354706E-4</v>
      </c>
    </row>
    <row r="1204" spans="1:23">
      <c r="A1204" s="10" t="s">
        <v>353</v>
      </c>
      <c r="B1204" s="10" t="s">
        <v>381</v>
      </c>
      <c r="C1204" s="124">
        <v>46335</v>
      </c>
      <c r="D1204" s="124" t="s">
        <v>492</v>
      </c>
      <c r="E1204" s="21">
        <v>0.96113342999999996</v>
      </c>
      <c r="F1204" s="10"/>
      <c r="G1204" s="14">
        <v>2510000.36</v>
      </c>
      <c r="H1204" s="14">
        <v>2412445.2599999998</v>
      </c>
      <c r="I1204" s="14">
        <v>2510000.36</v>
      </c>
      <c r="J1204" s="14">
        <v>2412445.2599999998</v>
      </c>
      <c r="K1204" s="12">
        <v>3159</v>
      </c>
      <c r="L1204" s="10" t="s">
        <v>101</v>
      </c>
      <c r="M1204" s="10" t="s">
        <v>102</v>
      </c>
      <c r="N1204" s="124" t="s">
        <v>163</v>
      </c>
      <c r="O1204" s="124" t="s">
        <v>163</v>
      </c>
      <c r="P1204" s="21">
        <v>36</v>
      </c>
      <c r="Q1204" s="10" t="s">
        <v>54</v>
      </c>
      <c r="R1204" s="10" t="s">
        <v>28</v>
      </c>
      <c r="S1204" s="10"/>
      <c r="T1204" s="10"/>
      <c r="U1204" s="10" t="s">
        <v>1632</v>
      </c>
      <c r="V1204" s="10" t="s">
        <v>1632</v>
      </c>
      <c r="W1204" s="50">
        <f>+J1204/$W$2</f>
        <v>3.2072419530089271E-5</v>
      </c>
    </row>
    <row r="1205" spans="1:23">
      <c r="A1205" s="10" t="s">
        <v>353</v>
      </c>
      <c r="B1205" s="10" t="s">
        <v>381</v>
      </c>
      <c r="C1205" s="124">
        <v>46335</v>
      </c>
      <c r="D1205" s="124" t="s">
        <v>492</v>
      </c>
      <c r="E1205" s="21">
        <v>0.96113335</v>
      </c>
      <c r="F1205" s="10"/>
      <c r="G1205" s="14">
        <v>3625698.78</v>
      </c>
      <c r="H1205" s="14">
        <v>3484780</v>
      </c>
      <c r="I1205" s="14">
        <v>3625698.78</v>
      </c>
      <c r="J1205" s="14">
        <v>3484780</v>
      </c>
      <c r="K1205" s="12">
        <v>3351</v>
      </c>
      <c r="L1205" s="10" t="s">
        <v>101</v>
      </c>
      <c r="M1205" s="10" t="s">
        <v>102</v>
      </c>
      <c r="N1205" s="124" t="s">
        <v>348</v>
      </c>
      <c r="O1205" s="124" t="s">
        <v>348</v>
      </c>
      <c r="P1205" s="21">
        <v>36</v>
      </c>
      <c r="Q1205" s="10" t="s">
        <v>54</v>
      </c>
      <c r="R1205" s="10" t="s">
        <v>28</v>
      </c>
      <c r="S1205" s="10"/>
      <c r="T1205" s="10"/>
      <c r="U1205" s="10" t="s">
        <v>1904</v>
      </c>
      <c r="V1205" s="10" t="s">
        <v>1904</v>
      </c>
      <c r="W1205" s="50">
        <f>+J1205/$W$2</f>
        <v>4.6328647527556539E-5</v>
      </c>
    </row>
    <row r="1206" spans="1:23">
      <c r="A1206" s="10" t="s">
        <v>353</v>
      </c>
      <c r="B1206" s="10" t="s">
        <v>381</v>
      </c>
      <c r="C1206" s="124">
        <v>46335</v>
      </c>
      <c r="D1206" s="124" t="s">
        <v>492</v>
      </c>
      <c r="E1206" s="21">
        <v>0.96217226</v>
      </c>
      <c r="F1206" s="10"/>
      <c r="G1206" s="14">
        <v>1555000.5</v>
      </c>
      <c r="H1206" s="14">
        <v>1496178.34</v>
      </c>
      <c r="I1206" s="14">
        <v>1555000.5</v>
      </c>
      <c r="J1206" s="14">
        <v>1496178.34</v>
      </c>
      <c r="K1206" s="12">
        <v>3579</v>
      </c>
      <c r="L1206" s="10" t="s">
        <v>101</v>
      </c>
      <c r="M1206" s="10" t="s">
        <v>102</v>
      </c>
      <c r="N1206" s="124" t="s">
        <v>422</v>
      </c>
      <c r="O1206" s="124" t="s">
        <v>422</v>
      </c>
      <c r="P1206" s="21">
        <v>35</v>
      </c>
      <c r="Q1206" s="10" t="s">
        <v>54</v>
      </c>
      <c r="R1206" s="10" t="s">
        <v>28</v>
      </c>
      <c r="S1206" s="10"/>
      <c r="T1206" s="10"/>
      <c r="U1206" s="10" t="s">
        <v>2745</v>
      </c>
      <c r="V1206" s="10" t="s">
        <v>2745</v>
      </c>
      <c r="W1206" s="50">
        <f>+J1206/$W$2</f>
        <v>1.9891045905975313E-5</v>
      </c>
    </row>
    <row r="1207" spans="1:23">
      <c r="A1207" s="10" t="s">
        <v>353</v>
      </c>
      <c r="B1207" s="10" t="s">
        <v>381</v>
      </c>
      <c r="C1207" s="124">
        <v>46335</v>
      </c>
      <c r="D1207" s="124" t="s">
        <v>492</v>
      </c>
      <c r="E1207" s="21">
        <v>0.96217224999999995</v>
      </c>
      <c r="F1207" s="10"/>
      <c r="G1207" s="14">
        <v>1250300.6499999999</v>
      </c>
      <c r="H1207" s="14">
        <v>1203004.5900000001</v>
      </c>
      <c r="I1207" s="14">
        <v>1250300.6499999999</v>
      </c>
      <c r="J1207" s="14">
        <v>1203004.5900000001</v>
      </c>
      <c r="K1207" s="12">
        <v>3580</v>
      </c>
      <c r="L1207" s="10" t="s">
        <v>101</v>
      </c>
      <c r="M1207" s="10" t="s">
        <v>102</v>
      </c>
      <c r="N1207" s="124" t="s">
        <v>422</v>
      </c>
      <c r="O1207" s="124" t="s">
        <v>422</v>
      </c>
      <c r="P1207" s="21">
        <v>35</v>
      </c>
      <c r="Q1207" s="10" t="s">
        <v>54</v>
      </c>
      <c r="R1207" s="10" t="s">
        <v>28</v>
      </c>
      <c r="S1207" s="10"/>
      <c r="T1207" s="10"/>
      <c r="U1207" s="10" t="s">
        <v>2748</v>
      </c>
      <c r="V1207" s="10" t="s">
        <v>2748</v>
      </c>
      <c r="W1207" s="50">
        <f>+J1207/$W$2</f>
        <v>1.5993427310803746E-5</v>
      </c>
    </row>
    <row r="1208" spans="1:23">
      <c r="A1208" s="10" t="s">
        <v>849</v>
      </c>
      <c r="B1208" s="10" t="s">
        <v>381</v>
      </c>
      <c r="C1208" s="124">
        <v>46335</v>
      </c>
      <c r="D1208" s="124" t="s">
        <v>492</v>
      </c>
      <c r="E1208" s="21">
        <v>0.96009683999999995</v>
      </c>
      <c r="F1208" s="10"/>
      <c r="G1208" s="14">
        <v>20000000</v>
      </c>
      <c r="H1208" s="14">
        <v>19201936.699999999</v>
      </c>
      <c r="I1208" s="14">
        <v>20000000</v>
      </c>
      <c r="J1208" s="14">
        <v>19201936.699999999</v>
      </c>
      <c r="K1208" s="12">
        <v>2595</v>
      </c>
      <c r="L1208" s="10" t="s">
        <v>101</v>
      </c>
      <c r="M1208" s="10" t="s">
        <v>102</v>
      </c>
      <c r="N1208" s="124" t="s">
        <v>349</v>
      </c>
      <c r="O1208" s="124" t="s">
        <v>349</v>
      </c>
      <c r="P1208" s="21">
        <v>37</v>
      </c>
      <c r="Q1208" s="10" t="s">
        <v>54</v>
      </c>
      <c r="R1208" s="10" t="s">
        <v>28</v>
      </c>
      <c r="S1208" s="10"/>
      <c r="T1208" s="10"/>
      <c r="U1208" s="10" t="s">
        <v>1348</v>
      </c>
      <c r="V1208" s="10" t="s">
        <v>1348</v>
      </c>
      <c r="W1208" s="50">
        <f>+J1208/$W$2</f>
        <v>2.5528146890786571E-4</v>
      </c>
    </row>
    <row r="1209" spans="1:23">
      <c r="A1209" s="10" t="s">
        <v>2244</v>
      </c>
      <c r="B1209" s="10" t="s">
        <v>381</v>
      </c>
      <c r="C1209" s="124">
        <v>46335</v>
      </c>
      <c r="D1209" s="124" t="s">
        <v>492</v>
      </c>
      <c r="E1209" s="21">
        <v>0.96634998999999999</v>
      </c>
      <c r="F1209" s="10"/>
      <c r="G1209" s="14">
        <v>1756706.4</v>
      </c>
      <c r="H1209" s="14">
        <v>1697593.21</v>
      </c>
      <c r="I1209" s="14">
        <v>1756706.4</v>
      </c>
      <c r="J1209" s="14">
        <v>1697593.21</v>
      </c>
      <c r="K1209" s="12">
        <v>501</v>
      </c>
      <c r="L1209" s="10" t="s">
        <v>101</v>
      </c>
      <c r="M1209" s="10" t="s">
        <v>102</v>
      </c>
      <c r="N1209" s="124" t="s">
        <v>551</v>
      </c>
      <c r="O1209" s="124" t="s">
        <v>551</v>
      </c>
      <c r="P1209" s="21">
        <v>31</v>
      </c>
      <c r="Q1209" s="10" t="s">
        <v>54</v>
      </c>
      <c r="R1209" s="10" t="s">
        <v>28</v>
      </c>
      <c r="S1209" s="10"/>
      <c r="T1209" s="10"/>
      <c r="U1209" s="10" t="s">
        <v>2200</v>
      </c>
      <c r="V1209" s="10" t="s">
        <v>2200</v>
      </c>
      <c r="W1209" s="50">
        <f>+J1209/$W$2</f>
        <v>2.2568769756272498E-5</v>
      </c>
    </row>
    <row r="1210" spans="1:23">
      <c r="A1210" s="10" t="s">
        <v>2600</v>
      </c>
      <c r="B1210" s="10" t="s">
        <v>381</v>
      </c>
      <c r="C1210" s="124">
        <v>46335</v>
      </c>
      <c r="D1210" s="124" t="s">
        <v>492</v>
      </c>
      <c r="E1210" s="21">
        <v>0.96425667999999998</v>
      </c>
      <c r="F1210" s="10"/>
      <c r="G1210" s="14">
        <v>5300000</v>
      </c>
      <c r="H1210" s="14">
        <v>5110560.3899999997</v>
      </c>
      <c r="I1210" s="14">
        <v>5300000</v>
      </c>
      <c r="J1210" s="14">
        <v>5110560.3899999997</v>
      </c>
      <c r="K1210" s="12">
        <v>8175675</v>
      </c>
      <c r="L1210" s="10" t="s">
        <v>101</v>
      </c>
      <c r="M1210" s="10" t="s">
        <v>102</v>
      </c>
      <c r="N1210" s="124" t="s">
        <v>423</v>
      </c>
      <c r="O1210" s="124" t="s">
        <v>423</v>
      </c>
      <c r="P1210" s="21">
        <v>33</v>
      </c>
      <c r="Q1210" s="10" t="s">
        <v>54</v>
      </c>
      <c r="R1210" s="10" t="s">
        <v>28</v>
      </c>
      <c r="S1210" s="10"/>
      <c r="T1210" s="10"/>
      <c r="U1210" s="10" t="s">
        <v>2486</v>
      </c>
      <c r="V1210" s="10" t="s">
        <v>2486</v>
      </c>
      <c r="W1210" s="50">
        <f>+J1210/$W$2</f>
        <v>6.7942696806283864E-5</v>
      </c>
    </row>
    <row r="1211" spans="1:23">
      <c r="A1211" s="10" t="s">
        <v>1102</v>
      </c>
      <c r="B1211" s="10" t="s">
        <v>381</v>
      </c>
      <c r="C1211" s="124">
        <v>46335</v>
      </c>
      <c r="D1211" s="124" t="s">
        <v>492</v>
      </c>
      <c r="E1211" s="21">
        <v>0.96113342000000002</v>
      </c>
      <c r="F1211" s="10"/>
      <c r="G1211" s="14">
        <v>3140560.45</v>
      </c>
      <c r="H1211" s="14">
        <v>3018497.61</v>
      </c>
      <c r="I1211" s="14">
        <v>3140560.45</v>
      </c>
      <c r="J1211" s="14">
        <v>3018497.61</v>
      </c>
      <c r="K1211" s="12">
        <v>1115</v>
      </c>
      <c r="L1211" s="10" t="s">
        <v>101</v>
      </c>
      <c r="M1211" s="10" t="s">
        <v>102</v>
      </c>
      <c r="N1211" s="124" t="s">
        <v>390</v>
      </c>
      <c r="O1211" s="124" t="s">
        <v>390</v>
      </c>
      <c r="P1211" s="21">
        <v>36</v>
      </c>
      <c r="Q1211" s="10" t="s">
        <v>54</v>
      </c>
      <c r="R1211" s="10" t="s">
        <v>28</v>
      </c>
      <c r="S1211" s="10"/>
      <c r="T1211" s="10"/>
      <c r="U1211" s="10" t="s">
        <v>2038</v>
      </c>
      <c r="V1211" s="10" t="s">
        <v>2038</v>
      </c>
      <c r="W1211" s="50">
        <f>+J1211/$W$2</f>
        <v>4.0129624204816898E-5</v>
      </c>
    </row>
    <row r="1212" spans="1:23">
      <c r="A1212" s="10" t="s">
        <v>1102</v>
      </c>
      <c r="B1212" s="10" t="s">
        <v>381</v>
      </c>
      <c r="C1212" s="124">
        <v>46335</v>
      </c>
      <c r="D1212" s="124" t="s">
        <v>492</v>
      </c>
      <c r="E1212" s="21">
        <v>0.96113358999999998</v>
      </c>
      <c r="F1212" s="10"/>
      <c r="G1212" s="14">
        <v>1555000.5</v>
      </c>
      <c r="H1212" s="14">
        <v>1494563.22</v>
      </c>
      <c r="I1212" s="14">
        <v>1555000.5</v>
      </c>
      <c r="J1212" s="14">
        <v>1494563.22</v>
      </c>
      <c r="K1212" s="12">
        <v>1283</v>
      </c>
      <c r="L1212" s="10" t="s">
        <v>101</v>
      </c>
      <c r="M1212" s="10" t="s">
        <v>102</v>
      </c>
      <c r="N1212" s="124" t="s">
        <v>532</v>
      </c>
      <c r="O1212" s="124" t="s">
        <v>532</v>
      </c>
      <c r="P1212" s="21">
        <v>36</v>
      </c>
      <c r="Q1212" s="10" t="s">
        <v>54</v>
      </c>
      <c r="R1212" s="10" t="s">
        <v>28</v>
      </c>
      <c r="S1212" s="10"/>
      <c r="T1212" s="10"/>
      <c r="U1212" s="10" t="s">
        <v>3093</v>
      </c>
      <c r="V1212" s="10" t="s">
        <v>3093</v>
      </c>
      <c r="W1212" s="50">
        <f>+J1212/$W$2</f>
        <v>1.9869573581985072E-5</v>
      </c>
    </row>
    <row r="1213" spans="1:23">
      <c r="A1213" s="10" t="s">
        <v>1102</v>
      </c>
      <c r="B1213" s="10" t="s">
        <v>381</v>
      </c>
      <c r="C1213" s="124">
        <v>46335</v>
      </c>
      <c r="D1213" s="124" t="s">
        <v>492</v>
      </c>
      <c r="E1213" s="21">
        <v>0.96113358000000004</v>
      </c>
      <c r="F1213" s="10"/>
      <c r="G1213" s="14">
        <v>1250300.6499999999</v>
      </c>
      <c r="H1213" s="14">
        <v>1201705.94</v>
      </c>
      <c r="I1213" s="14">
        <v>1250300.6499999999</v>
      </c>
      <c r="J1213" s="14">
        <v>1201705.94</v>
      </c>
      <c r="K1213" s="12">
        <v>1282</v>
      </c>
      <c r="L1213" s="10" t="s">
        <v>101</v>
      </c>
      <c r="M1213" s="10" t="s">
        <v>102</v>
      </c>
      <c r="N1213" s="124" t="s">
        <v>532</v>
      </c>
      <c r="O1213" s="124" t="s">
        <v>532</v>
      </c>
      <c r="P1213" s="21">
        <v>36</v>
      </c>
      <c r="Q1213" s="10" t="s">
        <v>54</v>
      </c>
      <c r="R1213" s="10" t="s">
        <v>28</v>
      </c>
      <c r="S1213" s="10"/>
      <c r="T1213" s="10"/>
      <c r="U1213" s="10" t="s">
        <v>3097</v>
      </c>
      <c r="V1213" s="10" t="s">
        <v>3097</v>
      </c>
      <c r="W1213" s="50">
        <f>+J1213/$W$2</f>
        <v>1.5976162319007516E-5</v>
      </c>
    </row>
    <row r="1214" spans="1:23">
      <c r="A1214" s="10" t="s">
        <v>353</v>
      </c>
      <c r="B1214" s="10" t="s">
        <v>381</v>
      </c>
      <c r="C1214" s="124">
        <v>46335</v>
      </c>
      <c r="D1214" s="124" t="s">
        <v>492</v>
      </c>
      <c r="E1214" s="21">
        <v>0.96425649000000002</v>
      </c>
      <c r="F1214" s="10"/>
      <c r="G1214" s="14">
        <v>2502550.36</v>
      </c>
      <c r="H1214" s="14">
        <v>2413100.4300000002</v>
      </c>
      <c r="I1214" s="14">
        <v>2502550.36</v>
      </c>
      <c r="J1214" s="14">
        <v>2413100.4300000002</v>
      </c>
      <c r="K1214" s="12">
        <v>3134</v>
      </c>
      <c r="L1214" s="10" t="s">
        <v>101</v>
      </c>
      <c r="M1214" s="10" t="s">
        <v>102</v>
      </c>
      <c r="N1214" s="124" t="s">
        <v>364</v>
      </c>
      <c r="O1214" s="124" t="s">
        <v>364</v>
      </c>
      <c r="P1214" s="21">
        <v>33</v>
      </c>
      <c r="Q1214" s="10" t="s">
        <v>54</v>
      </c>
      <c r="R1214" s="10" t="s">
        <v>28</v>
      </c>
      <c r="S1214" s="10"/>
      <c r="T1214" s="10"/>
      <c r="U1214" s="10" t="s">
        <v>1135</v>
      </c>
      <c r="V1214" s="10" t="s">
        <v>1135</v>
      </c>
      <c r="W1214" s="50">
        <f>+J1214/$W$2</f>
        <v>3.2081129732742134E-5</v>
      </c>
    </row>
    <row r="1215" spans="1:23">
      <c r="A1215" s="10" t="s">
        <v>353</v>
      </c>
      <c r="B1215" s="10" t="s">
        <v>381</v>
      </c>
      <c r="C1215" s="124">
        <v>46335</v>
      </c>
      <c r="D1215" s="124" t="s">
        <v>492</v>
      </c>
      <c r="E1215" s="21">
        <v>0.96425649000000002</v>
      </c>
      <c r="F1215" s="10"/>
      <c r="G1215" s="14">
        <v>2502550.36</v>
      </c>
      <c r="H1215" s="14">
        <v>2413100.4300000002</v>
      </c>
      <c r="I1215" s="14">
        <v>2502550.36</v>
      </c>
      <c r="J1215" s="14">
        <v>2413100.4300000002</v>
      </c>
      <c r="K1215" s="12">
        <v>3144</v>
      </c>
      <c r="L1215" s="10" t="s">
        <v>101</v>
      </c>
      <c r="M1215" s="10" t="s">
        <v>102</v>
      </c>
      <c r="N1215" s="124" t="s">
        <v>364</v>
      </c>
      <c r="O1215" s="124" t="s">
        <v>364</v>
      </c>
      <c r="P1215" s="21">
        <v>33</v>
      </c>
      <c r="Q1215" s="10" t="s">
        <v>54</v>
      </c>
      <c r="R1215" s="10" t="s">
        <v>28</v>
      </c>
      <c r="S1215" s="10"/>
      <c r="T1215" s="10"/>
      <c r="U1215" s="10" t="s">
        <v>1136</v>
      </c>
      <c r="V1215" s="10" t="s">
        <v>1136</v>
      </c>
      <c r="W1215" s="50">
        <f>+J1215/$W$2</f>
        <v>3.2081129732742134E-5</v>
      </c>
    </row>
    <row r="1216" spans="1:23">
      <c r="A1216" s="10" t="s">
        <v>353</v>
      </c>
      <c r="B1216" s="10" t="s">
        <v>381</v>
      </c>
      <c r="C1216" s="124">
        <v>46335</v>
      </c>
      <c r="D1216" s="124" t="s">
        <v>492</v>
      </c>
      <c r="E1216" s="21">
        <v>0.96425649000000002</v>
      </c>
      <c r="F1216" s="10"/>
      <c r="G1216" s="14">
        <v>2250000</v>
      </c>
      <c r="H1216" s="14">
        <v>2169577.11</v>
      </c>
      <c r="I1216" s="14">
        <v>2250000</v>
      </c>
      <c r="J1216" s="14">
        <v>2169577.11</v>
      </c>
      <c r="K1216" s="12">
        <v>3059</v>
      </c>
      <c r="L1216" s="10" t="s">
        <v>101</v>
      </c>
      <c r="M1216" s="10" t="s">
        <v>102</v>
      </c>
      <c r="N1216" s="124" t="s">
        <v>364</v>
      </c>
      <c r="O1216" s="124" t="s">
        <v>364</v>
      </c>
      <c r="P1216" s="21">
        <v>33</v>
      </c>
      <c r="Q1216" s="10" t="s">
        <v>54</v>
      </c>
      <c r="R1216" s="10" t="s">
        <v>28</v>
      </c>
      <c r="S1216" s="10"/>
      <c r="T1216" s="10"/>
      <c r="U1216" s="10" t="s">
        <v>1139</v>
      </c>
      <c r="V1216" s="10" t="s">
        <v>1139</v>
      </c>
      <c r="W1216" s="50">
        <f>+J1216/$W$2</f>
        <v>2.8843592196076873E-5</v>
      </c>
    </row>
    <row r="1217" spans="1:29">
      <c r="A1217" s="10" t="s">
        <v>353</v>
      </c>
      <c r="B1217" s="10" t="s">
        <v>381</v>
      </c>
      <c r="C1217" s="124">
        <v>46335</v>
      </c>
      <c r="D1217" s="124" t="s">
        <v>492</v>
      </c>
      <c r="E1217" s="21">
        <v>0.96321323000000003</v>
      </c>
      <c r="F1217" s="10"/>
      <c r="G1217" s="14">
        <v>990902.64</v>
      </c>
      <c r="H1217" s="14">
        <v>954450.53</v>
      </c>
      <c r="I1217" s="14">
        <v>990902.64</v>
      </c>
      <c r="J1217" s="14">
        <v>954450.53</v>
      </c>
      <c r="K1217" s="12">
        <v>2962</v>
      </c>
      <c r="L1217" s="10" t="s">
        <v>101</v>
      </c>
      <c r="M1217" s="10" t="s">
        <v>102</v>
      </c>
      <c r="N1217" s="124" t="s">
        <v>326</v>
      </c>
      <c r="O1217" s="124" t="s">
        <v>326</v>
      </c>
      <c r="P1217" s="21">
        <v>34</v>
      </c>
      <c r="Q1217" s="10" t="s">
        <v>54</v>
      </c>
      <c r="R1217" s="10" t="s">
        <v>28</v>
      </c>
      <c r="S1217" s="10"/>
      <c r="T1217" s="10"/>
      <c r="U1217" s="10" t="s">
        <v>964</v>
      </c>
      <c r="V1217" s="10" t="s">
        <v>964</v>
      </c>
      <c r="W1217" s="50">
        <f>+J1217/$W$2</f>
        <v>1.2689008255000182E-5</v>
      </c>
      <c r="AC1217" s="47"/>
    </row>
    <row r="1218" spans="1:29">
      <c r="A1218" s="10" t="s">
        <v>353</v>
      </c>
      <c r="B1218" s="10" t="s">
        <v>381</v>
      </c>
      <c r="C1218" s="124">
        <v>46335</v>
      </c>
      <c r="D1218" s="124" t="s">
        <v>492</v>
      </c>
      <c r="E1218" s="21">
        <v>0.96321319000000005</v>
      </c>
      <c r="F1218" s="10"/>
      <c r="G1218" s="14">
        <v>1020845.65</v>
      </c>
      <c r="H1218" s="14">
        <v>983292</v>
      </c>
      <c r="I1218" s="14">
        <v>1020845.65</v>
      </c>
      <c r="J1218" s="14">
        <v>983292</v>
      </c>
      <c r="K1218" s="12">
        <v>2912</v>
      </c>
      <c r="L1218" s="10" t="s">
        <v>101</v>
      </c>
      <c r="M1218" s="10" t="s">
        <v>102</v>
      </c>
      <c r="N1218" s="124" t="s">
        <v>326</v>
      </c>
      <c r="O1218" s="124" t="s">
        <v>326</v>
      </c>
      <c r="P1218" s="21">
        <v>34</v>
      </c>
      <c r="Q1218" s="10" t="s">
        <v>54</v>
      </c>
      <c r="R1218" s="10" t="s">
        <v>28</v>
      </c>
      <c r="S1218" s="10"/>
      <c r="T1218" s="10"/>
      <c r="U1218" s="10" t="s">
        <v>965</v>
      </c>
      <c r="V1218" s="10" t="s">
        <v>965</v>
      </c>
      <c r="W1218" s="50">
        <f>+J1218/$W$2</f>
        <v>1.307244316274374E-5</v>
      </c>
    </row>
    <row r="1219" spans="1:29">
      <c r="A1219" s="10" t="s">
        <v>273</v>
      </c>
      <c r="B1219" s="10" t="s">
        <v>381</v>
      </c>
      <c r="C1219" s="124">
        <v>46335</v>
      </c>
      <c r="D1219" s="124" t="s">
        <v>492</v>
      </c>
      <c r="E1219" s="21">
        <v>0.96739997</v>
      </c>
      <c r="F1219" s="10"/>
      <c r="G1219" s="14">
        <v>10000000</v>
      </c>
      <c r="H1219" s="14">
        <v>9673999.6899999995</v>
      </c>
      <c r="I1219" s="14">
        <v>10000000</v>
      </c>
      <c r="J1219" s="14">
        <v>9673999.6899999995</v>
      </c>
      <c r="K1219" s="12">
        <v>108</v>
      </c>
      <c r="L1219" s="10" t="s">
        <v>101</v>
      </c>
      <c r="M1219" s="10" t="s">
        <v>102</v>
      </c>
      <c r="N1219" s="124" t="s">
        <v>322</v>
      </c>
      <c r="O1219" s="124" t="s">
        <v>322</v>
      </c>
      <c r="P1219" s="21">
        <v>30</v>
      </c>
      <c r="Q1219" s="10" t="s">
        <v>54</v>
      </c>
      <c r="R1219" s="10" t="s">
        <v>28</v>
      </c>
      <c r="S1219" s="10"/>
      <c r="T1219" s="10"/>
      <c r="U1219" s="10" t="s">
        <v>1561</v>
      </c>
      <c r="V1219" s="10" t="s">
        <v>1561</v>
      </c>
      <c r="W1219" s="50">
        <f>+J1219/$W$2</f>
        <v>1.2861165462947481E-4</v>
      </c>
      <c r="AC1219" s="47"/>
    </row>
    <row r="1220" spans="1:29">
      <c r="A1220" s="10" t="s">
        <v>899</v>
      </c>
      <c r="B1220" s="10" t="s">
        <v>381</v>
      </c>
      <c r="C1220" s="124">
        <v>46335</v>
      </c>
      <c r="D1220" s="124" t="s">
        <v>492</v>
      </c>
      <c r="E1220" s="21">
        <v>0.96530209</v>
      </c>
      <c r="F1220" s="10"/>
      <c r="G1220" s="14">
        <v>475000000</v>
      </c>
      <c r="H1220" s="14">
        <v>458518492.56</v>
      </c>
      <c r="I1220" s="14">
        <v>475000000</v>
      </c>
      <c r="J1220" s="14">
        <v>458518492.56</v>
      </c>
      <c r="K1220" s="12">
        <v>931</v>
      </c>
      <c r="L1220" s="10" t="s">
        <v>101</v>
      </c>
      <c r="M1220" s="10" t="s">
        <v>102</v>
      </c>
      <c r="N1220" s="124" t="s">
        <v>396</v>
      </c>
      <c r="O1220" s="124" t="s">
        <v>396</v>
      </c>
      <c r="P1220" s="21">
        <v>32</v>
      </c>
      <c r="Q1220" s="10" t="s">
        <v>54</v>
      </c>
      <c r="R1220" s="10" t="s">
        <v>28</v>
      </c>
      <c r="S1220" s="10"/>
      <c r="T1220" s="10"/>
      <c r="U1220" s="10" t="s">
        <v>882</v>
      </c>
      <c r="V1220" s="10" t="s">
        <v>882</v>
      </c>
      <c r="W1220" s="50">
        <f>+J1220/$W$2</f>
        <v>6.0958056539232881E-3</v>
      </c>
    </row>
    <row r="1221" spans="1:29">
      <c r="A1221" s="10" t="s">
        <v>219</v>
      </c>
      <c r="B1221" s="10" t="s">
        <v>381</v>
      </c>
      <c r="C1221" s="124">
        <v>46335</v>
      </c>
      <c r="D1221" s="124" t="s">
        <v>492</v>
      </c>
      <c r="E1221" s="21">
        <v>0.96530207000000001</v>
      </c>
      <c r="F1221" s="10"/>
      <c r="G1221" s="14">
        <v>50000000</v>
      </c>
      <c r="H1221" s="14">
        <v>48265103.329999998</v>
      </c>
      <c r="I1221" s="14">
        <v>50000000</v>
      </c>
      <c r="J1221" s="14">
        <v>48265103.329999998</v>
      </c>
      <c r="K1221" s="12">
        <v>5358</v>
      </c>
      <c r="L1221" s="10" t="s">
        <v>101</v>
      </c>
      <c r="M1221" s="10" t="s">
        <v>102</v>
      </c>
      <c r="N1221" s="124" t="s">
        <v>420</v>
      </c>
      <c r="O1221" s="124" t="s">
        <v>420</v>
      </c>
      <c r="P1221" s="21">
        <v>32</v>
      </c>
      <c r="Q1221" s="10" t="s">
        <v>54</v>
      </c>
      <c r="R1221" s="10" t="s">
        <v>28</v>
      </c>
      <c r="S1221" s="10"/>
      <c r="T1221" s="10"/>
      <c r="U1221" s="10" t="s">
        <v>2672</v>
      </c>
      <c r="V1221" s="10" t="s">
        <v>2672</v>
      </c>
      <c r="W1221" s="50">
        <f>+J1221/$W$2</f>
        <v>6.4166373775580252E-4</v>
      </c>
    </row>
    <row r="1222" spans="1:29">
      <c r="A1222" s="10" t="s">
        <v>1604</v>
      </c>
      <c r="B1222" s="10" t="s">
        <v>381</v>
      </c>
      <c r="C1222" s="124">
        <v>46335</v>
      </c>
      <c r="D1222" s="124" t="s">
        <v>492</v>
      </c>
      <c r="E1222" s="21">
        <v>0.96530205999999996</v>
      </c>
      <c r="F1222" s="10"/>
      <c r="G1222" s="14">
        <v>105000000</v>
      </c>
      <c r="H1222" s="14">
        <v>101356716.23</v>
      </c>
      <c r="I1222" s="14">
        <v>105000000</v>
      </c>
      <c r="J1222" s="14">
        <v>101356716.23</v>
      </c>
      <c r="K1222" s="12">
        <v>322</v>
      </c>
      <c r="L1222" s="10" t="s">
        <v>101</v>
      </c>
      <c r="M1222" s="10" t="s">
        <v>102</v>
      </c>
      <c r="N1222" s="124" t="s">
        <v>325</v>
      </c>
      <c r="O1222" s="124" t="s">
        <v>325</v>
      </c>
      <c r="P1222" s="21">
        <v>32</v>
      </c>
      <c r="Q1222" s="10" t="s">
        <v>54</v>
      </c>
      <c r="R1222" s="10" t="s">
        <v>28</v>
      </c>
      <c r="S1222" s="10"/>
      <c r="T1222" s="10"/>
      <c r="U1222" s="10" t="s">
        <v>1594</v>
      </c>
      <c r="V1222" s="10" t="s">
        <v>1594</v>
      </c>
      <c r="W1222" s="50">
        <f>+J1222/$W$2</f>
        <v>1.3474938391434294E-3</v>
      </c>
    </row>
    <row r="1223" spans="1:29">
      <c r="A1223" s="10" t="s">
        <v>2164</v>
      </c>
      <c r="B1223" s="10" t="s">
        <v>381</v>
      </c>
      <c r="C1223" s="124">
        <v>46335</v>
      </c>
      <c r="D1223" s="124" t="s">
        <v>492</v>
      </c>
      <c r="E1223" s="21">
        <v>0.96530218999999995</v>
      </c>
      <c r="F1223" s="10"/>
      <c r="G1223" s="14">
        <v>13000000</v>
      </c>
      <c r="H1223" s="14">
        <v>12548928.470000001</v>
      </c>
      <c r="I1223" s="14">
        <v>13000000</v>
      </c>
      <c r="J1223" s="14">
        <v>12548928.470000001</v>
      </c>
      <c r="K1223" s="12">
        <v>1306</v>
      </c>
      <c r="L1223" s="10" t="s">
        <v>101</v>
      </c>
      <c r="M1223" s="10" t="s">
        <v>102</v>
      </c>
      <c r="N1223" s="124" t="s">
        <v>416</v>
      </c>
      <c r="O1223" s="124" t="s">
        <v>416</v>
      </c>
      <c r="P1223" s="21">
        <v>32</v>
      </c>
      <c r="Q1223" s="10" t="s">
        <v>54</v>
      </c>
      <c r="R1223" s="10" t="s">
        <v>28</v>
      </c>
      <c r="S1223" s="10"/>
      <c r="T1223" s="10"/>
      <c r="U1223" s="10" t="s">
        <v>2136</v>
      </c>
      <c r="V1223" s="10" t="s">
        <v>2136</v>
      </c>
      <c r="W1223" s="50">
        <f>+J1223/$W$2</f>
        <v>1.6683259314365597E-4</v>
      </c>
      <c r="AC1223" s="47"/>
    </row>
    <row r="1224" spans="1:29">
      <c r="A1224" s="10" t="s">
        <v>3451</v>
      </c>
      <c r="B1224" s="10" t="s">
        <v>381</v>
      </c>
      <c r="C1224" s="124">
        <v>46335</v>
      </c>
      <c r="D1224" s="124" t="s">
        <v>492</v>
      </c>
      <c r="E1224" s="21">
        <v>0.97162342999999995</v>
      </c>
      <c r="F1224" s="10"/>
      <c r="G1224" s="14">
        <v>150000000</v>
      </c>
      <c r="H1224" s="14">
        <v>145743514.03999999</v>
      </c>
      <c r="I1224" s="14">
        <v>150000000</v>
      </c>
      <c r="J1224" s="14">
        <v>145743514.03999999</v>
      </c>
      <c r="K1224" s="12">
        <v>1372557</v>
      </c>
      <c r="L1224" s="10" t="s">
        <v>101</v>
      </c>
      <c r="M1224" s="10" t="s">
        <v>102</v>
      </c>
      <c r="N1224" s="124" t="s">
        <v>531</v>
      </c>
      <c r="O1224" s="124" t="s">
        <v>531</v>
      </c>
      <c r="P1224" s="21">
        <v>26</v>
      </c>
      <c r="Q1224" s="10" t="s">
        <v>54</v>
      </c>
      <c r="R1224" s="10" t="s">
        <v>28</v>
      </c>
      <c r="S1224" s="10"/>
      <c r="T1224" s="10"/>
      <c r="U1224" s="10" t="s">
        <v>3384</v>
      </c>
      <c r="V1224" s="10" t="s">
        <v>3384</v>
      </c>
      <c r="W1224" s="50">
        <f>+J1224/$W$2</f>
        <v>1.9375971772641739E-3</v>
      </c>
    </row>
    <row r="1225" spans="1:29">
      <c r="A1225" s="10" t="s">
        <v>597</v>
      </c>
      <c r="B1225" s="10" t="s">
        <v>381</v>
      </c>
      <c r="C1225" s="124">
        <v>46335</v>
      </c>
      <c r="D1225" s="124" t="s">
        <v>492</v>
      </c>
      <c r="E1225" s="21">
        <v>0.96321319999999999</v>
      </c>
      <c r="F1225" s="10"/>
      <c r="G1225" s="14">
        <v>6200000</v>
      </c>
      <c r="H1225" s="14">
        <v>5971921.8700000001</v>
      </c>
      <c r="I1225" s="14">
        <v>6200000</v>
      </c>
      <c r="J1225" s="14">
        <v>5971921.8700000001</v>
      </c>
      <c r="K1225" s="12">
        <v>69261919</v>
      </c>
      <c r="L1225" s="10" t="s">
        <v>101</v>
      </c>
      <c r="M1225" s="10" t="s">
        <v>102</v>
      </c>
      <c r="N1225" s="124" t="s">
        <v>398</v>
      </c>
      <c r="O1225" s="124" t="s">
        <v>398</v>
      </c>
      <c r="P1225" s="21">
        <v>34</v>
      </c>
      <c r="Q1225" s="10" t="s">
        <v>54</v>
      </c>
      <c r="R1225" s="10" t="s">
        <v>28</v>
      </c>
      <c r="S1225" s="10"/>
      <c r="T1225" s="10"/>
      <c r="U1225" s="10" t="s">
        <v>1765</v>
      </c>
      <c r="V1225" s="10" t="s">
        <v>1765</v>
      </c>
      <c r="W1225" s="50">
        <f>+J1225/$W$2</f>
        <v>7.9394126279804273E-5</v>
      </c>
    </row>
    <row r="1226" spans="1:29">
      <c r="A1226" s="10" t="s">
        <v>604</v>
      </c>
      <c r="B1226" s="10" t="s">
        <v>381</v>
      </c>
      <c r="C1226" s="124">
        <v>46335</v>
      </c>
      <c r="D1226" s="124" t="s">
        <v>492</v>
      </c>
      <c r="E1226" s="21">
        <v>0.96113342999999996</v>
      </c>
      <c r="F1226" s="10"/>
      <c r="G1226" s="14">
        <v>1555000.5</v>
      </c>
      <c r="H1226" s="14">
        <v>1494562.96</v>
      </c>
      <c r="I1226" s="14">
        <v>1555000.5</v>
      </c>
      <c r="J1226" s="14">
        <v>1494562.96</v>
      </c>
      <c r="K1226" s="12">
        <v>503</v>
      </c>
      <c r="L1226" s="10" t="s">
        <v>101</v>
      </c>
      <c r="M1226" s="10" t="s">
        <v>102</v>
      </c>
      <c r="N1226" s="124" t="s">
        <v>163</v>
      </c>
      <c r="O1226" s="124" t="s">
        <v>163</v>
      </c>
      <c r="P1226" s="21">
        <v>36</v>
      </c>
      <c r="Q1226" s="10" t="s">
        <v>54</v>
      </c>
      <c r="R1226" s="10" t="s">
        <v>28</v>
      </c>
      <c r="S1226" s="10"/>
      <c r="T1226" s="10"/>
      <c r="U1226" s="10" t="s">
        <v>1624</v>
      </c>
      <c r="V1226" s="10" t="s">
        <v>1624</v>
      </c>
      <c r="W1226" s="50">
        <f>+J1226/$W$2</f>
        <v>1.9869570125397182E-5</v>
      </c>
      <c r="AC1226" s="47"/>
    </row>
    <row r="1227" spans="1:29">
      <c r="A1227" s="10" t="s">
        <v>607</v>
      </c>
      <c r="B1227" s="10" t="s">
        <v>381</v>
      </c>
      <c r="C1227" s="124">
        <v>46335</v>
      </c>
      <c r="D1227" s="124" t="s">
        <v>492</v>
      </c>
      <c r="E1227" s="21">
        <v>0.96425649999999996</v>
      </c>
      <c r="F1227" s="10"/>
      <c r="G1227" s="14">
        <v>1300000</v>
      </c>
      <c r="H1227" s="14">
        <v>1253533.45</v>
      </c>
      <c r="I1227" s="14">
        <v>1300000</v>
      </c>
      <c r="J1227" s="14">
        <v>1253533.45</v>
      </c>
      <c r="K1227" s="12">
        <v>556</v>
      </c>
      <c r="L1227" s="10" t="s">
        <v>101</v>
      </c>
      <c r="M1227" s="10" t="s">
        <v>102</v>
      </c>
      <c r="N1227" s="124" t="s">
        <v>164</v>
      </c>
      <c r="O1227" s="124" t="s">
        <v>164</v>
      </c>
      <c r="P1227" s="21">
        <v>33</v>
      </c>
      <c r="Q1227" s="10" t="s">
        <v>54</v>
      </c>
      <c r="R1227" s="10" t="s">
        <v>28</v>
      </c>
      <c r="S1227" s="10"/>
      <c r="T1227" s="10"/>
      <c r="U1227" s="10" t="s">
        <v>1954</v>
      </c>
      <c r="V1227" s="10" t="s">
        <v>1954</v>
      </c>
      <c r="W1227" s="50">
        <f>+J1227/$W$2</f>
        <v>1.6665186717397346E-5</v>
      </c>
    </row>
    <row r="1228" spans="1:29">
      <c r="A1228" s="10" t="s">
        <v>2628</v>
      </c>
      <c r="B1228" s="10" t="s">
        <v>381</v>
      </c>
      <c r="C1228" s="124">
        <v>46335</v>
      </c>
      <c r="D1228" s="124" t="s">
        <v>492</v>
      </c>
      <c r="E1228" s="21">
        <v>0.96425667000000004</v>
      </c>
      <c r="F1228" s="10"/>
      <c r="G1228" s="14">
        <v>1936748.66</v>
      </c>
      <c r="H1228" s="14">
        <v>1867522.82</v>
      </c>
      <c r="I1228" s="14">
        <v>1936748.66</v>
      </c>
      <c r="J1228" s="14">
        <v>1867522.82</v>
      </c>
      <c r="K1228" s="12">
        <v>69517547</v>
      </c>
      <c r="L1228" s="10" t="s">
        <v>101</v>
      </c>
      <c r="M1228" s="10" t="s">
        <v>102</v>
      </c>
      <c r="N1228" s="124" t="s">
        <v>423</v>
      </c>
      <c r="O1228" s="124" t="s">
        <v>423</v>
      </c>
      <c r="P1228" s="21">
        <v>33</v>
      </c>
      <c r="Q1228" s="10" t="s">
        <v>54</v>
      </c>
      <c r="R1228" s="10" t="s">
        <v>28</v>
      </c>
      <c r="S1228" s="10"/>
      <c r="T1228" s="10"/>
      <c r="U1228" s="10" t="s">
        <v>2513</v>
      </c>
      <c r="V1228" s="10" t="s">
        <v>2513</v>
      </c>
      <c r="W1228" s="50">
        <f>+J1228/$W$2</f>
        <v>2.4827910650729291E-5</v>
      </c>
    </row>
    <row r="1229" spans="1:29">
      <c r="A1229" s="10" t="s">
        <v>303</v>
      </c>
      <c r="B1229" s="10" t="s">
        <v>381</v>
      </c>
      <c r="C1229" s="124">
        <v>46335</v>
      </c>
      <c r="D1229" s="124" t="s">
        <v>492</v>
      </c>
      <c r="E1229" s="21">
        <v>0.97268491000000001</v>
      </c>
      <c r="F1229" s="10"/>
      <c r="G1229" s="14">
        <v>12000000</v>
      </c>
      <c r="H1229" s="14">
        <v>11672218.9</v>
      </c>
      <c r="I1229" s="14">
        <v>12000000</v>
      </c>
      <c r="J1229" s="14">
        <v>11672218.9</v>
      </c>
      <c r="K1229" s="12">
        <v>34561</v>
      </c>
      <c r="L1229" s="10" t="s">
        <v>101</v>
      </c>
      <c r="M1229" s="10" t="s">
        <v>102</v>
      </c>
      <c r="N1229" s="124" t="s">
        <v>321</v>
      </c>
      <c r="O1229" s="124" t="s">
        <v>321</v>
      </c>
      <c r="P1229" s="21">
        <v>25</v>
      </c>
      <c r="Q1229" s="10" t="s">
        <v>54</v>
      </c>
      <c r="R1229" s="10" t="s">
        <v>28</v>
      </c>
      <c r="S1229" s="10"/>
      <c r="T1229" s="10"/>
      <c r="U1229" s="10" t="s">
        <v>1213</v>
      </c>
      <c r="V1229" s="10" t="s">
        <v>1213</v>
      </c>
      <c r="W1229" s="50">
        <f>+J1229/$W$2</f>
        <v>1.5517711743139704E-4</v>
      </c>
    </row>
    <row r="1230" spans="1:29">
      <c r="A1230" s="10" t="s">
        <v>465</v>
      </c>
      <c r="B1230" s="10" t="s">
        <v>381</v>
      </c>
      <c r="C1230" s="124">
        <v>46335</v>
      </c>
      <c r="D1230" s="124" t="s">
        <v>492</v>
      </c>
      <c r="E1230" s="21">
        <v>0.96425658999999997</v>
      </c>
      <c r="F1230" s="10"/>
      <c r="G1230" s="14">
        <v>25000000</v>
      </c>
      <c r="H1230" s="14">
        <v>24106414.68</v>
      </c>
      <c r="I1230" s="14">
        <v>25000000</v>
      </c>
      <c r="J1230" s="14">
        <v>24106414.68</v>
      </c>
      <c r="K1230" s="12">
        <v>14422667</v>
      </c>
      <c r="L1230" s="10" t="s">
        <v>101</v>
      </c>
      <c r="M1230" s="10" t="s">
        <v>102</v>
      </c>
      <c r="N1230" s="124" t="s">
        <v>421</v>
      </c>
      <c r="O1230" s="124" t="s">
        <v>421</v>
      </c>
      <c r="P1230" s="21">
        <v>33</v>
      </c>
      <c r="Q1230" s="10" t="s">
        <v>54</v>
      </c>
      <c r="R1230" s="10" t="s">
        <v>28</v>
      </c>
      <c r="S1230" s="10"/>
      <c r="T1230" s="10"/>
      <c r="U1230" s="10" t="s">
        <v>2106</v>
      </c>
      <c r="V1230" s="10" t="s">
        <v>2106</v>
      </c>
      <c r="W1230" s="50">
        <f>+J1230/$W$2</f>
        <v>3.2048438893210896E-4</v>
      </c>
    </row>
    <row r="1231" spans="1:29">
      <c r="A1231" s="10" t="s">
        <v>466</v>
      </c>
      <c r="B1231" s="10" t="s">
        <v>381</v>
      </c>
      <c r="C1231" s="124">
        <v>46335</v>
      </c>
      <c r="D1231" s="124" t="s">
        <v>492</v>
      </c>
      <c r="E1231" s="21">
        <v>0.96425658999999997</v>
      </c>
      <c r="F1231" s="10"/>
      <c r="G1231" s="14">
        <v>7954930.75</v>
      </c>
      <c r="H1231" s="14">
        <v>7670594.4299999997</v>
      </c>
      <c r="I1231" s="14">
        <v>7954930.75</v>
      </c>
      <c r="J1231" s="14">
        <v>7670594.4299999997</v>
      </c>
      <c r="K1231" s="12">
        <v>9</v>
      </c>
      <c r="L1231" s="10" t="s">
        <v>101</v>
      </c>
      <c r="M1231" s="10" t="s">
        <v>102</v>
      </c>
      <c r="N1231" s="124" t="s">
        <v>435</v>
      </c>
      <c r="O1231" s="124" t="s">
        <v>435</v>
      </c>
      <c r="P1231" s="21">
        <v>33</v>
      </c>
      <c r="Q1231" s="10" t="s">
        <v>54</v>
      </c>
      <c r="R1231" s="10" t="s">
        <v>28</v>
      </c>
      <c r="S1231" s="10"/>
      <c r="T1231" s="10"/>
      <c r="U1231" s="10" t="s">
        <v>1300</v>
      </c>
      <c r="V1231" s="10" t="s">
        <v>1300</v>
      </c>
      <c r="W1231" s="50">
        <f>+J1231/$W$2</f>
        <v>1.0197724552893108E-4</v>
      </c>
    </row>
    <row r="1232" spans="1:29">
      <c r="A1232" s="10" t="s">
        <v>539</v>
      </c>
      <c r="B1232" s="10" t="s">
        <v>381</v>
      </c>
      <c r="C1232" s="124">
        <v>46335</v>
      </c>
      <c r="D1232" s="124" t="s">
        <v>492</v>
      </c>
      <c r="E1232" s="21">
        <v>0.96425653</v>
      </c>
      <c r="F1232" s="10"/>
      <c r="G1232" s="14">
        <v>85000000</v>
      </c>
      <c r="H1232" s="14">
        <v>81961805.269999996</v>
      </c>
      <c r="I1232" s="14">
        <v>85000000</v>
      </c>
      <c r="J1232" s="14">
        <v>81961805.269999996</v>
      </c>
      <c r="K1232" s="12">
        <v>68458957</v>
      </c>
      <c r="L1232" s="10" t="s">
        <v>101</v>
      </c>
      <c r="M1232" s="10" t="s">
        <v>102</v>
      </c>
      <c r="N1232" s="124" t="s">
        <v>155</v>
      </c>
      <c r="O1232" s="124" t="s">
        <v>155</v>
      </c>
      <c r="P1232" s="21">
        <v>33</v>
      </c>
      <c r="Q1232" s="10" t="s">
        <v>54</v>
      </c>
      <c r="R1232" s="10" t="s">
        <v>28</v>
      </c>
      <c r="S1232" s="10"/>
      <c r="T1232" s="10"/>
      <c r="U1232" s="10" t="s">
        <v>1056</v>
      </c>
      <c r="V1232" s="10" t="s">
        <v>1056</v>
      </c>
      <c r="W1232" s="50">
        <f>+J1232/$W$2</f>
        <v>1.089646860655782E-3</v>
      </c>
    </row>
    <row r="1233" spans="1:29">
      <c r="A1233" s="10" t="s">
        <v>675</v>
      </c>
      <c r="B1233" s="10" t="s">
        <v>381</v>
      </c>
      <c r="C1233" s="124">
        <v>46335</v>
      </c>
      <c r="D1233" s="124" t="s">
        <v>492</v>
      </c>
      <c r="E1233" s="21">
        <v>0.96321325000000002</v>
      </c>
      <c r="F1233" s="10"/>
      <c r="G1233" s="14">
        <v>200000000</v>
      </c>
      <c r="H1233" s="14">
        <v>192642650.36000001</v>
      </c>
      <c r="I1233" s="14">
        <v>200000000</v>
      </c>
      <c r="J1233" s="14">
        <v>192642650.36000001</v>
      </c>
      <c r="K1233" s="12">
        <v>90004098</v>
      </c>
      <c r="L1233" s="10" t="s">
        <v>101</v>
      </c>
      <c r="M1233" s="10" t="s">
        <v>102</v>
      </c>
      <c r="N1233" s="124" t="s">
        <v>432</v>
      </c>
      <c r="O1233" s="124" t="s">
        <v>432</v>
      </c>
      <c r="P1233" s="21">
        <v>34</v>
      </c>
      <c r="Q1233" s="10" t="s">
        <v>54</v>
      </c>
      <c r="R1233" s="10" t="s">
        <v>28</v>
      </c>
      <c r="S1233" s="10"/>
      <c r="T1233" s="10"/>
      <c r="U1233" s="10" t="s">
        <v>1841</v>
      </c>
      <c r="V1233" s="10" t="s">
        <v>1841</v>
      </c>
      <c r="W1233" s="50">
        <f>+J1233/$W$2</f>
        <v>2.5611009726016431E-3</v>
      </c>
    </row>
    <row r="1234" spans="1:29">
      <c r="A1234" s="10" t="s">
        <v>427</v>
      </c>
      <c r="B1234" s="10" t="s">
        <v>381</v>
      </c>
      <c r="C1234" s="124">
        <v>46335</v>
      </c>
      <c r="D1234" s="124" t="s">
        <v>492</v>
      </c>
      <c r="E1234" s="21">
        <v>0.97056403000000002</v>
      </c>
      <c r="F1234" s="10"/>
      <c r="G1234" s="14">
        <v>1000000</v>
      </c>
      <c r="H1234" s="14">
        <v>970564.03</v>
      </c>
      <c r="I1234" s="14">
        <v>1000000</v>
      </c>
      <c r="J1234" s="14">
        <v>970564.03</v>
      </c>
      <c r="K1234" s="12">
        <v>11486</v>
      </c>
      <c r="L1234" s="10" t="s">
        <v>101</v>
      </c>
      <c r="M1234" s="10" t="s">
        <v>102</v>
      </c>
      <c r="N1234" s="124" t="s">
        <v>472</v>
      </c>
      <c r="O1234" s="124" t="s">
        <v>472</v>
      </c>
      <c r="P1234" s="21">
        <v>27</v>
      </c>
      <c r="Q1234" s="10" t="s">
        <v>54</v>
      </c>
      <c r="R1234" s="10" t="s">
        <v>28</v>
      </c>
      <c r="S1234" s="10"/>
      <c r="T1234" s="10"/>
      <c r="U1234" s="10" t="s">
        <v>3168</v>
      </c>
      <c r="V1234" s="10" t="s">
        <v>3168</v>
      </c>
      <c r="W1234" s="50">
        <f>+J1234/$W$2</f>
        <v>1.2903230289658118E-5</v>
      </c>
    </row>
    <row r="1235" spans="1:29">
      <c r="A1235" s="10" t="s">
        <v>427</v>
      </c>
      <c r="B1235" s="10" t="s">
        <v>381</v>
      </c>
      <c r="C1235" s="124">
        <v>46335</v>
      </c>
      <c r="D1235" s="124" t="s">
        <v>492</v>
      </c>
      <c r="E1235" s="21">
        <v>0.97162338999999998</v>
      </c>
      <c r="F1235" s="10"/>
      <c r="G1235" s="14">
        <v>10000000</v>
      </c>
      <c r="H1235" s="14">
        <v>9716233.9399999995</v>
      </c>
      <c r="I1235" s="14">
        <v>10000000</v>
      </c>
      <c r="J1235" s="14">
        <v>9716233.9399999995</v>
      </c>
      <c r="K1235" s="12">
        <v>22807</v>
      </c>
      <c r="L1235" s="10" t="s">
        <v>101</v>
      </c>
      <c r="M1235" s="10" t="s">
        <v>102</v>
      </c>
      <c r="N1235" s="124" t="s">
        <v>678</v>
      </c>
      <c r="O1235" s="124" t="s">
        <v>678</v>
      </c>
      <c r="P1235" s="21">
        <v>26</v>
      </c>
      <c r="Q1235" s="10" t="s">
        <v>54</v>
      </c>
      <c r="R1235" s="10" t="s">
        <v>28</v>
      </c>
      <c r="S1235" s="10"/>
      <c r="T1235" s="10"/>
      <c r="U1235" s="10" t="s">
        <v>3465</v>
      </c>
      <c r="V1235" s="10" t="s">
        <v>3465</v>
      </c>
      <c r="W1235" s="50">
        <f>+J1235/$W$2</f>
        <v>1.2917314077260026E-4</v>
      </c>
    </row>
    <row r="1236" spans="1:29">
      <c r="A1236" s="10" t="s">
        <v>382</v>
      </c>
      <c r="B1236" s="10" t="s">
        <v>381</v>
      </c>
      <c r="C1236" s="124">
        <v>46335</v>
      </c>
      <c r="D1236" s="124" t="s">
        <v>492</v>
      </c>
      <c r="E1236" s="21">
        <v>0.96425654999999999</v>
      </c>
      <c r="F1236" s="10"/>
      <c r="G1236" s="14">
        <v>2500000</v>
      </c>
      <c r="H1236" s="14">
        <v>2410641.37</v>
      </c>
      <c r="I1236" s="14">
        <v>2500000</v>
      </c>
      <c r="J1236" s="14">
        <v>2410641.37</v>
      </c>
      <c r="K1236" s="12">
        <v>1012</v>
      </c>
      <c r="L1236" s="10" t="s">
        <v>101</v>
      </c>
      <c r="M1236" s="10" t="s">
        <v>102</v>
      </c>
      <c r="N1236" s="124" t="s">
        <v>163</v>
      </c>
      <c r="O1236" s="124" t="s">
        <v>163</v>
      </c>
      <c r="P1236" s="21">
        <v>33</v>
      </c>
      <c r="Q1236" s="10" t="s">
        <v>54</v>
      </c>
      <c r="R1236" s="10" t="s">
        <v>28</v>
      </c>
      <c r="S1236" s="10"/>
      <c r="T1236" s="10"/>
      <c r="U1236" s="10" t="s">
        <v>1637</v>
      </c>
      <c r="V1236" s="10" t="s">
        <v>1637</v>
      </c>
      <c r="W1236" s="50">
        <f>+J1236/$W$2</f>
        <v>3.2048437590343154E-5</v>
      </c>
    </row>
    <row r="1237" spans="1:29">
      <c r="A1237" s="10" t="s">
        <v>382</v>
      </c>
      <c r="B1237" s="10" t="s">
        <v>381</v>
      </c>
      <c r="C1237" s="124">
        <v>46335</v>
      </c>
      <c r="D1237" s="124" t="s">
        <v>492</v>
      </c>
      <c r="E1237" s="21">
        <v>0.96740006999999995</v>
      </c>
      <c r="F1237" s="10"/>
      <c r="G1237" s="14">
        <v>2500000</v>
      </c>
      <c r="H1237" s="14">
        <v>2418500.17</v>
      </c>
      <c r="I1237" s="14">
        <v>2500000</v>
      </c>
      <c r="J1237" s="14">
        <v>2418500.17</v>
      </c>
      <c r="K1237" s="12">
        <v>897</v>
      </c>
      <c r="L1237" s="10" t="s">
        <v>101</v>
      </c>
      <c r="M1237" s="10" t="s">
        <v>102</v>
      </c>
      <c r="N1237" s="124" t="s">
        <v>435</v>
      </c>
      <c r="O1237" s="124" t="s">
        <v>435</v>
      </c>
      <c r="P1237" s="21">
        <v>30</v>
      </c>
      <c r="Q1237" s="10" t="s">
        <v>54</v>
      </c>
      <c r="R1237" s="10" t="s">
        <v>28</v>
      </c>
      <c r="S1237" s="10"/>
      <c r="T1237" s="10"/>
      <c r="U1237" s="10" t="s">
        <v>1307</v>
      </c>
      <c r="V1237" s="10" t="s">
        <v>1307</v>
      </c>
      <c r="W1237" s="50">
        <f>+J1237/$W$2</f>
        <v>3.2152916947774484E-5</v>
      </c>
      <c r="AC1237" s="47"/>
    </row>
    <row r="1238" spans="1:29">
      <c r="A1238" s="10" t="s">
        <v>384</v>
      </c>
      <c r="B1238" s="10" t="s">
        <v>381</v>
      </c>
      <c r="C1238" s="124">
        <v>46335</v>
      </c>
      <c r="D1238" s="124" t="s">
        <v>492</v>
      </c>
      <c r="E1238" s="21">
        <v>0.96740000000000004</v>
      </c>
      <c r="F1238" s="10"/>
      <c r="G1238" s="14">
        <v>75000000</v>
      </c>
      <c r="H1238" s="14">
        <v>72554999.810000002</v>
      </c>
      <c r="I1238" s="14">
        <v>75000000</v>
      </c>
      <c r="J1238" s="14">
        <v>72554999.810000002</v>
      </c>
      <c r="K1238" s="12">
        <v>341</v>
      </c>
      <c r="L1238" s="10" t="s">
        <v>101</v>
      </c>
      <c r="M1238" s="10" t="s">
        <v>102</v>
      </c>
      <c r="N1238" s="124" t="s">
        <v>165</v>
      </c>
      <c r="O1238" s="124" t="s">
        <v>165</v>
      </c>
      <c r="P1238" s="21">
        <v>30</v>
      </c>
      <c r="Q1238" s="10" t="s">
        <v>54</v>
      </c>
      <c r="R1238" s="10" t="s">
        <v>28</v>
      </c>
      <c r="S1238" s="10"/>
      <c r="T1238" s="10"/>
      <c r="U1238" s="10" t="s">
        <v>1271</v>
      </c>
      <c r="V1238" s="10" t="s">
        <v>1271</v>
      </c>
      <c r="W1238" s="50">
        <f>+J1238/$W$2</f>
        <v>9.6458743810496554E-4</v>
      </c>
    </row>
    <row r="1239" spans="1:29">
      <c r="A1239" s="10" t="s">
        <v>386</v>
      </c>
      <c r="B1239" s="10" t="s">
        <v>381</v>
      </c>
      <c r="C1239" s="124">
        <v>46335</v>
      </c>
      <c r="D1239" s="124" t="s">
        <v>492</v>
      </c>
      <c r="E1239" s="21">
        <v>0.95906256000000001</v>
      </c>
      <c r="F1239" s="10"/>
      <c r="G1239" s="14">
        <v>43500000</v>
      </c>
      <c r="H1239" s="14">
        <v>41719221.409999996</v>
      </c>
      <c r="I1239" s="14">
        <v>43500000</v>
      </c>
      <c r="J1239" s="14">
        <v>41719221.409999996</v>
      </c>
      <c r="K1239" s="12">
        <v>163276</v>
      </c>
      <c r="L1239" s="10" t="s">
        <v>101</v>
      </c>
      <c r="M1239" s="10" t="s">
        <v>102</v>
      </c>
      <c r="N1239" s="124" t="s">
        <v>390</v>
      </c>
      <c r="O1239" s="124" t="s">
        <v>390</v>
      </c>
      <c r="P1239" s="21">
        <v>38</v>
      </c>
      <c r="Q1239" s="10" t="s">
        <v>54</v>
      </c>
      <c r="R1239" s="10" t="s">
        <v>28</v>
      </c>
      <c r="S1239" s="10"/>
      <c r="T1239" s="10"/>
      <c r="U1239" s="10" t="s">
        <v>2078</v>
      </c>
      <c r="V1239" s="10" t="s">
        <v>2078</v>
      </c>
      <c r="W1239" s="50">
        <f>+J1239/$W$2</f>
        <v>5.5463906009216659E-4</v>
      </c>
    </row>
    <row r="1240" spans="1:29">
      <c r="A1240" s="10" t="s">
        <v>675</v>
      </c>
      <c r="B1240" s="10" t="s">
        <v>381</v>
      </c>
      <c r="C1240" s="124">
        <v>46336</v>
      </c>
      <c r="D1240" s="124" t="s">
        <v>492</v>
      </c>
      <c r="E1240" s="21">
        <v>0.96448593000000005</v>
      </c>
      <c r="F1240" s="10"/>
      <c r="G1240" s="14">
        <v>200000000</v>
      </c>
      <c r="H1240" s="14">
        <v>192897186.08000001</v>
      </c>
      <c r="I1240" s="14">
        <v>200000000</v>
      </c>
      <c r="J1240" s="14">
        <v>192897186.08000001</v>
      </c>
      <c r="K1240" s="12">
        <v>90004113</v>
      </c>
      <c r="L1240" s="10" t="s">
        <v>101</v>
      </c>
      <c r="M1240" s="10" t="s">
        <v>102</v>
      </c>
      <c r="N1240" s="124" t="s">
        <v>164</v>
      </c>
      <c r="O1240" s="124" t="s">
        <v>164</v>
      </c>
      <c r="P1240" s="21">
        <v>32</v>
      </c>
      <c r="Q1240" s="10" t="s">
        <v>54</v>
      </c>
      <c r="R1240" s="10" t="s">
        <v>28</v>
      </c>
      <c r="S1240" s="10"/>
      <c r="T1240" s="10"/>
      <c r="U1240" s="10" t="s">
        <v>1983</v>
      </c>
      <c r="V1240" s="10" t="s">
        <v>1983</v>
      </c>
      <c r="W1240" s="50">
        <f>+J1240/$W$2</f>
        <v>2.5644849152479661E-3</v>
      </c>
    </row>
    <row r="1241" spans="1:29">
      <c r="A1241" s="10" t="s">
        <v>382</v>
      </c>
      <c r="B1241" s="10" t="s">
        <v>381</v>
      </c>
      <c r="C1241" s="124">
        <v>46336</v>
      </c>
      <c r="D1241" s="124" t="s">
        <v>492</v>
      </c>
      <c r="E1241" s="21">
        <v>0.96663146</v>
      </c>
      <c r="F1241" s="10"/>
      <c r="G1241" s="14">
        <v>5000000</v>
      </c>
      <c r="H1241" s="14">
        <v>4833157.29</v>
      </c>
      <c r="I1241" s="14">
        <v>5000000</v>
      </c>
      <c r="J1241" s="14">
        <v>4833157.29</v>
      </c>
      <c r="K1241" s="12">
        <v>1251</v>
      </c>
      <c r="L1241" s="10" t="s">
        <v>101</v>
      </c>
      <c r="M1241" s="10" t="s">
        <v>102</v>
      </c>
      <c r="N1241" s="124" t="s">
        <v>486</v>
      </c>
      <c r="O1241" s="124" t="s">
        <v>486</v>
      </c>
      <c r="P1241" s="21">
        <v>30</v>
      </c>
      <c r="Q1241" s="10" t="s">
        <v>54</v>
      </c>
      <c r="R1241" s="10" t="s">
        <v>28</v>
      </c>
      <c r="S1241" s="10"/>
      <c r="T1241" s="10"/>
      <c r="U1241" s="10" t="s">
        <v>2839</v>
      </c>
      <c r="V1241" s="10" t="s">
        <v>2839</v>
      </c>
      <c r="W1241" s="50">
        <f>+J1241/$W$2</f>
        <v>6.4254742202850786E-5</v>
      </c>
    </row>
    <row r="1242" spans="1:29">
      <c r="A1242" s="10" t="s">
        <v>382</v>
      </c>
      <c r="B1242" s="10" t="s">
        <v>381</v>
      </c>
      <c r="C1242" s="124">
        <v>46336</v>
      </c>
      <c r="D1242" s="124" t="s">
        <v>492</v>
      </c>
      <c r="E1242" s="21">
        <v>0.96663140000000003</v>
      </c>
      <c r="F1242" s="10"/>
      <c r="G1242" s="14">
        <v>5000000</v>
      </c>
      <c r="H1242" s="14">
        <v>4833157</v>
      </c>
      <c r="I1242" s="14">
        <v>5000000</v>
      </c>
      <c r="J1242" s="14">
        <v>4833157</v>
      </c>
      <c r="K1242" s="12">
        <v>1244</v>
      </c>
      <c r="L1242" s="10" t="s">
        <v>101</v>
      </c>
      <c r="M1242" s="10" t="s">
        <v>102</v>
      </c>
      <c r="N1242" s="124" t="s">
        <v>422</v>
      </c>
      <c r="O1242" s="124" t="s">
        <v>422</v>
      </c>
      <c r="P1242" s="21">
        <v>30</v>
      </c>
      <c r="Q1242" s="10" t="s">
        <v>54</v>
      </c>
      <c r="R1242" s="10" t="s">
        <v>28</v>
      </c>
      <c r="S1242" s="10"/>
      <c r="T1242" s="10"/>
      <c r="U1242" s="10" t="s">
        <v>2733</v>
      </c>
      <c r="V1242" s="10" t="s">
        <v>2733</v>
      </c>
      <c r="W1242" s="50">
        <f>+J1242/$W$2</f>
        <v>6.4254738347425827E-5</v>
      </c>
      <c r="AC1242" s="47"/>
    </row>
    <row r="1243" spans="1:29">
      <c r="A1243" s="10" t="s">
        <v>382</v>
      </c>
      <c r="B1243" s="10" t="s">
        <v>381</v>
      </c>
      <c r="C1243" s="124">
        <v>46336</v>
      </c>
      <c r="D1243" s="124" t="s">
        <v>492</v>
      </c>
      <c r="E1243" s="21">
        <v>0.96663155999999995</v>
      </c>
      <c r="F1243" s="10"/>
      <c r="G1243" s="14">
        <v>5000000</v>
      </c>
      <c r="H1243" s="14">
        <v>4833157.82</v>
      </c>
      <c r="I1243" s="14">
        <v>5000000</v>
      </c>
      <c r="J1243" s="14">
        <v>4833157.82</v>
      </c>
      <c r="K1243" s="12">
        <v>1291</v>
      </c>
      <c r="L1243" s="10" t="s">
        <v>101</v>
      </c>
      <c r="M1243" s="10" t="s">
        <v>102</v>
      </c>
      <c r="N1243" s="124" t="s">
        <v>472</v>
      </c>
      <c r="O1243" s="124" t="s">
        <v>472</v>
      </c>
      <c r="P1243" s="21">
        <v>30</v>
      </c>
      <c r="Q1243" s="10" t="s">
        <v>54</v>
      </c>
      <c r="R1243" s="10" t="s">
        <v>28</v>
      </c>
      <c r="S1243" s="10"/>
      <c r="T1243" s="10"/>
      <c r="U1243" s="10" t="s">
        <v>3233</v>
      </c>
      <c r="V1243" s="10" t="s">
        <v>3233</v>
      </c>
      <c r="W1243" s="50">
        <f>+J1243/$W$2</f>
        <v>6.4254749248972271E-5</v>
      </c>
    </row>
    <row r="1244" spans="1:29">
      <c r="A1244" s="10" t="s">
        <v>382</v>
      </c>
      <c r="B1244" s="10" t="s">
        <v>381</v>
      </c>
      <c r="C1244" s="124">
        <v>46336</v>
      </c>
      <c r="D1244" s="124" t="s">
        <v>492</v>
      </c>
      <c r="E1244" s="21">
        <v>0.96448593000000005</v>
      </c>
      <c r="F1244" s="10"/>
      <c r="G1244" s="14">
        <v>3000000</v>
      </c>
      <c r="H1244" s="14">
        <v>2893457.78</v>
      </c>
      <c r="I1244" s="14">
        <v>3000000</v>
      </c>
      <c r="J1244" s="14">
        <v>2893457.78</v>
      </c>
      <c r="K1244" s="12">
        <v>1051</v>
      </c>
      <c r="L1244" s="10" t="s">
        <v>101</v>
      </c>
      <c r="M1244" s="10" t="s">
        <v>102</v>
      </c>
      <c r="N1244" s="124" t="s">
        <v>398</v>
      </c>
      <c r="O1244" s="124" t="s">
        <v>398</v>
      </c>
      <c r="P1244" s="21">
        <v>32</v>
      </c>
      <c r="Q1244" s="10" t="s">
        <v>54</v>
      </c>
      <c r="R1244" s="10" t="s">
        <v>28</v>
      </c>
      <c r="S1244" s="10"/>
      <c r="T1244" s="10"/>
      <c r="U1244" s="10" t="s">
        <v>1754</v>
      </c>
      <c r="V1244" s="10" t="s">
        <v>1754</v>
      </c>
      <c r="W1244" s="50">
        <f>+J1244/$W$2</f>
        <v>3.8467273579820313E-5</v>
      </c>
    </row>
    <row r="1245" spans="1:29">
      <c r="A1245" s="10" t="s">
        <v>334</v>
      </c>
      <c r="B1245" s="10" t="s">
        <v>381</v>
      </c>
      <c r="C1245" s="124">
        <v>46336</v>
      </c>
      <c r="D1245" s="124" t="s">
        <v>492</v>
      </c>
      <c r="E1245" s="21">
        <v>0.96448584999999998</v>
      </c>
      <c r="F1245" s="10"/>
      <c r="G1245" s="14">
        <v>40000000</v>
      </c>
      <c r="H1245" s="14">
        <v>38579434</v>
      </c>
      <c r="I1245" s="14">
        <v>40000000</v>
      </c>
      <c r="J1245" s="14">
        <v>38579434</v>
      </c>
      <c r="K1245" s="12">
        <v>13953438</v>
      </c>
      <c r="L1245" s="10" t="s">
        <v>101</v>
      </c>
      <c r="M1245" s="10" t="s">
        <v>102</v>
      </c>
      <c r="N1245" s="124" t="s">
        <v>365</v>
      </c>
      <c r="O1245" s="124" t="s">
        <v>365</v>
      </c>
      <c r="P1245" s="21">
        <v>32</v>
      </c>
      <c r="Q1245" s="10" t="s">
        <v>54</v>
      </c>
      <c r="R1245" s="10" t="s">
        <v>28</v>
      </c>
      <c r="S1245" s="10"/>
      <c r="T1245" s="10"/>
      <c r="U1245" s="10" t="s">
        <v>1070</v>
      </c>
      <c r="V1245" s="10" t="s">
        <v>1070</v>
      </c>
      <c r="W1245" s="50">
        <f>+J1245/$W$2</f>
        <v>5.1289694029425987E-4</v>
      </c>
    </row>
    <row r="1246" spans="1:29">
      <c r="A1246" s="10" t="s">
        <v>353</v>
      </c>
      <c r="B1246" s="10" t="s">
        <v>381</v>
      </c>
      <c r="C1246" s="124">
        <v>46336</v>
      </c>
      <c r="D1246" s="124" t="s">
        <v>492</v>
      </c>
      <c r="E1246" s="21">
        <v>0.96022313000000004</v>
      </c>
      <c r="F1246" s="10"/>
      <c r="G1246" s="14">
        <v>3789564.21</v>
      </c>
      <c r="H1246" s="14">
        <v>3638827.22</v>
      </c>
      <c r="I1246" s="14">
        <v>3789564.21</v>
      </c>
      <c r="J1246" s="14">
        <v>3638827.22</v>
      </c>
      <c r="K1246" s="12">
        <v>3272</v>
      </c>
      <c r="L1246" s="10" t="s">
        <v>101</v>
      </c>
      <c r="M1246" s="10" t="s">
        <v>102</v>
      </c>
      <c r="N1246" s="124" t="s">
        <v>163</v>
      </c>
      <c r="O1246" s="124" t="s">
        <v>163</v>
      </c>
      <c r="P1246" s="21">
        <v>36</v>
      </c>
      <c r="Q1246" s="10" t="s">
        <v>54</v>
      </c>
      <c r="R1246" s="10" t="s">
        <v>28</v>
      </c>
      <c r="S1246" s="10"/>
      <c r="T1246" s="10"/>
      <c r="U1246" s="10" t="s">
        <v>1633</v>
      </c>
      <c r="V1246" s="10" t="s">
        <v>1633</v>
      </c>
      <c r="W1246" s="50">
        <f>+J1246/$W$2</f>
        <v>4.8376638895155062E-5</v>
      </c>
    </row>
    <row r="1247" spans="1:29">
      <c r="A1247" s="10" t="s">
        <v>353</v>
      </c>
      <c r="B1247" s="10" t="s">
        <v>381</v>
      </c>
      <c r="C1247" s="124">
        <v>46336</v>
      </c>
      <c r="D1247" s="124" t="s">
        <v>492</v>
      </c>
      <c r="E1247" s="21">
        <v>0.96022313000000004</v>
      </c>
      <c r="F1247" s="10"/>
      <c r="G1247" s="14">
        <v>2510000.36</v>
      </c>
      <c r="H1247" s="14">
        <v>2410160.39</v>
      </c>
      <c r="I1247" s="14">
        <v>2510000.36</v>
      </c>
      <c r="J1247" s="14">
        <v>2410160.39</v>
      </c>
      <c r="K1247" s="12">
        <v>3160</v>
      </c>
      <c r="L1247" s="10" t="s">
        <v>101</v>
      </c>
      <c r="M1247" s="10" t="s">
        <v>102</v>
      </c>
      <c r="N1247" s="124" t="s">
        <v>163</v>
      </c>
      <c r="O1247" s="124" t="s">
        <v>163</v>
      </c>
      <c r="P1247" s="21">
        <v>36</v>
      </c>
      <c r="Q1247" s="10" t="s">
        <v>54</v>
      </c>
      <c r="R1247" s="10" t="s">
        <v>28</v>
      </c>
      <c r="S1247" s="10"/>
      <c r="T1247" s="10"/>
      <c r="U1247" s="10" t="s">
        <v>1634</v>
      </c>
      <c r="V1247" s="10" t="s">
        <v>1634</v>
      </c>
      <c r="W1247" s="50">
        <f>+J1247/$W$2</f>
        <v>3.2042043168632801E-5</v>
      </c>
    </row>
    <row r="1248" spans="1:29">
      <c r="A1248" s="10" t="s">
        <v>353</v>
      </c>
      <c r="B1248" s="10" t="s">
        <v>381</v>
      </c>
      <c r="C1248" s="124">
        <v>46336</v>
      </c>
      <c r="D1248" s="124" t="s">
        <v>492</v>
      </c>
      <c r="E1248" s="21">
        <v>0.96022322000000004</v>
      </c>
      <c r="F1248" s="10"/>
      <c r="G1248" s="14">
        <v>3625698.78</v>
      </c>
      <c r="H1248" s="14">
        <v>3481480.17</v>
      </c>
      <c r="I1248" s="14">
        <v>3625698.78</v>
      </c>
      <c r="J1248" s="14">
        <v>3481480.17</v>
      </c>
      <c r="K1248" s="12">
        <v>3352</v>
      </c>
      <c r="L1248" s="10" t="s">
        <v>101</v>
      </c>
      <c r="M1248" s="10" t="s">
        <v>102</v>
      </c>
      <c r="N1248" s="124" t="s">
        <v>348</v>
      </c>
      <c r="O1248" s="124" t="s">
        <v>348</v>
      </c>
      <c r="P1248" s="21">
        <v>36</v>
      </c>
      <c r="Q1248" s="10" t="s">
        <v>54</v>
      </c>
      <c r="R1248" s="10" t="s">
        <v>28</v>
      </c>
      <c r="S1248" s="10"/>
      <c r="T1248" s="10"/>
      <c r="U1248" s="10" t="s">
        <v>1911</v>
      </c>
      <c r="V1248" s="10" t="s">
        <v>1911</v>
      </c>
      <c r="W1248" s="50">
        <f>+J1248/$W$2</f>
        <v>4.628477771053198E-5</v>
      </c>
      <c r="AC1248" s="47"/>
    </row>
    <row r="1249" spans="1:29">
      <c r="A1249" s="10" t="s">
        <v>353</v>
      </c>
      <c r="B1249" s="10" t="s">
        <v>381</v>
      </c>
      <c r="C1249" s="124">
        <v>46336</v>
      </c>
      <c r="D1249" s="124" t="s">
        <v>492</v>
      </c>
      <c r="E1249" s="21">
        <v>0.96128528000000002</v>
      </c>
      <c r="F1249" s="10"/>
      <c r="G1249" s="14">
        <v>1250300.6499999999</v>
      </c>
      <c r="H1249" s="14">
        <v>1201895.6100000001</v>
      </c>
      <c r="I1249" s="14">
        <v>1250300.6499999999</v>
      </c>
      <c r="J1249" s="14">
        <v>1201895.6100000001</v>
      </c>
      <c r="K1249" s="12">
        <v>3582</v>
      </c>
      <c r="L1249" s="10" t="s">
        <v>101</v>
      </c>
      <c r="M1249" s="10" t="s">
        <v>102</v>
      </c>
      <c r="N1249" s="124" t="s">
        <v>422</v>
      </c>
      <c r="O1249" s="124" t="s">
        <v>422</v>
      </c>
      <c r="P1249" s="21">
        <v>35</v>
      </c>
      <c r="Q1249" s="10" t="s">
        <v>54</v>
      </c>
      <c r="R1249" s="10" t="s">
        <v>28</v>
      </c>
      <c r="S1249" s="10"/>
      <c r="T1249" s="10"/>
      <c r="U1249" s="10" t="s">
        <v>2744</v>
      </c>
      <c r="V1249" s="10" t="s">
        <v>2744</v>
      </c>
      <c r="W1249" s="50">
        <f>+J1249/$W$2</f>
        <v>1.5978683899875335E-5</v>
      </c>
    </row>
    <row r="1250" spans="1:29">
      <c r="A1250" s="10" t="s">
        <v>353</v>
      </c>
      <c r="B1250" s="10" t="s">
        <v>381</v>
      </c>
      <c r="C1250" s="124">
        <v>46336</v>
      </c>
      <c r="D1250" s="124" t="s">
        <v>492</v>
      </c>
      <c r="E1250" s="21">
        <v>0.96128528999999996</v>
      </c>
      <c r="F1250" s="10"/>
      <c r="G1250" s="14">
        <v>1555000.5</v>
      </c>
      <c r="H1250" s="14">
        <v>1494799.1</v>
      </c>
      <c r="I1250" s="14">
        <v>1555000.5</v>
      </c>
      <c r="J1250" s="14">
        <v>1494799.1</v>
      </c>
      <c r="K1250" s="12">
        <v>3581</v>
      </c>
      <c r="L1250" s="10" t="s">
        <v>101</v>
      </c>
      <c r="M1250" s="10" t="s">
        <v>102</v>
      </c>
      <c r="N1250" s="124" t="s">
        <v>422</v>
      </c>
      <c r="O1250" s="124" t="s">
        <v>420</v>
      </c>
      <c r="P1250" s="21">
        <v>35</v>
      </c>
      <c r="Q1250" s="10" t="s">
        <v>54</v>
      </c>
      <c r="R1250" s="10" t="s">
        <v>28</v>
      </c>
      <c r="S1250" s="10"/>
      <c r="T1250" s="10"/>
      <c r="U1250" s="10" t="s">
        <v>2754</v>
      </c>
      <c r="V1250" s="10" t="s">
        <v>2754</v>
      </c>
      <c r="W1250" s="50">
        <f>+J1250/$W$2</f>
        <v>1.9872709504877998E-5</v>
      </c>
    </row>
    <row r="1251" spans="1:29">
      <c r="A1251" s="10" t="s">
        <v>849</v>
      </c>
      <c r="B1251" s="10" t="s">
        <v>381</v>
      </c>
      <c r="C1251" s="124">
        <v>46336</v>
      </c>
      <c r="D1251" s="124" t="s">
        <v>492</v>
      </c>
      <c r="E1251" s="21">
        <v>0.95916343999999998</v>
      </c>
      <c r="F1251" s="10"/>
      <c r="G1251" s="14">
        <v>25000000</v>
      </c>
      <c r="H1251" s="14">
        <v>23979086.010000002</v>
      </c>
      <c r="I1251" s="14">
        <v>25000000</v>
      </c>
      <c r="J1251" s="14">
        <v>23979086.010000002</v>
      </c>
      <c r="K1251" s="12">
        <v>2596</v>
      </c>
      <c r="L1251" s="10" t="s">
        <v>101</v>
      </c>
      <c r="M1251" s="10" t="s">
        <v>102</v>
      </c>
      <c r="N1251" s="124" t="s">
        <v>349</v>
      </c>
      <c r="O1251" s="124" t="s">
        <v>349</v>
      </c>
      <c r="P1251" s="21">
        <v>37</v>
      </c>
      <c r="Q1251" s="10" t="s">
        <v>54</v>
      </c>
      <c r="R1251" s="10" t="s">
        <v>28</v>
      </c>
      <c r="S1251" s="10"/>
      <c r="T1251" s="10"/>
      <c r="U1251" s="10" t="s">
        <v>1344</v>
      </c>
      <c r="V1251" s="10" t="s">
        <v>1344</v>
      </c>
      <c r="W1251" s="50">
        <f>+J1251/$W$2</f>
        <v>3.1879160916621776E-4</v>
      </c>
    </row>
    <row r="1252" spans="1:29">
      <c r="A1252" s="10" t="s">
        <v>2600</v>
      </c>
      <c r="B1252" s="10" t="s">
        <v>381</v>
      </c>
      <c r="C1252" s="124">
        <v>46336</v>
      </c>
      <c r="D1252" s="124" t="s">
        <v>492</v>
      </c>
      <c r="E1252" s="21">
        <v>0.96341670999999995</v>
      </c>
      <c r="F1252" s="10"/>
      <c r="G1252" s="14">
        <v>5300000</v>
      </c>
      <c r="H1252" s="14">
        <v>5106108.58</v>
      </c>
      <c r="I1252" s="14">
        <v>5300000</v>
      </c>
      <c r="J1252" s="14">
        <v>5106108.58</v>
      </c>
      <c r="K1252" s="12">
        <v>8175676</v>
      </c>
      <c r="L1252" s="10" t="s">
        <v>101</v>
      </c>
      <c r="M1252" s="10" t="s">
        <v>102</v>
      </c>
      <c r="N1252" s="124" t="s">
        <v>423</v>
      </c>
      <c r="O1252" s="124" t="s">
        <v>423</v>
      </c>
      <c r="P1252" s="21">
        <v>33</v>
      </c>
      <c r="Q1252" s="10" t="s">
        <v>54</v>
      </c>
      <c r="R1252" s="10" t="s">
        <v>28</v>
      </c>
      <c r="S1252" s="10"/>
      <c r="T1252" s="10"/>
      <c r="U1252" s="10" t="s">
        <v>2473</v>
      </c>
      <c r="V1252" s="10" t="s">
        <v>2473</v>
      </c>
      <c r="W1252" s="50">
        <f>+J1252/$W$2</f>
        <v>6.7883511911871698E-5</v>
      </c>
    </row>
    <row r="1253" spans="1:29">
      <c r="A1253" s="10" t="s">
        <v>2601</v>
      </c>
      <c r="B1253" s="10" t="s">
        <v>381</v>
      </c>
      <c r="C1253" s="124">
        <v>46336</v>
      </c>
      <c r="D1253" s="124" t="s">
        <v>492</v>
      </c>
      <c r="E1253" s="21">
        <v>0.96341672</v>
      </c>
      <c r="F1253" s="10"/>
      <c r="G1253" s="14">
        <v>5561000</v>
      </c>
      <c r="H1253" s="14">
        <v>5357560.3499999996</v>
      </c>
      <c r="I1253" s="14">
        <v>5561000</v>
      </c>
      <c r="J1253" s="14">
        <v>5357560.3499999996</v>
      </c>
      <c r="K1253" s="12">
        <v>14101158</v>
      </c>
      <c r="L1253" s="10" t="s">
        <v>101</v>
      </c>
      <c r="M1253" s="10" t="s">
        <v>102</v>
      </c>
      <c r="N1253" s="124" t="s">
        <v>423</v>
      </c>
      <c r="O1253" s="124" t="s">
        <v>423</v>
      </c>
      <c r="P1253" s="21">
        <v>33</v>
      </c>
      <c r="Q1253" s="10" t="s">
        <v>54</v>
      </c>
      <c r="R1253" s="10" t="s">
        <v>28</v>
      </c>
      <c r="S1253" s="10"/>
      <c r="T1253" s="10"/>
      <c r="U1253" s="10" t="s">
        <v>2498</v>
      </c>
      <c r="V1253" s="10" t="s">
        <v>2498</v>
      </c>
      <c r="W1253" s="50">
        <f>+J1253/$W$2</f>
        <v>7.1226454772686494E-5</v>
      </c>
    </row>
    <row r="1254" spans="1:29">
      <c r="A1254" s="10" t="s">
        <v>162</v>
      </c>
      <c r="B1254" s="10" t="s">
        <v>381</v>
      </c>
      <c r="C1254" s="124">
        <v>46336</v>
      </c>
      <c r="D1254" s="124" t="s">
        <v>492</v>
      </c>
      <c r="E1254" s="21">
        <v>0.96341664999999999</v>
      </c>
      <c r="F1254" s="10"/>
      <c r="G1254" s="14">
        <v>933333333</v>
      </c>
      <c r="H1254" s="14">
        <v>899188873.85000002</v>
      </c>
      <c r="I1254" s="14">
        <v>933333333</v>
      </c>
      <c r="J1254" s="14">
        <v>899188873.85000002</v>
      </c>
      <c r="K1254" s="12">
        <v>154563</v>
      </c>
      <c r="L1254" s="10" t="s">
        <v>101</v>
      </c>
      <c r="M1254" s="10" t="s">
        <v>102</v>
      </c>
      <c r="N1254" s="124" t="s">
        <v>387</v>
      </c>
      <c r="O1254" s="124" t="s">
        <v>387</v>
      </c>
      <c r="P1254" s="21">
        <v>33</v>
      </c>
      <c r="Q1254" s="10" t="s">
        <v>54</v>
      </c>
      <c r="R1254" s="10" t="s">
        <v>28</v>
      </c>
      <c r="S1254" s="10"/>
      <c r="T1254" s="10"/>
      <c r="U1254" s="10" t="s">
        <v>729</v>
      </c>
      <c r="V1254" s="10" t="s">
        <v>729</v>
      </c>
      <c r="W1254" s="50">
        <f>+J1254/$W$2</f>
        <v>1.1954328364286169E-2</v>
      </c>
    </row>
    <row r="1255" spans="1:29">
      <c r="A1255" s="10" t="s">
        <v>1102</v>
      </c>
      <c r="B1255" s="10" t="s">
        <v>381</v>
      </c>
      <c r="C1255" s="124">
        <v>46336</v>
      </c>
      <c r="D1255" s="124" t="s">
        <v>492</v>
      </c>
      <c r="E1255" s="21">
        <v>0.96022311000000005</v>
      </c>
      <c r="F1255" s="10"/>
      <c r="G1255" s="14">
        <v>3140560.45</v>
      </c>
      <c r="H1255" s="14">
        <v>3015638.72</v>
      </c>
      <c r="I1255" s="14">
        <v>3140560.45</v>
      </c>
      <c r="J1255" s="14">
        <v>3015638.72</v>
      </c>
      <c r="K1255" s="12">
        <v>1116</v>
      </c>
      <c r="L1255" s="10" t="s">
        <v>101</v>
      </c>
      <c r="M1255" s="10" t="s">
        <v>102</v>
      </c>
      <c r="N1255" s="124" t="s">
        <v>390</v>
      </c>
      <c r="O1255" s="124" t="s">
        <v>390</v>
      </c>
      <c r="P1255" s="21">
        <v>36</v>
      </c>
      <c r="Q1255" s="10" t="s">
        <v>54</v>
      </c>
      <c r="R1255" s="10" t="s">
        <v>28</v>
      </c>
      <c r="S1255" s="10"/>
      <c r="T1255" s="10"/>
      <c r="U1255" s="10" t="s">
        <v>2039</v>
      </c>
      <c r="V1255" s="10" t="s">
        <v>2039</v>
      </c>
      <c r="W1255" s="50">
        <f>+J1255/$W$2</f>
        <v>4.0091616494967197E-5</v>
      </c>
    </row>
    <row r="1256" spans="1:29">
      <c r="A1256" s="10" t="s">
        <v>1102</v>
      </c>
      <c r="B1256" s="10" t="s">
        <v>381</v>
      </c>
      <c r="C1256" s="124">
        <v>46336</v>
      </c>
      <c r="D1256" s="124" t="s">
        <v>492</v>
      </c>
      <c r="E1256" s="21">
        <v>0.96022324999999997</v>
      </c>
      <c r="F1256" s="10"/>
      <c r="G1256" s="14">
        <v>1555000.5</v>
      </c>
      <c r="H1256" s="14">
        <v>1493147.64</v>
      </c>
      <c r="I1256" s="14">
        <v>1555000.5</v>
      </c>
      <c r="J1256" s="14">
        <v>1493147.64</v>
      </c>
      <c r="K1256" s="12">
        <v>1284</v>
      </c>
      <c r="L1256" s="10" t="s">
        <v>101</v>
      </c>
      <c r="M1256" s="10" t="s">
        <v>102</v>
      </c>
      <c r="N1256" s="124" t="s">
        <v>532</v>
      </c>
      <c r="O1256" s="124" t="s">
        <v>532</v>
      </c>
      <c r="P1256" s="21">
        <v>36</v>
      </c>
      <c r="Q1256" s="10" t="s">
        <v>54</v>
      </c>
      <c r="R1256" s="10" t="s">
        <v>28</v>
      </c>
      <c r="S1256" s="10"/>
      <c r="T1256" s="10"/>
      <c r="U1256" s="10" t="s">
        <v>3095</v>
      </c>
      <c r="V1256" s="10" t="s">
        <v>3095</v>
      </c>
      <c r="W1256" s="50">
        <f>+J1256/$W$2</f>
        <v>1.985075405625689E-5</v>
      </c>
    </row>
    <row r="1257" spans="1:29">
      <c r="A1257" s="10" t="s">
        <v>353</v>
      </c>
      <c r="B1257" s="10" t="s">
        <v>381</v>
      </c>
      <c r="C1257" s="124">
        <v>46336</v>
      </c>
      <c r="D1257" s="124" t="s">
        <v>492</v>
      </c>
      <c r="E1257" s="21">
        <v>0.96341668000000003</v>
      </c>
      <c r="F1257" s="10"/>
      <c r="G1257" s="14">
        <v>2502550.36</v>
      </c>
      <c r="H1257" s="14">
        <v>2410998.75</v>
      </c>
      <c r="I1257" s="14">
        <v>2502550.36</v>
      </c>
      <c r="J1257" s="14">
        <v>2410998.75</v>
      </c>
      <c r="K1257" s="12">
        <v>3145</v>
      </c>
      <c r="L1257" s="10" t="s">
        <v>101</v>
      </c>
      <c r="M1257" s="10" t="s">
        <v>102</v>
      </c>
      <c r="N1257" s="124" t="s">
        <v>364</v>
      </c>
      <c r="O1257" s="124" t="s">
        <v>364</v>
      </c>
      <c r="P1257" s="21">
        <v>33</v>
      </c>
      <c r="Q1257" s="10" t="s">
        <v>54</v>
      </c>
      <c r="R1257" s="10" t="s">
        <v>28</v>
      </c>
      <c r="S1257" s="10"/>
      <c r="T1257" s="10"/>
      <c r="U1257" s="10" t="s">
        <v>1137</v>
      </c>
      <c r="V1257" s="10" t="s">
        <v>1137</v>
      </c>
      <c r="W1257" s="50">
        <f>+J1257/$W$2</f>
        <v>3.2053188803347535E-5</v>
      </c>
    </row>
    <row r="1258" spans="1:29">
      <c r="A1258" s="10" t="s">
        <v>353</v>
      </c>
      <c r="B1258" s="10" t="s">
        <v>381</v>
      </c>
      <c r="C1258" s="124">
        <v>46336</v>
      </c>
      <c r="D1258" s="124" t="s">
        <v>492</v>
      </c>
      <c r="E1258" s="21">
        <v>0.96234980999999997</v>
      </c>
      <c r="F1258" s="10"/>
      <c r="G1258" s="14">
        <v>1020845.65</v>
      </c>
      <c r="H1258" s="14">
        <v>982410.62</v>
      </c>
      <c r="I1258" s="14">
        <v>1020845.65</v>
      </c>
      <c r="J1258" s="14">
        <v>982410.62</v>
      </c>
      <c r="K1258" s="12">
        <v>2913</v>
      </c>
      <c r="L1258" s="10" t="s">
        <v>101</v>
      </c>
      <c r="M1258" s="10" t="s">
        <v>102</v>
      </c>
      <c r="N1258" s="124" t="s">
        <v>326</v>
      </c>
      <c r="O1258" s="124" t="s">
        <v>326</v>
      </c>
      <c r="P1258" s="21">
        <v>34</v>
      </c>
      <c r="Q1258" s="10" t="s">
        <v>54</v>
      </c>
      <c r="R1258" s="10" t="s">
        <v>28</v>
      </c>
      <c r="S1258" s="10"/>
      <c r="T1258" s="10"/>
      <c r="U1258" s="10" t="s">
        <v>958</v>
      </c>
      <c r="V1258" s="10" t="s">
        <v>958</v>
      </c>
      <c r="W1258" s="50">
        <f>+J1258/$W$2</f>
        <v>1.3060725595678433E-5</v>
      </c>
      <c r="AC1258" s="47"/>
    </row>
    <row r="1259" spans="1:29">
      <c r="A1259" s="10" t="s">
        <v>353</v>
      </c>
      <c r="B1259" s="10" t="s">
        <v>381</v>
      </c>
      <c r="C1259" s="124">
        <v>46336</v>
      </c>
      <c r="D1259" s="124" t="s">
        <v>492</v>
      </c>
      <c r="E1259" s="21">
        <v>0.96234980999999997</v>
      </c>
      <c r="F1259" s="10"/>
      <c r="G1259" s="14">
        <v>990902.64</v>
      </c>
      <c r="H1259" s="14">
        <v>953594.97</v>
      </c>
      <c r="I1259" s="14">
        <v>990902.64</v>
      </c>
      <c r="J1259" s="14">
        <v>953594.97</v>
      </c>
      <c r="K1259" s="12">
        <v>2963</v>
      </c>
      <c r="L1259" s="10" t="s">
        <v>101</v>
      </c>
      <c r="M1259" s="10" t="s">
        <v>102</v>
      </c>
      <c r="N1259" s="124" t="s">
        <v>326</v>
      </c>
      <c r="O1259" s="124" t="s">
        <v>326</v>
      </c>
      <c r="P1259" s="21">
        <v>34</v>
      </c>
      <c r="Q1259" s="10" t="s">
        <v>54</v>
      </c>
      <c r="R1259" s="10" t="s">
        <v>28</v>
      </c>
      <c r="S1259" s="10"/>
      <c r="T1259" s="10"/>
      <c r="U1259" s="10" t="s">
        <v>963</v>
      </c>
      <c r="V1259" s="10" t="s">
        <v>963</v>
      </c>
      <c r="W1259" s="50">
        <f>+J1259/$W$2</f>
        <v>1.267763395370177E-5</v>
      </c>
    </row>
    <row r="1260" spans="1:29">
      <c r="A1260" s="10" t="s">
        <v>273</v>
      </c>
      <c r="B1260" s="10" t="s">
        <v>381</v>
      </c>
      <c r="C1260" s="124">
        <v>46336</v>
      </c>
      <c r="D1260" s="124" t="s">
        <v>492</v>
      </c>
      <c r="E1260" s="21">
        <v>0.96663147999999999</v>
      </c>
      <c r="F1260" s="10"/>
      <c r="G1260" s="14">
        <v>10000000</v>
      </c>
      <c r="H1260" s="14">
        <v>9666314.75</v>
      </c>
      <c r="I1260" s="14">
        <v>10000000</v>
      </c>
      <c r="J1260" s="14">
        <v>9666314.75</v>
      </c>
      <c r="K1260" s="12">
        <v>68856195</v>
      </c>
      <c r="L1260" s="10" t="s">
        <v>101</v>
      </c>
      <c r="M1260" s="10" t="s">
        <v>102</v>
      </c>
      <c r="N1260" s="124" t="s">
        <v>322</v>
      </c>
      <c r="O1260" s="124" t="s">
        <v>322</v>
      </c>
      <c r="P1260" s="21">
        <v>30</v>
      </c>
      <c r="Q1260" s="10" t="s">
        <v>54</v>
      </c>
      <c r="R1260" s="10" t="s">
        <v>28</v>
      </c>
      <c r="S1260" s="10"/>
      <c r="T1260" s="10"/>
      <c r="U1260" s="10" t="s">
        <v>1577</v>
      </c>
      <c r="V1260" s="10" t="s">
        <v>1577</v>
      </c>
      <c r="W1260" s="50">
        <f>+J1260/$W$2</f>
        <v>1.2850948666577827E-4</v>
      </c>
    </row>
    <row r="1261" spans="1:29">
      <c r="A1261" s="10" t="s">
        <v>273</v>
      </c>
      <c r="B1261" s="10" t="s">
        <v>381</v>
      </c>
      <c r="C1261" s="124">
        <v>46336</v>
      </c>
      <c r="D1261" s="124" t="s">
        <v>492</v>
      </c>
      <c r="E1261" s="21">
        <v>0.96663147999999999</v>
      </c>
      <c r="F1261" s="10"/>
      <c r="G1261" s="14">
        <v>3000000</v>
      </c>
      <c r="H1261" s="14">
        <v>2899894.43</v>
      </c>
      <c r="I1261" s="14">
        <v>3000000</v>
      </c>
      <c r="J1261" s="14">
        <v>2899894.43</v>
      </c>
      <c r="K1261" s="12">
        <v>12759460</v>
      </c>
      <c r="L1261" s="10" t="s">
        <v>101</v>
      </c>
      <c r="M1261" s="10" t="s">
        <v>102</v>
      </c>
      <c r="N1261" s="124" t="s">
        <v>322</v>
      </c>
      <c r="O1261" s="124" t="s">
        <v>322</v>
      </c>
      <c r="P1261" s="21">
        <v>30</v>
      </c>
      <c r="Q1261" s="10" t="s">
        <v>54</v>
      </c>
      <c r="R1261" s="10" t="s">
        <v>28</v>
      </c>
      <c r="S1261" s="10"/>
      <c r="T1261" s="10"/>
      <c r="U1261" s="10" t="s">
        <v>1570</v>
      </c>
      <c r="V1261" s="10" t="s">
        <v>1570</v>
      </c>
      <c r="W1261" s="50">
        <f>+J1261/$W$2</f>
        <v>3.8552846066206332E-5</v>
      </c>
    </row>
    <row r="1262" spans="1:29">
      <c r="A1262" s="10" t="s">
        <v>1812</v>
      </c>
      <c r="B1262" s="10" t="s">
        <v>381</v>
      </c>
      <c r="C1262" s="124">
        <v>46336</v>
      </c>
      <c r="D1262" s="124" t="s">
        <v>492</v>
      </c>
      <c r="E1262" s="21">
        <v>0.96448593000000005</v>
      </c>
      <c r="F1262" s="10"/>
      <c r="G1262" s="14">
        <v>5082311.97</v>
      </c>
      <c r="H1262" s="14">
        <v>4901818.3899999997</v>
      </c>
      <c r="I1262" s="14">
        <v>5082311.97</v>
      </c>
      <c r="J1262" s="14">
        <v>4901818.3899999997</v>
      </c>
      <c r="K1262" s="12">
        <v>69012952</v>
      </c>
      <c r="L1262" s="10" t="s">
        <v>101</v>
      </c>
      <c r="M1262" s="10" t="s">
        <v>102</v>
      </c>
      <c r="N1262" s="124" t="s">
        <v>398</v>
      </c>
      <c r="O1262" s="124" t="s">
        <v>398</v>
      </c>
      <c r="P1262" s="21">
        <v>32</v>
      </c>
      <c r="Q1262" s="10" t="s">
        <v>54</v>
      </c>
      <c r="R1262" s="10" t="s">
        <v>28</v>
      </c>
      <c r="S1262" s="10"/>
      <c r="T1262" s="10"/>
      <c r="U1262" s="10" t="s">
        <v>1769</v>
      </c>
      <c r="V1262" s="10" t="s">
        <v>1769</v>
      </c>
      <c r="W1262" s="50">
        <f>+J1262/$W$2</f>
        <v>6.5167561921959113E-5</v>
      </c>
    </row>
    <row r="1263" spans="1:29">
      <c r="A1263" s="10" t="s">
        <v>719</v>
      </c>
      <c r="B1263" s="10" t="s">
        <v>381</v>
      </c>
      <c r="C1263" s="124">
        <v>46336</v>
      </c>
      <c r="D1263" s="124" t="s">
        <v>492</v>
      </c>
      <c r="E1263" s="21">
        <v>0.96663146</v>
      </c>
      <c r="F1263" s="10"/>
      <c r="G1263" s="14">
        <v>2700000</v>
      </c>
      <c r="H1263" s="14">
        <v>2609904.9500000002</v>
      </c>
      <c r="I1263" s="14">
        <v>2700000</v>
      </c>
      <c r="J1263" s="14">
        <v>2609904.9500000002</v>
      </c>
      <c r="K1263" s="12">
        <v>6911</v>
      </c>
      <c r="L1263" s="10" t="s">
        <v>101</v>
      </c>
      <c r="M1263" s="10" t="s">
        <v>102</v>
      </c>
      <c r="N1263" s="124" t="s">
        <v>552</v>
      </c>
      <c r="O1263" s="124" t="s">
        <v>552</v>
      </c>
      <c r="P1263" s="21">
        <v>30</v>
      </c>
      <c r="Q1263" s="10" t="s">
        <v>54</v>
      </c>
      <c r="R1263" s="10" t="s">
        <v>28</v>
      </c>
      <c r="S1263" s="10"/>
      <c r="T1263" s="10"/>
      <c r="U1263" s="10" t="s">
        <v>2392</v>
      </c>
      <c r="V1263" s="10" t="s">
        <v>2392</v>
      </c>
      <c r="W1263" s="50">
        <f>+J1263/$W$2</f>
        <v>3.4697560967686653E-5</v>
      </c>
    </row>
    <row r="1264" spans="1:29">
      <c r="A1264" s="10" t="s">
        <v>1291</v>
      </c>
      <c r="B1264" s="10" t="s">
        <v>381</v>
      </c>
      <c r="C1264" s="124">
        <v>46336</v>
      </c>
      <c r="D1264" s="124" t="s">
        <v>492</v>
      </c>
      <c r="E1264" s="21">
        <v>0.97531000000000001</v>
      </c>
      <c r="F1264" s="10"/>
      <c r="G1264" s="14">
        <v>5300000</v>
      </c>
      <c r="H1264" s="14">
        <v>5169143</v>
      </c>
      <c r="I1264" s="14">
        <v>5300000</v>
      </c>
      <c r="J1264" s="14">
        <v>5169143</v>
      </c>
      <c r="K1264" s="12">
        <v>3</v>
      </c>
      <c r="L1264" s="10" t="s">
        <v>101</v>
      </c>
      <c r="M1264" s="10" t="s">
        <v>102</v>
      </c>
      <c r="N1264" s="124" t="s">
        <v>391</v>
      </c>
      <c r="O1264" s="124" t="s">
        <v>391</v>
      </c>
      <c r="P1264" s="21">
        <v>22</v>
      </c>
      <c r="Q1264" s="10" t="s">
        <v>54</v>
      </c>
      <c r="R1264" s="10" t="s">
        <v>28</v>
      </c>
      <c r="S1264" s="10"/>
      <c r="T1264" s="10"/>
      <c r="U1264" s="10" t="s">
        <v>1293</v>
      </c>
      <c r="V1264" s="10" t="s">
        <v>1293</v>
      </c>
      <c r="W1264" s="50">
        <f>+J1264/$W$2</f>
        <v>6.8721527346499986E-5</v>
      </c>
    </row>
    <row r="1265" spans="1:29">
      <c r="A1265" s="10" t="s">
        <v>471</v>
      </c>
      <c r="B1265" s="10" t="s">
        <v>381</v>
      </c>
      <c r="C1265" s="124">
        <v>46336</v>
      </c>
      <c r="D1265" s="124" t="s">
        <v>492</v>
      </c>
      <c r="E1265" s="21">
        <v>0.96986775999999997</v>
      </c>
      <c r="F1265" s="10"/>
      <c r="G1265" s="14">
        <v>2500000</v>
      </c>
      <c r="H1265" s="14">
        <v>2424669.41</v>
      </c>
      <c r="I1265" s="14">
        <v>2500000</v>
      </c>
      <c r="J1265" s="14">
        <v>2424669.41</v>
      </c>
      <c r="K1265" s="12">
        <v>53553933</v>
      </c>
      <c r="L1265" s="10" t="s">
        <v>101</v>
      </c>
      <c r="M1265" s="10" t="s">
        <v>102</v>
      </c>
      <c r="N1265" s="124" t="s">
        <v>531</v>
      </c>
      <c r="O1265" s="124" t="s">
        <v>531</v>
      </c>
      <c r="P1265" s="21">
        <v>27</v>
      </c>
      <c r="Q1265" s="10" t="s">
        <v>54</v>
      </c>
      <c r="R1265" s="10" t="s">
        <v>28</v>
      </c>
      <c r="S1265" s="10"/>
      <c r="T1265" s="10"/>
      <c r="U1265" s="10" t="s">
        <v>3369</v>
      </c>
      <c r="V1265" s="10" t="s">
        <v>3369</v>
      </c>
      <c r="W1265" s="50">
        <f>+J1265/$W$2</f>
        <v>3.223493433351273E-5</v>
      </c>
    </row>
    <row r="1266" spans="1:29">
      <c r="A1266" s="10" t="s">
        <v>688</v>
      </c>
      <c r="B1266" s="10" t="s">
        <v>381</v>
      </c>
      <c r="C1266" s="124">
        <v>46336</v>
      </c>
      <c r="D1266" s="124" t="s">
        <v>492</v>
      </c>
      <c r="E1266" s="21">
        <v>0.95810598000000002</v>
      </c>
      <c r="F1266" s="10"/>
      <c r="G1266" s="14">
        <v>25000000</v>
      </c>
      <c r="H1266" s="14">
        <v>23952649.460000001</v>
      </c>
      <c r="I1266" s="14">
        <v>25000000</v>
      </c>
      <c r="J1266" s="14">
        <v>23952649.460000001</v>
      </c>
      <c r="K1266" s="12">
        <v>70393074</v>
      </c>
      <c r="L1266" s="10" t="s">
        <v>101</v>
      </c>
      <c r="M1266" s="10" t="s">
        <v>102</v>
      </c>
      <c r="N1266" s="124" t="s">
        <v>416</v>
      </c>
      <c r="O1266" s="124" t="s">
        <v>416</v>
      </c>
      <c r="P1266" s="21">
        <v>38</v>
      </c>
      <c r="Q1266" s="10" t="s">
        <v>54</v>
      </c>
      <c r="R1266" s="10" t="s">
        <v>28</v>
      </c>
      <c r="S1266" s="10"/>
      <c r="T1266" s="10"/>
      <c r="U1266" s="10" t="s">
        <v>2155</v>
      </c>
      <c r="V1266" s="10" t="s">
        <v>2155</v>
      </c>
      <c r="W1266" s="50">
        <f>+J1266/$W$2</f>
        <v>3.1844014663291731E-4</v>
      </c>
    </row>
    <row r="1267" spans="1:29">
      <c r="A1267" s="10" t="s">
        <v>688</v>
      </c>
      <c r="B1267" s="10" t="s">
        <v>381</v>
      </c>
      <c r="C1267" s="124">
        <v>46336</v>
      </c>
      <c r="D1267" s="124" t="s">
        <v>492</v>
      </c>
      <c r="E1267" s="21">
        <v>0.95810598000000002</v>
      </c>
      <c r="F1267" s="10"/>
      <c r="G1267" s="14">
        <v>25000000</v>
      </c>
      <c r="H1267" s="14">
        <v>23952649.460000001</v>
      </c>
      <c r="I1267" s="14">
        <v>25000000</v>
      </c>
      <c r="J1267" s="14">
        <v>23952649.460000001</v>
      </c>
      <c r="K1267" s="12">
        <v>70393075</v>
      </c>
      <c r="L1267" s="10" t="s">
        <v>101</v>
      </c>
      <c r="M1267" s="10" t="s">
        <v>102</v>
      </c>
      <c r="N1267" s="124" t="s">
        <v>416</v>
      </c>
      <c r="O1267" s="124" t="s">
        <v>416</v>
      </c>
      <c r="P1267" s="21">
        <v>38</v>
      </c>
      <c r="Q1267" s="10" t="s">
        <v>54</v>
      </c>
      <c r="R1267" s="10" t="s">
        <v>28</v>
      </c>
      <c r="S1267" s="10"/>
      <c r="T1267" s="10"/>
      <c r="U1267" s="10" t="s">
        <v>2156</v>
      </c>
      <c r="V1267" s="10" t="s">
        <v>2156</v>
      </c>
      <c r="W1267" s="50">
        <f>+J1267/$W$2</f>
        <v>3.1844014663291731E-4</v>
      </c>
    </row>
    <row r="1268" spans="1:29">
      <c r="A1268" s="10" t="s">
        <v>688</v>
      </c>
      <c r="B1268" s="10" t="s">
        <v>381</v>
      </c>
      <c r="C1268" s="124">
        <v>46336</v>
      </c>
      <c r="D1268" s="124" t="s">
        <v>492</v>
      </c>
      <c r="E1268" s="21">
        <v>0.95810598000000002</v>
      </c>
      <c r="F1268" s="10"/>
      <c r="G1268" s="14">
        <v>25000000</v>
      </c>
      <c r="H1268" s="14">
        <v>23952649.460000001</v>
      </c>
      <c r="I1268" s="14">
        <v>25000000</v>
      </c>
      <c r="J1268" s="14">
        <v>23952649.460000001</v>
      </c>
      <c r="K1268" s="12">
        <v>70393076</v>
      </c>
      <c r="L1268" s="10" t="s">
        <v>101</v>
      </c>
      <c r="M1268" s="10" t="s">
        <v>102</v>
      </c>
      <c r="N1268" s="124" t="s">
        <v>416</v>
      </c>
      <c r="O1268" s="124" t="s">
        <v>416</v>
      </c>
      <c r="P1268" s="21">
        <v>38</v>
      </c>
      <c r="Q1268" s="10" t="s">
        <v>54</v>
      </c>
      <c r="R1268" s="10" t="s">
        <v>28</v>
      </c>
      <c r="S1268" s="10"/>
      <c r="T1268" s="10"/>
      <c r="U1268" s="10" t="s">
        <v>2157</v>
      </c>
      <c r="V1268" s="10" t="s">
        <v>2157</v>
      </c>
      <c r="W1268" s="50">
        <f>+J1268/$W$2</f>
        <v>3.1844014663291731E-4</v>
      </c>
    </row>
    <row r="1269" spans="1:29">
      <c r="A1269" s="10" t="s">
        <v>688</v>
      </c>
      <c r="B1269" s="10" t="s">
        <v>381</v>
      </c>
      <c r="C1269" s="124">
        <v>46336</v>
      </c>
      <c r="D1269" s="124" t="s">
        <v>492</v>
      </c>
      <c r="E1269" s="21">
        <v>0.95810585999999998</v>
      </c>
      <c r="F1269" s="10"/>
      <c r="G1269" s="14">
        <v>60000000</v>
      </c>
      <c r="H1269" s="14">
        <v>57486351.479999997</v>
      </c>
      <c r="I1269" s="14">
        <v>60000000</v>
      </c>
      <c r="J1269" s="14">
        <v>57486351.479999997</v>
      </c>
      <c r="K1269" s="12">
        <v>70393050</v>
      </c>
      <c r="L1269" s="10" t="s">
        <v>101</v>
      </c>
      <c r="M1269" s="10" t="s">
        <v>102</v>
      </c>
      <c r="N1269" s="124" t="s">
        <v>390</v>
      </c>
      <c r="O1269" s="124" t="s">
        <v>390</v>
      </c>
      <c r="P1269" s="21">
        <v>38</v>
      </c>
      <c r="Q1269" s="10" t="s">
        <v>54</v>
      </c>
      <c r="R1269" s="10" t="s">
        <v>28</v>
      </c>
      <c r="S1269" s="10"/>
      <c r="T1269" s="10"/>
      <c r="U1269" s="10" t="s">
        <v>2057</v>
      </c>
      <c r="V1269" s="10" t="s">
        <v>2057</v>
      </c>
      <c r="W1269" s="50">
        <f>+J1269/$W$2</f>
        <v>7.6425625587903633E-4</v>
      </c>
      <c r="AC1269" s="47"/>
    </row>
    <row r="1270" spans="1:29">
      <c r="A1270" s="10" t="s">
        <v>1469</v>
      </c>
      <c r="B1270" s="10" t="s">
        <v>381</v>
      </c>
      <c r="C1270" s="124">
        <v>46336</v>
      </c>
      <c r="D1270" s="124" t="s">
        <v>492</v>
      </c>
      <c r="E1270" s="21">
        <v>0.95599791999999995</v>
      </c>
      <c r="F1270" s="10"/>
      <c r="G1270" s="14">
        <v>40000000</v>
      </c>
      <c r="H1270" s="14">
        <v>38239916.649999999</v>
      </c>
      <c r="I1270" s="14">
        <v>40000000</v>
      </c>
      <c r="J1270" s="14">
        <v>38239916.649999999</v>
      </c>
      <c r="K1270" s="12">
        <v>160531</v>
      </c>
      <c r="L1270" s="10" t="s">
        <v>101</v>
      </c>
      <c r="M1270" s="10" t="s">
        <v>102</v>
      </c>
      <c r="N1270" s="124" t="s">
        <v>397</v>
      </c>
      <c r="O1270" s="124" t="s">
        <v>397</v>
      </c>
      <c r="P1270" s="21">
        <v>40</v>
      </c>
      <c r="Q1270" s="10" t="s">
        <v>54</v>
      </c>
      <c r="R1270" s="10" t="s">
        <v>28</v>
      </c>
      <c r="S1270" s="10"/>
      <c r="T1270" s="10"/>
      <c r="U1270" s="10" t="s">
        <v>1438</v>
      </c>
      <c r="V1270" s="10" t="s">
        <v>1438</v>
      </c>
      <c r="W1270" s="50">
        <f>+J1270/$W$2</f>
        <v>5.0838320351958828E-4</v>
      </c>
    </row>
    <row r="1271" spans="1:29">
      <c r="A1271" s="10" t="s">
        <v>404</v>
      </c>
      <c r="B1271" s="10" t="s">
        <v>381</v>
      </c>
      <c r="C1271" s="124">
        <v>46336</v>
      </c>
      <c r="D1271" s="124" t="s">
        <v>492</v>
      </c>
      <c r="E1271" s="21">
        <v>0.96986779999999995</v>
      </c>
      <c r="F1271" s="10"/>
      <c r="G1271" s="14">
        <v>40000000</v>
      </c>
      <c r="H1271" s="14">
        <v>38794711.939999998</v>
      </c>
      <c r="I1271" s="14">
        <v>40000000</v>
      </c>
      <c r="J1271" s="14">
        <v>38794711.939999998</v>
      </c>
      <c r="K1271" s="12">
        <v>42634</v>
      </c>
      <c r="L1271" s="10" t="s">
        <v>101</v>
      </c>
      <c r="M1271" s="10" t="s">
        <v>102</v>
      </c>
      <c r="N1271" s="124" t="s">
        <v>532</v>
      </c>
      <c r="O1271" s="124" t="s">
        <v>532</v>
      </c>
      <c r="P1271" s="21">
        <v>27</v>
      </c>
      <c r="Q1271" s="10" t="s">
        <v>54</v>
      </c>
      <c r="R1271" s="10" t="s">
        <v>28</v>
      </c>
      <c r="S1271" s="10"/>
      <c r="T1271" s="10"/>
      <c r="U1271" s="10" t="s">
        <v>3063</v>
      </c>
      <c r="V1271" s="10" t="s">
        <v>3063</v>
      </c>
      <c r="W1271" s="50">
        <f>+J1271/$W$2</f>
        <v>5.1575896768270854E-4</v>
      </c>
    </row>
    <row r="1272" spans="1:29">
      <c r="A1272" s="10" t="s">
        <v>597</v>
      </c>
      <c r="B1272" s="10" t="s">
        <v>381</v>
      </c>
      <c r="C1272" s="124">
        <v>46336</v>
      </c>
      <c r="D1272" s="124" t="s">
        <v>492</v>
      </c>
      <c r="E1272" s="21">
        <v>0.95705074999999995</v>
      </c>
      <c r="F1272" s="10"/>
      <c r="G1272" s="14">
        <v>3750000</v>
      </c>
      <c r="H1272" s="14">
        <v>3588940.3</v>
      </c>
      <c r="I1272" s="14">
        <v>3750000</v>
      </c>
      <c r="J1272" s="14">
        <v>3588940.3</v>
      </c>
      <c r="K1272" s="12">
        <v>66918815</v>
      </c>
      <c r="L1272" s="10" t="s">
        <v>101</v>
      </c>
      <c r="M1272" s="10" t="s">
        <v>102</v>
      </c>
      <c r="N1272" s="124" t="s">
        <v>304</v>
      </c>
      <c r="O1272" s="124" t="s">
        <v>304</v>
      </c>
      <c r="P1272" s="21">
        <v>39</v>
      </c>
      <c r="Q1272" s="10" t="s">
        <v>54</v>
      </c>
      <c r="R1272" s="10" t="s">
        <v>28</v>
      </c>
      <c r="S1272" s="10"/>
      <c r="T1272" s="10"/>
      <c r="U1272" s="10" t="s">
        <v>592</v>
      </c>
      <c r="V1272" s="10" t="s">
        <v>592</v>
      </c>
      <c r="W1272" s="50">
        <f>+J1272/$W$2</f>
        <v>4.7713413804068846E-5</v>
      </c>
    </row>
    <row r="1273" spans="1:29">
      <c r="A1273" s="10" t="s">
        <v>604</v>
      </c>
      <c r="B1273" s="10" t="s">
        <v>381</v>
      </c>
      <c r="C1273" s="124">
        <v>46336</v>
      </c>
      <c r="D1273" s="124" t="s">
        <v>492</v>
      </c>
      <c r="E1273" s="21">
        <v>0.96022313000000004</v>
      </c>
      <c r="F1273" s="10"/>
      <c r="G1273" s="14">
        <v>4213657.9800000004</v>
      </c>
      <c r="H1273" s="14">
        <v>4046051.87</v>
      </c>
      <c r="I1273" s="14">
        <v>4213657.9800000004</v>
      </c>
      <c r="J1273" s="14">
        <v>4046051.87</v>
      </c>
      <c r="K1273" s="12">
        <v>425</v>
      </c>
      <c r="L1273" s="10" t="s">
        <v>101</v>
      </c>
      <c r="M1273" s="10" t="s">
        <v>102</v>
      </c>
      <c r="N1273" s="124" t="s">
        <v>163</v>
      </c>
      <c r="O1273" s="124" t="s">
        <v>163</v>
      </c>
      <c r="P1273" s="21">
        <v>36</v>
      </c>
      <c r="Q1273" s="10" t="s">
        <v>54</v>
      </c>
      <c r="R1273" s="10" t="s">
        <v>28</v>
      </c>
      <c r="S1273" s="10"/>
      <c r="T1273" s="10"/>
      <c r="U1273" s="10" t="s">
        <v>1625</v>
      </c>
      <c r="V1273" s="10" t="s">
        <v>1625</v>
      </c>
      <c r="W1273" s="50">
        <f>+J1273/$W$2</f>
        <v>5.3790515029195823E-5</v>
      </c>
    </row>
    <row r="1274" spans="1:29">
      <c r="A1274" s="10" t="s">
        <v>604</v>
      </c>
      <c r="B1274" s="10" t="s">
        <v>381</v>
      </c>
      <c r="C1274" s="124">
        <v>46336</v>
      </c>
      <c r="D1274" s="124" t="s">
        <v>492</v>
      </c>
      <c r="E1274" s="21">
        <v>0.96022313000000004</v>
      </c>
      <c r="F1274" s="10"/>
      <c r="G1274" s="14">
        <v>1555000.5</v>
      </c>
      <c r="H1274" s="14">
        <v>1493147.45</v>
      </c>
      <c r="I1274" s="14">
        <v>1555000.5</v>
      </c>
      <c r="J1274" s="14">
        <v>1493147.45</v>
      </c>
      <c r="K1274" s="12">
        <v>504</v>
      </c>
      <c r="L1274" s="10" t="s">
        <v>101</v>
      </c>
      <c r="M1274" s="10" t="s">
        <v>102</v>
      </c>
      <c r="N1274" s="124" t="s">
        <v>163</v>
      </c>
      <c r="O1274" s="124" t="s">
        <v>163</v>
      </c>
      <c r="P1274" s="21">
        <v>36</v>
      </c>
      <c r="Q1274" s="10" t="s">
        <v>54</v>
      </c>
      <c r="R1274" s="10" t="s">
        <v>28</v>
      </c>
      <c r="S1274" s="10"/>
      <c r="T1274" s="10"/>
      <c r="U1274" s="10" t="s">
        <v>1626</v>
      </c>
      <c r="V1274" s="10" t="s">
        <v>1626</v>
      </c>
      <c r="W1274" s="50">
        <f>+J1274/$W$2</f>
        <v>1.9850751530288814E-5</v>
      </c>
    </row>
    <row r="1275" spans="1:29">
      <c r="A1275" s="10" t="s">
        <v>607</v>
      </c>
      <c r="B1275" s="10" t="s">
        <v>381</v>
      </c>
      <c r="C1275" s="124">
        <v>46336</v>
      </c>
      <c r="D1275" s="124" t="s">
        <v>492</v>
      </c>
      <c r="E1275" s="21">
        <v>0.96341670999999995</v>
      </c>
      <c r="F1275" s="10"/>
      <c r="G1275" s="14">
        <v>1300000</v>
      </c>
      <c r="H1275" s="14">
        <v>1252441.72</v>
      </c>
      <c r="I1275" s="14">
        <v>1300000</v>
      </c>
      <c r="J1275" s="14">
        <v>1252441.72</v>
      </c>
      <c r="K1275" s="12">
        <v>557</v>
      </c>
      <c r="L1275" s="10" t="s">
        <v>101</v>
      </c>
      <c r="M1275" s="10" t="s">
        <v>102</v>
      </c>
      <c r="N1275" s="124" t="s">
        <v>164</v>
      </c>
      <c r="O1275" s="124" t="s">
        <v>164</v>
      </c>
      <c r="P1275" s="21">
        <v>33</v>
      </c>
      <c r="Q1275" s="10" t="s">
        <v>54</v>
      </c>
      <c r="R1275" s="10" t="s">
        <v>28</v>
      </c>
      <c r="S1275" s="10"/>
      <c r="T1275" s="10"/>
      <c r="U1275" s="10" t="s">
        <v>1957</v>
      </c>
      <c r="V1275" s="10" t="s">
        <v>1957</v>
      </c>
      <c r="W1275" s="50">
        <f>+J1275/$W$2</f>
        <v>1.6650672637781054E-5</v>
      </c>
    </row>
    <row r="1276" spans="1:29">
      <c r="A1276" s="10" t="s">
        <v>402</v>
      </c>
      <c r="B1276" s="10" t="s">
        <v>381</v>
      </c>
      <c r="C1276" s="124">
        <v>46336</v>
      </c>
      <c r="D1276" s="124" t="s">
        <v>492</v>
      </c>
      <c r="E1276" s="21">
        <v>0.96448586000000003</v>
      </c>
      <c r="F1276" s="10"/>
      <c r="G1276" s="14">
        <v>20000000</v>
      </c>
      <c r="H1276" s="14">
        <v>19289717.190000001</v>
      </c>
      <c r="I1276" s="14">
        <v>20000000</v>
      </c>
      <c r="J1276" s="14">
        <v>19289717.190000001</v>
      </c>
      <c r="K1276" s="12">
        <v>730</v>
      </c>
      <c r="L1276" s="10" t="s">
        <v>101</v>
      </c>
      <c r="M1276" s="10" t="s">
        <v>102</v>
      </c>
      <c r="N1276" s="124" t="s">
        <v>434</v>
      </c>
      <c r="O1276" s="124" t="s">
        <v>434</v>
      </c>
      <c r="P1276" s="21">
        <v>32</v>
      </c>
      <c r="Q1276" s="10" t="s">
        <v>54</v>
      </c>
      <c r="R1276" s="10" t="s">
        <v>28</v>
      </c>
      <c r="S1276" s="10"/>
      <c r="T1276" s="10"/>
      <c r="U1276" s="10" t="s">
        <v>2944</v>
      </c>
      <c r="V1276" s="10" t="s">
        <v>2944</v>
      </c>
      <c r="W1276" s="50">
        <f>+J1276/$W$2</f>
        <v>2.5644847267309803E-4</v>
      </c>
    </row>
    <row r="1277" spans="1:29">
      <c r="A1277" s="10" t="s">
        <v>465</v>
      </c>
      <c r="B1277" s="10" t="s">
        <v>381</v>
      </c>
      <c r="C1277" s="124">
        <v>46336</v>
      </c>
      <c r="D1277" s="124" t="s">
        <v>492</v>
      </c>
      <c r="E1277" s="21">
        <v>0.96234982000000002</v>
      </c>
      <c r="F1277" s="10"/>
      <c r="G1277" s="14">
        <v>10000000</v>
      </c>
      <c r="H1277" s="14">
        <v>9623498.2200000007</v>
      </c>
      <c r="I1277" s="14">
        <v>10000000</v>
      </c>
      <c r="J1277" s="14">
        <v>9623498.2200000007</v>
      </c>
      <c r="K1277" s="12">
        <v>14284513</v>
      </c>
      <c r="L1277" s="10" t="s">
        <v>101</v>
      </c>
      <c r="M1277" s="10" t="s">
        <v>102</v>
      </c>
      <c r="N1277" s="124" t="s">
        <v>425</v>
      </c>
      <c r="O1277" s="124" t="s">
        <v>425</v>
      </c>
      <c r="P1277" s="21">
        <v>34</v>
      </c>
      <c r="Q1277" s="10" t="s">
        <v>54</v>
      </c>
      <c r="R1277" s="10" t="s">
        <v>28</v>
      </c>
      <c r="S1277" s="10"/>
      <c r="T1277" s="10"/>
      <c r="U1277" s="10" t="s">
        <v>1690</v>
      </c>
      <c r="V1277" s="10" t="s">
        <v>1690</v>
      </c>
      <c r="W1277" s="50">
        <f>+J1277/$W$2</f>
        <v>1.2794025936112117E-4</v>
      </c>
      <c r="AC1277" s="47"/>
    </row>
    <row r="1278" spans="1:29">
      <c r="A1278" s="10" t="s">
        <v>466</v>
      </c>
      <c r="B1278" s="10" t="s">
        <v>381</v>
      </c>
      <c r="C1278" s="124">
        <v>46336</v>
      </c>
      <c r="D1278" s="124" t="s">
        <v>492</v>
      </c>
      <c r="E1278" s="21">
        <v>0.96341666000000004</v>
      </c>
      <c r="F1278" s="10"/>
      <c r="G1278" s="14">
        <v>7954930.75</v>
      </c>
      <c r="H1278" s="14">
        <v>7663912.8099999996</v>
      </c>
      <c r="I1278" s="14">
        <v>7954930.75</v>
      </c>
      <c r="J1278" s="14">
        <v>7663912.8099999996</v>
      </c>
      <c r="K1278" s="12">
        <v>60</v>
      </c>
      <c r="L1278" s="10" t="s">
        <v>101</v>
      </c>
      <c r="M1278" s="10" t="s">
        <v>102</v>
      </c>
      <c r="N1278" s="124" t="s">
        <v>435</v>
      </c>
      <c r="O1278" s="124" t="s">
        <v>435</v>
      </c>
      <c r="P1278" s="21">
        <v>33</v>
      </c>
      <c r="Q1278" s="10" t="s">
        <v>54</v>
      </c>
      <c r="R1278" s="10" t="s">
        <v>28</v>
      </c>
      <c r="S1278" s="10"/>
      <c r="T1278" s="10"/>
      <c r="U1278" s="10" t="s">
        <v>1301</v>
      </c>
      <c r="V1278" s="10" t="s">
        <v>1301</v>
      </c>
      <c r="W1278" s="50">
        <f>+J1278/$W$2</f>
        <v>1.0188841627202158E-4</v>
      </c>
    </row>
    <row r="1279" spans="1:29">
      <c r="A1279" s="10" t="s">
        <v>495</v>
      </c>
      <c r="B1279" s="10" t="s">
        <v>381</v>
      </c>
      <c r="C1279" s="124">
        <v>46336</v>
      </c>
      <c r="D1279" s="124" t="s">
        <v>492</v>
      </c>
      <c r="E1279" s="21">
        <v>0.95599805000000004</v>
      </c>
      <c r="F1279" s="10"/>
      <c r="G1279" s="14">
        <v>148000000</v>
      </c>
      <c r="H1279" s="14">
        <v>141487711.21000001</v>
      </c>
      <c r="I1279" s="14">
        <v>148000000</v>
      </c>
      <c r="J1279" s="14">
        <v>141487711.21000001</v>
      </c>
      <c r="K1279" s="12">
        <v>70408118</v>
      </c>
      <c r="L1279" s="10" t="s">
        <v>101</v>
      </c>
      <c r="M1279" s="10" t="s">
        <v>102</v>
      </c>
      <c r="N1279" s="124" t="s">
        <v>552</v>
      </c>
      <c r="O1279" s="124" t="s">
        <v>552</v>
      </c>
      <c r="P1279" s="21">
        <v>40</v>
      </c>
      <c r="Q1279" s="10" t="s">
        <v>54</v>
      </c>
      <c r="R1279" s="10" t="s">
        <v>28</v>
      </c>
      <c r="S1279" s="10"/>
      <c r="T1279" s="10"/>
      <c r="U1279" s="10" t="s">
        <v>2376</v>
      </c>
      <c r="V1279" s="10" t="s">
        <v>2376</v>
      </c>
      <c r="W1279" s="50">
        <f>+J1279/$W$2</f>
        <v>1.8810181136624984E-3</v>
      </c>
    </row>
    <row r="1280" spans="1:29">
      <c r="A1280" s="10" t="s">
        <v>427</v>
      </c>
      <c r="B1280" s="10" t="s">
        <v>381</v>
      </c>
      <c r="C1280" s="124">
        <v>46336</v>
      </c>
      <c r="D1280" s="124" t="s">
        <v>492</v>
      </c>
      <c r="E1280" s="21">
        <v>0.96986786999999997</v>
      </c>
      <c r="F1280" s="10"/>
      <c r="G1280" s="14">
        <v>1000000</v>
      </c>
      <c r="H1280" s="14">
        <v>969867.87</v>
      </c>
      <c r="I1280" s="14">
        <v>1000000</v>
      </c>
      <c r="J1280" s="14">
        <v>969867.87</v>
      </c>
      <c r="K1280" s="12">
        <v>11487</v>
      </c>
      <c r="L1280" s="10" t="s">
        <v>101</v>
      </c>
      <c r="M1280" s="10" t="s">
        <v>102</v>
      </c>
      <c r="N1280" s="124" t="s">
        <v>472</v>
      </c>
      <c r="O1280" s="124" t="s">
        <v>472</v>
      </c>
      <c r="P1280" s="21">
        <v>27</v>
      </c>
      <c r="Q1280" s="10" t="s">
        <v>54</v>
      </c>
      <c r="R1280" s="10" t="s">
        <v>28</v>
      </c>
      <c r="S1280" s="10"/>
      <c r="T1280" s="10"/>
      <c r="U1280" s="10" t="s">
        <v>3167</v>
      </c>
      <c r="V1280" s="10" t="s">
        <v>3167</v>
      </c>
      <c r="W1280" s="50">
        <f>+J1280/$W$2</f>
        <v>1.2893975142629385E-5</v>
      </c>
      <c r="AC1280" s="47"/>
    </row>
    <row r="1281" spans="1:23">
      <c r="A1281" s="10" t="s">
        <v>382</v>
      </c>
      <c r="B1281" s="10" t="s">
        <v>381</v>
      </c>
      <c r="C1281" s="124">
        <v>46336</v>
      </c>
      <c r="D1281" s="124" t="s">
        <v>492</v>
      </c>
      <c r="E1281" s="21">
        <v>0.96341661000000001</v>
      </c>
      <c r="F1281" s="10"/>
      <c r="G1281" s="14">
        <v>2500000</v>
      </c>
      <c r="H1281" s="14">
        <v>2408541.5299999998</v>
      </c>
      <c r="I1281" s="14">
        <v>2500000</v>
      </c>
      <c r="J1281" s="14">
        <v>2408541.5299999998</v>
      </c>
      <c r="K1281" s="12">
        <v>1013</v>
      </c>
      <c r="L1281" s="10" t="s">
        <v>101</v>
      </c>
      <c r="M1281" s="10" t="s">
        <v>102</v>
      </c>
      <c r="N1281" s="124" t="s">
        <v>163</v>
      </c>
      <c r="O1281" s="124" t="s">
        <v>163</v>
      </c>
      <c r="P1281" s="21">
        <v>33</v>
      </c>
      <c r="Q1281" s="10" t="s">
        <v>54</v>
      </c>
      <c r="R1281" s="10" t="s">
        <v>28</v>
      </c>
      <c r="S1281" s="10"/>
      <c r="T1281" s="10"/>
      <c r="U1281" s="10" t="s">
        <v>1638</v>
      </c>
      <c r="V1281" s="10" t="s">
        <v>1638</v>
      </c>
      <c r="W1281" s="50">
        <f>+J1281/$W$2</f>
        <v>3.2020521122955174E-5</v>
      </c>
    </row>
    <row r="1282" spans="1:23">
      <c r="A1282" s="10" t="s">
        <v>382</v>
      </c>
      <c r="B1282" s="10" t="s">
        <v>381</v>
      </c>
      <c r="C1282" s="124">
        <v>46336</v>
      </c>
      <c r="D1282" s="124" t="s">
        <v>492</v>
      </c>
      <c r="E1282" s="21">
        <v>0.96663144000000001</v>
      </c>
      <c r="F1282" s="10"/>
      <c r="G1282" s="14">
        <v>2500000</v>
      </c>
      <c r="H1282" s="14">
        <v>2416578.61</v>
      </c>
      <c r="I1282" s="14">
        <v>2500000</v>
      </c>
      <c r="J1282" s="14">
        <v>2416578.61</v>
      </c>
      <c r="K1282" s="12">
        <v>898</v>
      </c>
      <c r="L1282" s="10" t="s">
        <v>101</v>
      </c>
      <c r="M1282" s="10" t="s">
        <v>102</v>
      </c>
      <c r="N1282" s="124" t="s">
        <v>435</v>
      </c>
      <c r="O1282" s="124" t="s">
        <v>435</v>
      </c>
      <c r="P1282" s="21">
        <v>30</v>
      </c>
      <c r="Q1282" s="10" t="s">
        <v>54</v>
      </c>
      <c r="R1282" s="10" t="s">
        <v>28</v>
      </c>
      <c r="S1282" s="10"/>
      <c r="T1282" s="10"/>
      <c r="U1282" s="10" t="s">
        <v>1314</v>
      </c>
      <c r="V1282" s="10" t="s">
        <v>1314</v>
      </c>
      <c r="W1282" s="50">
        <f>+J1282/$W$2</f>
        <v>3.2127370636115487E-5</v>
      </c>
    </row>
    <row r="1283" spans="1:23">
      <c r="A1283" s="10" t="s">
        <v>3454</v>
      </c>
      <c r="B1283" s="10" t="s">
        <v>381</v>
      </c>
      <c r="C1283" s="124">
        <v>46336</v>
      </c>
      <c r="D1283" s="124" t="s">
        <v>492</v>
      </c>
      <c r="E1283" s="21">
        <v>0.96341668000000003</v>
      </c>
      <c r="F1283" s="10"/>
      <c r="G1283" s="14">
        <v>16250000</v>
      </c>
      <c r="H1283" s="14">
        <v>15655520.99</v>
      </c>
      <c r="I1283" s="14">
        <v>16250000</v>
      </c>
      <c r="J1283" s="14">
        <v>15655520.99</v>
      </c>
      <c r="K1283" s="12">
        <v>70007274</v>
      </c>
      <c r="L1283" s="10" t="s">
        <v>101</v>
      </c>
      <c r="M1283" s="10" t="s">
        <v>102</v>
      </c>
      <c r="N1283" s="124" t="s">
        <v>531</v>
      </c>
      <c r="O1283" s="124" t="s">
        <v>531</v>
      </c>
      <c r="P1283" s="21">
        <v>33</v>
      </c>
      <c r="Q1283" s="10" t="s">
        <v>54</v>
      </c>
      <c r="R1283" s="10" t="s">
        <v>28</v>
      </c>
      <c r="S1283" s="10"/>
      <c r="T1283" s="10"/>
      <c r="U1283" s="10" t="s">
        <v>3443</v>
      </c>
      <c r="V1283" s="10" t="s">
        <v>3443</v>
      </c>
      <c r="W1283" s="50">
        <f>+J1283/$W$2</f>
        <v>2.0813340119203309E-4</v>
      </c>
    </row>
    <row r="1284" spans="1:23">
      <c r="A1284" s="10" t="s">
        <v>477</v>
      </c>
      <c r="B1284" s="10" t="s">
        <v>381</v>
      </c>
      <c r="C1284" s="124">
        <v>46337</v>
      </c>
      <c r="D1284" s="124" t="s">
        <v>492</v>
      </c>
      <c r="E1284" s="21">
        <v>0.96586419999999995</v>
      </c>
      <c r="F1284" s="10"/>
      <c r="G1284" s="14">
        <v>5000000</v>
      </c>
      <c r="H1284" s="14">
        <v>4829320.99</v>
      </c>
      <c r="I1284" s="14">
        <v>5000000</v>
      </c>
      <c r="J1284" s="14">
        <v>4829320.99</v>
      </c>
      <c r="K1284" s="12">
        <v>40810972</v>
      </c>
      <c r="L1284" s="10" t="s">
        <v>101</v>
      </c>
      <c r="M1284" s="10" t="s">
        <v>102</v>
      </c>
      <c r="N1284" s="124" t="s">
        <v>677</v>
      </c>
      <c r="O1284" s="124" t="s">
        <v>677</v>
      </c>
      <c r="P1284" s="21">
        <v>30</v>
      </c>
      <c r="Q1284" s="10" t="s">
        <v>54</v>
      </c>
      <c r="R1284" s="10" t="s">
        <v>28</v>
      </c>
      <c r="S1284" s="10"/>
      <c r="T1284" s="10"/>
      <c r="U1284" s="10" t="s">
        <v>3292</v>
      </c>
      <c r="V1284" s="10" t="s">
        <v>3292</v>
      </c>
      <c r="W1284" s="50">
        <f>+J1284/$W$2</f>
        <v>6.4203740248492137E-5</v>
      </c>
    </row>
    <row r="1285" spans="1:23">
      <c r="A1285" s="10" t="s">
        <v>477</v>
      </c>
      <c r="B1285" s="10" t="s">
        <v>381</v>
      </c>
      <c r="C1285" s="124">
        <v>46337</v>
      </c>
      <c r="D1285" s="124" t="s">
        <v>492</v>
      </c>
      <c r="E1285" s="21">
        <v>0.96806724</v>
      </c>
      <c r="F1285" s="10"/>
      <c r="G1285" s="14">
        <v>7000000</v>
      </c>
      <c r="H1285" s="14">
        <v>6776470.6799999997</v>
      </c>
      <c r="I1285" s="14">
        <v>7000000</v>
      </c>
      <c r="J1285" s="14">
        <v>6776470.6799999997</v>
      </c>
      <c r="K1285" s="12">
        <v>6490</v>
      </c>
      <c r="L1285" s="10" t="s">
        <v>101</v>
      </c>
      <c r="M1285" s="10" t="s">
        <v>102</v>
      </c>
      <c r="N1285" s="124" t="s">
        <v>422</v>
      </c>
      <c r="O1285" s="124" t="s">
        <v>422</v>
      </c>
      <c r="P1285" s="21">
        <v>28</v>
      </c>
      <c r="Q1285" s="10" t="s">
        <v>54</v>
      </c>
      <c r="R1285" s="10" t="s">
        <v>28</v>
      </c>
      <c r="S1285" s="10"/>
      <c r="T1285" s="10"/>
      <c r="U1285" s="10" t="s">
        <v>2719</v>
      </c>
      <c r="V1285" s="10" t="s">
        <v>2719</v>
      </c>
      <c r="W1285" s="50">
        <f>+J1285/$W$2</f>
        <v>9.0090255802243292E-5</v>
      </c>
    </row>
    <row r="1286" spans="1:23">
      <c r="A1286" s="10" t="s">
        <v>675</v>
      </c>
      <c r="B1286" s="10" t="s">
        <v>381</v>
      </c>
      <c r="C1286" s="124">
        <v>46337</v>
      </c>
      <c r="D1286" s="124" t="s">
        <v>492</v>
      </c>
      <c r="E1286" s="21">
        <v>0.96367102000000004</v>
      </c>
      <c r="F1286" s="10"/>
      <c r="G1286" s="14">
        <v>200000000</v>
      </c>
      <c r="H1286" s="14">
        <v>192734204.91999999</v>
      </c>
      <c r="I1286" s="14">
        <v>200000000</v>
      </c>
      <c r="J1286" s="14">
        <v>192734204.91999999</v>
      </c>
      <c r="K1286" s="12">
        <v>90004114</v>
      </c>
      <c r="L1286" s="10" t="s">
        <v>101</v>
      </c>
      <c r="M1286" s="10" t="s">
        <v>102</v>
      </c>
      <c r="N1286" s="124" t="s">
        <v>164</v>
      </c>
      <c r="O1286" s="124" t="s">
        <v>164</v>
      </c>
      <c r="P1286" s="21">
        <v>32</v>
      </c>
      <c r="Q1286" s="10" t="s">
        <v>54</v>
      </c>
      <c r="R1286" s="10" t="s">
        <v>28</v>
      </c>
      <c r="S1286" s="10"/>
      <c r="T1286" s="10"/>
      <c r="U1286" s="10" t="s">
        <v>1984</v>
      </c>
      <c r="V1286" s="10" t="s">
        <v>1984</v>
      </c>
      <c r="W1286" s="50">
        <f>+J1286/$W$2</f>
        <v>2.5623181510002163E-3</v>
      </c>
    </row>
    <row r="1287" spans="1:23">
      <c r="A1287" s="10" t="s">
        <v>382</v>
      </c>
      <c r="B1287" s="10" t="s">
        <v>381</v>
      </c>
      <c r="C1287" s="124">
        <v>46337</v>
      </c>
      <c r="D1287" s="124" t="s">
        <v>492</v>
      </c>
      <c r="E1287" s="21">
        <v>0.96586402999999998</v>
      </c>
      <c r="F1287" s="10"/>
      <c r="G1287" s="14">
        <v>5000000</v>
      </c>
      <c r="H1287" s="14">
        <v>4829320.1500000004</v>
      </c>
      <c r="I1287" s="14">
        <v>5000000</v>
      </c>
      <c r="J1287" s="14">
        <v>4829320.1500000004</v>
      </c>
      <c r="K1287" s="12">
        <v>1250</v>
      </c>
      <c r="L1287" s="10" t="s">
        <v>101</v>
      </c>
      <c r="M1287" s="10" t="s">
        <v>102</v>
      </c>
      <c r="N1287" s="124" t="s">
        <v>486</v>
      </c>
      <c r="O1287" s="124" t="s">
        <v>486</v>
      </c>
      <c r="P1287" s="21">
        <v>30</v>
      </c>
      <c r="Q1287" s="10" t="s">
        <v>54</v>
      </c>
      <c r="R1287" s="10" t="s">
        <v>28</v>
      </c>
      <c r="S1287" s="10"/>
      <c r="T1287" s="10"/>
      <c r="U1287" s="10" t="s">
        <v>2837</v>
      </c>
      <c r="V1287" s="10" t="s">
        <v>2837</v>
      </c>
      <c r="W1287" s="50">
        <f>+J1287/$W$2</f>
        <v>6.4203729081054327E-5</v>
      </c>
    </row>
    <row r="1288" spans="1:23">
      <c r="A1288" s="10" t="s">
        <v>382</v>
      </c>
      <c r="B1288" s="10" t="s">
        <v>381</v>
      </c>
      <c r="C1288" s="124">
        <v>46337</v>
      </c>
      <c r="D1288" s="124" t="s">
        <v>492</v>
      </c>
      <c r="E1288" s="21">
        <v>0.96586419999999995</v>
      </c>
      <c r="F1288" s="10"/>
      <c r="G1288" s="14">
        <v>4500000</v>
      </c>
      <c r="H1288" s="14">
        <v>4346388.9000000004</v>
      </c>
      <c r="I1288" s="14">
        <v>4500000</v>
      </c>
      <c r="J1288" s="14">
        <v>4346388.9000000004</v>
      </c>
      <c r="K1288" s="12">
        <v>1301</v>
      </c>
      <c r="L1288" s="10" t="s">
        <v>101</v>
      </c>
      <c r="M1288" s="10" t="s">
        <v>102</v>
      </c>
      <c r="N1288" s="124" t="s">
        <v>677</v>
      </c>
      <c r="O1288" s="124" t="s">
        <v>677</v>
      </c>
      <c r="P1288" s="21">
        <v>30</v>
      </c>
      <c r="Q1288" s="10" t="s">
        <v>54</v>
      </c>
      <c r="R1288" s="10" t="s">
        <v>28</v>
      </c>
      <c r="S1288" s="10"/>
      <c r="T1288" s="10"/>
      <c r="U1288" s="10" t="s">
        <v>3300</v>
      </c>
      <c r="V1288" s="10" t="s">
        <v>3300</v>
      </c>
      <c r="W1288" s="50">
        <f>+J1288/$W$2</f>
        <v>5.7783366343294044E-5</v>
      </c>
    </row>
    <row r="1289" spans="1:23">
      <c r="A1289" s="10" t="s">
        <v>382</v>
      </c>
      <c r="B1289" s="10" t="s">
        <v>381</v>
      </c>
      <c r="C1289" s="124">
        <v>46337</v>
      </c>
      <c r="D1289" s="124" t="s">
        <v>492</v>
      </c>
      <c r="E1289" s="21">
        <v>0.96586419999999995</v>
      </c>
      <c r="F1289" s="10"/>
      <c r="G1289" s="14">
        <v>4500000</v>
      </c>
      <c r="H1289" s="14">
        <v>4346388.9000000004</v>
      </c>
      <c r="I1289" s="14">
        <v>4500000</v>
      </c>
      <c r="J1289" s="14">
        <v>4346388.9000000004</v>
      </c>
      <c r="K1289" s="12">
        <v>1302</v>
      </c>
      <c r="L1289" s="10" t="s">
        <v>101</v>
      </c>
      <c r="M1289" s="10" t="s">
        <v>102</v>
      </c>
      <c r="N1289" s="124" t="s">
        <v>677</v>
      </c>
      <c r="O1289" s="124" t="s">
        <v>677</v>
      </c>
      <c r="P1289" s="21">
        <v>30</v>
      </c>
      <c r="Q1289" s="10" t="s">
        <v>54</v>
      </c>
      <c r="R1289" s="10" t="s">
        <v>28</v>
      </c>
      <c r="S1289" s="10"/>
      <c r="T1289" s="10"/>
      <c r="U1289" s="10" t="s">
        <v>3301</v>
      </c>
      <c r="V1289" s="10" t="s">
        <v>3301</v>
      </c>
      <c r="W1289" s="50">
        <f>+J1289/$W$2</f>
        <v>5.7783366343294044E-5</v>
      </c>
    </row>
    <row r="1290" spans="1:23">
      <c r="A1290" s="10" t="s">
        <v>382</v>
      </c>
      <c r="B1290" s="10" t="s">
        <v>381</v>
      </c>
      <c r="C1290" s="124">
        <v>46337</v>
      </c>
      <c r="D1290" s="124" t="s">
        <v>492</v>
      </c>
      <c r="E1290" s="21">
        <v>0.96367102999999998</v>
      </c>
      <c r="F1290" s="10"/>
      <c r="G1290" s="14">
        <v>3000000</v>
      </c>
      <c r="H1290" s="14">
        <v>2891013.08</v>
      </c>
      <c r="I1290" s="14">
        <v>3000000</v>
      </c>
      <c r="J1290" s="14">
        <v>2891013.08</v>
      </c>
      <c r="K1290" s="12">
        <v>1052</v>
      </c>
      <c r="L1290" s="10" t="s">
        <v>101</v>
      </c>
      <c r="M1290" s="10" t="s">
        <v>102</v>
      </c>
      <c r="N1290" s="124" t="s">
        <v>398</v>
      </c>
      <c r="O1290" s="124" t="s">
        <v>398</v>
      </c>
      <c r="P1290" s="21">
        <v>32</v>
      </c>
      <c r="Q1290" s="10" t="s">
        <v>54</v>
      </c>
      <c r="R1290" s="10" t="s">
        <v>28</v>
      </c>
      <c r="S1290" s="10"/>
      <c r="T1290" s="10"/>
      <c r="U1290" s="10" t="s">
        <v>1741</v>
      </c>
      <c r="V1290" s="10" t="s">
        <v>1741</v>
      </c>
      <c r="W1290" s="50">
        <f>+J1290/$W$2</f>
        <v>3.8434772347429574E-5</v>
      </c>
    </row>
    <row r="1291" spans="1:23">
      <c r="A1291" s="10" t="s">
        <v>382</v>
      </c>
      <c r="B1291" s="10" t="s">
        <v>381</v>
      </c>
      <c r="C1291" s="124">
        <v>46337</v>
      </c>
      <c r="D1291" s="124" t="s">
        <v>492</v>
      </c>
      <c r="E1291" s="21">
        <v>0.96367102999999998</v>
      </c>
      <c r="F1291" s="10"/>
      <c r="G1291" s="14">
        <v>3000000</v>
      </c>
      <c r="H1291" s="14">
        <v>2891013.08</v>
      </c>
      <c r="I1291" s="14">
        <v>3000000</v>
      </c>
      <c r="J1291" s="14">
        <v>2891013.08</v>
      </c>
      <c r="K1291" s="12">
        <v>1053</v>
      </c>
      <c r="L1291" s="10" t="s">
        <v>101</v>
      </c>
      <c r="M1291" s="10" t="s">
        <v>102</v>
      </c>
      <c r="N1291" s="124" t="s">
        <v>398</v>
      </c>
      <c r="O1291" s="124" t="s">
        <v>398</v>
      </c>
      <c r="P1291" s="21">
        <v>32</v>
      </c>
      <c r="Q1291" s="10" t="s">
        <v>54</v>
      </c>
      <c r="R1291" s="10" t="s">
        <v>28</v>
      </c>
      <c r="S1291" s="10"/>
      <c r="T1291" s="10"/>
      <c r="U1291" s="10" t="s">
        <v>1742</v>
      </c>
      <c r="V1291" s="10" t="s">
        <v>1742</v>
      </c>
      <c r="W1291" s="50">
        <f>+J1291/$W$2</f>
        <v>3.8434772347429574E-5</v>
      </c>
    </row>
    <row r="1292" spans="1:23">
      <c r="A1292" s="10" t="s">
        <v>2992</v>
      </c>
      <c r="B1292" s="10" t="s">
        <v>381</v>
      </c>
      <c r="C1292" s="124">
        <v>46337</v>
      </c>
      <c r="D1292" s="124" t="s">
        <v>492</v>
      </c>
      <c r="E1292" s="21">
        <v>0.96257813999999997</v>
      </c>
      <c r="F1292" s="10"/>
      <c r="G1292" s="14">
        <v>3600000</v>
      </c>
      <c r="H1292" s="14">
        <v>3465281.29</v>
      </c>
      <c r="I1292" s="14">
        <v>3600000</v>
      </c>
      <c r="J1292" s="14">
        <v>3465281.29</v>
      </c>
      <c r="K1292" s="12">
        <v>13870042</v>
      </c>
      <c r="L1292" s="10" t="s">
        <v>101</v>
      </c>
      <c r="M1292" s="10" t="s">
        <v>102</v>
      </c>
      <c r="N1292" s="124" t="s">
        <v>434</v>
      </c>
      <c r="O1292" s="124" t="s">
        <v>434</v>
      </c>
      <c r="P1292" s="21">
        <v>33</v>
      </c>
      <c r="Q1292" s="10" t="s">
        <v>54</v>
      </c>
      <c r="R1292" s="10" t="s">
        <v>28</v>
      </c>
      <c r="S1292" s="10"/>
      <c r="T1292" s="10"/>
      <c r="U1292" s="10" t="s">
        <v>2953</v>
      </c>
      <c r="V1292" s="10" t="s">
        <v>2953</v>
      </c>
      <c r="W1292" s="50">
        <f>+J1292/$W$2</f>
        <v>4.6069420585588311E-5</v>
      </c>
    </row>
    <row r="1293" spans="1:23">
      <c r="A1293" s="10" t="s">
        <v>3147</v>
      </c>
      <c r="B1293" s="10" t="s">
        <v>381</v>
      </c>
      <c r="C1293" s="124">
        <v>46337</v>
      </c>
      <c r="D1293" s="124" t="s">
        <v>492</v>
      </c>
      <c r="E1293" s="21">
        <v>0.96257826999999996</v>
      </c>
      <c r="F1293" s="10"/>
      <c r="G1293" s="14">
        <v>130311.45</v>
      </c>
      <c r="H1293" s="14">
        <v>125434.97</v>
      </c>
      <c r="I1293" s="14">
        <v>130311.45</v>
      </c>
      <c r="J1293" s="14">
        <v>125434.97</v>
      </c>
      <c r="K1293" s="12">
        <v>2438</v>
      </c>
      <c r="L1293" s="10" t="s">
        <v>101</v>
      </c>
      <c r="M1293" s="10" t="s">
        <v>102</v>
      </c>
      <c r="N1293" s="124" t="s">
        <v>532</v>
      </c>
      <c r="O1293" s="124" t="s">
        <v>532</v>
      </c>
      <c r="P1293" s="21">
        <v>33</v>
      </c>
      <c r="Q1293" s="10" t="s">
        <v>54</v>
      </c>
      <c r="R1293" s="10" t="s">
        <v>28</v>
      </c>
      <c r="S1293" s="10"/>
      <c r="T1293" s="10"/>
      <c r="U1293" s="10" t="s">
        <v>3118</v>
      </c>
      <c r="V1293" s="10" t="s">
        <v>3118</v>
      </c>
      <c r="W1293" s="50">
        <f>+J1293/$W$2</f>
        <v>1.6676038409195499E-6</v>
      </c>
    </row>
    <row r="1294" spans="1:23">
      <c r="A1294" s="10" t="s">
        <v>3148</v>
      </c>
      <c r="B1294" s="10" t="s">
        <v>381</v>
      </c>
      <c r="C1294" s="124">
        <v>46337</v>
      </c>
      <c r="D1294" s="124" t="s">
        <v>492</v>
      </c>
      <c r="E1294" s="21">
        <v>0.96257820999999999</v>
      </c>
      <c r="F1294" s="10"/>
      <c r="G1294" s="14">
        <v>8574172.7400000002</v>
      </c>
      <c r="H1294" s="14">
        <v>8253311.8200000003</v>
      </c>
      <c r="I1294" s="14">
        <v>8574172.7400000002</v>
      </c>
      <c r="J1294" s="14">
        <v>8253311.8200000003</v>
      </c>
      <c r="K1294" s="12">
        <v>81454507</v>
      </c>
      <c r="L1294" s="10" t="s">
        <v>101</v>
      </c>
      <c r="M1294" s="10" t="s">
        <v>102</v>
      </c>
      <c r="N1294" s="124" t="s">
        <v>532</v>
      </c>
      <c r="O1294" s="124" t="s">
        <v>532</v>
      </c>
      <c r="P1294" s="21">
        <v>33</v>
      </c>
      <c r="Q1294" s="10" t="s">
        <v>54</v>
      </c>
      <c r="R1294" s="10" t="s">
        <v>28</v>
      </c>
      <c r="S1294" s="10"/>
      <c r="T1294" s="10"/>
      <c r="U1294" s="10" t="s">
        <v>3119</v>
      </c>
      <c r="V1294" s="10" t="s">
        <v>3119</v>
      </c>
      <c r="W1294" s="50">
        <f>+J1294/$W$2</f>
        <v>1.0972422197206028E-4</v>
      </c>
    </row>
    <row r="1295" spans="1:23">
      <c r="A1295" s="10" t="s">
        <v>334</v>
      </c>
      <c r="B1295" s="10" t="s">
        <v>381</v>
      </c>
      <c r="C1295" s="124">
        <v>46337</v>
      </c>
      <c r="D1295" s="124" t="s">
        <v>492</v>
      </c>
      <c r="E1295" s="21">
        <v>0.96367102000000004</v>
      </c>
      <c r="F1295" s="10"/>
      <c r="G1295" s="14">
        <v>40000000</v>
      </c>
      <c r="H1295" s="14">
        <v>38546840.939999998</v>
      </c>
      <c r="I1295" s="14">
        <v>40000000</v>
      </c>
      <c r="J1295" s="14">
        <v>38546840.939999998</v>
      </c>
      <c r="K1295" s="12">
        <v>13953440</v>
      </c>
      <c r="L1295" s="10" t="s">
        <v>101</v>
      </c>
      <c r="M1295" s="10" t="s">
        <v>102</v>
      </c>
      <c r="N1295" s="124" t="s">
        <v>321</v>
      </c>
      <c r="O1295" s="124" t="s">
        <v>321</v>
      </c>
      <c r="P1295" s="21">
        <v>32</v>
      </c>
      <c r="Q1295" s="10" t="s">
        <v>54</v>
      </c>
      <c r="R1295" s="10" t="s">
        <v>28</v>
      </c>
      <c r="S1295" s="10"/>
      <c r="T1295" s="10"/>
      <c r="U1295" s="10" t="s">
        <v>1216</v>
      </c>
      <c r="V1295" s="10" t="s">
        <v>1216</v>
      </c>
      <c r="W1295" s="50">
        <f>+J1295/$W$2</f>
        <v>5.1246362961508219E-4</v>
      </c>
    </row>
    <row r="1296" spans="1:23">
      <c r="A1296" s="10" t="s">
        <v>3269</v>
      </c>
      <c r="B1296" s="10" t="s">
        <v>381</v>
      </c>
      <c r="C1296" s="124">
        <v>46337</v>
      </c>
      <c r="D1296" s="124" t="s">
        <v>492</v>
      </c>
      <c r="E1296" s="21">
        <v>0.97139067000000001</v>
      </c>
      <c r="F1296" s="10"/>
      <c r="G1296" s="14">
        <v>18000000</v>
      </c>
      <c r="H1296" s="14">
        <v>17485032.079999998</v>
      </c>
      <c r="I1296" s="14">
        <v>18000000</v>
      </c>
      <c r="J1296" s="14">
        <v>17485032.079999998</v>
      </c>
      <c r="K1296" s="12">
        <v>90025470</v>
      </c>
      <c r="L1296" s="10" t="s">
        <v>101</v>
      </c>
      <c r="M1296" s="10" t="s">
        <v>102</v>
      </c>
      <c r="N1296" s="124" t="s">
        <v>472</v>
      </c>
      <c r="O1296" s="124" t="s">
        <v>472</v>
      </c>
      <c r="P1296" s="21">
        <v>25</v>
      </c>
      <c r="Q1296" s="10" t="s">
        <v>54</v>
      </c>
      <c r="R1296" s="10" t="s">
        <v>28</v>
      </c>
      <c r="S1296" s="10"/>
      <c r="T1296" s="10"/>
      <c r="U1296" s="10" t="s">
        <v>3175</v>
      </c>
      <c r="V1296" s="10" t="s">
        <v>3175</v>
      </c>
      <c r="W1296" s="50">
        <f>+J1296/$W$2</f>
        <v>2.3245596228236467E-4</v>
      </c>
    </row>
    <row r="1297" spans="1:29">
      <c r="A1297" s="10" t="s">
        <v>353</v>
      </c>
      <c r="B1297" s="10" t="s">
        <v>381</v>
      </c>
      <c r="C1297" s="124">
        <v>46337</v>
      </c>
      <c r="D1297" s="124" t="s">
        <v>492</v>
      </c>
      <c r="E1297" s="21">
        <v>0.95931471000000001</v>
      </c>
      <c r="F1297" s="10"/>
      <c r="G1297" s="14">
        <v>2510000.36</v>
      </c>
      <c r="H1297" s="14">
        <v>2407880.2599999998</v>
      </c>
      <c r="I1297" s="14">
        <v>2510000.36</v>
      </c>
      <c r="J1297" s="14">
        <v>2407880.2599999998</v>
      </c>
      <c r="K1297" s="12">
        <v>3162</v>
      </c>
      <c r="L1297" s="10" t="s">
        <v>101</v>
      </c>
      <c r="M1297" s="10" t="s">
        <v>102</v>
      </c>
      <c r="N1297" s="124" t="s">
        <v>163</v>
      </c>
      <c r="O1297" s="124" t="s">
        <v>163</v>
      </c>
      <c r="P1297" s="21">
        <v>36</v>
      </c>
      <c r="Q1297" s="10" t="s">
        <v>54</v>
      </c>
      <c r="R1297" s="10" t="s">
        <v>28</v>
      </c>
      <c r="S1297" s="10"/>
      <c r="T1297" s="10"/>
      <c r="U1297" s="10" t="s">
        <v>1629</v>
      </c>
      <c r="V1297" s="10" t="s">
        <v>1629</v>
      </c>
      <c r="W1297" s="50">
        <f>+J1297/$W$2</f>
        <v>3.2011729823432525E-5</v>
      </c>
    </row>
    <row r="1298" spans="1:29">
      <c r="A1298" s="10" t="s">
        <v>353</v>
      </c>
      <c r="B1298" s="10" t="s">
        <v>381</v>
      </c>
      <c r="C1298" s="124">
        <v>46337</v>
      </c>
      <c r="D1298" s="124" t="s">
        <v>492</v>
      </c>
      <c r="E1298" s="21">
        <v>0.95931462999999995</v>
      </c>
      <c r="F1298" s="10"/>
      <c r="G1298" s="14">
        <v>3625698.78</v>
      </c>
      <c r="H1298" s="14">
        <v>3478185.89</v>
      </c>
      <c r="I1298" s="14">
        <v>3625698.78</v>
      </c>
      <c r="J1298" s="14">
        <v>3478185.89</v>
      </c>
      <c r="K1298" s="12">
        <v>3353</v>
      </c>
      <c r="L1298" s="10" t="s">
        <v>101</v>
      </c>
      <c r="M1298" s="10" t="s">
        <v>102</v>
      </c>
      <c r="N1298" s="124" t="s">
        <v>348</v>
      </c>
      <c r="O1298" s="124" t="s">
        <v>348</v>
      </c>
      <c r="P1298" s="21">
        <v>36</v>
      </c>
      <c r="Q1298" s="10" t="s">
        <v>54</v>
      </c>
      <c r="R1298" s="10" t="s">
        <v>28</v>
      </c>
      <c r="S1298" s="10"/>
      <c r="T1298" s="10"/>
      <c r="U1298" s="10" t="s">
        <v>1905</v>
      </c>
      <c r="V1298" s="10" t="s">
        <v>1905</v>
      </c>
      <c r="W1298" s="50">
        <f>+J1298/$W$2</f>
        <v>4.6240981678364362E-5</v>
      </c>
    </row>
    <row r="1299" spans="1:29">
      <c r="A1299" s="10" t="s">
        <v>353</v>
      </c>
      <c r="B1299" s="10" t="s">
        <v>381</v>
      </c>
      <c r="C1299" s="124">
        <v>46337</v>
      </c>
      <c r="D1299" s="124" t="s">
        <v>492</v>
      </c>
      <c r="E1299" s="21">
        <v>0.96040018000000005</v>
      </c>
      <c r="F1299" s="10"/>
      <c r="G1299" s="14">
        <v>3256800.5</v>
      </c>
      <c r="H1299" s="14">
        <v>3127831.79</v>
      </c>
      <c r="I1299" s="14">
        <v>3256800.5</v>
      </c>
      <c r="J1299" s="14">
        <v>3127831.79</v>
      </c>
      <c r="K1299" s="12">
        <v>3584</v>
      </c>
      <c r="L1299" s="10" t="s">
        <v>101</v>
      </c>
      <c r="M1299" s="10" t="s">
        <v>102</v>
      </c>
      <c r="N1299" s="124" t="s">
        <v>422</v>
      </c>
      <c r="O1299" s="124" t="s">
        <v>422</v>
      </c>
      <c r="P1299" s="21">
        <v>35</v>
      </c>
      <c r="Q1299" s="10" t="s">
        <v>54</v>
      </c>
      <c r="R1299" s="10" t="s">
        <v>28</v>
      </c>
      <c r="S1299" s="10"/>
      <c r="T1299" s="10"/>
      <c r="U1299" s="10" t="s">
        <v>2749</v>
      </c>
      <c r="V1299" s="10" t="s">
        <v>2749</v>
      </c>
      <c r="W1299" s="50">
        <f>+J1299/$W$2</f>
        <v>4.1583174985048198E-5</v>
      </c>
    </row>
    <row r="1300" spans="1:29">
      <c r="A1300" s="10" t="s">
        <v>353</v>
      </c>
      <c r="B1300" s="10" t="s">
        <v>381</v>
      </c>
      <c r="C1300" s="124">
        <v>46337</v>
      </c>
      <c r="D1300" s="124" t="s">
        <v>492</v>
      </c>
      <c r="E1300" s="21">
        <v>0.96040018000000005</v>
      </c>
      <c r="F1300" s="10"/>
      <c r="G1300" s="14">
        <v>3256800.5</v>
      </c>
      <c r="H1300" s="14">
        <v>3127831.79</v>
      </c>
      <c r="I1300" s="14">
        <v>3256800.5</v>
      </c>
      <c r="J1300" s="14">
        <v>3127831.79</v>
      </c>
      <c r="K1300" s="12">
        <v>3583</v>
      </c>
      <c r="L1300" s="10" t="s">
        <v>101</v>
      </c>
      <c r="M1300" s="10" t="s">
        <v>102</v>
      </c>
      <c r="N1300" s="124" t="s">
        <v>422</v>
      </c>
      <c r="O1300" s="124" t="s">
        <v>422</v>
      </c>
      <c r="P1300" s="21">
        <v>35</v>
      </c>
      <c r="Q1300" s="10" t="s">
        <v>54</v>
      </c>
      <c r="R1300" s="10" t="s">
        <v>28</v>
      </c>
      <c r="S1300" s="10"/>
      <c r="T1300" s="10"/>
      <c r="U1300" s="10" t="s">
        <v>2750</v>
      </c>
      <c r="V1300" s="10" t="s">
        <v>2750</v>
      </c>
      <c r="W1300" s="50">
        <f>+J1300/$W$2</f>
        <v>4.1583174985048198E-5</v>
      </c>
    </row>
    <row r="1301" spans="1:29">
      <c r="A1301" s="10" t="s">
        <v>353</v>
      </c>
      <c r="B1301" s="10" t="s">
        <v>381</v>
      </c>
      <c r="C1301" s="124">
        <v>46337</v>
      </c>
      <c r="D1301" s="124" t="s">
        <v>492</v>
      </c>
      <c r="E1301" s="21">
        <v>0.95931471999999995</v>
      </c>
      <c r="F1301" s="10"/>
      <c r="G1301" s="14">
        <v>3105640.28</v>
      </c>
      <c r="H1301" s="14">
        <v>2979286.43</v>
      </c>
      <c r="I1301" s="14">
        <v>3105640.28</v>
      </c>
      <c r="J1301" s="14">
        <v>2979286.43</v>
      </c>
      <c r="K1301" s="12">
        <v>3375</v>
      </c>
      <c r="L1301" s="10" t="s">
        <v>101</v>
      </c>
      <c r="M1301" s="10" t="s">
        <v>102</v>
      </c>
      <c r="N1301" s="124" t="s">
        <v>390</v>
      </c>
      <c r="O1301" s="124" t="s">
        <v>390</v>
      </c>
      <c r="P1301" s="21">
        <v>36</v>
      </c>
      <c r="Q1301" s="10" t="s">
        <v>54</v>
      </c>
      <c r="R1301" s="10" t="s">
        <v>28</v>
      </c>
      <c r="S1301" s="10"/>
      <c r="T1301" s="10"/>
      <c r="U1301" s="10" t="s">
        <v>2047</v>
      </c>
      <c r="V1301" s="10" t="s">
        <v>2047</v>
      </c>
      <c r="W1301" s="50">
        <f>+J1301/$W$2</f>
        <v>3.9608328473849789E-5</v>
      </c>
      <c r="AC1301" s="47"/>
    </row>
    <row r="1302" spans="1:29">
      <c r="A1302" s="10" t="s">
        <v>2288</v>
      </c>
      <c r="B1302" s="10" t="s">
        <v>381</v>
      </c>
      <c r="C1302" s="124">
        <v>46337</v>
      </c>
      <c r="D1302" s="124" t="s">
        <v>492</v>
      </c>
      <c r="E1302" s="21">
        <v>0.96476629999999997</v>
      </c>
      <c r="F1302" s="10"/>
      <c r="G1302" s="14">
        <v>9990457.7799999993</v>
      </c>
      <c r="H1302" s="14">
        <v>9638456.9800000004</v>
      </c>
      <c r="I1302" s="14">
        <v>9990457.7799999993</v>
      </c>
      <c r="J1302" s="14">
        <v>9638456.9800000004</v>
      </c>
      <c r="K1302" s="12">
        <v>3022</v>
      </c>
      <c r="L1302" s="10" t="s">
        <v>101</v>
      </c>
      <c r="M1302" s="10" t="s">
        <v>102</v>
      </c>
      <c r="N1302" s="124" t="s">
        <v>431</v>
      </c>
      <c r="O1302" s="124" t="s">
        <v>431</v>
      </c>
      <c r="P1302" s="21">
        <v>31</v>
      </c>
      <c r="Q1302" s="10" t="s">
        <v>54</v>
      </c>
      <c r="R1302" s="10" t="s">
        <v>28</v>
      </c>
      <c r="S1302" s="10"/>
      <c r="T1302" s="10"/>
      <c r="U1302" s="10" t="s">
        <v>2253</v>
      </c>
      <c r="V1302" s="10" t="s">
        <v>2253</v>
      </c>
      <c r="W1302" s="50">
        <f>+J1302/$W$2</f>
        <v>1.2813912962538154E-4</v>
      </c>
    </row>
    <row r="1303" spans="1:29">
      <c r="A1303" s="10" t="s">
        <v>2290</v>
      </c>
      <c r="B1303" s="10" t="s">
        <v>381</v>
      </c>
      <c r="C1303" s="124">
        <v>46337</v>
      </c>
      <c r="D1303" s="124" t="s">
        <v>492</v>
      </c>
      <c r="E1303" s="21">
        <v>0.96476629999999997</v>
      </c>
      <c r="F1303" s="10"/>
      <c r="G1303" s="14">
        <v>20398741.449999999</v>
      </c>
      <c r="H1303" s="14">
        <v>19680018.300000001</v>
      </c>
      <c r="I1303" s="14">
        <v>20398741.449999999</v>
      </c>
      <c r="J1303" s="14">
        <v>19680018.300000001</v>
      </c>
      <c r="K1303" s="12">
        <v>69586114</v>
      </c>
      <c r="L1303" s="10" t="s">
        <v>101</v>
      </c>
      <c r="M1303" s="10" t="s">
        <v>102</v>
      </c>
      <c r="N1303" s="124" t="s">
        <v>431</v>
      </c>
      <c r="O1303" s="124" t="s">
        <v>431</v>
      </c>
      <c r="P1303" s="21">
        <v>31</v>
      </c>
      <c r="Q1303" s="10" t="s">
        <v>54</v>
      </c>
      <c r="R1303" s="10" t="s">
        <v>28</v>
      </c>
      <c r="S1303" s="10"/>
      <c r="T1303" s="10"/>
      <c r="U1303" s="10" t="s">
        <v>2269</v>
      </c>
      <c r="V1303" s="10" t="s">
        <v>2269</v>
      </c>
      <c r="W1303" s="50">
        <f>+J1303/$W$2</f>
        <v>2.6163735763995503E-4</v>
      </c>
    </row>
    <row r="1304" spans="1:29">
      <c r="A1304" s="10" t="s">
        <v>2425</v>
      </c>
      <c r="B1304" s="10" t="s">
        <v>381</v>
      </c>
      <c r="C1304" s="124">
        <v>46337</v>
      </c>
      <c r="D1304" s="124" t="s">
        <v>492</v>
      </c>
      <c r="E1304" s="21">
        <v>0.96586404000000003</v>
      </c>
      <c r="F1304" s="10"/>
      <c r="G1304" s="14">
        <v>1340000</v>
      </c>
      <c r="H1304" s="14">
        <v>1294257.82</v>
      </c>
      <c r="I1304" s="14">
        <v>1340000</v>
      </c>
      <c r="J1304" s="14">
        <v>1294257.82</v>
      </c>
      <c r="K1304" s="12">
        <v>69652371</v>
      </c>
      <c r="L1304" s="10" t="s">
        <v>101</v>
      </c>
      <c r="M1304" s="10" t="s">
        <v>102</v>
      </c>
      <c r="N1304" s="124" t="s">
        <v>552</v>
      </c>
      <c r="O1304" s="124" t="s">
        <v>552</v>
      </c>
      <c r="P1304" s="21">
        <v>30</v>
      </c>
      <c r="Q1304" s="10" t="s">
        <v>54</v>
      </c>
      <c r="R1304" s="10" t="s">
        <v>28</v>
      </c>
      <c r="S1304" s="10"/>
      <c r="T1304" s="10"/>
      <c r="U1304" s="10" t="s">
        <v>2398</v>
      </c>
      <c r="V1304" s="10" t="s">
        <v>2398</v>
      </c>
      <c r="W1304" s="50">
        <f>+J1304/$W$2</f>
        <v>1.7206599656955023E-5</v>
      </c>
    </row>
    <row r="1305" spans="1:29">
      <c r="A1305" s="10" t="s">
        <v>2465</v>
      </c>
      <c r="B1305" s="10" t="s">
        <v>381</v>
      </c>
      <c r="C1305" s="124">
        <v>46337</v>
      </c>
      <c r="D1305" s="124" t="s">
        <v>492</v>
      </c>
      <c r="E1305" s="21">
        <v>0.96367095000000003</v>
      </c>
      <c r="F1305" s="10"/>
      <c r="G1305" s="14">
        <v>4000000</v>
      </c>
      <c r="H1305" s="14">
        <v>3854683.81</v>
      </c>
      <c r="I1305" s="14">
        <v>4000000</v>
      </c>
      <c r="J1305" s="14">
        <v>3854683.81</v>
      </c>
      <c r="K1305" s="12">
        <v>722</v>
      </c>
      <c r="L1305" s="10" t="s">
        <v>101</v>
      </c>
      <c r="M1305" s="10" t="s">
        <v>102</v>
      </c>
      <c r="N1305" s="124" t="s">
        <v>483</v>
      </c>
      <c r="O1305" s="124" t="s">
        <v>483</v>
      </c>
      <c r="P1305" s="21">
        <v>32</v>
      </c>
      <c r="Q1305" s="10" t="s">
        <v>54</v>
      </c>
      <c r="R1305" s="10" t="s">
        <v>28</v>
      </c>
      <c r="S1305" s="10"/>
      <c r="T1305" s="10"/>
      <c r="U1305" s="10" t="s">
        <v>2448</v>
      </c>
      <c r="V1305" s="10" t="s">
        <v>2448</v>
      </c>
      <c r="W1305" s="50">
        <f>+J1305/$W$2</f>
        <v>5.1246359185850683E-5</v>
      </c>
    </row>
    <row r="1306" spans="1:29">
      <c r="A1306" s="10" t="s">
        <v>2600</v>
      </c>
      <c r="B1306" s="10" t="s">
        <v>381</v>
      </c>
      <c r="C1306" s="124">
        <v>46337</v>
      </c>
      <c r="D1306" s="124" t="s">
        <v>492</v>
      </c>
      <c r="E1306" s="21">
        <v>0.96257822000000004</v>
      </c>
      <c r="F1306" s="10"/>
      <c r="G1306" s="14">
        <v>5300000</v>
      </c>
      <c r="H1306" s="14">
        <v>5101664.54</v>
      </c>
      <c r="I1306" s="14">
        <v>5300000</v>
      </c>
      <c r="J1306" s="14">
        <v>5101664.54</v>
      </c>
      <c r="K1306" s="12">
        <v>8175677</v>
      </c>
      <c r="L1306" s="10" t="s">
        <v>101</v>
      </c>
      <c r="M1306" s="10" t="s">
        <v>102</v>
      </c>
      <c r="N1306" s="124" t="s">
        <v>423</v>
      </c>
      <c r="O1306" s="124" t="s">
        <v>423</v>
      </c>
      <c r="P1306" s="21">
        <v>33</v>
      </c>
      <c r="Q1306" s="10" t="s">
        <v>54</v>
      </c>
      <c r="R1306" s="10" t="s">
        <v>28</v>
      </c>
      <c r="S1306" s="10"/>
      <c r="T1306" s="10"/>
      <c r="U1306" s="10" t="s">
        <v>2481</v>
      </c>
      <c r="V1306" s="10" t="s">
        <v>2481</v>
      </c>
      <c r="W1306" s="50">
        <f>+J1306/$W$2</f>
        <v>6.7824430316259249E-5</v>
      </c>
    </row>
    <row r="1307" spans="1:29">
      <c r="A1307" s="10" t="s">
        <v>2600</v>
      </c>
      <c r="B1307" s="10" t="s">
        <v>381</v>
      </c>
      <c r="C1307" s="124">
        <v>46337</v>
      </c>
      <c r="D1307" s="124" t="s">
        <v>492</v>
      </c>
      <c r="E1307" s="21">
        <v>0.96257822000000004</v>
      </c>
      <c r="F1307" s="10"/>
      <c r="G1307" s="14">
        <v>5300000</v>
      </c>
      <c r="H1307" s="14">
        <v>5101664.54</v>
      </c>
      <c r="I1307" s="14">
        <v>5300000</v>
      </c>
      <c r="J1307" s="14">
        <v>5101664.54</v>
      </c>
      <c r="K1307" s="12">
        <v>8175678</v>
      </c>
      <c r="L1307" s="10" t="s">
        <v>101</v>
      </c>
      <c r="M1307" s="10" t="s">
        <v>102</v>
      </c>
      <c r="N1307" s="124" t="s">
        <v>423</v>
      </c>
      <c r="O1307" s="124" t="s">
        <v>423</v>
      </c>
      <c r="P1307" s="21">
        <v>33</v>
      </c>
      <c r="Q1307" s="10" t="s">
        <v>54</v>
      </c>
      <c r="R1307" s="10" t="s">
        <v>28</v>
      </c>
      <c r="S1307" s="10"/>
      <c r="T1307" s="10"/>
      <c r="U1307" s="10" t="s">
        <v>2482</v>
      </c>
      <c r="V1307" s="10" t="s">
        <v>2482</v>
      </c>
      <c r="W1307" s="50">
        <f>+J1307/$W$2</f>
        <v>6.7824430316259249E-5</v>
      </c>
    </row>
    <row r="1308" spans="1:29">
      <c r="A1308" s="10" t="s">
        <v>2623</v>
      </c>
      <c r="B1308" s="10" t="s">
        <v>381</v>
      </c>
      <c r="C1308" s="124">
        <v>46337</v>
      </c>
      <c r="D1308" s="124" t="s">
        <v>492</v>
      </c>
      <c r="E1308" s="21">
        <v>0.96367100999999999</v>
      </c>
      <c r="F1308" s="10"/>
      <c r="G1308" s="14">
        <v>2073150</v>
      </c>
      <c r="H1308" s="14">
        <v>1997834.56</v>
      </c>
      <c r="I1308" s="14">
        <v>2073150</v>
      </c>
      <c r="J1308" s="14">
        <v>1997834.56</v>
      </c>
      <c r="K1308" s="12">
        <v>90000247</v>
      </c>
      <c r="L1308" s="10" t="s">
        <v>101</v>
      </c>
      <c r="M1308" s="10" t="s">
        <v>102</v>
      </c>
      <c r="N1308" s="124" t="s">
        <v>423</v>
      </c>
      <c r="O1308" s="124" t="s">
        <v>423</v>
      </c>
      <c r="P1308" s="21">
        <v>32</v>
      </c>
      <c r="Q1308" s="10" t="s">
        <v>54</v>
      </c>
      <c r="R1308" s="10" t="s">
        <v>28</v>
      </c>
      <c r="S1308" s="10"/>
      <c r="T1308" s="10"/>
      <c r="U1308" s="10" t="s">
        <v>2587</v>
      </c>
      <c r="V1308" s="10" t="s">
        <v>2587</v>
      </c>
      <c r="W1308" s="50">
        <f>+J1308/$W$2</f>
        <v>2.6560349046026152E-5</v>
      </c>
    </row>
    <row r="1309" spans="1:29">
      <c r="A1309" s="10" t="s">
        <v>494</v>
      </c>
      <c r="B1309" s="10" t="s">
        <v>381</v>
      </c>
      <c r="C1309" s="124">
        <v>46337</v>
      </c>
      <c r="D1309" s="124" t="s">
        <v>492</v>
      </c>
      <c r="E1309" s="21">
        <v>0.9669643</v>
      </c>
      <c r="F1309" s="10"/>
      <c r="G1309" s="14">
        <v>35000000</v>
      </c>
      <c r="H1309" s="14">
        <v>33843750.439999998</v>
      </c>
      <c r="I1309" s="14">
        <v>35000000</v>
      </c>
      <c r="J1309" s="14">
        <v>33843750.439999998</v>
      </c>
      <c r="K1309" s="12">
        <v>65</v>
      </c>
      <c r="L1309" s="10" t="s">
        <v>101</v>
      </c>
      <c r="M1309" s="10" t="s">
        <v>102</v>
      </c>
      <c r="N1309" s="124" t="s">
        <v>270</v>
      </c>
      <c r="O1309" s="124" t="s">
        <v>270</v>
      </c>
      <c r="P1309" s="21">
        <v>29</v>
      </c>
      <c r="Q1309" s="10" t="s">
        <v>54</v>
      </c>
      <c r="R1309" s="10" t="s">
        <v>28</v>
      </c>
      <c r="S1309" s="10"/>
      <c r="T1309" s="10"/>
      <c r="U1309" s="10" t="s">
        <v>621</v>
      </c>
      <c r="V1309" s="10" t="s">
        <v>621</v>
      </c>
      <c r="W1309" s="50">
        <f>+J1309/$W$2</f>
        <v>4.4993806930289615E-4</v>
      </c>
    </row>
    <row r="1310" spans="1:29">
      <c r="A1310" s="10" t="s">
        <v>1287</v>
      </c>
      <c r="B1310" s="10" t="s">
        <v>381</v>
      </c>
      <c r="C1310" s="124">
        <v>46337</v>
      </c>
      <c r="D1310" s="124" t="s">
        <v>492</v>
      </c>
      <c r="E1310" s="21">
        <v>0.96586402000000005</v>
      </c>
      <c r="F1310" s="10"/>
      <c r="G1310" s="14">
        <v>60027851.850000001</v>
      </c>
      <c r="H1310" s="14">
        <v>57978742.32</v>
      </c>
      <c r="I1310" s="14">
        <v>60027851.850000001</v>
      </c>
      <c r="J1310" s="14">
        <v>57978742.32</v>
      </c>
      <c r="K1310" s="12">
        <v>40294868</v>
      </c>
      <c r="L1310" s="10" t="s">
        <v>101</v>
      </c>
      <c r="M1310" s="10" t="s">
        <v>102</v>
      </c>
      <c r="N1310" s="124" t="s">
        <v>551</v>
      </c>
      <c r="O1310" s="124" t="s">
        <v>551</v>
      </c>
      <c r="P1310" s="21">
        <v>30</v>
      </c>
      <c r="Q1310" s="10" t="s">
        <v>54</v>
      </c>
      <c r="R1310" s="10" t="s">
        <v>28</v>
      </c>
      <c r="S1310" s="10"/>
      <c r="T1310" s="10"/>
      <c r="U1310" s="10" t="s">
        <v>2191</v>
      </c>
      <c r="V1310" s="10" t="s">
        <v>2191</v>
      </c>
      <c r="W1310" s="50">
        <f>+J1310/$W$2</f>
        <v>7.7080237978704709E-4</v>
      </c>
    </row>
    <row r="1311" spans="1:29">
      <c r="A1311" s="10" t="s">
        <v>208</v>
      </c>
      <c r="B1311" s="10" t="s">
        <v>381</v>
      </c>
      <c r="C1311" s="124">
        <v>46337</v>
      </c>
      <c r="D1311" s="124" t="s">
        <v>492</v>
      </c>
      <c r="E1311" s="21">
        <v>0.96257815000000002</v>
      </c>
      <c r="F1311" s="10"/>
      <c r="G1311" s="14">
        <v>2170000</v>
      </c>
      <c r="H1311" s="14">
        <v>2088794.59</v>
      </c>
      <c r="I1311" s="14">
        <v>2170000</v>
      </c>
      <c r="J1311" s="14">
        <v>2088794.59</v>
      </c>
      <c r="K1311" s="12">
        <v>260729</v>
      </c>
      <c r="L1311" s="10" t="s">
        <v>101</v>
      </c>
      <c r="M1311" s="10" t="s">
        <v>102</v>
      </c>
      <c r="N1311" s="124" t="s">
        <v>533</v>
      </c>
      <c r="O1311" s="124" t="s">
        <v>533</v>
      </c>
      <c r="P1311" s="21">
        <v>33</v>
      </c>
      <c r="Q1311" s="10" t="s">
        <v>54</v>
      </c>
      <c r="R1311" s="10" t="s">
        <v>28</v>
      </c>
      <c r="S1311" s="10"/>
      <c r="T1311" s="10"/>
      <c r="U1311" s="10" t="s">
        <v>1872</v>
      </c>
      <c r="V1311" s="10" t="s">
        <v>1872</v>
      </c>
      <c r="W1311" s="50">
        <f>+J1311/$W$2</f>
        <v>2.7769623424599828E-5</v>
      </c>
    </row>
    <row r="1312" spans="1:29">
      <c r="A1312" s="10" t="s">
        <v>1504</v>
      </c>
      <c r="B1312" s="10" t="s">
        <v>381</v>
      </c>
      <c r="C1312" s="124">
        <v>46337</v>
      </c>
      <c r="D1312" s="124" t="s">
        <v>492</v>
      </c>
      <c r="E1312" s="21">
        <v>0.96806705999999998</v>
      </c>
      <c r="F1312" s="10"/>
      <c r="G1312" s="14">
        <v>150000000</v>
      </c>
      <c r="H1312" s="14">
        <v>145210058.61000001</v>
      </c>
      <c r="I1312" s="14">
        <v>150000000</v>
      </c>
      <c r="J1312" s="14">
        <v>145210058.61000001</v>
      </c>
      <c r="K1312" s="12">
        <v>80</v>
      </c>
      <c r="L1312" s="10" t="s">
        <v>101</v>
      </c>
      <c r="M1312" s="10" t="s">
        <v>102</v>
      </c>
      <c r="N1312" s="124" t="s">
        <v>414</v>
      </c>
      <c r="O1312" s="124" t="s">
        <v>414</v>
      </c>
      <c r="P1312" s="21">
        <v>28</v>
      </c>
      <c r="Q1312" s="10" t="s">
        <v>54</v>
      </c>
      <c r="R1312" s="10" t="s">
        <v>28</v>
      </c>
      <c r="S1312" s="10"/>
      <c r="T1312" s="10"/>
      <c r="U1312" s="10" t="s">
        <v>1491</v>
      </c>
      <c r="V1312" s="10" t="s">
        <v>1491</v>
      </c>
      <c r="W1312" s="50">
        <f>+J1312/$W$2</f>
        <v>1.9305051173384023E-3</v>
      </c>
      <c r="AC1312" s="47"/>
    </row>
    <row r="1313" spans="1:29">
      <c r="A1313" s="10" t="s">
        <v>1102</v>
      </c>
      <c r="B1313" s="10" t="s">
        <v>381</v>
      </c>
      <c r="C1313" s="124">
        <v>46337</v>
      </c>
      <c r="D1313" s="124" t="s">
        <v>492</v>
      </c>
      <c r="E1313" s="21">
        <v>0.95931471000000001</v>
      </c>
      <c r="F1313" s="10"/>
      <c r="G1313" s="14">
        <v>3140560.45</v>
      </c>
      <c r="H1313" s="14">
        <v>3012785.85</v>
      </c>
      <c r="I1313" s="14">
        <v>3140560.45</v>
      </c>
      <c r="J1313" s="14">
        <v>3012785.85</v>
      </c>
      <c r="K1313" s="12">
        <v>1117</v>
      </c>
      <c r="L1313" s="10" t="s">
        <v>101</v>
      </c>
      <c r="M1313" s="10" t="s">
        <v>102</v>
      </c>
      <c r="N1313" s="124" t="s">
        <v>390</v>
      </c>
      <c r="O1313" s="124" t="s">
        <v>390</v>
      </c>
      <c r="P1313" s="21">
        <v>36</v>
      </c>
      <c r="Q1313" s="10" t="s">
        <v>54</v>
      </c>
      <c r="R1313" s="10" t="s">
        <v>28</v>
      </c>
      <c r="S1313" s="10"/>
      <c r="T1313" s="10"/>
      <c r="U1313" s="10" t="s">
        <v>2040</v>
      </c>
      <c r="V1313" s="10" t="s">
        <v>2040</v>
      </c>
      <c r="W1313" s="50">
        <f>+J1313/$W$2</f>
        <v>4.005368881842178E-5</v>
      </c>
    </row>
    <row r="1314" spans="1:29">
      <c r="A1314" s="10" t="s">
        <v>1102</v>
      </c>
      <c r="B1314" s="10" t="s">
        <v>381</v>
      </c>
      <c r="C1314" s="124">
        <v>46337</v>
      </c>
      <c r="D1314" s="124" t="s">
        <v>492</v>
      </c>
      <c r="E1314" s="21">
        <v>0.95931464</v>
      </c>
      <c r="F1314" s="10"/>
      <c r="G1314" s="14">
        <v>3256800.5</v>
      </c>
      <c r="H1314" s="14">
        <v>3124296.39</v>
      </c>
      <c r="I1314" s="14">
        <v>3256800.5</v>
      </c>
      <c r="J1314" s="14">
        <v>3124296.39</v>
      </c>
      <c r="K1314" s="12">
        <v>1286</v>
      </c>
      <c r="L1314" s="10" t="s">
        <v>101</v>
      </c>
      <c r="M1314" s="10" t="s">
        <v>102</v>
      </c>
      <c r="N1314" s="124" t="s">
        <v>532</v>
      </c>
      <c r="O1314" s="124" t="s">
        <v>532</v>
      </c>
      <c r="P1314" s="21">
        <v>36</v>
      </c>
      <c r="Q1314" s="10" t="s">
        <v>54</v>
      </c>
      <c r="R1314" s="10" t="s">
        <v>28</v>
      </c>
      <c r="S1314" s="10"/>
      <c r="T1314" s="10"/>
      <c r="U1314" s="10" t="s">
        <v>3096</v>
      </c>
      <c r="V1314" s="10" t="s">
        <v>3096</v>
      </c>
      <c r="W1314" s="50">
        <f>+J1314/$W$2</f>
        <v>4.1536173366447043E-5</v>
      </c>
      <c r="AC1314" s="47"/>
    </row>
    <row r="1315" spans="1:29">
      <c r="A1315" s="10" t="s">
        <v>1102</v>
      </c>
      <c r="B1315" s="10" t="s">
        <v>381</v>
      </c>
      <c r="C1315" s="124">
        <v>46337</v>
      </c>
      <c r="D1315" s="124" t="s">
        <v>492</v>
      </c>
      <c r="E1315" s="21">
        <v>0.95931464</v>
      </c>
      <c r="F1315" s="10"/>
      <c r="G1315" s="14">
        <v>3256800.5</v>
      </c>
      <c r="H1315" s="14">
        <v>3124296.39</v>
      </c>
      <c r="I1315" s="14">
        <v>3256800.5</v>
      </c>
      <c r="J1315" s="14">
        <v>3124296.39</v>
      </c>
      <c r="K1315" s="12">
        <v>1287</v>
      </c>
      <c r="L1315" s="10" t="s">
        <v>101</v>
      </c>
      <c r="M1315" s="10" t="s">
        <v>102</v>
      </c>
      <c r="N1315" s="124" t="s">
        <v>532</v>
      </c>
      <c r="O1315" s="124" t="s">
        <v>532</v>
      </c>
      <c r="P1315" s="21">
        <v>36</v>
      </c>
      <c r="Q1315" s="10" t="s">
        <v>54</v>
      </c>
      <c r="R1315" s="10" t="s">
        <v>28</v>
      </c>
      <c r="S1315" s="10"/>
      <c r="T1315" s="10"/>
      <c r="U1315" s="10" t="s">
        <v>3098</v>
      </c>
      <c r="V1315" s="10" t="s">
        <v>3098</v>
      </c>
      <c r="W1315" s="50">
        <f>+J1315/$W$2</f>
        <v>4.1536173366447043E-5</v>
      </c>
    </row>
    <row r="1316" spans="1:29">
      <c r="A1316" s="10" t="s">
        <v>353</v>
      </c>
      <c r="B1316" s="10" t="s">
        <v>381</v>
      </c>
      <c r="C1316" s="124">
        <v>46337</v>
      </c>
      <c r="D1316" s="124" t="s">
        <v>492</v>
      </c>
      <c r="E1316" s="21">
        <v>0.96257824000000003</v>
      </c>
      <c r="F1316" s="10"/>
      <c r="G1316" s="14">
        <v>990902.64</v>
      </c>
      <c r="H1316" s="14">
        <v>953821.32</v>
      </c>
      <c r="I1316" s="14">
        <v>990902.64</v>
      </c>
      <c r="J1316" s="14">
        <v>953821.32</v>
      </c>
      <c r="K1316" s="12">
        <v>2965</v>
      </c>
      <c r="L1316" s="10" t="s">
        <v>101</v>
      </c>
      <c r="M1316" s="10" t="s">
        <v>102</v>
      </c>
      <c r="N1316" s="124" t="s">
        <v>366</v>
      </c>
      <c r="O1316" s="124" t="s">
        <v>366</v>
      </c>
      <c r="P1316" s="21">
        <v>33</v>
      </c>
      <c r="Q1316" s="10" t="s">
        <v>54</v>
      </c>
      <c r="R1316" s="10" t="s">
        <v>28</v>
      </c>
      <c r="S1316" s="10"/>
      <c r="T1316" s="10"/>
      <c r="U1316" s="10" t="s">
        <v>1156</v>
      </c>
      <c r="V1316" s="10" t="s">
        <v>1156</v>
      </c>
      <c r="W1316" s="50">
        <f>+J1316/$W$2</f>
        <v>1.2680643179353851E-5</v>
      </c>
    </row>
    <row r="1317" spans="1:29">
      <c r="A1317" s="10" t="s">
        <v>353</v>
      </c>
      <c r="B1317" s="10" t="s">
        <v>381</v>
      </c>
      <c r="C1317" s="124">
        <v>46337</v>
      </c>
      <c r="D1317" s="124" t="s">
        <v>492</v>
      </c>
      <c r="E1317" s="21">
        <v>0.96148789000000001</v>
      </c>
      <c r="F1317" s="10"/>
      <c r="G1317" s="14">
        <v>990902.64</v>
      </c>
      <c r="H1317" s="14">
        <v>952740.89</v>
      </c>
      <c r="I1317" s="14">
        <v>990902.64</v>
      </c>
      <c r="J1317" s="14">
        <v>952740.89</v>
      </c>
      <c r="K1317" s="12">
        <v>2964</v>
      </c>
      <c r="L1317" s="10" t="s">
        <v>101</v>
      </c>
      <c r="M1317" s="10" t="s">
        <v>102</v>
      </c>
      <c r="N1317" s="124" t="s">
        <v>326</v>
      </c>
      <c r="O1317" s="124" t="s">
        <v>326</v>
      </c>
      <c r="P1317" s="21">
        <v>34</v>
      </c>
      <c r="Q1317" s="10" t="s">
        <v>54</v>
      </c>
      <c r="R1317" s="10" t="s">
        <v>28</v>
      </c>
      <c r="S1317" s="10"/>
      <c r="T1317" s="10"/>
      <c r="U1317" s="10" t="s">
        <v>959</v>
      </c>
      <c r="V1317" s="10" t="s">
        <v>959</v>
      </c>
      <c r="W1317" s="50">
        <f>+J1317/$W$2</f>
        <v>1.2666279328365211E-5</v>
      </c>
    </row>
    <row r="1318" spans="1:29">
      <c r="A1318" s="10" t="s">
        <v>353</v>
      </c>
      <c r="B1318" s="10" t="s">
        <v>381</v>
      </c>
      <c r="C1318" s="124">
        <v>46337</v>
      </c>
      <c r="D1318" s="124" t="s">
        <v>492</v>
      </c>
      <c r="E1318" s="21">
        <v>0.96148787000000002</v>
      </c>
      <c r="F1318" s="10"/>
      <c r="G1318" s="14">
        <v>1020845.65</v>
      </c>
      <c r="H1318" s="14">
        <v>981530.71</v>
      </c>
      <c r="I1318" s="14">
        <v>1020845.65</v>
      </c>
      <c r="J1318" s="14">
        <v>981530.71</v>
      </c>
      <c r="K1318" s="12">
        <v>2915</v>
      </c>
      <c r="L1318" s="10" t="s">
        <v>101</v>
      </c>
      <c r="M1318" s="10" t="s">
        <v>102</v>
      </c>
      <c r="N1318" s="124" t="s">
        <v>326</v>
      </c>
      <c r="O1318" s="124" t="s">
        <v>326</v>
      </c>
      <c r="P1318" s="21">
        <v>34</v>
      </c>
      <c r="Q1318" s="10" t="s">
        <v>54</v>
      </c>
      <c r="R1318" s="10" t="s">
        <v>28</v>
      </c>
      <c r="S1318" s="10"/>
      <c r="T1318" s="10"/>
      <c r="U1318" s="10" t="s">
        <v>961</v>
      </c>
      <c r="V1318" s="10" t="s">
        <v>961</v>
      </c>
      <c r="W1318" s="50">
        <f>+J1318/$W$2</f>
        <v>1.3049027571629289E-5</v>
      </c>
    </row>
    <row r="1319" spans="1:29">
      <c r="A1319" s="10" t="s">
        <v>353</v>
      </c>
      <c r="B1319" s="10" t="s">
        <v>381</v>
      </c>
      <c r="C1319" s="124">
        <v>46337</v>
      </c>
      <c r="D1319" s="124" t="s">
        <v>492</v>
      </c>
      <c r="E1319" s="21">
        <v>0.96148787000000002</v>
      </c>
      <c r="F1319" s="10"/>
      <c r="G1319" s="14">
        <v>1020845.65</v>
      </c>
      <c r="H1319" s="14">
        <v>981530.71</v>
      </c>
      <c r="I1319" s="14">
        <v>1020845.65</v>
      </c>
      <c r="J1319" s="14">
        <v>981530.71</v>
      </c>
      <c r="K1319" s="12">
        <v>2914</v>
      </c>
      <c r="L1319" s="10" t="s">
        <v>101</v>
      </c>
      <c r="M1319" s="10" t="s">
        <v>102</v>
      </c>
      <c r="N1319" s="124" t="s">
        <v>326</v>
      </c>
      <c r="O1319" s="124" t="s">
        <v>326</v>
      </c>
      <c r="P1319" s="21">
        <v>34</v>
      </c>
      <c r="Q1319" s="10" t="s">
        <v>54</v>
      </c>
      <c r="R1319" s="10" t="s">
        <v>28</v>
      </c>
      <c r="S1319" s="10"/>
      <c r="T1319" s="10"/>
      <c r="U1319" s="10" t="s">
        <v>962</v>
      </c>
      <c r="V1319" s="10" t="s">
        <v>962</v>
      </c>
      <c r="W1319" s="50">
        <f>+J1319/$W$2</f>
        <v>1.3049027571629289E-5</v>
      </c>
    </row>
    <row r="1320" spans="1:29">
      <c r="A1320" s="10" t="s">
        <v>353</v>
      </c>
      <c r="B1320" s="10" t="s">
        <v>381</v>
      </c>
      <c r="C1320" s="124">
        <v>46337</v>
      </c>
      <c r="D1320" s="124" t="s">
        <v>492</v>
      </c>
      <c r="E1320" s="21">
        <v>0.95931471000000001</v>
      </c>
      <c r="F1320" s="10"/>
      <c r="G1320" s="14">
        <v>2510000.36</v>
      </c>
      <c r="H1320" s="14">
        <v>2407880.2599999998</v>
      </c>
      <c r="I1320" s="14">
        <v>2510000.36</v>
      </c>
      <c r="J1320" s="14">
        <v>2407880.2599999998</v>
      </c>
      <c r="K1320" s="12">
        <v>3161</v>
      </c>
      <c r="L1320" s="10" t="s">
        <v>101</v>
      </c>
      <c r="M1320" s="10" t="s">
        <v>102</v>
      </c>
      <c r="N1320" s="124" t="s">
        <v>163</v>
      </c>
      <c r="O1320" s="124" t="s">
        <v>163</v>
      </c>
      <c r="P1320" s="21">
        <v>36</v>
      </c>
      <c r="Q1320" s="10" t="s">
        <v>54</v>
      </c>
      <c r="R1320" s="10" t="s">
        <v>28</v>
      </c>
      <c r="S1320" s="10"/>
      <c r="T1320" s="10"/>
      <c r="U1320" s="10" t="s">
        <v>1628</v>
      </c>
      <c r="V1320" s="10" t="s">
        <v>1628</v>
      </c>
      <c r="W1320" s="50">
        <f>+J1320/$W$2</f>
        <v>3.2011729823432525E-5</v>
      </c>
    </row>
    <row r="1321" spans="1:29">
      <c r="A1321" s="10" t="s">
        <v>273</v>
      </c>
      <c r="B1321" s="10" t="s">
        <v>381</v>
      </c>
      <c r="C1321" s="124">
        <v>46337</v>
      </c>
      <c r="D1321" s="124" t="s">
        <v>492</v>
      </c>
      <c r="E1321" s="21">
        <v>0.96806711000000001</v>
      </c>
      <c r="F1321" s="10"/>
      <c r="G1321" s="14">
        <v>60000000</v>
      </c>
      <c r="H1321" s="14">
        <v>58084026.759999998</v>
      </c>
      <c r="I1321" s="14">
        <v>60000000</v>
      </c>
      <c r="J1321" s="14">
        <v>58084026.759999998</v>
      </c>
      <c r="K1321" s="12">
        <v>100</v>
      </c>
      <c r="L1321" s="10" t="s">
        <v>101</v>
      </c>
      <c r="M1321" s="10" t="s">
        <v>102</v>
      </c>
      <c r="N1321" s="124" t="s">
        <v>326</v>
      </c>
      <c r="O1321" s="124" t="s">
        <v>326</v>
      </c>
      <c r="P1321" s="21">
        <v>28</v>
      </c>
      <c r="Q1321" s="10" t="s">
        <v>54</v>
      </c>
      <c r="R1321" s="10" t="s">
        <v>28</v>
      </c>
      <c r="S1321" s="10"/>
      <c r="T1321" s="10"/>
      <c r="U1321" s="10" t="s">
        <v>982</v>
      </c>
      <c r="V1321" s="10" t="s">
        <v>982</v>
      </c>
      <c r="W1321" s="50">
        <f>+J1321/$W$2</f>
        <v>7.7220209102015099E-4</v>
      </c>
    </row>
    <row r="1322" spans="1:29">
      <c r="A1322" s="10" t="s">
        <v>273</v>
      </c>
      <c r="B1322" s="10" t="s">
        <v>381</v>
      </c>
      <c r="C1322" s="124">
        <v>46337</v>
      </c>
      <c r="D1322" s="124" t="s">
        <v>492</v>
      </c>
      <c r="E1322" s="21">
        <v>0.96586406999999996</v>
      </c>
      <c r="F1322" s="10"/>
      <c r="G1322" s="14">
        <v>10000000</v>
      </c>
      <c r="H1322" s="14">
        <v>9658640.6899999995</v>
      </c>
      <c r="I1322" s="14">
        <v>10000000</v>
      </c>
      <c r="J1322" s="14">
        <v>9658640.6899999995</v>
      </c>
      <c r="K1322" s="12">
        <v>68856220</v>
      </c>
      <c r="L1322" s="10" t="s">
        <v>101</v>
      </c>
      <c r="M1322" s="10" t="s">
        <v>102</v>
      </c>
      <c r="N1322" s="124" t="s">
        <v>322</v>
      </c>
      <c r="O1322" s="124" t="s">
        <v>322</v>
      </c>
      <c r="P1322" s="21">
        <v>30</v>
      </c>
      <c r="Q1322" s="10" t="s">
        <v>54</v>
      </c>
      <c r="R1322" s="10" t="s">
        <v>28</v>
      </c>
      <c r="S1322" s="10"/>
      <c r="T1322" s="10"/>
      <c r="U1322" s="10" t="s">
        <v>1579</v>
      </c>
      <c r="V1322" s="10" t="s">
        <v>1579</v>
      </c>
      <c r="W1322" s="50">
        <f>+J1322/$W$2</f>
        <v>1.2840746334699047E-4</v>
      </c>
    </row>
    <row r="1323" spans="1:29">
      <c r="A1323" s="10" t="s">
        <v>273</v>
      </c>
      <c r="B1323" s="10" t="s">
        <v>381</v>
      </c>
      <c r="C1323" s="124">
        <v>46337</v>
      </c>
      <c r="D1323" s="124" t="s">
        <v>492</v>
      </c>
      <c r="E1323" s="21">
        <v>0.96586406999999996</v>
      </c>
      <c r="F1323" s="10"/>
      <c r="G1323" s="14">
        <v>11000000</v>
      </c>
      <c r="H1323" s="14">
        <v>10624504.76</v>
      </c>
      <c r="I1323" s="14">
        <v>11000000</v>
      </c>
      <c r="J1323" s="14">
        <v>10624504.76</v>
      </c>
      <c r="K1323" s="12">
        <v>10679146</v>
      </c>
      <c r="L1323" s="10" t="s">
        <v>101</v>
      </c>
      <c r="M1323" s="10" t="s">
        <v>102</v>
      </c>
      <c r="N1323" s="124" t="s">
        <v>322</v>
      </c>
      <c r="O1323" s="124" t="s">
        <v>322</v>
      </c>
      <c r="P1323" s="21">
        <v>30</v>
      </c>
      <c r="Q1323" s="10" t="s">
        <v>54</v>
      </c>
      <c r="R1323" s="10" t="s">
        <v>28</v>
      </c>
      <c r="S1323" s="10"/>
      <c r="T1323" s="10"/>
      <c r="U1323" s="10" t="s">
        <v>1582</v>
      </c>
      <c r="V1323" s="10" t="s">
        <v>1582</v>
      </c>
      <c r="W1323" s="50">
        <f>+J1323/$W$2</f>
        <v>1.412482096949841E-4</v>
      </c>
    </row>
    <row r="1324" spans="1:29">
      <c r="A1324" s="10" t="s">
        <v>762</v>
      </c>
      <c r="B1324" s="10" t="s">
        <v>381</v>
      </c>
      <c r="C1324" s="124">
        <v>46337</v>
      </c>
      <c r="D1324" s="124" t="s">
        <v>492</v>
      </c>
      <c r="E1324" s="21">
        <v>0.96917253999999997</v>
      </c>
      <c r="F1324" s="10"/>
      <c r="G1324" s="14">
        <v>33580000</v>
      </c>
      <c r="H1324" s="14">
        <v>32544813.829999998</v>
      </c>
      <c r="I1324" s="14">
        <v>33580000</v>
      </c>
      <c r="J1324" s="14">
        <v>32544813.829999998</v>
      </c>
      <c r="K1324" s="12">
        <v>32241</v>
      </c>
      <c r="L1324" s="10" t="s">
        <v>101</v>
      </c>
      <c r="M1324" s="10" t="s">
        <v>102</v>
      </c>
      <c r="N1324" s="124" t="s">
        <v>422</v>
      </c>
      <c r="O1324" s="124" t="s">
        <v>422</v>
      </c>
      <c r="P1324" s="21">
        <v>27</v>
      </c>
      <c r="Q1324" s="10" t="s">
        <v>54</v>
      </c>
      <c r="R1324" s="10" t="s">
        <v>28</v>
      </c>
      <c r="S1324" s="10"/>
      <c r="T1324" s="10"/>
      <c r="U1324" s="10" t="s">
        <v>2732</v>
      </c>
      <c r="V1324" s="10" t="s">
        <v>2732</v>
      </c>
      <c r="W1324" s="50">
        <f>+J1324/$W$2</f>
        <v>4.3266926715029852E-4</v>
      </c>
    </row>
    <row r="1325" spans="1:29">
      <c r="A1325" s="10" t="s">
        <v>1916</v>
      </c>
      <c r="B1325" s="10" t="s">
        <v>381</v>
      </c>
      <c r="C1325" s="124">
        <v>46337</v>
      </c>
      <c r="D1325" s="124" t="s">
        <v>492</v>
      </c>
      <c r="E1325" s="21">
        <v>0.96367100000000006</v>
      </c>
      <c r="F1325" s="10"/>
      <c r="G1325" s="14">
        <v>14627728.42</v>
      </c>
      <c r="H1325" s="14">
        <v>14096317.720000001</v>
      </c>
      <c r="I1325" s="14">
        <v>14627728.42</v>
      </c>
      <c r="J1325" s="14">
        <v>14096317.720000001</v>
      </c>
      <c r="K1325" s="12">
        <v>69296586</v>
      </c>
      <c r="L1325" s="10" t="s">
        <v>101</v>
      </c>
      <c r="M1325" s="10" t="s">
        <v>102</v>
      </c>
      <c r="N1325" s="124" t="s">
        <v>348</v>
      </c>
      <c r="O1325" s="124" t="s">
        <v>348</v>
      </c>
      <c r="P1325" s="21">
        <v>32</v>
      </c>
      <c r="Q1325" s="10" t="s">
        <v>54</v>
      </c>
      <c r="R1325" s="10" t="s">
        <v>28</v>
      </c>
      <c r="S1325" s="10"/>
      <c r="T1325" s="10"/>
      <c r="U1325" s="10" t="s">
        <v>1890</v>
      </c>
      <c r="V1325" s="10" t="s">
        <v>1890</v>
      </c>
      <c r="W1325" s="50">
        <f>+J1325/$W$2</f>
        <v>1.8740446601688758E-4</v>
      </c>
    </row>
    <row r="1326" spans="1:29">
      <c r="A1326" s="10" t="s">
        <v>404</v>
      </c>
      <c r="B1326" s="10" t="s">
        <v>381</v>
      </c>
      <c r="C1326" s="124">
        <v>46337</v>
      </c>
      <c r="D1326" s="124" t="s">
        <v>492</v>
      </c>
      <c r="E1326" s="21">
        <v>0.96586406999999996</v>
      </c>
      <c r="F1326" s="10"/>
      <c r="G1326" s="14">
        <v>12008751.93</v>
      </c>
      <c r="H1326" s="14">
        <v>11598821.970000001</v>
      </c>
      <c r="I1326" s="14">
        <v>12008751.93</v>
      </c>
      <c r="J1326" s="14">
        <v>11598821.970000001</v>
      </c>
      <c r="K1326" s="12">
        <v>23044</v>
      </c>
      <c r="L1326" s="10" t="s">
        <v>101</v>
      </c>
      <c r="M1326" s="10" t="s">
        <v>102</v>
      </c>
      <c r="N1326" s="124" t="s">
        <v>423</v>
      </c>
      <c r="O1326" s="124" t="s">
        <v>423</v>
      </c>
      <c r="P1326" s="21">
        <v>30</v>
      </c>
      <c r="Q1326" s="10" t="s">
        <v>54</v>
      </c>
      <c r="R1326" s="10" t="s">
        <v>28</v>
      </c>
      <c r="S1326" s="10"/>
      <c r="T1326" s="10"/>
      <c r="U1326" s="10" t="s">
        <v>2523</v>
      </c>
      <c r="V1326" s="10" t="s">
        <v>2523</v>
      </c>
      <c r="W1326" s="50">
        <f>+J1326/$W$2</f>
        <v>1.542013368944407E-4</v>
      </c>
    </row>
    <row r="1327" spans="1:29">
      <c r="A1327" s="10" t="s">
        <v>404</v>
      </c>
      <c r="B1327" s="10" t="s">
        <v>381</v>
      </c>
      <c r="C1327" s="124">
        <v>46337</v>
      </c>
      <c r="D1327" s="124" t="s">
        <v>492</v>
      </c>
      <c r="E1327" s="21">
        <v>0.96586406999999996</v>
      </c>
      <c r="F1327" s="10"/>
      <c r="G1327" s="14">
        <v>3554233.32</v>
      </c>
      <c r="H1327" s="14">
        <v>3432906.25</v>
      </c>
      <c r="I1327" s="14">
        <v>3554233.32</v>
      </c>
      <c r="J1327" s="14">
        <v>3432906.25</v>
      </c>
      <c r="K1327" s="12">
        <v>23043</v>
      </c>
      <c r="L1327" s="10" t="s">
        <v>101</v>
      </c>
      <c r="M1327" s="10" t="s">
        <v>102</v>
      </c>
      <c r="N1327" s="124" t="s">
        <v>423</v>
      </c>
      <c r="O1327" s="124" t="s">
        <v>423</v>
      </c>
      <c r="P1327" s="21">
        <v>30</v>
      </c>
      <c r="Q1327" s="10" t="s">
        <v>54</v>
      </c>
      <c r="R1327" s="10" t="s">
        <v>28</v>
      </c>
      <c r="S1327" s="10"/>
      <c r="T1327" s="10"/>
      <c r="U1327" s="10" t="s">
        <v>2525</v>
      </c>
      <c r="V1327" s="10" t="s">
        <v>2525</v>
      </c>
      <c r="W1327" s="50">
        <f>+J1327/$W$2</f>
        <v>4.5639008388304538E-5</v>
      </c>
      <c r="AC1327" s="47"/>
    </row>
    <row r="1328" spans="1:29">
      <c r="A1328" s="10" t="s">
        <v>404</v>
      </c>
      <c r="B1328" s="10" t="s">
        <v>381</v>
      </c>
      <c r="C1328" s="124">
        <v>46337</v>
      </c>
      <c r="D1328" s="124" t="s">
        <v>492</v>
      </c>
      <c r="E1328" s="21">
        <v>0.96586406999999996</v>
      </c>
      <c r="F1328" s="10"/>
      <c r="G1328" s="14">
        <v>8141903.9699999997</v>
      </c>
      <c r="H1328" s="14">
        <v>7863972.4699999997</v>
      </c>
      <c r="I1328" s="14">
        <v>8141903.9699999997</v>
      </c>
      <c r="J1328" s="14">
        <v>7863972.4699999997</v>
      </c>
      <c r="K1328" s="12">
        <v>23097</v>
      </c>
      <c r="L1328" s="10" t="s">
        <v>101</v>
      </c>
      <c r="M1328" s="10" t="s">
        <v>102</v>
      </c>
      <c r="N1328" s="124" t="s">
        <v>423</v>
      </c>
      <c r="O1328" s="124" t="s">
        <v>423</v>
      </c>
      <c r="P1328" s="21">
        <v>30</v>
      </c>
      <c r="Q1328" s="10" t="s">
        <v>54</v>
      </c>
      <c r="R1328" s="10" t="s">
        <v>28</v>
      </c>
      <c r="S1328" s="10"/>
      <c r="T1328" s="10"/>
      <c r="U1328" s="10" t="s">
        <v>2526</v>
      </c>
      <c r="V1328" s="10" t="s">
        <v>2526</v>
      </c>
      <c r="W1328" s="50">
        <f>+J1328/$W$2</f>
        <v>1.0454812318971017E-4</v>
      </c>
    </row>
    <row r="1329" spans="1:23">
      <c r="A1329" s="10" t="s">
        <v>404</v>
      </c>
      <c r="B1329" s="10" t="s">
        <v>381</v>
      </c>
      <c r="C1329" s="124">
        <v>46337</v>
      </c>
      <c r="D1329" s="124" t="s">
        <v>492</v>
      </c>
      <c r="E1329" s="21">
        <v>0.96586406999999996</v>
      </c>
      <c r="F1329" s="10"/>
      <c r="G1329" s="14">
        <v>14376774.91</v>
      </c>
      <c r="H1329" s="14">
        <v>13886010.279999999</v>
      </c>
      <c r="I1329" s="14">
        <v>14376774.91</v>
      </c>
      <c r="J1329" s="14">
        <v>13886010.279999999</v>
      </c>
      <c r="K1329" s="12">
        <v>22795</v>
      </c>
      <c r="L1329" s="10" t="s">
        <v>101</v>
      </c>
      <c r="M1329" s="10" t="s">
        <v>102</v>
      </c>
      <c r="N1329" s="124" t="s">
        <v>423</v>
      </c>
      <c r="O1329" s="124" t="s">
        <v>423</v>
      </c>
      <c r="P1329" s="21">
        <v>30</v>
      </c>
      <c r="Q1329" s="10" t="s">
        <v>54</v>
      </c>
      <c r="R1329" s="10" t="s">
        <v>28</v>
      </c>
      <c r="S1329" s="10"/>
      <c r="T1329" s="10"/>
      <c r="U1329" s="10" t="s">
        <v>2530</v>
      </c>
      <c r="V1329" s="10" t="s">
        <v>2530</v>
      </c>
      <c r="W1329" s="50">
        <f>+J1329/$W$2</f>
        <v>1.8460851928275149E-4</v>
      </c>
    </row>
    <row r="1330" spans="1:23">
      <c r="A1330" s="10" t="s">
        <v>404</v>
      </c>
      <c r="B1330" s="10" t="s">
        <v>381</v>
      </c>
      <c r="C1330" s="124">
        <v>46337</v>
      </c>
      <c r="D1330" s="124" t="s">
        <v>492</v>
      </c>
      <c r="E1330" s="21">
        <v>0.96586406999999996</v>
      </c>
      <c r="F1330" s="10"/>
      <c r="G1330" s="14">
        <v>21728976.760000002</v>
      </c>
      <c r="H1330" s="14">
        <v>20987237.850000001</v>
      </c>
      <c r="I1330" s="14">
        <v>21728976.760000002</v>
      </c>
      <c r="J1330" s="14">
        <v>20987237.850000001</v>
      </c>
      <c r="K1330" s="12">
        <v>23058</v>
      </c>
      <c r="L1330" s="10" t="s">
        <v>101</v>
      </c>
      <c r="M1330" s="10" t="s">
        <v>102</v>
      </c>
      <c r="N1330" s="124" t="s">
        <v>423</v>
      </c>
      <c r="O1330" s="124" t="s">
        <v>423</v>
      </c>
      <c r="P1330" s="21">
        <v>30</v>
      </c>
      <c r="Q1330" s="10" t="s">
        <v>54</v>
      </c>
      <c r="R1330" s="10" t="s">
        <v>28</v>
      </c>
      <c r="S1330" s="10"/>
      <c r="T1330" s="10"/>
      <c r="U1330" s="10" t="s">
        <v>2531</v>
      </c>
      <c r="V1330" s="10" t="s">
        <v>2531</v>
      </c>
      <c r="W1330" s="50">
        <f>+J1330/$W$2</f>
        <v>2.7901627790840271E-4</v>
      </c>
    </row>
    <row r="1331" spans="1:23">
      <c r="A1331" s="10" t="s">
        <v>272</v>
      </c>
      <c r="B1331" s="10" t="s">
        <v>381</v>
      </c>
      <c r="C1331" s="124">
        <v>46337</v>
      </c>
      <c r="D1331" s="124" t="s">
        <v>492</v>
      </c>
      <c r="E1331" s="21">
        <v>0.96696428000000001</v>
      </c>
      <c r="F1331" s="10"/>
      <c r="G1331" s="14">
        <v>5109127.71</v>
      </c>
      <c r="H1331" s="14">
        <v>4940343.9800000004</v>
      </c>
      <c r="I1331" s="14">
        <v>5109127.71</v>
      </c>
      <c r="J1331" s="14">
        <v>4940343.9800000004</v>
      </c>
      <c r="K1331" s="12">
        <v>90000654</v>
      </c>
      <c r="L1331" s="10" t="s">
        <v>101</v>
      </c>
      <c r="M1331" s="10" t="s">
        <v>102</v>
      </c>
      <c r="N1331" s="124" t="s">
        <v>352</v>
      </c>
      <c r="O1331" s="124" t="s">
        <v>352</v>
      </c>
      <c r="P1331" s="21">
        <v>29</v>
      </c>
      <c r="Q1331" s="10" t="s">
        <v>54</v>
      </c>
      <c r="R1331" s="10" t="s">
        <v>28</v>
      </c>
      <c r="S1331" s="10"/>
      <c r="T1331" s="10"/>
      <c r="U1331" s="10" t="s">
        <v>795</v>
      </c>
      <c r="V1331" s="10" t="s">
        <v>795</v>
      </c>
      <c r="W1331" s="50">
        <f>+J1331/$W$2</f>
        <v>6.5679743029489911E-5</v>
      </c>
    </row>
    <row r="1332" spans="1:23">
      <c r="A1332" s="10" t="s">
        <v>143</v>
      </c>
      <c r="B1332" s="10" t="s">
        <v>381</v>
      </c>
      <c r="C1332" s="124">
        <v>46337</v>
      </c>
      <c r="D1332" s="124" t="s">
        <v>492</v>
      </c>
      <c r="E1332" s="21">
        <v>0.96586413000000004</v>
      </c>
      <c r="F1332" s="10"/>
      <c r="G1332" s="14">
        <v>100000000</v>
      </c>
      <c r="H1332" s="14">
        <v>96586412.700000003</v>
      </c>
      <c r="I1332" s="14">
        <v>100000000</v>
      </c>
      <c r="J1332" s="14">
        <v>96586412.700000003</v>
      </c>
      <c r="K1332" s="12">
        <v>90004129</v>
      </c>
      <c r="L1332" s="10" t="s">
        <v>101</v>
      </c>
      <c r="M1332" s="10" t="s">
        <v>102</v>
      </c>
      <c r="N1332" s="124" t="s">
        <v>390</v>
      </c>
      <c r="O1332" s="124" t="s">
        <v>390</v>
      </c>
      <c r="P1332" s="21">
        <v>30</v>
      </c>
      <c r="Q1332" s="10" t="s">
        <v>54</v>
      </c>
      <c r="R1332" s="10" t="s">
        <v>28</v>
      </c>
      <c r="S1332" s="10"/>
      <c r="T1332" s="10"/>
      <c r="U1332" s="10" t="s">
        <v>2074</v>
      </c>
      <c r="V1332" s="10" t="s">
        <v>2074</v>
      </c>
      <c r="W1332" s="50">
        <f>+J1332/$W$2</f>
        <v>1.2840747105784041E-3</v>
      </c>
    </row>
    <row r="1333" spans="1:23">
      <c r="A1333" s="10" t="s">
        <v>143</v>
      </c>
      <c r="B1333" s="10" t="s">
        <v>381</v>
      </c>
      <c r="C1333" s="124">
        <v>46337</v>
      </c>
      <c r="D1333" s="124" t="s">
        <v>492</v>
      </c>
      <c r="E1333" s="21">
        <v>0.96586413000000004</v>
      </c>
      <c r="F1333" s="10"/>
      <c r="G1333" s="14">
        <v>100000000</v>
      </c>
      <c r="H1333" s="14">
        <v>96586412.700000003</v>
      </c>
      <c r="I1333" s="14">
        <v>100000000</v>
      </c>
      <c r="J1333" s="14">
        <v>96586412.700000003</v>
      </c>
      <c r="K1333" s="12">
        <v>90004130</v>
      </c>
      <c r="L1333" s="10" t="s">
        <v>101</v>
      </c>
      <c r="M1333" s="10" t="s">
        <v>102</v>
      </c>
      <c r="N1333" s="124" t="s">
        <v>390</v>
      </c>
      <c r="O1333" s="124" t="s">
        <v>390</v>
      </c>
      <c r="P1333" s="21">
        <v>30</v>
      </c>
      <c r="Q1333" s="10" t="s">
        <v>54</v>
      </c>
      <c r="R1333" s="10" t="s">
        <v>28</v>
      </c>
      <c r="S1333" s="10"/>
      <c r="T1333" s="10"/>
      <c r="U1333" s="10" t="s">
        <v>2076</v>
      </c>
      <c r="V1333" s="10" t="s">
        <v>2076</v>
      </c>
      <c r="W1333" s="50">
        <f>+J1333/$W$2</f>
        <v>1.2840747105784041E-3</v>
      </c>
    </row>
    <row r="1334" spans="1:23">
      <c r="A1334" s="10" t="s">
        <v>273</v>
      </c>
      <c r="B1334" s="10" t="s">
        <v>381</v>
      </c>
      <c r="C1334" s="124">
        <v>46337</v>
      </c>
      <c r="D1334" s="124" t="s">
        <v>492</v>
      </c>
      <c r="E1334" s="21">
        <v>0.96917237000000001</v>
      </c>
      <c r="F1334" s="10"/>
      <c r="G1334" s="14">
        <v>10000000</v>
      </c>
      <c r="H1334" s="14">
        <v>9691723.7100000009</v>
      </c>
      <c r="I1334" s="14">
        <v>10000000</v>
      </c>
      <c r="J1334" s="14">
        <v>9691723.7100000009</v>
      </c>
      <c r="K1334" s="12">
        <v>2014</v>
      </c>
      <c r="L1334" s="10" t="s">
        <v>101</v>
      </c>
      <c r="M1334" s="10" t="s">
        <v>102</v>
      </c>
      <c r="N1334" s="124" t="s">
        <v>395</v>
      </c>
      <c r="O1334" s="124" t="s">
        <v>395</v>
      </c>
      <c r="P1334" s="21">
        <v>27</v>
      </c>
      <c r="Q1334" s="10" t="s">
        <v>54</v>
      </c>
      <c r="R1334" s="10" t="s">
        <v>28</v>
      </c>
      <c r="S1334" s="10"/>
      <c r="T1334" s="10"/>
      <c r="U1334" s="10" t="s">
        <v>837</v>
      </c>
      <c r="V1334" s="10" t="s">
        <v>837</v>
      </c>
      <c r="W1334" s="50">
        <f>+J1334/$W$2</f>
        <v>1.2884728783310644E-4</v>
      </c>
    </row>
    <row r="1335" spans="1:23">
      <c r="A1335" s="10" t="s">
        <v>1189</v>
      </c>
      <c r="B1335" s="10" t="s">
        <v>381</v>
      </c>
      <c r="C1335" s="124">
        <v>46337</v>
      </c>
      <c r="D1335" s="124" t="s">
        <v>492</v>
      </c>
      <c r="E1335" s="21">
        <v>0.96258105999999999</v>
      </c>
      <c r="F1335" s="10"/>
      <c r="G1335" s="14">
        <v>3890.81</v>
      </c>
      <c r="H1335" s="14">
        <v>3745.22</v>
      </c>
      <c r="I1335" s="14">
        <v>3890.81</v>
      </c>
      <c r="J1335" s="14">
        <v>3745.22</v>
      </c>
      <c r="K1335" s="12">
        <v>121964</v>
      </c>
      <c r="L1335" s="10" t="s">
        <v>101</v>
      </c>
      <c r="M1335" s="10" t="s">
        <v>102</v>
      </c>
      <c r="N1335" s="124" t="s">
        <v>483</v>
      </c>
      <c r="O1335" s="124" t="s">
        <v>483</v>
      </c>
      <c r="P1335" s="21">
        <v>33</v>
      </c>
      <c r="Q1335" s="10" t="s">
        <v>54</v>
      </c>
      <c r="R1335" s="10" t="s">
        <v>28</v>
      </c>
      <c r="S1335" s="10"/>
      <c r="T1335" s="10"/>
      <c r="U1335" s="10" t="s">
        <v>2440</v>
      </c>
      <c r="V1335" s="10" t="s">
        <v>2440</v>
      </c>
      <c r="W1335" s="50">
        <f>+J1335/$W$2</f>
        <v>4.9791085030663429E-8</v>
      </c>
    </row>
    <row r="1336" spans="1:23">
      <c r="A1336" s="10" t="s">
        <v>1189</v>
      </c>
      <c r="B1336" s="10" t="s">
        <v>381</v>
      </c>
      <c r="C1336" s="124">
        <v>46337</v>
      </c>
      <c r="D1336" s="124" t="s">
        <v>492</v>
      </c>
      <c r="E1336" s="21">
        <v>0.96257786000000001</v>
      </c>
      <c r="F1336" s="10"/>
      <c r="G1336" s="14">
        <v>28964.94</v>
      </c>
      <c r="H1336" s="14">
        <v>27881.01</v>
      </c>
      <c r="I1336" s="14">
        <v>28964.94</v>
      </c>
      <c r="J1336" s="14">
        <v>27881.01</v>
      </c>
      <c r="K1336" s="12">
        <v>121296</v>
      </c>
      <c r="L1336" s="10" t="s">
        <v>101</v>
      </c>
      <c r="M1336" s="10" t="s">
        <v>102</v>
      </c>
      <c r="N1336" s="124" t="s">
        <v>483</v>
      </c>
      <c r="O1336" s="124" t="s">
        <v>483</v>
      </c>
      <c r="P1336" s="21">
        <v>33</v>
      </c>
      <c r="Q1336" s="10" t="s">
        <v>54</v>
      </c>
      <c r="R1336" s="10" t="s">
        <v>28</v>
      </c>
      <c r="S1336" s="10"/>
      <c r="T1336" s="10"/>
      <c r="U1336" s="10" t="s">
        <v>2443</v>
      </c>
      <c r="V1336" s="10" t="s">
        <v>2443</v>
      </c>
      <c r="W1336" s="50">
        <f>+J1336/$W$2</f>
        <v>3.7066600617607971E-7</v>
      </c>
    </row>
    <row r="1337" spans="1:23">
      <c r="A1337" s="10" t="s">
        <v>1120</v>
      </c>
      <c r="B1337" s="10" t="s">
        <v>381</v>
      </c>
      <c r="C1337" s="124">
        <v>46337</v>
      </c>
      <c r="D1337" s="124" t="s">
        <v>492</v>
      </c>
      <c r="E1337" s="21">
        <v>0.96257822999999998</v>
      </c>
      <c r="F1337" s="10"/>
      <c r="G1337" s="14">
        <v>4296661.99</v>
      </c>
      <c r="H1337" s="14">
        <v>4135873.3</v>
      </c>
      <c r="I1337" s="14">
        <v>4296661.99</v>
      </c>
      <c r="J1337" s="14">
        <v>4135873.3</v>
      </c>
      <c r="K1337" s="12">
        <v>1541</v>
      </c>
      <c r="L1337" s="10" t="s">
        <v>101</v>
      </c>
      <c r="M1337" s="10" t="s">
        <v>102</v>
      </c>
      <c r="N1337" s="124" t="s">
        <v>362</v>
      </c>
      <c r="O1337" s="124" t="s">
        <v>362</v>
      </c>
      <c r="P1337" s="21">
        <v>33</v>
      </c>
      <c r="Q1337" s="10" t="s">
        <v>54</v>
      </c>
      <c r="R1337" s="10" t="s">
        <v>28</v>
      </c>
      <c r="S1337" s="10"/>
      <c r="T1337" s="10"/>
      <c r="U1337" s="10" t="s">
        <v>1113</v>
      </c>
      <c r="V1337" s="10" t="s">
        <v>1113</v>
      </c>
      <c r="W1337" s="50">
        <f>+J1337/$W$2</f>
        <v>5.4984652211712678E-5</v>
      </c>
    </row>
    <row r="1338" spans="1:23">
      <c r="A1338" s="10" t="s">
        <v>1244</v>
      </c>
      <c r="B1338" s="10" t="s">
        <v>381</v>
      </c>
      <c r="C1338" s="124">
        <v>46337</v>
      </c>
      <c r="D1338" s="124" t="s">
        <v>492</v>
      </c>
      <c r="E1338" s="21">
        <v>0.96257822999999998</v>
      </c>
      <c r="F1338" s="10"/>
      <c r="G1338" s="14">
        <v>20000000</v>
      </c>
      <c r="H1338" s="14">
        <v>19251564.530000001</v>
      </c>
      <c r="I1338" s="14">
        <v>20000000</v>
      </c>
      <c r="J1338" s="14">
        <v>19251564.530000001</v>
      </c>
      <c r="K1338" s="12">
        <v>40663540</v>
      </c>
      <c r="L1338" s="10" t="s">
        <v>101</v>
      </c>
      <c r="M1338" s="10" t="s">
        <v>102</v>
      </c>
      <c r="N1338" s="124" t="s">
        <v>321</v>
      </c>
      <c r="O1338" s="124" t="s">
        <v>321</v>
      </c>
      <c r="P1338" s="21">
        <v>33</v>
      </c>
      <c r="Q1338" s="10" t="s">
        <v>54</v>
      </c>
      <c r="R1338" s="10" t="s">
        <v>28</v>
      </c>
      <c r="S1338" s="10"/>
      <c r="T1338" s="10"/>
      <c r="U1338" s="10" t="s">
        <v>1237</v>
      </c>
      <c r="V1338" s="10" t="s">
        <v>1237</v>
      </c>
      <c r="W1338" s="50">
        <f>+J1338/$W$2</f>
        <v>2.5594124950911674E-4</v>
      </c>
    </row>
    <row r="1339" spans="1:23">
      <c r="A1339" s="10" t="s">
        <v>1330</v>
      </c>
      <c r="B1339" s="10" t="s">
        <v>381</v>
      </c>
      <c r="C1339" s="124">
        <v>46337</v>
      </c>
      <c r="D1339" s="124" t="s">
        <v>492</v>
      </c>
      <c r="E1339" s="21">
        <v>0.96257817999999995</v>
      </c>
      <c r="F1339" s="10"/>
      <c r="G1339" s="14">
        <v>8951101</v>
      </c>
      <c r="H1339" s="14">
        <v>8616134.5500000007</v>
      </c>
      <c r="I1339" s="14">
        <v>8951101</v>
      </c>
      <c r="J1339" s="14">
        <v>8616134.5500000007</v>
      </c>
      <c r="K1339" s="12">
        <v>14046167</v>
      </c>
      <c r="L1339" s="10" t="s">
        <v>101</v>
      </c>
      <c r="M1339" s="10" t="s">
        <v>102</v>
      </c>
      <c r="N1339" s="124" t="s">
        <v>435</v>
      </c>
      <c r="O1339" s="124" t="s">
        <v>435</v>
      </c>
      <c r="P1339" s="21">
        <v>33</v>
      </c>
      <c r="Q1339" s="10" t="s">
        <v>54</v>
      </c>
      <c r="R1339" s="10" t="s">
        <v>28</v>
      </c>
      <c r="S1339" s="10"/>
      <c r="T1339" s="10"/>
      <c r="U1339" s="10" t="s">
        <v>1306</v>
      </c>
      <c r="V1339" s="10" t="s">
        <v>1306</v>
      </c>
      <c r="W1339" s="50">
        <f>+J1339/$W$2</f>
        <v>1.1454779372498465E-4</v>
      </c>
    </row>
    <row r="1340" spans="1:23">
      <c r="A1340" s="10" t="s">
        <v>1330</v>
      </c>
      <c r="B1340" s="10" t="s">
        <v>381</v>
      </c>
      <c r="C1340" s="124">
        <v>46337</v>
      </c>
      <c r="D1340" s="124" t="s">
        <v>492</v>
      </c>
      <c r="E1340" s="21">
        <v>0.96257815000000002</v>
      </c>
      <c r="F1340" s="10"/>
      <c r="G1340" s="14">
        <v>7500000</v>
      </c>
      <c r="H1340" s="14">
        <v>7219336.1399999997</v>
      </c>
      <c r="I1340" s="14">
        <v>7500000</v>
      </c>
      <c r="J1340" s="14">
        <v>7219336.1399999997</v>
      </c>
      <c r="K1340" s="12">
        <v>14437225</v>
      </c>
      <c r="L1340" s="10" t="s">
        <v>101</v>
      </c>
      <c r="M1340" s="10" t="s">
        <v>102</v>
      </c>
      <c r="N1340" s="124" t="s">
        <v>483</v>
      </c>
      <c r="O1340" s="124" t="s">
        <v>483</v>
      </c>
      <c r="P1340" s="21">
        <v>33</v>
      </c>
      <c r="Q1340" s="10" t="s">
        <v>54</v>
      </c>
      <c r="R1340" s="10" t="s">
        <v>28</v>
      </c>
      <c r="S1340" s="10"/>
      <c r="T1340" s="10"/>
      <c r="U1340" s="10" t="s">
        <v>2460</v>
      </c>
      <c r="V1340" s="10" t="s">
        <v>2460</v>
      </c>
      <c r="W1340" s="50">
        <f>+J1340/$W$2</f>
        <v>9.5977961137578427E-5</v>
      </c>
    </row>
    <row r="1341" spans="1:23">
      <c r="A1341" s="10" t="s">
        <v>2627</v>
      </c>
      <c r="B1341" s="10" t="s">
        <v>381</v>
      </c>
      <c r="C1341" s="124">
        <v>46337</v>
      </c>
      <c r="D1341" s="124" t="s">
        <v>492</v>
      </c>
      <c r="E1341" s="21">
        <v>0.96367100999999999</v>
      </c>
      <c r="F1341" s="10"/>
      <c r="G1341" s="14">
        <v>445000</v>
      </c>
      <c r="H1341" s="14">
        <v>428833.6</v>
      </c>
      <c r="I1341" s="14">
        <v>445000</v>
      </c>
      <c r="J1341" s="14">
        <v>428833.6</v>
      </c>
      <c r="K1341" s="12">
        <v>69609968</v>
      </c>
      <c r="L1341" s="10" t="s">
        <v>101</v>
      </c>
      <c r="M1341" s="10" t="s">
        <v>102</v>
      </c>
      <c r="N1341" s="124" t="s">
        <v>423</v>
      </c>
      <c r="O1341" s="124" t="s">
        <v>423</v>
      </c>
      <c r="P1341" s="21">
        <v>32</v>
      </c>
      <c r="Q1341" s="10" t="s">
        <v>54</v>
      </c>
      <c r="R1341" s="10" t="s">
        <v>28</v>
      </c>
      <c r="S1341" s="10"/>
      <c r="T1341" s="10"/>
      <c r="U1341" s="10" t="s">
        <v>2555</v>
      </c>
      <c r="V1341" s="10" t="s">
        <v>2555</v>
      </c>
      <c r="W1341" s="50">
        <f>+J1341/$W$2</f>
        <v>5.7011578069126799E-6</v>
      </c>
    </row>
    <row r="1342" spans="1:23">
      <c r="A1342" s="10" t="s">
        <v>601</v>
      </c>
      <c r="B1342" s="10" t="s">
        <v>381</v>
      </c>
      <c r="C1342" s="124">
        <v>46337</v>
      </c>
      <c r="D1342" s="124" t="s">
        <v>492</v>
      </c>
      <c r="E1342" s="21">
        <v>0.96257828000000001</v>
      </c>
      <c r="F1342" s="10"/>
      <c r="G1342" s="14">
        <v>70000000</v>
      </c>
      <c r="H1342" s="14">
        <v>67380479.670000002</v>
      </c>
      <c r="I1342" s="14">
        <v>70000000</v>
      </c>
      <c r="J1342" s="14">
        <v>67380479.670000002</v>
      </c>
      <c r="K1342" s="12">
        <v>9795700</v>
      </c>
      <c r="L1342" s="10" t="s">
        <v>101</v>
      </c>
      <c r="M1342" s="10" t="s">
        <v>102</v>
      </c>
      <c r="N1342" s="124" t="s">
        <v>472</v>
      </c>
      <c r="O1342" s="124" t="s">
        <v>472</v>
      </c>
      <c r="P1342" s="21">
        <v>33</v>
      </c>
      <c r="Q1342" s="10" t="s">
        <v>54</v>
      </c>
      <c r="R1342" s="10" t="s">
        <v>28</v>
      </c>
      <c r="S1342" s="10"/>
      <c r="T1342" s="10"/>
      <c r="U1342" s="10" t="s">
        <v>3225</v>
      </c>
      <c r="V1342" s="10" t="s">
        <v>3225</v>
      </c>
      <c r="W1342" s="50">
        <f>+J1342/$W$2</f>
        <v>8.957944240006885E-4</v>
      </c>
    </row>
    <row r="1343" spans="1:23">
      <c r="A1343" s="10" t="s">
        <v>688</v>
      </c>
      <c r="B1343" s="10" t="s">
        <v>381</v>
      </c>
      <c r="C1343" s="124">
        <v>46337</v>
      </c>
      <c r="D1343" s="124" t="s">
        <v>492</v>
      </c>
      <c r="E1343" s="21">
        <v>0.95715117999999999</v>
      </c>
      <c r="F1343" s="10"/>
      <c r="G1343" s="14">
        <v>60000000</v>
      </c>
      <c r="H1343" s="14">
        <v>57429070.780000001</v>
      </c>
      <c r="I1343" s="14">
        <v>60000000</v>
      </c>
      <c r="J1343" s="14">
        <v>57429070.780000001</v>
      </c>
      <c r="K1343" s="12">
        <v>70393051</v>
      </c>
      <c r="L1343" s="10" t="s">
        <v>101</v>
      </c>
      <c r="M1343" s="10" t="s">
        <v>102</v>
      </c>
      <c r="N1343" s="124" t="s">
        <v>416</v>
      </c>
      <c r="O1343" s="124" t="s">
        <v>416</v>
      </c>
      <c r="P1343" s="21">
        <v>38</v>
      </c>
      <c r="Q1343" s="10" t="s">
        <v>54</v>
      </c>
      <c r="R1343" s="10" t="s">
        <v>28</v>
      </c>
      <c r="S1343" s="10"/>
      <c r="T1343" s="10"/>
      <c r="U1343" s="10" t="s">
        <v>2153</v>
      </c>
      <c r="V1343" s="10" t="s">
        <v>2153</v>
      </c>
      <c r="W1343" s="50">
        <f>+J1343/$W$2</f>
        <v>7.6349473367091089E-4</v>
      </c>
    </row>
    <row r="1344" spans="1:23">
      <c r="A1344" s="10" t="s">
        <v>688</v>
      </c>
      <c r="B1344" s="10" t="s">
        <v>381</v>
      </c>
      <c r="C1344" s="124">
        <v>46337</v>
      </c>
      <c r="D1344" s="124" t="s">
        <v>492</v>
      </c>
      <c r="E1344" s="21">
        <v>0.95715117999999999</v>
      </c>
      <c r="F1344" s="10"/>
      <c r="G1344" s="14">
        <v>60000000</v>
      </c>
      <c r="H1344" s="14">
        <v>57429070.780000001</v>
      </c>
      <c r="I1344" s="14">
        <v>60000000</v>
      </c>
      <c r="J1344" s="14">
        <v>57429070.780000001</v>
      </c>
      <c r="K1344" s="12">
        <v>70393052</v>
      </c>
      <c r="L1344" s="10" t="s">
        <v>101</v>
      </c>
      <c r="M1344" s="10" t="s">
        <v>102</v>
      </c>
      <c r="N1344" s="124" t="s">
        <v>416</v>
      </c>
      <c r="O1344" s="124" t="s">
        <v>416</v>
      </c>
      <c r="P1344" s="21">
        <v>38</v>
      </c>
      <c r="Q1344" s="10" t="s">
        <v>54</v>
      </c>
      <c r="R1344" s="10" t="s">
        <v>28</v>
      </c>
      <c r="S1344" s="10"/>
      <c r="T1344" s="10"/>
      <c r="U1344" s="10" t="s">
        <v>2154</v>
      </c>
      <c r="V1344" s="10" t="s">
        <v>2154</v>
      </c>
      <c r="W1344" s="50">
        <f>+J1344/$W$2</f>
        <v>7.6349473367091089E-4</v>
      </c>
    </row>
    <row r="1345" spans="1:29">
      <c r="A1345" s="10" t="s">
        <v>688</v>
      </c>
      <c r="B1345" s="10" t="s">
        <v>381</v>
      </c>
      <c r="C1345" s="124">
        <v>46337</v>
      </c>
      <c r="D1345" s="124" t="s">
        <v>492</v>
      </c>
      <c r="E1345" s="21">
        <v>0.95715117999999999</v>
      </c>
      <c r="F1345" s="10"/>
      <c r="G1345" s="14">
        <v>30000000</v>
      </c>
      <c r="H1345" s="14">
        <v>28714535.390000001</v>
      </c>
      <c r="I1345" s="14">
        <v>30000000</v>
      </c>
      <c r="J1345" s="14">
        <v>28714535.390000001</v>
      </c>
      <c r="K1345" s="12">
        <v>70393077</v>
      </c>
      <c r="L1345" s="10" t="s">
        <v>101</v>
      </c>
      <c r="M1345" s="10" t="s">
        <v>102</v>
      </c>
      <c r="N1345" s="124" t="s">
        <v>416</v>
      </c>
      <c r="O1345" s="124" t="s">
        <v>416</v>
      </c>
      <c r="P1345" s="21">
        <v>38</v>
      </c>
      <c r="Q1345" s="10" t="s">
        <v>54</v>
      </c>
      <c r="R1345" s="10" t="s">
        <v>28</v>
      </c>
      <c r="S1345" s="10"/>
      <c r="T1345" s="10"/>
      <c r="U1345" s="10" t="s">
        <v>2158</v>
      </c>
      <c r="V1345" s="10" t="s">
        <v>2158</v>
      </c>
      <c r="W1345" s="50">
        <f>+J1345/$W$2</f>
        <v>3.8174736683545545E-4</v>
      </c>
    </row>
    <row r="1346" spans="1:29">
      <c r="A1346" s="10" t="s">
        <v>688</v>
      </c>
      <c r="B1346" s="10" t="s">
        <v>381</v>
      </c>
      <c r="C1346" s="124">
        <v>46337</v>
      </c>
      <c r="D1346" s="124" t="s">
        <v>492</v>
      </c>
      <c r="E1346" s="21">
        <v>0.95715119999999998</v>
      </c>
      <c r="F1346" s="10"/>
      <c r="G1346" s="14">
        <v>15000000</v>
      </c>
      <c r="H1346" s="14">
        <v>14357267.99</v>
      </c>
      <c r="I1346" s="14">
        <v>15000000</v>
      </c>
      <c r="J1346" s="14">
        <v>14357267.99</v>
      </c>
      <c r="K1346" s="12">
        <v>70393078</v>
      </c>
      <c r="L1346" s="10" t="s">
        <v>101</v>
      </c>
      <c r="M1346" s="10" t="s">
        <v>102</v>
      </c>
      <c r="N1346" s="124" t="s">
        <v>423</v>
      </c>
      <c r="O1346" s="124" t="s">
        <v>423</v>
      </c>
      <c r="P1346" s="21">
        <v>38</v>
      </c>
      <c r="Q1346" s="10" t="s">
        <v>54</v>
      </c>
      <c r="R1346" s="10" t="s">
        <v>28</v>
      </c>
      <c r="S1346" s="10"/>
      <c r="T1346" s="10"/>
      <c r="U1346" s="10" t="s">
        <v>2521</v>
      </c>
      <c r="V1346" s="10" t="s">
        <v>2521</v>
      </c>
      <c r="W1346" s="50">
        <f>+J1346/$W$2</f>
        <v>1.9087368733962552E-4</v>
      </c>
    </row>
    <row r="1347" spans="1:29">
      <c r="A1347" s="10" t="s">
        <v>604</v>
      </c>
      <c r="B1347" s="10" t="s">
        <v>381</v>
      </c>
      <c r="C1347" s="124">
        <v>46337</v>
      </c>
      <c r="D1347" s="124" t="s">
        <v>492</v>
      </c>
      <c r="E1347" s="21">
        <v>0.95931471999999995</v>
      </c>
      <c r="F1347" s="10"/>
      <c r="G1347" s="14">
        <v>3256800.5</v>
      </c>
      <c r="H1347" s="14">
        <v>3124296.65</v>
      </c>
      <c r="I1347" s="14">
        <v>3256800.5</v>
      </c>
      <c r="J1347" s="14">
        <v>3124296.65</v>
      </c>
      <c r="K1347" s="12">
        <v>505</v>
      </c>
      <c r="L1347" s="10" t="s">
        <v>101</v>
      </c>
      <c r="M1347" s="10" t="s">
        <v>102</v>
      </c>
      <c r="N1347" s="124" t="s">
        <v>163</v>
      </c>
      <c r="O1347" s="124" t="s">
        <v>163</v>
      </c>
      <c r="P1347" s="21">
        <v>36</v>
      </c>
      <c r="Q1347" s="10" t="s">
        <v>54</v>
      </c>
      <c r="R1347" s="10" t="s">
        <v>28</v>
      </c>
      <c r="S1347" s="10"/>
      <c r="T1347" s="10"/>
      <c r="U1347" s="10" t="s">
        <v>1627</v>
      </c>
      <c r="V1347" s="10" t="s">
        <v>1627</v>
      </c>
      <c r="W1347" s="50">
        <f>+J1347/$W$2</f>
        <v>4.1536176823034937E-5</v>
      </c>
    </row>
    <row r="1348" spans="1:29">
      <c r="A1348" s="10" t="s">
        <v>607</v>
      </c>
      <c r="B1348" s="10" t="s">
        <v>381</v>
      </c>
      <c r="C1348" s="124">
        <v>46337</v>
      </c>
      <c r="D1348" s="124" t="s">
        <v>492</v>
      </c>
      <c r="E1348" s="21">
        <v>0.96257822000000004</v>
      </c>
      <c r="F1348" s="10"/>
      <c r="G1348" s="14">
        <v>1300000</v>
      </c>
      <c r="H1348" s="14">
        <v>1251351.69</v>
      </c>
      <c r="I1348" s="14">
        <v>1300000</v>
      </c>
      <c r="J1348" s="14">
        <v>1251351.69</v>
      </c>
      <c r="K1348" s="12">
        <v>558</v>
      </c>
      <c r="L1348" s="10" t="s">
        <v>101</v>
      </c>
      <c r="M1348" s="10" t="s">
        <v>102</v>
      </c>
      <c r="N1348" s="124" t="s">
        <v>164</v>
      </c>
      <c r="O1348" s="124" t="s">
        <v>164</v>
      </c>
      <c r="P1348" s="21">
        <v>33</v>
      </c>
      <c r="Q1348" s="10" t="s">
        <v>54</v>
      </c>
      <c r="R1348" s="10" t="s">
        <v>28</v>
      </c>
      <c r="S1348" s="10"/>
      <c r="T1348" s="10"/>
      <c r="U1348" s="10" t="s">
        <v>1956</v>
      </c>
      <c r="V1348" s="10" t="s">
        <v>1956</v>
      </c>
      <c r="W1348" s="50">
        <f>+J1348/$W$2</f>
        <v>1.6636181158931753E-5</v>
      </c>
    </row>
    <row r="1349" spans="1:29">
      <c r="A1349" s="10" t="s">
        <v>402</v>
      </c>
      <c r="B1349" s="10" t="s">
        <v>381</v>
      </c>
      <c r="C1349" s="124">
        <v>46337</v>
      </c>
      <c r="D1349" s="124" t="s">
        <v>492</v>
      </c>
      <c r="E1349" s="21">
        <v>0.96367093000000004</v>
      </c>
      <c r="F1349" s="10"/>
      <c r="G1349" s="14">
        <v>20000000</v>
      </c>
      <c r="H1349" s="14">
        <v>19273418.649999999</v>
      </c>
      <c r="I1349" s="14">
        <v>20000000</v>
      </c>
      <c r="J1349" s="14">
        <v>19273418.649999999</v>
      </c>
      <c r="K1349" s="12">
        <v>736</v>
      </c>
      <c r="L1349" s="10" t="s">
        <v>101</v>
      </c>
      <c r="M1349" s="10" t="s">
        <v>102</v>
      </c>
      <c r="N1349" s="124" t="s">
        <v>434</v>
      </c>
      <c r="O1349" s="124" t="s">
        <v>434</v>
      </c>
      <c r="P1349" s="21">
        <v>32</v>
      </c>
      <c r="Q1349" s="10" t="s">
        <v>54</v>
      </c>
      <c r="R1349" s="10" t="s">
        <v>28</v>
      </c>
      <c r="S1349" s="10"/>
      <c r="T1349" s="10"/>
      <c r="U1349" s="10" t="s">
        <v>2940</v>
      </c>
      <c r="V1349" s="10" t="s">
        <v>2940</v>
      </c>
      <c r="W1349" s="50">
        <f>+J1349/$W$2</f>
        <v>2.5623179061142588E-4</v>
      </c>
      <c r="AC1349" s="47"/>
    </row>
    <row r="1350" spans="1:29">
      <c r="A1350" s="10" t="s">
        <v>402</v>
      </c>
      <c r="B1350" s="10" t="s">
        <v>381</v>
      </c>
      <c r="C1350" s="124">
        <v>46337</v>
      </c>
      <c r="D1350" s="124" t="s">
        <v>492</v>
      </c>
      <c r="E1350" s="21">
        <v>0.96367093000000004</v>
      </c>
      <c r="F1350" s="10"/>
      <c r="G1350" s="14">
        <v>20000000</v>
      </c>
      <c r="H1350" s="14">
        <v>19273418.649999999</v>
      </c>
      <c r="I1350" s="14">
        <v>20000000</v>
      </c>
      <c r="J1350" s="14">
        <v>19273418.649999999</v>
      </c>
      <c r="K1350" s="12">
        <v>733</v>
      </c>
      <c r="L1350" s="10" t="s">
        <v>101</v>
      </c>
      <c r="M1350" s="10" t="s">
        <v>102</v>
      </c>
      <c r="N1350" s="124" t="s">
        <v>434</v>
      </c>
      <c r="O1350" s="124" t="s">
        <v>434</v>
      </c>
      <c r="P1350" s="21">
        <v>32</v>
      </c>
      <c r="Q1350" s="10" t="s">
        <v>54</v>
      </c>
      <c r="R1350" s="10" t="s">
        <v>28</v>
      </c>
      <c r="S1350" s="10"/>
      <c r="T1350" s="10"/>
      <c r="U1350" s="10" t="s">
        <v>2941</v>
      </c>
      <c r="V1350" s="10" t="s">
        <v>2941</v>
      </c>
      <c r="W1350" s="50">
        <f>+J1350/$W$2</f>
        <v>2.5623179061142588E-4</v>
      </c>
    </row>
    <row r="1351" spans="1:29">
      <c r="A1351" s="10" t="s">
        <v>465</v>
      </c>
      <c r="B1351" s="10" t="s">
        <v>381</v>
      </c>
      <c r="C1351" s="124">
        <v>46337</v>
      </c>
      <c r="D1351" s="124" t="s">
        <v>492</v>
      </c>
      <c r="E1351" s="21">
        <v>0.96148785999999997</v>
      </c>
      <c r="F1351" s="10"/>
      <c r="G1351" s="14">
        <v>10000000</v>
      </c>
      <c r="H1351" s="14">
        <v>9614878.6500000004</v>
      </c>
      <c r="I1351" s="14">
        <v>10000000</v>
      </c>
      <c r="J1351" s="14">
        <v>9614878.6500000004</v>
      </c>
      <c r="K1351" s="12">
        <v>14284514</v>
      </c>
      <c r="L1351" s="10" t="s">
        <v>101</v>
      </c>
      <c r="M1351" s="10" t="s">
        <v>102</v>
      </c>
      <c r="N1351" s="124" t="s">
        <v>425</v>
      </c>
      <c r="O1351" s="124" t="s">
        <v>425</v>
      </c>
      <c r="P1351" s="21">
        <v>34</v>
      </c>
      <c r="Q1351" s="10" t="s">
        <v>54</v>
      </c>
      <c r="R1351" s="10" t="s">
        <v>28</v>
      </c>
      <c r="S1351" s="10"/>
      <c r="T1351" s="10"/>
      <c r="U1351" s="10" t="s">
        <v>1687</v>
      </c>
      <c r="V1351" s="10" t="s">
        <v>1687</v>
      </c>
      <c r="W1351" s="50">
        <f>+J1351/$W$2</f>
        <v>1.2782566589456974E-4</v>
      </c>
    </row>
    <row r="1352" spans="1:29">
      <c r="A1352" s="10" t="s">
        <v>465</v>
      </c>
      <c r="B1352" s="10" t="s">
        <v>381</v>
      </c>
      <c r="C1352" s="124">
        <v>46337</v>
      </c>
      <c r="D1352" s="124" t="s">
        <v>492</v>
      </c>
      <c r="E1352" s="21">
        <v>0.96257828000000001</v>
      </c>
      <c r="F1352" s="10"/>
      <c r="G1352" s="14">
        <v>25000000</v>
      </c>
      <c r="H1352" s="14">
        <v>24064457.050000001</v>
      </c>
      <c r="I1352" s="14">
        <v>25000000</v>
      </c>
      <c r="J1352" s="14">
        <v>24064457.050000001</v>
      </c>
      <c r="K1352" s="12">
        <v>14422594</v>
      </c>
      <c r="L1352" s="10" t="s">
        <v>101</v>
      </c>
      <c r="M1352" s="10" t="s">
        <v>102</v>
      </c>
      <c r="N1352" s="124" t="s">
        <v>390</v>
      </c>
      <c r="O1352" s="124" t="s">
        <v>390</v>
      </c>
      <c r="P1352" s="21">
        <v>33</v>
      </c>
      <c r="Q1352" s="10" t="s">
        <v>54</v>
      </c>
      <c r="R1352" s="10" t="s">
        <v>28</v>
      </c>
      <c r="S1352" s="10"/>
      <c r="T1352" s="10"/>
      <c r="U1352" s="10" t="s">
        <v>2056</v>
      </c>
      <c r="V1352" s="10" t="s">
        <v>2056</v>
      </c>
      <c r="W1352" s="50">
        <f>+J1352/$W$2</f>
        <v>3.1992658033261015E-4</v>
      </c>
    </row>
    <row r="1353" spans="1:29">
      <c r="A1353" s="10" t="s">
        <v>465</v>
      </c>
      <c r="B1353" s="10" t="s">
        <v>381</v>
      </c>
      <c r="C1353" s="124">
        <v>46337</v>
      </c>
      <c r="D1353" s="124" t="s">
        <v>492</v>
      </c>
      <c r="E1353" s="21">
        <v>0.96367102000000004</v>
      </c>
      <c r="F1353" s="10"/>
      <c r="G1353" s="14">
        <v>10000000</v>
      </c>
      <c r="H1353" s="14">
        <v>9636710.25</v>
      </c>
      <c r="I1353" s="14">
        <v>10000000</v>
      </c>
      <c r="J1353" s="14">
        <v>9636710.25</v>
      </c>
      <c r="K1353" s="12">
        <v>14422573</v>
      </c>
      <c r="L1353" s="10" t="s">
        <v>101</v>
      </c>
      <c r="M1353" s="10" t="s">
        <v>102</v>
      </c>
      <c r="N1353" s="124" t="s">
        <v>164</v>
      </c>
      <c r="O1353" s="124" t="s">
        <v>164</v>
      </c>
      <c r="P1353" s="21">
        <v>32</v>
      </c>
      <c r="Q1353" s="10" t="s">
        <v>54</v>
      </c>
      <c r="R1353" s="10" t="s">
        <v>28</v>
      </c>
      <c r="S1353" s="10"/>
      <c r="T1353" s="10"/>
      <c r="U1353" s="10" t="s">
        <v>1972</v>
      </c>
      <c r="V1353" s="10" t="s">
        <v>1972</v>
      </c>
      <c r="W1353" s="50">
        <f>+J1353/$W$2</f>
        <v>1.281159076031891E-4</v>
      </c>
      <c r="AC1353" s="47"/>
    </row>
    <row r="1354" spans="1:29">
      <c r="A1354" s="10" t="s">
        <v>540</v>
      </c>
      <c r="B1354" s="10" t="s">
        <v>381</v>
      </c>
      <c r="C1354" s="124">
        <v>46337</v>
      </c>
      <c r="D1354" s="124" t="s">
        <v>492</v>
      </c>
      <c r="E1354" s="21">
        <v>0.96257817999999995</v>
      </c>
      <c r="F1354" s="10"/>
      <c r="G1354" s="14">
        <v>5448062.4299999997</v>
      </c>
      <c r="H1354" s="14">
        <v>5244185.99</v>
      </c>
      <c r="I1354" s="14">
        <v>5448062.4299999997</v>
      </c>
      <c r="J1354" s="14">
        <v>5244185.99</v>
      </c>
      <c r="K1354" s="12">
        <v>90000595</v>
      </c>
      <c r="L1354" s="10" t="s">
        <v>101</v>
      </c>
      <c r="M1354" s="10" t="s">
        <v>102</v>
      </c>
      <c r="N1354" s="124" t="s">
        <v>157</v>
      </c>
      <c r="O1354" s="124" t="s">
        <v>157</v>
      </c>
      <c r="P1354" s="21">
        <v>33</v>
      </c>
      <c r="Q1354" s="10" t="s">
        <v>54</v>
      </c>
      <c r="R1354" s="10" t="s">
        <v>28</v>
      </c>
      <c r="S1354" s="10"/>
      <c r="T1354" s="10"/>
      <c r="U1354" s="10" t="s">
        <v>652</v>
      </c>
      <c r="V1354" s="10" t="s">
        <v>652</v>
      </c>
      <c r="W1354" s="50">
        <f>+J1354/$W$2</f>
        <v>6.9719191541405811E-5</v>
      </c>
    </row>
    <row r="1355" spans="1:29">
      <c r="A1355" s="10" t="s">
        <v>400</v>
      </c>
      <c r="B1355" s="10" t="s">
        <v>381</v>
      </c>
      <c r="C1355" s="124">
        <v>46337</v>
      </c>
      <c r="D1355" s="124" t="s">
        <v>492</v>
      </c>
      <c r="E1355" s="21">
        <v>0.95931458000000003</v>
      </c>
      <c r="F1355" s="10"/>
      <c r="G1355" s="14">
        <v>8560000</v>
      </c>
      <c r="H1355" s="14">
        <v>8211732.7800000003</v>
      </c>
      <c r="I1355" s="14">
        <v>8560000</v>
      </c>
      <c r="J1355" s="14">
        <v>8211732.7800000003</v>
      </c>
      <c r="K1355" s="12">
        <v>13054211</v>
      </c>
      <c r="L1355" s="10" t="s">
        <v>101</v>
      </c>
      <c r="M1355" s="10" t="s">
        <v>102</v>
      </c>
      <c r="N1355" s="124" t="s">
        <v>277</v>
      </c>
      <c r="O1355" s="124" t="s">
        <v>277</v>
      </c>
      <c r="P1355" s="21">
        <v>36</v>
      </c>
      <c r="Q1355" s="10" t="s">
        <v>54</v>
      </c>
      <c r="R1355" s="10" t="s">
        <v>28</v>
      </c>
      <c r="S1355" s="10"/>
      <c r="T1355" s="10"/>
      <c r="U1355" s="10" t="s">
        <v>503</v>
      </c>
      <c r="V1355" s="10" t="s">
        <v>503</v>
      </c>
      <c r="W1355" s="50">
        <f>+J1355/$W$2</f>
        <v>1.0917144656337043E-4</v>
      </c>
    </row>
    <row r="1356" spans="1:29">
      <c r="A1356" s="10" t="s">
        <v>400</v>
      </c>
      <c r="B1356" s="10" t="s">
        <v>381</v>
      </c>
      <c r="C1356" s="124">
        <v>46337</v>
      </c>
      <c r="D1356" s="124" t="s">
        <v>492</v>
      </c>
      <c r="E1356" s="21">
        <v>0.97028024999999996</v>
      </c>
      <c r="F1356" s="10"/>
      <c r="G1356" s="14">
        <v>13638775.050000001</v>
      </c>
      <c r="H1356" s="14">
        <v>13233434.039999999</v>
      </c>
      <c r="I1356" s="14">
        <v>13638775.050000001</v>
      </c>
      <c r="J1356" s="14">
        <v>13233434.039999999</v>
      </c>
      <c r="K1356" s="12">
        <v>90001961</v>
      </c>
      <c r="L1356" s="10" t="s">
        <v>101</v>
      </c>
      <c r="M1356" s="10" t="s">
        <v>102</v>
      </c>
      <c r="N1356" s="124" t="s">
        <v>532</v>
      </c>
      <c r="O1356" s="124" t="s">
        <v>532</v>
      </c>
      <c r="P1356" s="21">
        <v>26</v>
      </c>
      <c r="Q1356" s="10" t="s">
        <v>54</v>
      </c>
      <c r="R1356" s="10" t="s">
        <v>28</v>
      </c>
      <c r="S1356" s="10"/>
      <c r="T1356" s="10"/>
      <c r="U1356" s="10" t="s">
        <v>3088</v>
      </c>
      <c r="V1356" s="10" t="s">
        <v>3088</v>
      </c>
      <c r="W1356" s="50">
        <f>+J1356/$W$2</f>
        <v>1.7593279955071154E-4</v>
      </c>
    </row>
    <row r="1357" spans="1:29">
      <c r="A1357" s="10" t="s">
        <v>382</v>
      </c>
      <c r="B1357" s="10" t="s">
        <v>381</v>
      </c>
      <c r="C1357" s="124">
        <v>46337</v>
      </c>
      <c r="D1357" s="124" t="s">
        <v>492</v>
      </c>
      <c r="E1357" s="21">
        <v>0.96257828000000001</v>
      </c>
      <c r="F1357" s="10"/>
      <c r="G1357" s="14">
        <v>2500000</v>
      </c>
      <c r="H1357" s="14">
        <v>2406445.71</v>
      </c>
      <c r="I1357" s="14">
        <v>2500000</v>
      </c>
      <c r="J1357" s="14">
        <v>2406445.71</v>
      </c>
      <c r="K1357" s="12">
        <v>1015</v>
      </c>
      <c r="L1357" s="10" t="s">
        <v>101</v>
      </c>
      <c r="M1357" s="10" t="s">
        <v>102</v>
      </c>
      <c r="N1357" s="124" t="s">
        <v>163</v>
      </c>
      <c r="O1357" s="124" t="s">
        <v>163</v>
      </c>
      <c r="P1357" s="21">
        <v>33</v>
      </c>
      <c r="Q1357" s="10" t="s">
        <v>54</v>
      </c>
      <c r="R1357" s="10" t="s">
        <v>28</v>
      </c>
      <c r="S1357" s="10"/>
      <c r="T1357" s="10"/>
      <c r="U1357" s="10" t="s">
        <v>1639</v>
      </c>
      <c r="V1357" s="10" t="s">
        <v>1639</v>
      </c>
      <c r="W1357" s="50">
        <f>+J1357/$W$2</f>
        <v>3.1992658099733855E-5</v>
      </c>
    </row>
    <row r="1358" spans="1:29">
      <c r="A1358" s="10" t="s">
        <v>382</v>
      </c>
      <c r="B1358" s="10" t="s">
        <v>381</v>
      </c>
      <c r="C1358" s="124">
        <v>46337</v>
      </c>
      <c r="D1358" s="124" t="s">
        <v>492</v>
      </c>
      <c r="E1358" s="21">
        <v>0.96257828000000001</v>
      </c>
      <c r="F1358" s="10"/>
      <c r="G1358" s="14">
        <v>2500000</v>
      </c>
      <c r="H1358" s="14">
        <v>2406445.71</v>
      </c>
      <c r="I1358" s="14">
        <v>2500000</v>
      </c>
      <c r="J1358" s="14">
        <v>2406445.71</v>
      </c>
      <c r="K1358" s="12">
        <v>1016</v>
      </c>
      <c r="L1358" s="10" t="s">
        <v>101</v>
      </c>
      <c r="M1358" s="10" t="s">
        <v>102</v>
      </c>
      <c r="N1358" s="124" t="s">
        <v>163</v>
      </c>
      <c r="O1358" s="124" t="s">
        <v>163</v>
      </c>
      <c r="P1358" s="21">
        <v>33</v>
      </c>
      <c r="Q1358" s="10" t="s">
        <v>54</v>
      </c>
      <c r="R1358" s="10" t="s">
        <v>28</v>
      </c>
      <c r="S1358" s="10"/>
      <c r="T1358" s="10"/>
      <c r="U1358" s="10" t="s">
        <v>1640</v>
      </c>
      <c r="V1358" s="10" t="s">
        <v>1640</v>
      </c>
      <c r="W1358" s="50">
        <f>+J1358/$W$2</f>
        <v>3.1992658099733855E-5</v>
      </c>
      <c r="AC1358" s="47"/>
    </row>
    <row r="1359" spans="1:29">
      <c r="A1359" s="10" t="s">
        <v>382</v>
      </c>
      <c r="B1359" s="10" t="s">
        <v>381</v>
      </c>
      <c r="C1359" s="124">
        <v>46337</v>
      </c>
      <c r="D1359" s="124" t="s">
        <v>492</v>
      </c>
      <c r="E1359" s="21">
        <v>0.96586402000000005</v>
      </c>
      <c r="F1359" s="10"/>
      <c r="G1359" s="14">
        <v>5000000</v>
      </c>
      <c r="H1359" s="14">
        <v>4829320.09</v>
      </c>
      <c r="I1359" s="14">
        <v>5000000</v>
      </c>
      <c r="J1359" s="14">
        <v>4829320.09</v>
      </c>
      <c r="K1359" s="12">
        <v>1306</v>
      </c>
      <c r="L1359" s="10" t="s">
        <v>101</v>
      </c>
      <c r="M1359" s="10" t="s">
        <v>102</v>
      </c>
      <c r="N1359" s="124" t="s">
        <v>531</v>
      </c>
      <c r="O1359" s="124" t="s">
        <v>531</v>
      </c>
      <c r="P1359" s="21">
        <v>30</v>
      </c>
      <c r="Q1359" s="10" t="s">
        <v>54</v>
      </c>
      <c r="R1359" s="10" t="s">
        <v>28</v>
      </c>
      <c r="S1359" s="10"/>
      <c r="T1359" s="10"/>
      <c r="U1359" s="10" t="s">
        <v>3409</v>
      </c>
      <c r="V1359" s="10" t="s">
        <v>3409</v>
      </c>
      <c r="W1359" s="50">
        <f>+J1359/$W$2</f>
        <v>6.4203728283380198E-5</v>
      </c>
    </row>
    <row r="1360" spans="1:29">
      <c r="A1360" s="10" t="s">
        <v>382</v>
      </c>
      <c r="B1360" s="10" t="s">
        <v>381</v>
      </c>
      <c r="C1360" s="124">
        <v>46337</v>
      </c>
      <c r="D1360" s="124" t="s">
        <v>492</v>
      </c>
      <c r="E1360" s="21">
        <v>0.96586402000000005</v>
      </c>
      <c r="F1360" s="10"/>
      <c r="G1360" s="14">
        <v>5000000</v>
      </c>
      <c r="H1360" s="14">
        <v>4829320.09</v>
      </c>
      <c r="I1360" s="14">
        <v>5000000</v>
      </c>
      <c r="J1360" s="14">
        <v>4829320.09</v>
      </c>
      <c r="K1360" s="12">
        <v>1305</v>
      </c>
      <c r="L1360" s="10" t="s">
        <v>101</v>
      </c>
      <c r="M1360" s="10" t="s">
        <v>102</v>
      </c>
      <c r="N1360" s="124" t="s">
        <v>531</v>
      </c>
      <c r="O1360" s="124" t="s">
        <v>531</v>
      </c>
      <c r="P1360" s="21">
        <v>30</v>
      </c>
      <c r="Q1360" s="10" t="s">
        <v>54</v>
      </c>
      <c r="R1360" s="10" t="s">
        <v>28</v>
      </c>
      <c r="S1360" s="10"/>
      <c r="T1360" s="10"/>
      <c r="U1360" s="10" t="s">
        <v>3410</v>
      </c>
      <c r="V1360" s="10" t="s">
        <v>3410</v>
      </c>
      <c r="W1360" s="50">
        <f>+J1360/$W$2</f>
        <v>6.4203728283380198E-5</v>
      </c>
    </row>
    <row r="1361" spans="1:29">
      <c r="A1361" s="10" t="s">
        <v>477</v>
      </c>
      <c r="B1361" s="10" t="s">
        <v>381</v>
      </c>
      <c r="C1361" s="124">
        <v>46338</v>
      </c>
      <c r="D1361" s="124" t="s">
        <v>492</v>
      </c>
      <c r="E1361" s="21">
        <v>0.96622198999999998</v>
      </c>
      <c r="F1361" s="10"/>
      <c r="G1361" s="14">
        <v>11000000</v>
      </c>
      <c r="H1361" s="14">
        <v>10628441.9</v>
      </c>
      <c r="I1361" s="14">
        <v>11000000</v>
      </c>
      <c r="J1361" s="14">
        <v>10628441.9</v>
      </c>
      <c r="K1361" s="12">
        <v>90000056</v>
      </c>
      <c r="L1361" s="10" t="s">
        <v>101</v>
      </c>
      <c r="M1361" s="10" t="s">
        <v>102</v>
      </c>
      <c r="N1361" s="124" t="s">
        <v>333</v>
      </c>
      <c r="O1361" s="124" t="s">
        <v>333</v>
      </c>
      <c r="P1361" s="21">
        <v>29</v>
      </c>
      <c r="Q1361" s="10" t="s">
        <v>54</v>
      </c>
      <c r="R1361" s="10" t="s">
        <v>28</v>
      </c>
      <c r="S1361" s="10"/>
      <c r="T1361" s="10"/>
      <c r="U1361" s="10" t="s">
        <v>770</v>
      </c>
      <c r="V1361" s="10" t="s">
        <v>770</v>
      </c>
      <c r="W1361" s="50">
        <f>+J1361/$W$2</f>
        <v>1.4130055227366242E-4</v>
      </c>
    </row>
    <row r="1362" spans="1:29">
      <c r="A1362" s="10" t="s">
        <v>382</v>
      </c>
      <c r="B1362" s="10" t="s">
        <v>381</v>
      </c>
      <c r="C1362" s="124">
        <v>46338</v>
      </c>
      <c r="D1362" s="124" t="s">
        <v>492</v>
      </c>
      <c r="E1362" s="21">
        <v>0.96285750000000003</v>
      </c>
      <c r="F1362" s="10"/>
      <c r="G1362" s="14">
        <v>3000000</v>
      </c>
      <c r="H1362" s="14">
        <v>2888572.51</v>
      </c>
      <c r="I1362" s="14">
        <v>3000000</v>
      </c>
      <c r="J1362" s="14">
        <v>2888572.51</v>
      </c>
      <c r="K1362" s="12">
        <v>1054</v>
      </c>
      <c r="L1362" s="10" t="s">
        <v>101</v>
      </c>
      <c r="M1362" s="10" t="s">
        <v>102</v>
      </c>
      <c r="N1362" s="124" t="s">
        <v>398</v>
      </c>
      <c r="O1362" s="124" t="s">
        <v>398</v>
      </c>
      <c r="P1362" s="21">
        <v>32</v>
      </c>
      <c r="Q1362" s="10" t="s">
        <v>54</v>
      </c>
      <c r="R1362" s="10" t="s">
        <v>28</v>
      </c>
      <c r="S1362" s="10"/>
      <c r="T1362" s="10"/>
      <c r="U1362" s="10" t="s">
        <v>1755</v>
      </c>
      <c r="V1362" s="10" t="s">
        <v>1755</v>
      </c>
      <c r="W1362" s="50">
        <f>+J1362/$W$2</f>
        <v>3.8402326021608042E-5</v>
      </c>
      <c r="AC1362" s="47"/>
    </row>
    <row r="1363" spans="1:29">
      <c r="A1363" s="10" t="s">
        <v>2702</v>
      </c>
      <c r="B1363" s="10" t="s">
        <v>381</v>
      </c>
      <c r="C1363" s="124">
        <v>46338</v>
      </c>
      <c r="D1363" s="124" t="s">
        <v>492</v>
      </c>
      <c r="E1363" s="21">
        <v>0.96174123</v>
      </c>
      <c r="F1363" s="10"/>
      <c r="G1363" s="14">
        <v>437966.99</v>
      </c>
      <c r="H1363" s="14">
        <v>421210.91</v>
      </c>
      <c r="I1363" s="14">
        <v>437966.99</v>
      </c>
      <c r="J1363" s="14">
        <v>421210.91</v>
      </c>
      <c r="K1363" s="12">
        <v>2303621</v>
      </c>
      <c r="L1363" s="10" t="s">
        <v>101</v>
      </c>
      <c r="M1363" s="10" t="s">
        <v>102</v>
      </c>
      <c r="N1363" s="124" t="s">
        <v>420</v>
      </c>
      <c r="O1363" s="124" t="s">
        <v>420</v>
      </c>
      <c r="P1363" s="21">
        <v>33</v>
      </c>
      <c r="Q1363" s="10" t="s">
        <v>54</v>
      </c>
      <c r="R1363" s="10" t="s">
        <v>28</v>
      </c>
      <c r="S1363" s="10"/>
      <c r="T1363" s="10"/>
      <c r="U1363" s="10" t="s">
        <v>2666</v>
      </c>
      <c r="V1363" s="10" t="s">
        <v>2666</v>
      </c>
      <c r="W1363" s="50">
        <f>+J1363/$W$2</f>
        <v>5.5998174301250984E-6</v>
      </c>
    </row>
    <row r="1364" spans="1:29">
      <c r="A1364" s="10" t="s">
        <v>2992</v>
      </c>
      <c r="B1364" s="10" t="s">
        <v>381</v>
      </c>
      <c r="C1364" s="124">
        <v>46338</v>
      </c>
      <c r="D1364" s="124" t="s">
        <v>492</v>
      </c>
      <c r="E1364" s="21">
        <v>0.96174134</v>
      </c>
      <c r="F1364" s="10"/>
      <c r="G1364" s="14">
        <v>3600000</v>
      </c>
      <c r="H1364" s="14">
        <v>3462268.83</v>
      </c>
      <c r="I1364" s="14">
        <v>3600000</v>
      </c>
      <c r="J1364" s="14">
        <v>3462268.83</v>
      </c>
      <c r="K1364" s="12">
        <v>13870043</v>
      </c>
      <c r="L1364" s="10" t="s">
        <v>101</v>
      </c>
      <c r="M1364" s="10" t="s">
        <v>102</v>
      </c>
      <c r="N1364" s="124" t="s">
        <v>434</v>
      </c>
      <c r="O1364" s="124" t="s">
        <v>434</v>
      </c>
      <c r="P1364" s="21">
        <v>33</v>
      </c>
      <c r="Q1364" s="10" t="s">
        <v>54</v>
      </c>
      <c r="R1364" s="10" t="s">
        <v>28</v>
      </c>
      <c r="S1364" s="10"/>
      <c r="T1364" s="10"/>
      <c r="U1364" s="10" t="s">
        <v>2955</v>
      </c>
      <c r="V1364" s="10" t="s">
        <v>2955</v>
      </c>
      <c r="W1364" s="50">
        <f>+J1364/$W$2</f>
        <v>4.6029371228805145E-5</v>
      </c>
    </row>
    <row r="1365" spans="1:29">
      <c r="A1365" s="10" t="s">
        <v>3459</v>
      </c>
      <c r="B1365" s="10" t="s">
        <v>381</v>
      </c>
      <c r="C1365" s="124">
        <v>46338</v>
      </c>
      <c r="D1365" s="124" t="s">
        <v>492</v>
      </c>
      <c r="E1365" s="21">
        <v>0.96509805999999998</v>
      </c>
      <c r="F1365" s="10"/>
      <c r="G1365" s="14">
        <v>500000</v>
      </c>
      <c r="H1365" s="14">
        <v>482549.03</v>
      </c>
      <c r="I1365" s="14">
        <v>500000</v>
      </c>
      <c r="J1365" s="14">
        <v>482549.03</v>
      </c>
      <c r="K1365" s="12">
        <v>200</v>
      </c>
      <c r="L1365" s="10" t="s">
        <v>101</v>
      </c>
      <c r="M1365" s="10" t="s">
        <v>102</v>
      </c>
      <c r="N1365" s="124" t="s">
        <v>531</v>
      </c>
      <c r="O1365" s="124" t="s">
        <v>531</v>
      </c>
      <c r="P1365" s="21">
        <v>30</v>
      </c>
      <c r="Q1365" s="10" t="s">
        <v>54</v>
      </c>
      <c r="R1365" s="10" t="s">
        <v>28</v>
      </c>
      <c r="S1365" s="10"/>
      <c r="T1365" s="10"/>
      <c r="U1365" s="10" t="s">
        <v>3426</v>
      </c>
      <c r="V1365" s="10" t="s">
        <v>3426</v>
      </c>
      <c r="W1365" s="50">
        <f>+J1365/$W$2</f>
        <v>6.4152812876664546E-6</v>
      </c>
    </row>
    <row r="1366" spans="1:29">
      <c r="A1366" s="10" t="s">
        <v>334</v>
      </c>
      <c r="B1366" s="10" t="s">
        <v>381</v>
      </c>
      <c r="C1366" s="124">
        <v>46338</v>
      </c>
      <c r="D1366" s="124" t="s">
        <v>492</v>
      </c>
      <c r="E1366" s="21">
        <v>0.96285750999999997</v>
      </c>
      <c r="F1366" s="10"/>
      <c r="G1366" s="14">
        <v>40000000</v>
      </c>
      <c r="H1366" s="14">
        <v>38514300.32</v>
      </c>
      <c r="I1366" s="14">
        <v>40000000</v>
      </c>
      <c r="J1366" s="14">
        <v>38514300.32</v>
      </c>
      <c r="K1366" s="12">
        <v>13953441</v>
      </c>
      <c r="L1366" s="10" t="s">
        <v>101</v>
      </c>
      <c r="M1366" s="10" t="s">
        <v>102</v>
      </c>
      <c r="N1366" s="124" t="s">
        <v>321</v>
      </c>
      <c r="O1366" s="124" t="s">
        <v>321</v>
      </c>
      <c r="P1366" s="21">
        <v>32</v>
      </c>
      <c r="Q1366" s="10" t="s">
        <v>54</v>
      </c>
      <c r="R1366" s="10" t="s">
        <v>28</v>
      </c>
      <c r="S1366" s="10"/>
      <c r="T1366" s="10"/>
      <c r="U1366" s="10" t="s">
        <v>1215</v>
      </c>
      <c r="V1366" s="10" t="s">
        <v>1215</v>
      </c>
      <c r="W1366" s="50">
        <f>+J1366/$W$2</f>
        <v>5.120310161030935E-4</v>
      </c>
    </row>
    <row r="1367" spans="1:29">
      <c r="A1367" s="10" t="s">
        <v>353</v>
      </c>
      <c r="B1367" s="10" t="s">
        <v>381</v>
      </c>
      <c r="C1367" s="124">
        <v>46338</v>
      </c>
      <c r="D1367" s="124" t="s">
        <v>492</v>
      </c>
      <c r="E1367" s="21">
        <v>0.95840784999999995</v>
      </c>
      <c r="F1367" s="10"/>
      <c r="G1367" s="14">
        <v>2510000.36</v>
      </c>
      <c r="H1367" s="14">
        <v>2405604.0499999998</v>
      </c>
      <c r="I1367" s="14">
        <v>2510000.36</v>
      </c>
      <c r="J1367" s="14">
        <v>2405604.0499999998</v>
      </c>
      <c r="K1367" s="12">
        <v>3163</v>
      </c>
      <c r="L1367" s="10" t="s">
        <v>101</v>
      </c>
      <c r="M1367" s="10" t="s">
        <v>102</v>
      </c>
      <c r="N1367" s="124" t="s">
        <v>163</v>
      </c>
      <c r="O1367" s="124" t="s">
        <v>163</v>
      </c>
      <c r="P1367" s="21">
        <v>36</v>
      </c>
      <c r="Q1367" s="10" t="s">
        <v>54</v>
      </c>
      <c r="R1367" s="10" t="s">
        <v>28</v>
      </c>
      <c r="S1367" s="10"/>
      <c r="T1367" s="10"/>
      <c r="U1367" s="10" t="s">
        <v>1630</v>
      </c>
      <c r="V1367" s="10" t="s">
        <v>1630</v>
      </c>
      <c r="W1367" s="50">
        <f>+J1367/$W$2</f>
        <v>3.1981468592942021E-5</v>
      </c>
    </row>
    <row r="1368" spans="1:29">
      <c r="A1368" s="10" t="s">
        <v>353</v>
      </c>
      <c r="B1368" s="10" t="s">
        <v>381</v>
      </c>
      <c r="C1368" s="124">
        <v>46338</v>
      </c>
      <c r="D1368" s="124" t="s">
        <v>492</v>
      </c>
      <c r="E1368" s="21">
        <v>0.95840776000000005</v>
      </c>
      <c r="F1368" s="10"/>
      <c r="G1368" s="14">
        <v>3625698.78</v>
      </c>
      <c r="H1368" s="14">
        <v>3474897.85</v>
      </c>
      <c r="I1368" s="14">
        <v>3625698.78</v>
      </c>
      <c r="J1368" s="14">
        <v>3474897.85</v>
      </c>
      <c r="K1368" s="12">
        <v>3354</v>
      </c>
      <c r="L1368" s="10" t="s">
        <v>101</v>
      </c>
      <c r="M1368" s="10" t="s">
        <v>102</v>
      </c>
      <c r="N1368" s="124" t="s">
        <v>348</v>
      </c>
      <c r="O1368" s="124" t="s">
        <v>348</v>
      </c>
      <c r="P1368" s="21">
        <v>36</v>
      </c>
      <c r="Q1368" s="10" t="s">
        <v>54</v>
      </c>
      <c r="R1368" s="10" t="s">
        <v>28</v>
      </c>
      <c r="S1368" s="10"/>
      <c r="T1368" s="10"/>
      <c r="U1368" s="10" t="s">
        <v>1907</v>
      </c>
      <c r="V1368" s="10" t="s">
        <v>1907</v>
      </c>
      <c r="W1368" s="50">
        <f>+J1368/$W$2</f>
        <v>4.6197268604306168E-5</v>
      </c>
    </row>
    <row r="1369" spans="1:29">
      <c r="A1369" s="10" t="s">
        <v>353</v>
      </c>
      <c r="B1369" s="10" t="s">
        <v>381</v>
      </c>
      <c r="C1369" s="124">
        <v>46338</v>
      </c>
      <c r="D1369" s="124" t="s">
        <v>492</v>
      </c>
      <c r="E1369" s="21">
        <v>0.95951646999999995</v>
      </c>
      <c r="F1369" s="10"/>
      <c r="G1369" s="14">
        <v>1250300.6499999999</v>
      </c>
      <c r="H1369" s="14">
        <v>1199684.06</v>
      </c>
      <c r="I1369" s="14">
        <v>1250300.6499999999</v>
      </c>
      <c r="J1369" s="14">
        <v>1199684.06</v>
      </c>
      <c r="K1369" s="12">
        <v>3586</v>
      </c>
      <c r="L1369" s="10" t="s">
        <v>101</v>
      </c>
      <c r="M1369" s="10" t="s">
        <v>102</v>
      </c>
      <c r="N1369" s="124" t="s">
        <v>422</v>
      </c>
      <c r="O1369" s="124" t="s">
        <v>422</v>
      </c>
      <c r="P1369" s="21">
        <v>35</v>
      </c>
      <c r="Q1369" s="10" t="s">
        <v>54</v>
      </c>
      <c r="R1369" s="10" t="s">
        <v>28</v>
      </c>
      <c r="S1369" s="10"/>
      <c r="T1369" s="10"/>
      <c r="U1369" s="10" t="s">
        <v>2752</v>
      </c>
      <c r="V1369" s="10" t="s">
        <v>2752</v>
      </c>
      <c r="W1369" s="50">
        <f>+J1369/$W$2</f>
        <v>1.5949282296204637E-5</v>
      </c>
    </row>
    <row r="1370" spans="1:29">
      <c r="A1370" s="10" t="s">
        <v>353</v>
      </c>
      <c r="B1370" s="10" t="s">
        <v>381</v>
      </c>
      <c r="C1370" s="124">
        <v>46338</v>
      </c>
      <c r="D1370" s="124" t="s">
        <v>492</v>
      </c>
      <c r="E1370" s="21">
        <v>0.95951646000000002</v>
      </c>
      <c r="F1370" s="10"/>
      <c r="G1370" s="14">
        <v>1555000.5</v>
      </c>
      <c r="H1370" s="14">
        <v>1492048.58</v>
      </c>
      <c r="I1370" s="14">
        <v>1555000.5</v>
      </c>
      <c r="J1370" s="14">
        <v>1492048.58</v>
      </c>
      <c r="K1370" s="12">
        <v>3585</v>
      </c>
      <c r="L1370" s="10" t="s">
        <v>101</v>
      </c>
      <c r="M1370" s="10" t="s">
        <v>102</v>
      </c>
      <c r="N1370" s="124" t="s">
        <v>422</v>
      </c>
      <c r="O1370" s="124" t="s">
        <v>420</v>
      </c>
      <c r="P1370" s="21">
        <v>35</v>
      </c>
      <c r="Q1370" s="10" t="s">
        <v>54</v>
      </c>
      <c r="R1370" s="10" t="s">
        <v>28</v>
      </c>
      <c r="S1370" s="10"/>
      <c r="T1370" s="10"/>
      <c r="U1370" s="10" t="s">
        <v>2753</v>
      </c>
      <c r="V1370" s="10" t="s">
        <v>2753</v>
      </c>
      <c r="W1370" s="50">
        <f>+J1370/$W$2</f>
        <v>1.983614252745116E-5</v>
      </c>
    </row>
    <row r="1371" spans="1:29">
      <c r="A1371" s="10" t="s">
        <v>353</v>
      </c>
      <c r="B1371" s="10" t="s">
        <v>381</v>
      </c>
      <c r="C1371" s="124">
        <v>46338</v>
      </c>
      <c r="D1371" s="124" t="s">
        <v>492</v>
      </c>
      <c r="E1371" s="21">
        <v>0.95840784000000001</v>
      </c>
      <c r="F1371" s="10"/>
      <c r="G1371" s="14">
        <v>3105640.28</v>
      </c>
      <c r="H1371" s="14">
        <v>2976469.99</v>
      </c>
      <c r="I1371" s="14">
        <v>3105640.28</v>
      </c>
      <c r="J1371" s="14">
        <v>2976469.99</v>
      </c>
      <c r="K1371" s="12">
        <v>3376</v>
      </c>
      <c r="L1371" s="10" t="s">
        <v>101</v>
      </c>
      <c r="M1371" s="10" t="s">
        <v>102</v>
      </c>
      <c r="N1371" s="124" t="s">
        <v>390</v>
      </c>
      <c r="O1371" s="124" t="s">
        <v>390</v>
      </c>
      <c r="P1371" s="21">
        <v>36</v>
      </c>
      <c r="Q1371" s="10" t="s">
        <v>54</v>
      </c>
      <c r="R1371" s="10" t="s">
        <v>28</v>
      </c>
      <c r="S1371" s="10"/>
      <c r="T1371" s="10"/>
      <c r="U1371" s="10" t="s">
        <v>2046</v>
      </c>
      <c r="V1371" s="10" t="s">
        <v>2046</v>
      </c>
      <c r="W1371" s="50">
        <f>+J1371/$W$2</f>
        <v>3.9570885118446434E-5</v>
      </c>
    </row>
    <row r="1372" spans="1:29">
      <c r="A1372" s="10" t="s">
        <v>353</v>
      </c>
      <c r="B1372" s="10" t="s">
        <v>381</v>
      </c>
      <c r="C1372" s="124">
        <v>46338</v>
      </c>
      <c r="D1372" s="124" t="s">
        <v>492</v>
      </c>
      <c r="E1372" s="21">
        <v>0.95840776999999999</v>
      </c>
      <c r="F1372" s="10"/>
      <c r="G1372" s="14">
        <v>2874176.47</v>
      </c>
      <c r="H1372" s="14">
        <v>2754633.07</v>
      </c>
      <c r="I1372" s="14">
        <v>2874176.47</v>
      </c>
      <c r="J1372" s="14">
        <v>2754633.07</v>
      </c>
      <c r="K1372" s="12">
        <v>3424</v>
      </c>
      <c r="L1372" s="10" t="s">
        <v>101</v>
      </c>
      <c r="M1372" s="10" t="s">
        <v>102</v>
      </c>
      <c r="N1372" s="124" t="s">
        <v>431</v>
      </c>
      <c r="O1372" s="124" t="s">
        <v>431</v>
      </c>
      <c r="P1372" s="21">
        <v>36</v>
      </c>
      <c r="Q1372" s="10" t="s">
        <v>54</v>
      </c>
      <c r="R1372" s="10" t="s">
        <v>28</v>
      </c>
      <c r="S1372" s="10"/>
      <c r="T1372" s="10"/>
      <c r="U1372" s="10" t="s">
        <v>2273</v>
      </c>
      <c r="V1372" s="10" t="s">
        <v>2273</v>
      </c>
      <c r="W1372" s="50">
        <f>+J1372/$W$2</f>
        <v>3.6621658919008082E-5</v>
      </c>
    </row>
    <row r="1373" spans="1:29">
      <c r="A1373" s="10" t="s">
        <v>2600</v>
      </c>
      <c r="B1373" s="10" t="s">
        <v>381</v>
      </c>
      <c r="C1373" s="124">
        <v>46338</v>
      </c>
      <c r="D1373" s="124" t="s">
        <v>492</v>
      </c>
      <c r="E1373" s="21">
        <v>0.96174117000000003</v>
      </c>
      <c r="F1373" s="10"/>
      <c r="G1373" s="14">
        <v>5300000</v>
      </c>
      <c r="H1373" s="14">
        <v>5097228.21</v>
      </c>
      <c r="I1373" s="14">
        <v>5300000</v>
      </c>
      <c r="J1373" s="14">
        <v>5097228.21</v>
      </c>
      <c r="K1373" s="12">
        <v>8175679</v>
      </c>
      <c r="L1373" s="10" t="s">
        <v>101</v>
      </c>
      <c r="M1373" s="10" t="s">
        <v>102</v>
      </c>
      <c r="N1373" s="124" t="s">
        <v>423</v>
      </c>
      <c r="O1373" s="124" t="s">
        <v>423</v>
      </c>
      <c r="P1373" s="21">
        <v>33</v>
      </c>
      <c r="Q1373" s="10" t="s">
        <v>54</v>
      </c>
      <c r="R1373" s="10" t="s">
        <v>28</v>
      </c>
      <c r="S1373" s="10"/>
      <c r="T1373" s="10"/>
      <c r="U1373" s="10" t="s">
        <v>2483</v>
      </c>
      <c r="V1373" s="10" t="s">
        <v>2483</v>
      </c>
      <c r="W1373" s="50">
        <f>+J1373/$W$2</f>
        <v>6.7765451221772375E-5</v>
      </c>
    </row>
    <row r="1374" spans="1:29">
      <c r="A1374" s="10" t="s">
        <v>2614</v>
      </c>
      <c r="B1374" s="10" t="s">
        <v>381</v>
      </c>
      <c r="C1374" s="124">
        <v>46338</v>
      </c>
      <c r="D1374" s="124" t="s">
        <v>492</v>
      </c>
      <c r="E1374" s="21">
        <v>0.96285746999999999</v>
      </c>
      <c r="F1374" s="10"/>
      <c r="G1374" s="14">
        <v>8123170.71</v>
      </c>
      <c r="H1374" s="14">
        <v>7821455.5899999999</v>
      </c>
      <c r="I1374" s="14">
        <v>8123170.71</v>
      </c>
      <c r="J1374" s="14">
        <v>7821455.5899999999</v>
      </c>
      <c r="K1374" s="12">
        <v>11244</v>
      </c>
      <c r="L1374" s="10" t="s">
        <v>101</v>
      </c>
      <c r="M1374" s="10" t="s">
        <v>102</v>
      </c>
      <c r="N1374" s="124" t="s">
        <v>423</v>
      </c>
      <c r="O1374" s="124" t="s">
        <v>423</v>
      </c>
      <c r="P1374" s="21">
        <v>32</v>
      </c>
      <c r="Q1374" s="10" t="s">
        <v>54</v>
      </c>
      <c r="R1374" s="10" t="s">
        <v>28</v>
      </c>
      <c r="S1374" s="10"/>
      <c r="T1374" s="10"/>
      <c r="U1374" s="10" t="s">
        <v>2549</v>
      </c>
      <c r="V1374" s="10" t="s">
        <v>2549</v>
      </c>
      <c r="W1374" s="50">
        <f>+J1374/$W$2</f>
        <v>1.0398287960259953E-4</v>
      </c>
    </row>
    <row r="1375" spans="1:29">
      <c r="A1375" s="10" t="s">
        <v>2619</v>
      </c>
      <c r="B1375" s="10" t="s">
        <v>381</v>
      </c>
      <c r="C1375" s="124">
        <v>46338</v>
      </c>
      <c r="D1375" s="124" t="s">
        <v>492</v>
      </c>
      <c r="E1375" s="21">
        <v>0.96285748999999998</v>
      </c>
      <c r="F1375" s="10"/>
      <c r="G1375" s="14">
        <v>428767.71</v>
      </c>
      <c r="H1375" s="14">
        <v>412842.2</v>
      </c>
      <c r="I1375" s="14">
        <v>428767.71</v>
      </c>
      <c r="J1375" s="14">
        <v>412842.2</v>
      </c>
      <c r="K1375" s="12">
        <v>1975205</v>
      </c>
      <c r="L1375" s="10" t="s">
        <v>101</v>
      </c>
      <c r="M1375" s="10" t="s">
        <v>102</v>
      </c>
      <c r="N1375" s="124" t="s">
        <v>423</v>
      </c>
      <c r="O1375" s="124" t="s">
        <v>423</v>
      </c>
      <c r="P1375" s="21">
        <v>32</v>
      </c>
      <c r="Q1375" s="10" t="s">
        <v>54</v>
      </c>
      <c r="R1375" s="10" t="s">
        <v>28</v>
      </c>
      <c r="S1375" s="10"/>
      <c r="T1375" s="10"/>
      <c r="U1375" s="10" t="s">
        <v>2575</v>
      </c>
      <c r="V1375" s="10" t="s">
        <v>2575</v>
      </c>
      <c r="W1375" s="50">
        <f>+J1375/$W$2</f>
        <v>5.4885590391074915E-6</v>
      </c>
    </row>
    <row r="1376" spans="1:29">
      <c r="A1376" s="10" t="s">
        <v>2621</v>
      </c>
      <c r="B1376" s="10" t="s">
        <v>381</v>
      </c>
      <c r="C1376" s="124">
        <v>46338</v>
      </c>
      <c r="D1376" s="124" t="s">
        <v>492</v>
      </c>
      <c r="E1376" s="21">
        <v>0.96285746999999999</v>
      </c>
      <c r="F1376" s="10"/>
      <c r="G1376" s="14">
        <v>17763197.079999998</v>
      </c>
      <c r="H1376" s="14">
        <v>17103426.98</v>
      </c>
      <c r="I1376" s="14">
        <v>17763197.079999998</v>
      </c>
      <c r="J1376" s="14">
        <v>17103426.98</v>
      </c>
      <c r="K1376" s="12">
        <v>1313</v>
      </c>
      <c r="L1376" s="10" t="s">
        <v>101</v>
      </c>
      <c r="M1376" s="10" t="s">
        <v>102</v>
      </c>
      <c r="N1376" s="124" t="s">
        <v>423</v>
      </c>
      <c r="O1376" s="124" t="s">
        <v>423</v>
      </c>
      <c r="P1376" s="21">
        <v>32</v>
      </c>
      <c r="Q1376" s="10" t="s">
        <v>54</v>
      </c>
      <c r="R1376" s="10" t="s">
        <v>28</v>
      </c>
      <c r="S1376" s="10"/>
      <c r="T1376" s="10"/>
      <c r="U1376" s="10" t="s">
        <v>2583</v>
      </c>
      <c r="V1376" s="10" t="s">
        <v>2583</v>
      </c>
      <c r="W1376" s="50">
        <f>+J1376/$W$2</f>
        <v>2.2738268701889957E-4</v>
      </c>
    </row>
    <row r="1377" spans="1:23">
      <c r="A1377" s="10" t="s">
        <v>2698</v>
      </c>
      <c r="B1377" s="10" t="s">
        <v>381</v>
      </c>
      <c r="C1377" s="124">
        <v>46338</v>
      </c>
      <c r="D1377" s="124" t="s">
        <v>492</v>
      </c>
      <c r="E1377" s="21">
        <v>0.96285752999999996</v>
      </c>
      <c r="F1377" s="10"/>
      <c r="G1377" s="14">
        <v>37348528.700000003</v>
      </c>
      <c r="H1377" s="14">
        <v>35961312.189999998</v>
      </c>
      <c r="I1377" s="14">
        <v>37348528.700000003</v>
      </c>
      <c r="J1377" s="14">
        <v>35961312.189999998</v>
      </c>
      <c r="K1377" s="12">
        <v>259</v>
      </c>
      <c r="L1377" s="10" t="s">
        <v>101</v>
      </c>
      <c r="M1377" s="10" t="s">
        <v>102</v>
      </c>
      <c r="N1377" s="124" t="s">
        <v>420</v>
      </c>
      <c r="O1377" s="124" t="s">
        <v>420</v>
      </c>
      <c r="P1377" s="21">
        <v>32</v>
      </c>
      <c r="Q1377" s="10" t="s">
        <v>54</v>
      </c>
      <c r="R1377" s="10" t="s">
        <v>28</v>
      </c>
      <c r="S1377" s="10"/>
      <c r="T1377" s="10"/>
      <c r="U1377" s="10" t="s">
        <v>2655</v>
      </c>
      <c r="V1377" s="10" t="s">
        <v>2655</v>
      </c>
      <c r="W1377" s="50">
        <f>+J1377/$W$2</f>
        <v>4.7809013971583062E-4</v>
      </c>
    </row>
    <row r="1378" spans="1:23">
      <c r="A1378" s="10" t="s">
        <v>389</v>
      </c>
      <c r="B1378" s="10" t="s">
        <v>381</v>
      </c>
      <c r="C1378" s="124">
        <v>46338</v>
      </c>
      <c r="D1378" s="124" t="s">
        <v>492</v>
      </c>
      <c r="E1378" s="21">
        <v>0.96285750999999997</v>
      </c>
      <c r="F1378" s="10"/>
      <c r="G1378" s="14">
        <v>16498838.289999999</v>
      </c>
      <c r="H1378" s="14">
        <v>15886030.32</v>
      </c>
      <c r="I1378" s="14">
        <v>16498838.289999999</v>
      </c>
      <c r="J1378" s="14">
        <v>15886030.32</v>
      </c>
      <c r="K1378" s="12">
        <v>30851</v>
      </c>
      <c r="L1378" s="10" t="s">
        <v>101</v>
      </c>
      <c r="M1378" s="10" t="s">
        <v>102</v>
      </c>
      <c r="N1378" s="124" t="s">
        <v>321</v>
      </c>
      <c r="O1378" s="124" t="s">
        <v>321</v>
      </c>
      <c r="P1378" s="21">
        <v>32</v>
      </c>
      <c r="Q1378" s="10" t="s">
        <v>54</v>
      </c>
      <c r="R1378" s="10" t="s">
        <v>28</v>
      </c>
      <c r="S1378" s="10"/>
      <c r="T1378" s="10"/>
      <c r="U1378" s="10" t="s">
        <v>1219</v>
      </c>
      <c r="V1378" s="10" t="s">
        <v>1219</v>
      </c>
      <c r="W1378" s="50">
        <f>+J1378/$W$2</f>
        <v>2.1119792334303923E-4</v>
      </c>
    </row>
    <row r="1379" spans="1:23">
      <c r="A1379" s="10" t="s">
        <v>389</v>
      </c>
      <c r="B1379" s="10" t="s">
        <v>381</v>
      </c>
      <c r="C1379" s="124">
        <v>46338</v>
      </c>
      <c r="D1379" s="124" t="s">
        <v>492</v>
      </c>
      <c r="E1379" s="21">
        <v>0.96285750999999997</v>
      </c>
      <c r="F1379" s="10"/>
      <c r="G1379" s="14">
        <v>11829797.539999999</v>
      </c>
      <c r="H1379" s="14">
        <v>11390409.380000001</v>
      </c>
      <c r="I1379" s="14">
        <v>11829797.539999999</v>
      </c>
      <c r="J1379" s="14">
        <v>11390409.380000001</v>
      </c>
      <c r="K1379" s="12">
        <v>30895</v>
      </c>
      <c r="L1379" s="10" t="s">
        <v>101</v>
      </c>
      <c r="M1379" s="10" t="s">
        <v>102</v>
      </c>
      <c r="N1379" s="124" t="s">
        <v>321</v>
      </c>
      <c r="O1379" s="124" t="s">
        <v>321</v>
      </c>
      <c r="P1379" s="21">
        <v>32</v>
      </c>
      <c r="Q1379" s="10" t="s">
        <v>54</v>
      </c>
      <c r="R1379" s="10" t="s">
        <v>28</v>
      </c>
      <c r="S1379" s="10"/>
      <c r="T1379" s="10"/>
      <c r="U1379" s="10" t="s">
        <v>1221</v>
      </c>
      <c r="V1379" s="10" t="s">
        <v>1221</v>
      </c>
      <c r="W1379" s="50">
        <f>+J1379/$W$2</f>
        <v>1.5143058137403047E-4</v>
      </c>
    </row>
    <row r="1380" spans="1:23">
      <c r="A1380" s="10" t="s">
        <v>208</v>
      </c>
      <c r="B1380" s="10" t="s">
        <v>381</v>
      </c>
      <c r="C1380" s="124">
        <v>46338</v>
      </c>
      <c r="D1380" s="124" t="s">
        <v>492</v>
      </c>
      <c r="E1380" s="21">
        <v>0.96174130000000002</v>
      </c>
      <c r="F1380" s="10"/>
      <c r="G1380" s="14">
        <v>2170000</v>
      </c>
      <c r="H1380" s="14">
        <v>2086978.62</v>
      </c>
      <c r="I1380" s="14">
        <v>2170000</v>
      </c>
      <c r="J1380" s="14">
        <v>2086978.62</v>
      </c>
      <c r="K1380" s="12">
        <v>260730</v>
      </c>
      <c r="L1380" s="10" t="s">
        <v>101</v>
      </c>
      <c r="M1380" s="10" t="s">
        <v>102</v>
      </c>
      <c r="N1380" s="124" t="s">
        <v>533</v>
      </c>
      <c r="O1380" s="124" t="s">
        <v>533</v>
      </c>
      <c r="P1380" s="21">
        <v>33</v>
      </c>
      <c r="Q1380" s="10" t="s">
        <v>54</v>
      </c>
      <c r="R1380" s="10" t="s">
        <v>28</v>
      </c>
      <c r="S1380" s="10"/>
      <c r="T1380" s="10"/>
      <c r="U1380" s="10" t="s">
        <v>1873</v>
      </c>
      <c r="V1380" s="10" t="s">
        <v>1873</v>
      </c>
      <c r="W1380" s="50">
        <f>+J1380/$W$2</f>
        <v>2.7745480886462378E-5</v>
      </c>
    </row>
    <row r="1381" spans="1:23">
      <c r="A1381" s="10" t="s">
        <v>1102</v>
      </c>
      <c r="B1381" s="10" t="s">
        <v>381</v>
      </c>
      <c r="C1381" s="124">
        <v>46338</v>
      </c>
      <c r="D1381" s="124" t="s">
        <v>492</v>
      </c>
      <c r="E1381" s="21">
        <v>0.95840784000000001</v>
      </c>
      <c r="F1381" s="10"/>
      <c r="G1381" s="14">
        <v>3140560.45</v>
      </c>
      <c r="H1381" s="14">
        <v>3009937.75</v>
      </c>
      <c r="I1381" s="14">
        <v>3140560.45</v>
      </c>
      <c r="J1381" s="14">
        <v>3009937.75</v>
      </c>
      <c r="K1381" s="12">
        <v>1118</v>
      </c>
      <c r="L1381" s="10" t="s">
        <v>101</v>
      </c>
      <c r="M1381" s="10" t="s">
        <v>102</v>
      </c>
      <c r="N1381" s="124" t="s">
        <v>390</v>
      </c>
      <c r="O1381" s="124" t="s">
        <v>390</v>
      </c>
      <c r="P1381" s="21">
        <v>36</v>
      </c>
      <c r="Q1381" s="10" t="s">
        <v>54</v>
      </c>
      <c r="R1381" s="10" t="s">
        <v>28</v>
      </c>
      <c r="S1381" s="10"/>
      <c r="T1381" s="10"/>
      <c r="U1381" s="10" t="s">
        <v>2044</v>
      </c>
      <c r="V1381" s="10" t="s">
        <v>2044</v>
      </c>
      <c r="W1381" s="50">
        <f>+J1381/$W$2</f>
        <v>4.0015824556969621E-5</v>
      </c>
    </row>
    <row r="1382" spans="1:23">
      <c r="A1382" s="10" t="s">
        <v>273</v>
      </c>
      <c r="B1382" s="10" t="s">
        <v>381</v>
      </c>
      <c r="C1382" s="124">
        <v>46338</v>
      </c>
      <c r="D1382" s="124" t="s">
        <v>492</v>
      </c>
      <c r="E1382" s="21">
        <v>0.96509787999999996</v>
      </c>
      <c r="F1382" s="10"/>
      <c r="G1382" s="14">
        <v>10000000</v>
      </c>
      <c r="H1382" s="14">
        <v>9650978.7899999991</v>
      </c>
      <c r="I1382" s="14">
        <v>10000000</v>
      </c>
      <c r="J1382" s="14">
        <v>9650978.7899999991</v>
      </c>
      <c r="K1382" s="12">
        <v>68856243</v>
      </c>
      <c r="L1382" s="10" t="s">
        <v>101</v>
      </c>
      <c r="M1382" s="10" t="s">
        <v>102</v>
      </c>
      <c r="N1382" s="124" t="s">
        <v>322</v>
      </c>
      <c r="O1382" s="124" t="s">
        <v>322</v>
      </c>
      <c r="P1382" s="21">
        <v>30</v>
      </c>
      <c r="Q1382" s="10" t="s">
        <v>54</v>
      </c>
      <c r="R1382" s="10" t="s">
        <v>28</v>
      </c>
      <c r="S1382" s="10"/>
      <c r="T1382" s="10"/>
      <c r="U1382" s="10" t="s">
        <v>1578</v>
      </c>
      <c r="V1382" s="10" t="s">
        <v>1578</v>
      </c>
      <c r="W1382" s="50">
        <f>+J1382/$W$2</f>
        <v>1.2830560169015953E-4</v>
      </c>
    </row>
    <row r="1383" spans="1:23">
      <c r="A1383" s="10" t="s">
        <v>1507</v>
      </c>
      <c r="B1383" s="10" t="s">
        <v>381</v>
      </c>
      <c r="C1383" s="124">
        <v>46338</v>
      </c>
      <c r="D1383" s="124" t="s">
        <v>492</v>
      </c>
      <c r="E1383" s="21">
        <v>0.96734876999999997</v>
      </c>
      <c r="F1383" s="10"/>
      <c r="G1383" s="14">
        <v>50000000</v>
      </c>
      <c r="H1383" s="14">
        <v>48367438.439999998</v>
      </c>
      <c r="I1383" s="14">
        <v>50000000</v>
      </c>
      <c r="J1383" s="14">
        <v>48367438.439999998</v>
      </c>
      <c r="K1383" s="12">
        <v>30</v>
      </c>
      <c r="L1383" s="10" t="s">
        <v>101</v>
      </c>
      <c r="M1383" s="10" t="s">
        <v>102</v>
      </c>
      <c r="N1383" s="124" t="s">
        <v>414</v>
      </c>
      <c r="O1383" s="124" t="s">
        <v>414</v>
      </c>
      <c r="P1383" s="21">
        <v>28</v>
      </c>
      <c r="Q1383" s="10" t="s">
        <v>54</v>
      </c>
      <c r="R1383" s="10" t="s">
        <v>28</v>
      </c>
      <c r="S1383" s="10"/>
      <c r="T1383" s="10"/>
      <c r="U1383" s="10" t="s">
        <v>1496</v>
      </c>
      <c r="V1383" s="10" t="s">
        <v>1496</v>
      </c>
      <c r="W1383" s="50">
        <f>+J1383/$W$2</f>
        <v>6.4302423891825287E-4</v>
      </c>
    </row>
    <row r="1384" spans="1:23">
      <c r="A1384" s="10" t="s">
        <v>719</v>
      </c>
      <c r="B1384" s="10" t="s">
        <v>381</v>
      </c>
      <c r="C1384" s="124">
        <v>46338</v>
      </c>
      <c r="D1384" s="124" t="s">
        <v>492</v>
      </c>
      <c r="E1384" s="21">
        <v>0.96509783999999998</v>
      </c>
      <c r="F1384" s="10"/>
      <c r="G1384" s="14">
        <v>2700000</v>
      </c>
      <c r="H1384" s="14">
        <v>2605764.16</v>
      </c>
      <c r="I1384" s="14">
        <v>2700000</v>
      </c>
      <c r="J1384" s="14">
        <v>2605764.16</v>
      </c>
      <c r="K1384" s="12">
        <v>6912</v>
      </c>
      <c r="L1384" s="10" t="s">
        <v>101</v>
      </c>
      <c r="M1384" s="10" t="s">
        <v>102</v>
      </c>
      <c r="N1384" s="124" t="s">
        <v>552</v>
      </c>
      <c r="O1384" s="124" t="s">
        <v>552</v>
      </c>
      <c r="P1384" s="21">
        <v>30</v>
      </c>
      <c r="Q1384" s="10" t="s">
        <v>54</v>
      </c>
      <c r="R1384" s="10" t="s">
        <v>28</v>
      </c>
      <c r="S1384" s="10"/>
      <c r="T1384" s="10"/>
      <c r="U1384" s="10" t="s">
        <v>2387</v>
      </c>
      <c r="V1384" s="10" t="s">
        <v>2387</v>
      </c>
      <c r="W1384" s="50">
        <f>+J1384/$W$2</f>
        <v>3.4642510950068427E-5</v>
      </c>
    </row>
    <row r="1385" spans="1:23">
      <c r="A1385" s="10" t="s">
        <v>903</v>
      </c>
      <c r="B1385" s="10" t="s">
        <v>381</v>
      </c>
      <c r="C1385" s="124">
        <v>46338</v>
      </c>
      <c r="D1385" s="124" t="s">
        <v>492</v>
      </c>
      <c r="E1385" s="21">
        <v>0.96062747000000004</v>
      </c>
      <c r="F1385" s="10"/>
      <c r="G1385" s="14">
        <v>5400000</v>
      </c>
      <c r="H1385" s="14">
        <v>5187388.32</v>
      </c>
      <c r="I1385" s="14">
        <v>5400000</v>
      </c>
      <c r="J1385" s="14">
        <v>5187388.32</v>
      </c>
      <c r="K1385" s="12">
        <v>162799</v>
      </c>
      <c r="L1385" s="10" t="s">
        <v>101</v>
      </c>
      <c r="M1385" s="10" t="s">
        <v>102</v>
      </c>
      <c r="N1385" s="124" t="s">
        <v>348</v>
      </c>
      <c r="O1385" s="124" t="s">
        <v>348</v>
      </c>
      <c r="P1385" s="21">
        <v>34</v>
      </c>
      <c r="Q1385" s="10" t="s">
        <v>54</v>
      </c>
      <c r="R1385" s="10" t="s">
        <v>28</v>
      </c>
      <c r="S1385" s="10"/>
      <c r="T1385" s="10"/>
      <c r="U1385" s="10" t="s">
        <v>1895</v>
      </c>
      <c r="V1385" s="10" t="s">
        <v>1895</v>
      </c>
      <c r="W1385" s="50">
        <f>+J1385/$W$2</f>
        <v>6.8964091008856713E-5</v>
      </c>
    </row>
    <row r="1386" spans="1:23">
      <c r="A1386" s="10" t="s">
        <v>1189</v>
      </c>
      <c r="B1386" s="10" t="s">
        <v>381</v>
      </c>
      <c r="C1386" s="124">
        <v>46338</v>
      </c>
      <c r="D1386" s="124" t="s">
        <v>492</v>
      </c>
      <c r="E1386" s="21">
        <v>0.96174201000000004</v>
      </c>
      <c r="F1386" s="10"/>
      <c r="G1386" s="14">
        <v>14698.63</v>
      </c>
      <c r="H1386" s="14">
        <v>14136.29</v>
      </c>
      <c r="I1386" s="14">
        <v>14698.63</v>
      </c>
      <c r="J1386" s="14">
        <v>14136.29</v>
      </c>
      <c r="K1386" s="12">
        <v>122352</v>
      </c>
      <c r="L1386" s="10" t="s">
        <v>101</v>
      </c>
      <c r="M1386" s="10" t="s">
        <v>102</v>
      </c>
      <c r="N1386" s="124" t="s">
        <v>483</v>
      </c>
      <c r="O1386" s="124" t="s">
        <v>483</v>
      </c>
      <c r="P1386" s="21">
        <v>33</v>
      </c>
      <c r="Q1386" s="10" t="s">
        <v>54</v>
      </c>
      <c r="R1386" s="10" t="s">
        <v>28</v>
      </c>
      <c r="S1386" s="10"/>
      <c r="T1386" s="10"/>
      <c r="U1386" s="10" t="s">
        <v>2442</v>
      </c>
      <c r="V1386" s="10" t="s">
        <v>2442</v>
      </c>
      <c r="W1386" s="50">
        <f>+J1386/$W$2</f>
        <v>1.8793588024418251E-7</v>
      </c>
    </row>
    <row r="1387" spans="1:23">
      <c r="A1387" s="10" t="s">
        <v>471</v>
      </c>
      <c r="B1387" s="10" t="s">
        <v>381</v>
      </c>
      <c r="C1387" s="124">
        <v>46338</v>
      </c>
      <c r="D1387" s="124" t="s">
        <v>492</v>
      </c>
      <c r="E1387" s="21">
        <v>0.96622196000000005</v>
      </c>
      <c r="F1387" s="10"/>
      <c r="G1387" s="14">
        <v>17118303</v>
      </c>
      <c r="H1387" s="14">
        <v>16540080.24</v>
      </c>
      <c r="I1387" s="14">
        <v>17118303</v>
      </c>
      <c r="J1387" s="14">
        <v>16540080.24</v>
      </c>
      <c r="K1387" s="12">
        <v>27672</v>
      </c>
      <c r="L1387" s="10" t="s">
        <v>101</v>
      </c>
      <c r="M1387" s="10" t="s">
        <v>102</v>
      </c>
      <c r="N1387" s="124" t="s">
        <v>291</v>
      </c>
      <c r="O1387" s="124" t="s">
        <v>291</v>
      </c>
      <c r="P1387" s="21">
        <v>29</v>
      </c>
      <c r="Q1387" s="10" t="s">
        <v>54</v>
      </c>
      <c r="R1387" s="10" t="s">
        <v>28</v>
      </c>
      <c r="S1387" s="10"/>
      <c r="T1387" s="10"/>
      <c r="U1387" s="10" t="s">
        <v>557</v>
      </c>
      <c r="V1387" s="10" t="s">
        <v>557</v>
      </c>
      <c r="W1387" s="50">
        <f>+J1387/$W$2</f>
        <v>2.1989323501525571E-4</v>
      </c>
    </row>
    <row r="1388" spans="1:23">
      <c r="A1388" s="10" t="s">
        <v>601</v>
      </c>
      <c r="B1388" s="10" t="s">
        <v>381</v>
      </c>
      <c r="C1388" s="124">
        <v>46338</v>
      </c>
      <c r="D1388" s="124" t="s">
        <v>492</v>
      </c>
      <c r="E1388" s="21">
        <v>0.96174130000000002</v>
      </c>
      <c r="F1388" s="10"/>
      <c r="G1388" s="14">
        <v>40000000</v>
      </c>
      <c r="H1388" s="14">
        <v>38469652.159999996</v>
      </c>
      <c r="I1388" s="14">
        <v>40000000</v>
      </c>
      <c r="J1388" s="14">
        <v>38469652.159999996</v>
      </c>
      <c r="K1388" s="12">
        <v>9795687</v>
      </c>
      <c r="L1388" s="10" t="s">
        <v>101</v>
      </c>
      <c r="M1388" s="10" t="s">
        <v>102</v>
      </c>
      <c r="N1388" s="124" t="s">
        <v>475</v>
      </c>
      <c r="O1388" s="124" t="s">
        <v>475</v>
      </c>
      <c r="P1388" s="21">
        <v>33</v>
      </c>
      <c r="Q1388" s="10" t="s">
        <v>54</v>
      </c>
      <c r="R1388" s="10" t="s">
        <v>28</v>
      </c>
      <c r="S1388" s="10"/>
      <c r="T1388" s="10"/>
      <c r="U1388" s="10" t="s">
        <v>2338</v>
      </c>
      <c r="V1388" s="10" t="s">
        <v>2338</v>
      </c>
      <c r="W1388" s="50">
        <f>+J1388/$W$2</f>
        <v>5.1143743806735117E-4</v>
      </c>
    </row>
    <row r="1389" spans="1:23">
      <c r="A1389" s="10" t="s">
        <v>166</v>
      </c>
      <c r="B1389" s="10" t="s">
        <v>381</v>
      </c>
      <c r="C1389" s="124">
        <v>46338</v>
      </c>
      <c r="D1389" s="124" t="s">
        <v>492</v>
      </c>
      <c r="E1389" s="21">
        <v>0.95619843999999998</v>
      </c>
      <c r="F1389" s="10"/>
      <c r="G1389" s="14">
        <v>155000000</v>
      </c>
      <c r="H1389" s="14">
        <v>148210758.22999999</v>
      </c>
      <c r="I1389" s="14">
        <v>155000000</v>
      </c>
      <c r="J1389" s="14">
        <v>148210758.22999999</v>
      </c>
      <c r="K1389" s="12">
        <v>70411289</v>
      </c>
      <c r="L1389" s="10" t="s">
        <v>101</v>
      </c>
      <c r="M1389" s="10" t="s">
        <v>102</v>
      </c>
      <c r="N1389" s="124" t="s">
        <v>677</v>
      </c>
      <c r="O1389" s="124" t="s">
        <v>677</v>
      </c>
      <c r="P1389" s="21">
        <v>38</v>
      </c>
      <c r="Q1389" s="10" t="s">
        <v>54</v>
      </c>
      <c r="R1389" s="10" t="s">
        <v>28</v>
      </c>
      <c r="S1389" s="10"/>
      <c r="T1389" s="10"/>
      <c r="U1389" s="10" t="s">
        <v>3310</v>
      </c>
      <c r="V1389" s="10" t="s">
        <v>3310</v>
      </c>
      <c r="W1389" s="50">
        <f>+J1389/$W$2</f>
        <v>1.9703981249403319E-3</v>
      </c>
    </row>
    <row r="1390" spans="1:23">
      <c r="A1390" s="10" t="s">
        <v>166</v>
      </c>
      <c r="B1390" s="10" t="s">
        <v>381</v>
      </c>
      <c r="C1390" s="124">
        <v>46338</v>
      </c>
      <c r="D1390" s="124" t="s">
        <v>492</v>
      </c>
      <c r="E1390" s="21">
        <v>0.95619847000000002</v>
      </c>
      <c r="F1390" s="10"/>
      <c r="G1390" s="14">
        <v>150000000</v>
      </c>
      <c r="H1390" s="14">
        <v>143429770.97999999</v>
      </c>
      <c r="I1390" s="14">
        <v>150000000</v>
      </c>
      <c r="J1390" s="14">
        <v>143429770.97999999</v>
      </c>
      <c r="K1390" s="12">
        <v>70406569</v>
      </c>
      <c r="L1390" s="10" t="s">
        <v>101</v>
      </c>
      <c r="M1390" s="10" t="s">
        <v>102</v>
      </c>
      <c r="N1390" s="124" t="s">
        <v>551</v>
      </c>
      <c r="O1390" s="124" t="s">
        <v>551</v>
      </c>
      <c r="P1390" s="21">
        <v>38</v>
      </c>
      <c r="Q1390" s="10" t="s">
        <v>54</v>
      </c>
      <c r="R1390" s="10" t="s">
        <v>28</v>
      </c>
      <c r="S1390" s="10"/>
      <c r="T1390" s="10"/>
      <c r="U1390" s="10" t="s">
        <v>2225</v>
      </c>
      <c r="V1390" s="10" t="s">
        <v>2225</v>
      </c>
      <c r="W1390" s="50">
        <f>+J1390/$W$2</f>
        <v>1.9068369609245282E-3</v>
      </c>
    </row>
    <row r="1391" spans="1:23">
      <c r="A1391" s="10" t="s">
        <v>404</v>
      </c>
      <c r="B1391" s="10" t="s">
        <v>381</v>
      </c>
      <c r="C1391" s="124">
        <v>46338</v>
      </c>
      <c r="D1391" s="124" t="s">
        <v>492</v>
      </c>
      <c r="E1391" s="21">
        <v>0.96847804000000004</v>
      </c>
      <c r="F1391" s="10"/>
      <c r="G1391" s="14">
        <v>17861208.649999999</v>
      </c>
      <c r="H1391" s="14">
        <v>17298188.27</v>
      </c>
      <c r="I1391" s="14">
        <v>17861208.649999999</v>
      </c>
      <c r="J1391" s="14">
        <v>17298188.27</v>
      </c>
      <c r="K1391" s="12">
        <v>23266</v>
      </c>
      <c r="L1391" s="10" t="s">
        <v>101</v>
      </c>
      <c r="M1391" s="10" t="s">
        <v>102</v>
      </c>
      <c r="N1391" s="124" t="s">
        <v>532</v>
      </c>
      <c r="O1391" s="124" t="s">
        <v>532</v>
      </c>
      <c r="P1391" s="21">
        <v>27</v>
      </c>
      <c r="Q1391" s="10" t="s">
        <v>54</v>
      </c>
      <c r="R1391" s="10" t="s">
        <v>28</v>
      </c>
      <c r="S1391" s="10"/>
      <c r="T1391" s="10"/>
      <c r="U1391" s="10" t="s">
        <v>3022</v>
      </c>
      <c r="V1391" s="10" t="s">
        <v>3022</v>
      </c>
      <c r="W1391" s="50">
        <f>+J1391/$W$2</f>
        <v>2.2997195439199692E-4</v>
      </c>
    </row>
    <row r="1392" spans="1:23">
      <c r="A1392" s="10" t="s">
        <v>597</v>
      </c>
      <c r="B1392" s="10" t="s">
        <v>381</v>
      </c>
      <c r="C1392" s="124">
        <v>46338</v>
      </c>
      <c r="D1392" s="124" t="s">
        <v>492</v>
      </c>
      <c r="E1392" s="21">
        <v>0.95509741999999997</v>
      </c>
      <c r="F1392" s="10"/>
      <c r="G1392" s="14">
        <v>3750000</v>
      </c>
      <c r="H1392" s="14">
        <v>3581615.32</v>
      </c>
      <c r="I1392" s="14">
        <v>3750000</v>
      </c>
      <c r="J1392" s="14">
        <v>3581615.32</v>
      </c>
      <c r="K1392" s="12">
        <v>66918856</v>
      </c>
      <c r="L1392" s="10" t="s">
        <v>101</v>
      </c>
      <c r="M1392" s="10" t="s">
        <v>102</v>
      </c>
      <c r="N1392" s="124" t="s">
        <v>304</v>
      </c>
      <c r="O1392" s="124" t="s">
        <v>304</v>
      </c>
      <c r="P1392" s="21">
        <v>39</v>
      </c>
      <c r="Q1392" s="10" t="s">
        <v>54</v>
      </c>
      <c r="R1392" s="10" t="s">
        <v>28</v>
      </c>
      <c r="S1392" s="10"/>
      <c r="T1392" s="10"/>
      <c r="U1392" s="10" t="s">
        <v>585</v>
      </c>
      <c r="V1392" s="10" t="s">
        <v>585</v>
      </c>
      <c r="W1392" s="50">
        <f>+J1392/$W$2</f>
        <v>4.7616031353364234E-5</v>
      </c>
    </row>
    <row r="1393" spans="1:23">
      <c r="A1393" s="10" t="s">
        <v>604</v>
      </c>
      <c r="B1393" s="10" t="s">
        <v>381</v>
      </c>
      <c r="C1393" s="124">
        <v>46338</v>
      </c>
      <c r="D1393" s="124" t="s">
        <v>492</v>
      </c>
      <c r="E1393" s="21">
        <v>0.95840784999999995</v>
      </c>
      <c r="F1393" s="10"/>
      <c r="G1393" s="14">
        <v>1555000.5</v>
      </c>
      <c r="H1393" s="14">
        <v>1490324.69</v>
      </c>
      <c r="I1393" s="14">
        <v>1555000.5</v>
      </c>
      <c r="J1393" s="14">
        <v>1490324.69</v>
      </c>
      <c r="K1393" s="12">
        <v>507</v>
      </c>
      <c r="L1393" s="10" t="s">
        <v>101</v>
      </c>
      <c r="M1393" s="10" t="s">
        <v>102</v>
      </c>
      <c r="N1393" s="124" t="s">
        <v>163</v>
      </c>
      <c r="O1393" s="124" t="s">
        <v>163</v>
      </c>
      <c r="P1393" s="21">
        <v>36</v>
      </c>
      <c r="Q1393" s="10" t="s">
        <v>54</v>
      </c>
      <c r="R1393" s="10" t="s">
        <v>28</v>
      </c>
      <c r="S1393" s="10"/>
      <c r="T1393" s="10"/>
      <c r="U1393" s="10" t="s">
        <v>1621</v>
      </c>
      <c r="V1393" s="10" t="s">
        <v>1621</v>
      </c>
      <c r="W1393" s="50">
        <f>+J1393/$W$2</f>
        <v>1.9813224153210524E-5</v>
      </c>
    </row>
    <row r="1394" spans="1:23">
      <c r="A1394" s="10" t="s">
        <v>3452</v>
      </c>
      <c r="B1394" s="10" t="s">
        <v>381</v>
      </c>
      <c r="C1394" s="124">
        <v>46338</v>
      </c>
      <c r="D1394" s="124" t="s">
        <v>492</v>
      </c>
      <c r="E1394" s="21">
        <v>0.96509805000000004</v>
      </c>
      <c r="F1394" s="10"/>
      <c r="G1394" s="14">
        <v>2500000</v>
      </c>
      <c r="H1394" s="14">
        <v>2412745.12</v>
      </c>
      <c r="I1394" s="14">
        <v>2500000</v>
      </c>
      <c r="J1394" s="14">
        <v>2412745.12</v>
      </c>
      <c r="K1394" s="12">
        <v>361</v>
      </c>
      <c r="L1394" s="10" t="s">
        <v>101</v>
      </c>
      <c r="M1394" s="10" t="s">
        <v>102</v>
      </c>
      <c r="N1394" s="124" t="s">
        <v>531</v>
      </c>
      <c r="O1394" s="124" t="s">
        <v>531</v>
      </c>
      <c r="P1394" s="21">
        <v>30</v>
      </c>
      <c r="Q1394" s="10" t="s">
        <v>54</v>
      </c>
      <c r="R1394" s="10" t="s">
        <v>28</v>
      </c>
      <c r="S1394" s="10"/>
      <c r="T1394" s="10"/>
      <c r="U1394" s="10" t="s">
        <v>3431</v>
      </c>
      <c r="V1394" s="10" t="s">
        <v>3431</v>
      </c>
      <c r="W1394" s="50">
        <f>+J1394/$W$2</f>
        <v>3.2076406039495208E-5</v>
      </c>
    </row>
    <row r="1395" spans="1:23">
      <c r="A1395" s="10" t="s">
        <v>222</v>
      </c>
      <c r="B1395" s="10" t="s">
        <v>381</v>
      </c>
      <c r="C1395" s="124">
        <v>46338</v>
      </c>
      <c r="D1395" s="124" t="s">
        <v>492</v>
      </c>
      <c r="E1395" s="21">
        <v>0.96174121000000001</v>
      </c>
      <c r="F1395" s="10"/>
      <c r="G1395" s="14">
        <v>30000000</v>
      </c>
      <c r="H1395" s="14">
        <v>28852236.170000002</v>
      </c>
      <c r="I1395" s="14">
        <v>30000000</v>
      </c>
      <c r="J1395" s="14">
        <v>28852236.170000002</v>
      </c>
      <c r="K1395" s="12">
        <v>475883</v>
      </c>
      <c r="L1395" s="10" t="s">
        <v>101</v>
      </c>
      <c r="M1395" s="10" t="s">
        <v>102</v>
      </c>
      <c r="N1395" s="124" t="s">
        <v>349</v>
      </c>
      <c r="O1395" s="124" t="s">
        <v>349</v>
      </c>
      <c r="P1395" s="21">
        <v>33</v>
      </c>
      <c r="Q1395" s="10" t="s">
        <v>54</v>
      </c>
      <c r="R1395" s="10" t="s">
        <v>28</v>
      </c>
      <c r="S1395" s="10"/>
      <c r="T1395" s="10"/>
      <c r="U1395" s="10" t="s">
        <v>1359</v>
      </c>
      <c r="V1395" s="10" t="s">
        <v>1359</v>
      </c>
      <c r="W1395" s="50">
        <f>+J1395/$W$2</f>
        <v>3.835780393315354E-4</v>
      </c>
    </row>
    <row r="1396" spans="1:23">
      <c r="A1396" s="10" t="s">
        <v>402</v>
      </c>
      <c r="B1396" s="10" t="s">
        <v>381</v>
      </c>
      <c r="C1396" s="124">
        <v>46338</v>
      </c>
      <c r="D1396" s="124" t="s">
        <v>492</v>
      </c>
      <c r="E1396" s="21">
        <v>0.96285763000000002</v>
      </c>
      <c r="F1396" s="10"/>
      <c r="G1396" s="14">
        <v>20000000</v>
      </c>
      <c r="H1396" s="14">
        <v>19257152.66</v>
      </c>
      <c r="I1396" s="14">
        <v>20000000</v>
      </c>
      <c r="J1396" s="14">
        <v>19257152.66</v>
      </c>
      <c r="K1396" s="12">
        <v>739</v>
      </c>
      <c r="L1396" s="10" t="s">
        <v>101</v>
      </c>
      <c r="M1396" s="10" t="s">
        <v>102</v>
      </c>
      <c r="N1396" s="124" t="s">
        <v>434</v>
      </c>
      <c r="O1396" s="124" t="s">
        <v>434</v>
      </c>
      <c r="P1396" s="21">
        <v>32</v>
      </c>
      <c r="Q1396" s="10" t="s">
        <v>54</v>
      </c>
      <c r="R1396" s="10" t="s">
        <v>28</v>
      </c>
      <c r="S1396" s="10"/>
      <c r="T1396" s="10"/>
      <c r="U1396" s="10" t="s">
        <v>2942</v>
      </c>
      <c r="V1396" s="10" t="s">
        <v>2942</v>
      </c>
      <c r="W1396" s="50">
        <f>+J1396/$W$2</f>
        <v>2.5601554128796877E-4</v>
      </c>
    </row>
    <row r="1397" spans="1:23">
      <c r="A1397" s="10" t="s">
        <v>465</v>
      </c>
      <c r="B1397" s="10" t="s">
        <v>381</v>
      </c>
      <c r="C1397" s="124">
        <v>46338</v>
      </c>
      <c r="D1397" s="124" t="s">
        <v>492</v>
      </c>
      <c r="E1397" s="21">
        <v>0.96285748999999998</v>
      </c>
      <c r="F1397" s="10"/>
      <c r="G1397" s="14">
        <v>10000000</v>
      </c>
      <c r="H1397" s="14">
        <v>9628574.9399999995</v>
      </c>
      <c r="I1397" s="14">
        <v>10000000</v>
      </c>
      <c r="J1397" s="14">
        <v>9628574.9399999995</v>
      </c>
      <c r="K1397" s="12">
        <v>14422574</v>
      </c>
      <c r="L1397" s="10" t="s">
        <v>101</v>
      </c>
      <c r="M1397" s="10" t="s">
        <v>102</v>
      </c>
      <c r="N1397" s="124" t="s">
        <v>164</v>
      </c>
      <c r="O1397" s="124" t="s">
        <v>164</v>
      </c>
      <c r="P1397" s="21">
        <v>32</v>
      </c>
      <c r="Q1397" s="10" t="s">
        <v>54</v>
      </c>
      <c r="R1397" s="10" t="s">
        <v>28</v>
      </c>
      <c r="S1397" s="10"/>
      <c r="T1397" s="10"/>
      <c r="U1397" s="10" t="s">
        <v>1963</v>
      </c>
      <c r="V1397" s="10" t="s">
        <v>1963</v>
      </c>
      <c r="W1397" s="50">
        <f>+J1397/$W$2</f>
        <v>1.2800775216453372E-4</v>
      </c>
    </row>
    <row r="1398" spans="1:23">
      <c r="A1398" s="10" t="s">
        <v>2915</v>
      </c>
      <c r="B1398" s="10" t="s">
        <v>381</v>
      </c>
      <c r="C1398" s="124">
        <v>46338</v>
      </c>
      <c r="D1398" s="124" t="s">
        <v>492</v>
      </c>
      <c r="E1398" s="21">
        <v>0.97074473999999999</v>
      </c>
      <c r="F1398" s="10"/>
      <c r="G1398" s="14">
        <v>15000000</v>
      </c>
      <c r="H1398" s="14">
        <v>14561171.15</v>
      </c>
      <c r="I1398" s="14">
        <v>15000000</v>
      </c>
      <c r="J1398" s="14">
        <v>14561171.15</v>
      </c>
      <c r="K1398" s="12">
        <v>69911238</v>
      </c>
      <c r="L1398" s="10" t="s">
        <v>101</v>
      </c>
      <c r="M1398" s="10" t="s">
        <v>102</v>
      </c>
      <c r="N1398" s="124" t="s">
        <v>472</v>
      </c>
      <c r="O1398" s="124" t="s">
        <v>472</v>
      </c>
      <c r="P1398" s="21">
        <v>25</v>
      </c>
      <c r="Q1398" s="10" t="s">
        <v>54</v>
      </c>
      <c r="R1398" s="10" t="s">
        <v>28</v>
      </c>
      <c r="S1398" s="10"/>
      <c r="T1398" s="10"/>
      <c r="U1398" s="10" t="s">
        <v>3184</v>
      </c>
      <c r="V1398" s="10" t="s">
        <v>3184</v>
      </c>
      <c r="W1398" s="50">
        <f>+J1398/$W$2</f>
        <v>1.9358449193256823E-4</v>
      </c>
    </row>
    <row r="1399" spans="1:23">
      <c r="A1399" s="10" t="s">
        <v>400</v>
      </c>
      <c r="B1399" s="10" t="s">
        <v>381</v>
      </c>
      <c r="C1399" s="124">
        <v>46338</v>
      </c>
      <c r="D1399" s="124" t="s">
        <v>492</v>
      </c>
      <c r="E1399" s="21">
        <v>0.95840773999999995</v>
      </c>
      <c r="F1399" s="10"/>
      <c r="G1399" s="14">
        <v>8560000</v>
      </c>
      <c r="H1399" s="14">
        <v>8203970.2400000002</v>
      </c>
      <c r="I1399" s="14">
        <v>8560000</v>
      </c>
      <c r="J1399" s="14">
        <v>8203970.2400000002</v>
      </c>
      <c r="K1399" s="12">
        <v>13054212</v>
      </c>
      <c r="L1399" s="10" t="s">
        <v>101</v>
      </c>
      <c r="M1399" s="10" t="s">
        <v>102</v>
      </c>
      <c r="N1399" s="124" t="s">
        <v>277</v>
      </c>
      <c r="O1399" s="124" t="s">
        <v>277</v>
      </c>
      <c r="P1399" s="21">
        <v>36</v>
      </c>
      <c r="Q1399" s="10" t="s">
        <v>54</v>
      </c>
      <c r="R1399" s="10" t="s">
        <v>28</v>
      </c>
      <c r="S1399" s="10"/>
      <c r="T1399" s="10"/>
      <c r="U1399" s="10" t="s">
        <v>496</v>
      </c>
      <c r="V1399" s="10" t="s">
        <v>496</v>
      </c>
      <c r="W1399" s="50">
        <f>+J1399/$W$2</f>
        <v>1.0906824694113358E-4</v>
      </c>
    </row>
    <row r="1400" spans="1:23">
      <c r="A1400" s="10" t="s">
        <v>400</v>
      </c>
      <c r="B1400" s="10" t="s">
        <v>381</v>
      </c>
      <c r="C1400" s="124">
        <v>46338</v>
      </c>
      <c r="D1400" s="124" t="s">
        <v>492</v>
      </c>
      <c r="E1400" s="21">
        <v>0.96847823</v>
      </c>
      <c r="F1400" s="10"/>
      <c r="G1400" s="14">
        <v>8000000</v>
      </c>
      <c r="H1400" s="14">
        <v>7747825.8200000003</v>
      </c>
      <c r="I1400" s="14">
        <v>8000000</v>
      </c>
      <c r="J1400" s="14">
        <v>7747825.8200000003</v>
      </c>
      <c r="K1400" s="12">
        <v>761091</v>
      </c>
      <c r="L1400" s="10" t="s">
        <v>101</v>
      </c>
      <c r="M1400" s="10" t="s">
        <v>102</v>
      </c>
      <c r="N1400" s="124" t="s">
        <v>531</v>
      </c>
      <c r="O1400" s="124" t="s">
        <v>531</v>
      </c>
      <c r="P1400" s="21">
        <v>27</v>
      </c>
      <c r="Q1400" s="10" t="s">
        <v>54</v>
      </c>
      <c r="R1400" s="10" t="s">
        <v>28</v>
      </c>
      <c r="S1400" s="10"/>
      <c r="T1400" s="10"/>
      <c r="U1400" s="10" t="s">
        <v>3386</v>
      </c>
      <c r="V1400" s="10" t="s">
        <v>3386</v>
      </c>
      <c r="W1400" s="50">
        <f>+J1400/$W$2</f>
        <v>1.0300400355823947E-4</v>
      </c>
    </row>
    <row r="1401" spans="1:23">
      <c r="A1401" s="10" t="s">
        <v>1470</v>
      </c>
      <c r="B1401" s="10" t="s">
        <v>381</v>
      </c>
      <c r="C1401" s="124">
        <v>46338</v>
      </c>
      <c r="D1401" s="124" t="s">
        <v>492</v>
      </c>
      <c r="E1401" s="21">
        <v>0.96397641000000001</v>
      </c>
      <c r="F1401" s="10"/>
      <c r="G1401" s="14">
        <v>4753002.9800000004</v>
      </c>
      <c r="H1401" s="14">
        <v>4581782.76</v>
      </c>
      <c r="I1401" s="14">
        <v>4753002.9800000004</v>
      </c>
      <c r="J1401" s="14">
        <v>4581782.76</v>
      </c>
      <c r="K1401" s="12">
        <v>113295</v>
      </c>
      <c r="L1401" s="10" t="s">
        <v>101</v>
      </c>
      <c r="M1401" s="10" t="s">
        <v>102</v>
      </c>
      <c r="N1401" s="124" t="s">
        <v>472</v>
      </c>
      <c r="O1401" s="124" t="s">
        <v>472</v>
      </c>
      <c r="P1401" s="21">
        <v>31</v>
      </c>
      <c r="Q1401" s="10" t="s">
        <v>54</v>
      </c>
      <c r="R1401" s="10" t="s">
        <v>28</v>
      </c>
      <c r="S1401" s="10"/>
      <c r="T1401" s="10"/>
      <c r="U1401" s="10" t="s">
        <v>3256</v>
      </c>
      <c r="V1401" s="10" t="s">
        <v>3256</v>
      </c>
      <c r="W1401" s="50">
        <f>+J1401/$W$2</f>
        <v>6.0912826214531526E-5</v>
      </c>
    </row>
    <row r="1402" spans="1:23">
      <c r="A1402" s="10" t="s">
        <v>382</v>
      </c>
      <c r="B1402" s="10" t="s">
        <v>381</v>
      </c>
      <c r="C1402" s="124">
        <v>46338</v>
      </c>
      <c r="D1402" s="124" t="s">
        <v>492</v>
      </c>
      <c r="E1402" s="21">
        <v>0.96174124999999999</v>
      </c>
      <c r="F1402" s="10"/>
      <c r="G1402" s="14">
        <v>2500000</v>
      </c>
      <c r="H1402" s="14">
        <v>2404353.13</v>
      </c>
      <c r="I1402" s="14">
        <v>2500000</v>
      </c>
      <c r="J1402" s="14">
        <v>2404353.13</v>
      </c>
      <c r="K1402" s="12">
        <v>1017</v>
      </c>
      <c r="L1402" s="10" t="s">
        <v>101</v>
      </c>
      <c r="M1402" s="10" t="s">
        <v>102</v>
      </c>
      <c r="N1402" s="124" t="s">
        <v>163</v>
      </c>
      <c r="O1402" s="124" t="s">
        <v>163</v>
      </c>
      <c r="P1402" s="21">
        <v>33</v>
      </c>
      <c r="Q1402" s="10" t="s">
        <v>54</v>
      </c>
      <c r="R1402" s="10" t="s">
        <v>28</v>
      </c>
      <c r="S1402" s="10"/>
      <c r="T1402" s="10"/>
      <c r="U1402" s="10" t="s">
        <v>1641</v>
      </c>
      <c r="V1402" s="10" t="s">
        <v>1641</v>
      </c>
      <c r="W1402" s="50">
        <f>+J1402/$W$2</f>
        <v>3.1964838150915501E-5</v>
      </c>
    </row>
    <row r="1403" spans="1:23">
      <c r="A1403" s="10" t="s">
        <v>382</v>
      </c>
      <c r="B1403" s="10" t="s">
        <v>381</v>
      </c>
      <c r="C1403" s="124">
        <v>46338</v>
      </c>
      <c r="D1403" s="124" t="s">
        <v>492</v>
      </c>
      <c r="E1403" s="21">
        <v>0.96509785999999997</v>
      </c>
      <c r="F1403" s="10"/>
      <c r="G1403" s="14">
        <v>2500000</v>
      </c>
      <c r="H1403" s="14">
        <v>2412744.64</v>
      </c>
      <c r="I1403" s="14">
        <v>2500000</v>
      </c>
      <c r="J1403" s="14">
        <v>2412744.64</v>
      </c>
      <c r="K1403" s="12">
        <v>888</v>
      </c>
      <c r="L1403" s="10" t="s">
        <v>101</v>
      </c>
      <c r="M1403" s="10" t="s">
        <v>102</v>
      </c>
      <c r="N1403" s="124" t="s">
        <v>435</v>
      </c>
      <c r="O1403" s="124" t="s">
        <v>435</v>
      </c>
      <c r="P1403" s="21">
        <v>30</v>
      </c>
      <c r="Q1403" s="10" t="s">
        <v>54</v>
      </c>
      <c r="R1403" s="10" t="s">
        <v>28</v>
      </c>
      <c r="S1403" s="10"/>
      <c r="T1403" s="10"/>
      <c r="U1403" s="10" t="s">
        <v>1308</v>
      </c>
      <c r="V1403" s="10" t="s">
        <v>1308</v>
      </c>
      <c r="W1403" s="50">
        <f>+J1403/$W$2</f>
        <v>3.2076399658102174E-5</v>
      </c>
    </row>
    <row r="1404" spans="1:23">
      <c r="A1404" s="10" t="s">
        <v>3259</v>
      </c>
      <c r="B1404" s="10" t="s">
        <v>381</v>
      </c>
      <c r="C1404" s="124">
        <v>46338</v>
      </c>
      <c r="D1404" s="124" t="s">
        <v>492</v>
      </c>
      <c r="E1404" s="21">
        <v>0.96397641000000001</v>
      </c>
      <c r="F1404" s="10"/>
      <c r="G1404" s="14">
        <v>694088.77</v>
      </c>
      <c r="H1404" s="14">
        <v>669085.19999999995</v>
      </c>
      <c r="I1404" s="14">
        <v>694088.77</v>
      </c>
      <c r="J1404" s="14">
        <v>669085.19999999995</v>
      </c>
      <c r="K1404" s="12">
        <v>37825</v>
      </c>
      <c r="L1404" s="10" t="s">
        <v>101</v>
      </c>
      <c r="M1404" s="10" t="s">
        <v>102</v>
      </c>
      <c r="N1404" s="124" t="s">
        <v>472</v>
      </c>
      <c r="O1404" s="124" t="s">
        <v>472</v>
      </c>
      <c r="P1404" s="21">
        <v>31</v>
      </c>
      <c r="Q1404" s="10" t="s">
        <v>54</v>
      </c>
      <c r="R1404" s="10" t="s">
        <v>28</v>
      </c>
      <c r="S1404" s="10"/>
      <c r="T1404" s="10"/>
      <c r="U1404" s="10" t="s">
        <v>3195</v>
      </c>
      <c r="V1404" s="10" t="s">
        <v>3195</v>
      </c>
      <c r="W1404" s="50">
        <f>+J1404/$W$2</f>
        <v>8.8951992368828652E-6</v>
      </c>
    </row>
    <row r="1405" spans="1:23">
      <c r="A1405" s="10" t="s">
        <v>392</v>
      </c>
      <c r="B1405" s="10" t="s">
        <v>381</v>
      </c>
      <c r="C1405" s="124">
        <v>46338</v>
      </c>
      <c r="D1405" s="124" t="s">
        <v>492</v>
      </c>
      <c r="E1405" s="21">
        <v>0.96062751000000002</v>
      </c>
      <c r="F1405" s="10"/>
      <c r="G1405" s="14">
        <v>4000000</v>
      </c>
      <c r="H1405" s="14">
        <v>3842510.03</v>
      </c>
      <c r="I1405" s="14">
        <v>4000000</v>
      </c>
      <c r="J1405" s="14">
        <v>3842510.03</v>
      </c>
      <c r="K1405" s="12">
        <v>90000052</v>
      </c>
      <c r="L1405" s="10" t="s">
        <v>101</v>
      </c>
      <c r="M1405" s="10" t="s">
        <v>102</v>
      </c>
      <c r="N1405" s="124" t="s">
        <v>331</v>
      </c>
      <c r="O1405" s="124" t="s">
        <v>331</v>
      </c>
      <c r="P1405" s="21">
        <v>34</v>
      </c>
      <c r="Q1405" s="10" t="s">
        <v>54</v>
      </c>
      <c r="R1405" s="10" t="s">
        <v>28</v>
      </c>
      <c r="S1405" s="10"/>
      <c r="T1405" s="10"/>
      <c r="U1405" s="10" t="s">
        <v>694</v>
      </c>
      <c r="V1405" s="10" t="s">
        <v>694</v>
      </c>
      <c r="W1405" s="50">
        <f>+J1405/$W$2</f>
        <v>5.1084514029858616E-5</v>
      </c>
    </row>
    <row r="1406" spans="1:23">
      <c r="A1406" s="10" t="s">
        <v>477</v>
      </c>
      <c r="B1406" s="10" t="s">
        <v>381</v>
      </c>
      <c r="C1406" s="124">
        <v>46339</v>
      </c>
      <c r="D1406" s="124" t="s">
        <v>492</v>
      </c>
      <c r="E1406" s="21">
        <v>0.96433298000000001</v>
      </c>
      <c r="F1406" s="10"/>
      <c r="G1406" s="14">
        <v>30000000</v>
      </c>
      <c r="H1406" s="14">
        <v>28929989.329999998</v>
      </c>
      <c r="I1406" s="14">
        <v>30000000</v>
      </c>
      <c r="J1406" s="14">
        <v>28929989.329999998</v>
      </c>
      <c r="K1406" s="12">
        <v>398</v>
      </c>
      <c r="L1406" s="10" t="s">
        <v>101</v>
      </c>
      <c r="M1406" s="10" t="s">
        <v>102</v>
      </c>
      <c r="N1406" s="124" t="s">
        <v>422</v>
      </c>
      <c r="O1406" s="124" t="s">
        <v>422</v>
      </c>
      <c r="P1406" s="21">
        <v>30</v>
      </c>
      <c r="Q1406" s="10" t="s">
        <v>54</v>
      </c>
      <c r="R1406" s="10" t="s">
        <v>28</v>
      </c>
      <c r="S1406" s="10"/>
      <c r="T1406" s="10"/>
      <c r="U1406" s="10" t="s">
        <v>2714</v>
      </c>
      <c r="V1406" s="10" t="s">
        <v>2714</v>
      </c>
      <c r="W1406" s="50">
        <f>+J1406/$W$2</f>
        <v>3.8461173406801621E-4</v>
      </c>
    </row>
    <row r="1407" spans="1:23">
      <c r="A1407" s="10" t="s">
        <v>382</v>
      </c>
      <c r="B1407" s="10" t="s">
        <v>381</v>
      </c>
      <c r="C1407" s="124">
        <v>46339</v>
      </c>
      <c r="D1407" s="124" t="s">
        <v>492</v>
      </c>
      <c r="E1407" s="21">
        <v>0.96204535000000002</v>
      </c>
      <c r="F1407" s="10"/>
      <c r="G1407" s="14">
        <v>3000000</v>
      </c>
      <c r="H1407" s="14">
        <v>2886136.05</v>
      </c>
      <c r="I1407" s="14">
        <v>3000000</v>
      </c>
      <c r="J1407" s="14">
        <v>2886136.05</v>
      </c>
      <c r="K1407" s="12">
        <v>1055</v>
      </c>
      <c r="L1407" s="10" t="s">
        <v>101</v>
      </c>
      <c r="M1407" s="10" t="s">
        <v>102</v>
      </c>
      <c r="N1407" s="124" t="s">
        <v>398</v>
      </c>
      <c r="O1407" s="124" t="s">
        <v>398</v>
      </c>
      <c r="P1407" s="21">
        <v>32</v>
      </c>
      <c r="Q1407" s="10" t="s">
        <v>54</v>
      </c>
      <c r="R1407" s="10" t="s">
        <v>28</v>
      </c>
      <c r="S1407" s="10"/>
      <c r="T1407" s="10"/>
      <c r="U1407" s="10" t="s">
        <v>1756</v>
      </c>
      <c r="V1407" s="10" t="s">
        <v>1756</v>
      </c>
      <c r="W1407" s="50">
        <f>+J1407/$W$2</f>
        <v>3.836993433646437E-5</v>
      </c>
    </row>
    <row r="1408" spans="1:23">
      <c r="A1408" s="10" t="s">
        <v>2992</v>
      </c>
      <c r="B1408" s="10" t="s">
        <v>381</v>
      </c>
      <c r="C1408" s="124">
        <v>46339</v>
      </c>
      <c r="D1408" s="124" t="s">
        <v>492</v>
      </c>
      <c r="E1408" s="21">
        <v>0.96090573999999995</v>
      </c>
      <c r="F1408" s="10"/>
      <c r="G1408" s="14">
        <v>3600000</v>
      </c>
      <c r="H1408" s="14">
        <v>3459260.68</v>
      </c>
      <c r="I1408" s="14">
        <v>3600000</v>
      </c>
      <c r="J1408" s="14">
        <v>3459260.68</v>
      </c>
      <c r="K1408" s="12">
        <v>13870044</v>
      </c>
      <c r="L1408" s="10" t="s">
        <v>101</v>
      </c>
      <c r="M1408" s="10" t="s">
        <v>102</v>
      </c>
      <c r="N1408" s="124" t="s">
        <v>434</v>
      </c>
      <c r="O1408" s="124" t="s">
        <v>434</v>
      </c>
      <c r="P1408" s="21">
        <v>33</v>
      </c>
      <c r="Q1408" s="10" t="s">
        <v>54</v>
      </c>
      <c r="R1408" s="10" t="s">
        <v>28</v>
      </c>
      <c r="S1408" s="10"/>
      <c r="T1408" s="10"/>
      <c r="U1408" s="10" t="s">
        <v>2954</v>
      </c>
      <c r="V1408" s="10" t="s">
        <v>2954</v>
      </c>
      <c r="W1408" s="50">
        <f>+J1408/$W$2</f>
        <v>4.5989379171613578E-5</v>
      </c>
    </row>
    <row r="1409" spans="1:29">
      <c r="A1409" s="10" t="s">
        <v>353</v>
      </c>
      <c r="B1409" s="10" t="s">
        <v>381</v>
      </c>
      <c r="C1409" s="124">
        <v>46339</v>
      </c>
      <c r="D1409" s="124" t="s">
        <v>492</v>
      </c>
      <c r="E1409" s="21">
        <v>0.95750268000000005</v>
      </c>
      <c r="F1409" s="10"/>
      <c r="G1409" s="14">
        <v>3105640.28</v>
      </c>
      <c r="H1409" s="14">
        <v>2973658.89</v>
      </c>
      <c r="I1409" s="14">
        <v>3105640.28</v>
      </c>
      <c r="J1409" s="14">
        <v>2973658.89</v>
      </c>
      <c r="K1409" s="12">
        <v>3377</v>
      </c>
      <c r="L1409" s="10" t="s">
        <v>101</v>
      </c>
      <c r="M1409" s="10" t="s">
        <v>102</v>
      </c>
      <c r="N1409" s="124" t="s">
        <v>390</v>
      </c>
      <c r="O1409" s="124" t="s">
        <v>390</v>
      </c>
      <c r="P1409" s="21">
        <v>36</v>
      </c>
      <c r="Q1409" s="10" t="s">
        <v>54</v>
      </c>
      <c r="R1409" s="10" t="s">
        <v>28</v>
      </c>
      <c r="S1409" s="10"/>
      <c r="T1409" s="10"/>
      <c r="U1409" s="10" t="s">
        <v>2045</v>
      </c>
      <c r="V1409" s="10" t="s">
        <v>2045</v>
      </c>
      <c r="W1409" s="50">
        <f>+J1409/$W$2</f>
        <v>3.9533512756040565E-5</v>
      </c>
    </row>
    <row r="1410" spans="1:29">
      <c r="A1410" s="10" t="s">
        <v>353</v>
      </c>
      <c r="B1410" s="10" t="s">
        <v>381</v>
      </c>
      <c r="C1410" s="124">
        <v>46339</v>
      </c>
      <c r="D1410" s="124" t="s">
        <v>492</v>
      </c>
      <c r="E1410" s="21">
        <v>0.95750283000000003</v>
      </c>
      <c r="F1410" s="10"/>
      <c r="G1410" s="14">
        <v>2874176.47</v>
      </c>
      <c r="H1410" s="14">
        <v>2752032.11</v>
      </c>
      <c r="I1410" s="14">
        <v>2874176.47</v>
      </c>
      <c r="J1410" s="14">
        <v>2752032.11</v>
      </c>
      <c r="K1410" s="12">
        <v>3425</v>
      </c>
      <c r="L1410" s="10" t="s">
        <v>101</v>
      </c>
      <c r="M1410" s="10" t="s">
        <v>102</v>
      </c>
      <c r="N1410" s="124" t="s">
        <v>431</v>
      </c>
      <c r="O1410" s="124" t="s">
        <v>431</v>
      </c>
      <c r="P1410" s="21">
        <v>36</v>
      </c>
      <c r="Q1410" s="10" t="s">
        <v>54</v>
      </c>
      <c r="R1410" s="10" t="s">
        <v>28</v>
      </c>
      <c r="S1410" s="10"/>
      <c r="T1410" s="10"/>
      <c r="U1410" s="10" t="s">
        <v>2274</v>
      </c>
      <c r="V1410" s="10" t="s">
        <v>2274</v>
      </c>
      <c r="W1410" s="50">
        <f>+J1410/$W$2</f>
        <v>3.6587080277293745E-5</v>
      </c>
    </row>
    <row r="1411" spans="1:29">
      <c r="A1411" s="10" t="s">
        <v>2600</v>
      </c>
      <c r="B1411" s="10" t="s">
        <v>381</v>
      </c>
      <c r="C1411" s="124">
        <v>46339</v>
      </c>
      <c r="D1411" s="124" t="s">
        <v>492</v>
      </c>
      <c r="E1411" s="21">
        <v>0.96090582000000002</v>
      </c>
      <c r="F1411" s="10"/>
      <c r="G1411" s="14">
        <v>5300000</v>
      </c>
      <c r="H1411" s="14">
        <v>5092800.82</v>
      </c>
      <c r="I1411" s="14">
        <v>5300000</v>
      </c>
      <c r="J1411" s="14">
        <v>5092800.82</v>
      </c>
      <c r="K1411" s="12">
        <v>8175680</v>
      </c>
      <c r="L1411" s="10" t="s">
        <v>101</v>
      </c>
      <c r="M1411" s="10" t="s">
        <v>102</v>
      </c>
      <c r="N1411" s="124" t="s">
        <v>423</v>
      </c>
      <c r="O1411" s="124" t="s">
        <v>423</v>
      </c>
      <c r="P1411" s="21">
        <v>33</v>
      </c>
      <c r="Q1411" s="10" t="s">
        <v>54</v>
      </c>
      <c r="R1411" s="10" t="s">
        <v>28</v>
      </c>
      <c r="S1411" s="10"/>
      <c r="T1411" s="10"/>
      <c r="U1411" s="10" t="s">
        <v>2484</v>
      </c>
      <c r="V1411" s="10" t="s">
        <v>2484</v>
      </c>
      <c r="W1411" s="50">
        <f>+J1411/$W$2</f>
        <v>6.7706590980730761E-5</v>
      </c>
    </row>
    <row r="1412" spans="1:29">
      <c r="A1412" s="10" t="s">
        <v>2615</v>
      </c>
      <c r="B1412" s="10" t="s">
        <v>381</v>
      </c>
      <c r="C1412" s="124">
        <v>46339</v>
      </c>
      <c r="D1412" s="124" t="s">
        <v>492</v>
      </c>
      <c r="E1412" s="21">
        <v>0.96204553000000004</v>
      </c>
      <c r="F1412" s="10"/>
      <c r="G1412" s="14">
        <v>1129854.56</v>
      </c>
      <c r="H1412" s="14">
        <v>1086971.53</v>
      </c>
      <c r="I1412" s="14">
        <v>1129854.56</v>
      </c>
      <c r="J1412" s="14">
        <v>1086971.53</v>
      </c>
      <c r="K1412" s="12">
        <v>1026</v>
      </c>
      <c r="L1412" s="10" t="s">
        <v>101</v>
      </c>
      <c r="M1412" s="10" t="s">
        <v>102</v>
      </c>
      <c r="N1412" s="124" t="s">
        <v>423</v>
      </c>
      <c r="O1412" s="124" t="s">
        <v>423</v>
      </c>
      <c r="P1412" s="21">
        <v>32</v>
      </c>
      <c r="Q1412" s="10" t="s">
        <v>54</v>
      </c>
      <c r="R1412" s="10" t="s">
        <v>28</v>
      </c>
      <c r="S1412" s="10"/>
      <c r="T1412" s="10"/>
      <c r="U1412" s="10" t="s">
        <v>2557</v>
      </c>
      <c r="V1412" s="10" t="s">
        <v>2557</v>
      </c>
      <c r="W1412" s="50">
        <f>+J1412/$W$2</f>
        <v>1.4450817809405142E-5</v>
      </c>
    </row>
    <row r="1413" spans="1:29">
      <c r="A1413" s="10" t="s">
        <v>389</v>
      </c>
      <c r="B1413" s="10" t="s">
        <v>381</v>
      </c>
      <c r="C1413" s="124">
        <v>46339</v>
      </c>
      <c r="D1413" s="124" t="s">
        <v>492</v>
      </c>
      <c r="E1413" s="21">
        <v>0.96204535999999996</v>
      </c>
      <c r="F1413" s="10"/>
      <c r="G1413" s="14">
        <v>3742647.36</v>
      </c>
      <c r="H1413" s="14">
        <v>3600596.53</v>
      </c>
      <c r="I1413" s="14">
        <v>3742647.36</v>
      </c>
      <c r="J1413" s="14">
        <v>3600596.53</v>
      </c>
      <c r="K1413" s="12">
        <v>10559629</v>
      </c>
      <c r="L1413" s="10" t="s">
        <v>101</v>
      </c>
      <c r="M1413" s="10" t="s">
        <v>102</v>
      </c>
      <c r="N1413" s="124" t="s">
        <v>321</v>
      </c>
      <c r="O1413" s="124" t="s">
        <v>321</v>
      </c>
      <c r="P1413" s="21">
        <v>32</v>
      </c>
      <c r="Q1413" s="10" t="s">
        <v>54</v>
      </c>
      <c r="R1413" s="10" t="s">
        <v>28</v>
      </c>
      <c r="S1413" s="10"/>
      <c r="T1413" s="10"/>
      <c r="U1413" s="10" t="s">
        <v>1220</v>
      </c>
      <c r="V1413" s="10" t="s">
        <v>1220</v>
      </c>
      <c r="W1413" s="50">
        <f>+J1413/$W$2</f>
        <v>4.7868378355968859E-5</v>
      </c>
    </row>
    <row r="1414" spans="1:29">
      <c r="A1414" s="10" t="s">
        <v>389</v>
      </c>
      <c r="B1414" s="10" t="s">
        <v>381</v>
      </c>
      <c r="C1414" s="124">
        <v>46339</v>
      </c>
      <c r="D1414" s="124" t="s">
        <v>492</v>
      </c>
      <c r="E1414" s="21">
        <v>0.96204535999999996</v>
      </c>
      <c r="F1414" s="10"/>
      <c r="G1414" s="14">
        <v>11829797.539999999</v>
      </c>
      <c r="H1414" s="14">
        <v>11380801.890000001</v>
      </c>
      <c r="I1414" s="14">
        <v>11829797.539999999</v>
      </c>
      <c r="J1414" s="14">
        <v>11380801.890000001</v>
      </c>
      <c r="K1414" s="12">
        <v>30896</v>
      </c>
      <c r="L1414" s="10" t="s">
        <v>101</v>
      </c>
      <c r="M1414" s="10" t="s">
        <v>102</v>
      </c>
      <c r="N1414" s="124" t="s">
        <v>321</v>
      </c>
      <c r="O1414" s="124" t="s">
        <v>321</v>
      </c>
      <c r="P1414" s="21">
        <v>32</v>
      </c>
      <c r="Q1414" s="10" t="s">
        <v>54</v>
      </c>
      <c r="R1414" s="10" t="s">
        <v>28</v>
      </c>
      <c r="S1414" s="10"/>
      <c r="T1414" s="10"/>
      <c r="U1414" s="10" t="s">
        <v>1222</v>
      </c>
      <c r="V1414" s="10" t="s">
        <v>1222</v>
      </c>
      <c r="W1414" s="50">
        <f>+J1414/$W$2</f>
        <v>1.5130285393705179E-4</v>
      </c>
    </row>
    <row r="1415" spans="1:29">
      <c r="A1415" s="10" t="s">
        <v>389</v>
      </c>
      <c r="B1415" s="10" t="s">
        <v>381</v>
      </c>
      <c r="C1415" s="124">
        <v>46339</v>
      </c>
      <c r="D1415" s="124" t="s">
        <v>492</v>
      </c>
      <c r="E1415" s="21">
        <v>0.96204535999999996</v>
      </c>
      <c r="F1415" s="10"/>
      <c r="G1415" s="14">
        <v>11490967.439999999</v>
      </c>
      <c r="H1415" s="14">
        <v>11054831.960000001</v>
      </c>
      <c r="I1415" s="14">
        <v>11490967.439999999</v>
      </c>
      <c r="J1415" s="14">
        <v>11054831.960000001</v>
      </c>
      <c r="K1415" s="12">
        <v>30906</v>
      </c>
      <c r="L1415" s="10" t="s">
        <v>101</v>
      </c>
      <c r="M1415" s="10" t="s">
        <v>102</v>
      </c>
      <c r="N1415" s="124" t="s">
        <v>321</v>
      </c>
      <c r="O1415" s="124" t="s">
        <v>321</v>
      </c>
      <c r="P1415" s="21">
        <v>32</v>
      </c>
      <c r="Q1415" s="10" t="s">
        <v>54</v>
      </c>
      <c r="R1415" s="10" t="s">
        <v>28</v>
      </c>
      <c r="S1415" s="10"/>
      <c r="T1415" s="10"/>
      <c r="U1415" s="10" t="s">
        <v>1223</v>
      </c>
      <c r="V1415" s="10" t="s">
        <v>1223</v>
      </c>
      <c r="W1415" s="50">
        <f>+J1415/$W$2</f>
        <v>1.4696922426988421E-4</v>
      </c>
    </row>
    <row r="1416" spans="1:29">
      <c r="A1416" s="10" t="s">
        <v>389</v>
      </c>
      <c r="B1416" s="10" t="s">
        <v>381</v>
      </c>
      <c r="C1416" s="124">
        <v>46339</v>
      </c>
      <c r="D1416" s="124" t="s">
        <v>492</v>
      </c>
      <c r="E1416" s="21">
        <v>0.96204535999999996</v>
      </c>
      <c r="F1416" s="10"/>
      <c r="G1416" s="14">
        <v>11229494.109999999</v>
      </c>
      <c r="H1416" s="14">
        <v>10803282.75</v>
      </c>
      <c r="I1416" s="14">
        <v>11229494.109999999</v>
      </c>
      <c r="J1416" s="14">
        <v>10803282.75</v>
      </c>
      <c r="K1416" s="12">
        <v>30919</v>
      </c>
      <c r="L1416" s="10" t="s">
        <v>101</v>
      </c>
      <c r="M1416" s="10" t="s">
        <v>102</v>
      </c>
      <c r="N1416" s="124" t="s">
        <v>321</v>
      </c>
      <c r="O1416" s="124" t="s">
        <v>321</v>
      </c>
      <c r="P1416" s="21">
        <v>32</v>
      </c>
      <c r="Q1416" s="10" t="s">
        <v>54</v>
      </c>
      <c r="R1416" s="10" t="s">
        <v>28</v>
      </c>
      <c r="S1416" s="10"/>
      <c r="T1416" s="10"/>
      <c r="U1416" s="10" t="s">
        <v>1224</v>
      </c>
      <c r="V1416" s="10" t="s">
        <v>1224</v>
      </c>
      <c r="W1416" s="50">
        <f>+J1416/$W$2</f>
        <v>1.4362498598628371E-4</v>
      </c>
    </row>
    <row r="1417" spans="1:29">
      <c r="A1417" s="10" t="s">
        <v>3512</v>
      </c>
      <c r="B1417" s="10" t="s">
        <v>381</v>
      </c>
      <c r="C1417" s="124">
        <v>46339</v>
      </c>
      <c r="D1417" s="124" t="s">
        <v>492</v>
      </c>
      <c r="E1417" s="21">
        <v>0.96090573999999995</v>
      </c>
      <c r="F1417" s="10"/>
      <c r="G1417" s="14">
        <v>80000000</v>
      </c>
      <c r="H1417" s="14">
        <v>76872459.120000005</v>
      </c>
      <c r="I1417" s="14">
        <v>80000000</v>
      </c>
      <c r="J1417" s="14">
        <v>76872459.120000005</v>
      </c>
      <c r="K1417" s="12">
        <v>3034</v>
      </c>
      <c r="L1417" s="10" t="s">
        <v>101</v>
      </c>
      <c r="M1417" s="10" t="s">
        <v>102</v>
      </c>
      <c r="N1417" s="124" t="s">
        <v>678</v>
      </c>
      <c r="O1417" s="124" t="s">
        <v>678</v>
      </c>
      <c r="P1417" s="21">
        <v>33</v>
      </c>
      <c r="Q1417" s="10" t="s">
        <v>54</v>
      </c>
      <c r="R1417" s="10" t="s">
        <v>28</v>
      </c>
      <c r="S1417" s="10"/>
      <c r="T1417" s="10"/>
      <c r="U1417" s="10" t="s">
        <v>3498</v>
      </c>
      <c r="V1417" s="10" t="s">
        <v>3498</v>
      </c>
      <c r="W1417" s="50">
        <f>+J1417/$W$2</f>
        <v>1.0219861980231117E-3</v>
      </c>
    </row>
    <row r="1418" spans="1:29">
      <c r="A1418" s="10" t="s">
        <v>1102</v>
      </c>
      <c r="B1418" s="10" t="s">
        <v>381</v>
      </c>
      <c r="C1418" s="124">
        <v>46339</v>
      </c>
      <c r="D1418" s="124" t="s">
        <v>492</v>
      </c>
      <c r="E1418" s="21">
        <v>0.95750268000000005</v>
      </c>
      <c r="F1418" s="10"/>
      <c r="G1418" s="14">
        <v>3140560.45</v>
      </c>
      <c r="H1418" s="14">
        <v>3007095.05</v>
      </c>
      <c r="I1418" s="14">
        <v>3140560.45</v>
      </c>
      <c r="J1418" s="14">
        <v>3007095.05</v>
      </c>
      <c r="K1418" s="12">
        <v>1119</v>
      </c>
      <c r="L1418" s="10" t="s">
        <v>101</v>
      </c>
      <c r="M1418" s="10" t="s">
        <v>102</v>
      </c>
      <c r="N1418" s="124" t="s">
        <v>390</v>
      </c>
      <c r="O1418" s="124" t="s">
        <v>390</v>
      </c>
      <c r="P1418" s="21">
        <v>36</v>
      </c>
      <c r="Q1418" s="10" t="s">
        <v>54</v>
      </c>
      <c r="R1418" s="10" t="s">
        <v>28</v>
      </c>
      <c r="S1418" s="10"/>
      <c r="T1418" s="10"/>
      <c r="U1418" s="10" t="s">
        <v>2043</v>
      </c>
      <c r="V1418" s="10" t="s">
        <v>2043</v>
      </c>
      <c r="W1418" s="50">
        <f>+J1418/$W$2</f>
        <v>3.9978032086189089E-5</v>
      </c>
    </row>
    <row r="1419" spans="1:29">
      <c r="A1419" s="10" t="s">
        <v>273</v>
      </c>
      <c r="B1419" s="10" t="s">
        <v>381</v>
      </c>
      <c r="C1419" s="124">
        <v>46339</v>
      </c>
      <c r="D1419" s="124" t="s">
        <v>492</v>
      </c>
      <c r="E1419" s="21">
        <v>0.96894084000000003</v>
      </c>
      <c r="F1419" s="10"/>
      <c r="G1419" s="14">
        <v>15000000</v>
      </c>
      <c r="H1419" s="14">
        <v>14534112.58</v>
      </c>
      <c r="I1419" s="14">
        <v>15000000</v>
      </c>
      <c r="J1419" s="14">
        <v>14534112.58</v>
      </c>
      <c r="K1419" s="12">
        <v>9621094</v>
      </c>
      <c r="L1419" s="10" t="s">
        <v>101</v>
      </c>
      <c r="M1419" s="10" t="s">
        <v>102</v>
      </c>
      <c r="N1419" s="124" t="s">
        <v>319</v>
      </c>
      <c r="O1419" s="124" t="s">
        <v>319</v>
      </c>
      <c r="P1419" s="21">
        <v>26</v>
      </c>
      <c r="Q1419" s="10" t="s">
        <v>54</v>
      </c>
      <c r="R1419" s="10" t="s">
        <v>28</v>
      </c>
      <c r="S1419" s="10"/>
      <c r="T1419" s="10"/>
      <c r="U1419" s="10" t="s">
        <v>1006</v>
      </c>
      <c r="V1419" s="10" t="s">
        <v>1006</v>
      </c>
      <c r="W1419" s="50">
        <f>+J1419/$W$2</f>
        <v>1.9322475991157131E-4</v>
      </c>
    </row>
    <row r="1420" spans="1:29">
      <c r="A1420" s="10" t="s">
        <v>219</v>
      </c>
      <c r="B1420" s="10" t="s">
        <v>381</v>
      </c>
      <c r="C1420" s="124">
        <v>46339</v>
      </c>
      <c r="D1420" s="124" t="s">
        <v>492</v>
      </c>
      <c r="E1420" s="21">
        <v>0.96204535999999996</v>
      </c>
      <c r="F1420" s="10"/>
      <c r="G1420" s="14">
        <v>50000000</v>
      </c>
      <c r="H1420" s="14">
        <v>48102267.990000002</v>
      </c>
      <c r="I1420" s="14">
        <v>50000000</v>
      </c>
      <c r="J1420" s="14">
        <v>48102267.990000002</v>
      </c>
      <c r="K1420" s="12">
        <v>5359</v>
      </c>
      <c r="L1420" s="10" t="s">
        <v>101</v>
      </c>
      <c r="M1420" s="10" t="s">
        <v>102</v>
      </c>
      <c r="N1420" s="124" t="s">
        <v>420</v>
      </c>
      <c r="O1420" s="124" t="s">
        <v>420</v>
      </c>
      <c r="P1420" s="21">
        <v>32</v>
      </c>
      <c r="Q1420" s="10" t="s">
        <v>54</v>
      </c>
      <c r="R1420" s="10" t="s">
        <v>28</v>
      </c>
      <c r="S1420" s="10"/>
      <c r="T1420" s="10"/>
      <c r="U1420" s="10" t="s">
        <v>2673</v>
      </c>
      <c r="V1420" s="10" t="s">
        <v>2673</v>
      </c>
      <c r="W1420" s="50">
        <f>+J1420/$W$2</f>
        <v>6.3949891212207823E-4</v>
      </c>
    </row>
    <row r="1421" spans="1:29">
      <c r="A1421" s="10" t="s">
        <v>219</v>
      </c>
      <c r="B1421" s="10" t="s">
        <v>381</v>
      </c>
      <c r="C1421" s="124">
        <v>46339</v>
      </c>
      <c r="D1421" s="124" t="s">
        <v>492</v>
      </c>
      <c r="E1421" s="21">
        <v>0.96204540999999999</v>
      </c>
      <c r="F1421" s="10"/>
      <c r="G1421" s="14">
        <v>50000000</v>
      </c>
      <c r="H1421" s="14">
        <v>48102270.450000003</v>
      </c>
      <c r="I1421" s="14">
        <v>50000000</v>
      </c>
      <c r="J1421" s="14">
        <v>48102270.450000003</v>
      </c>
      <c r="K1421" s="12">
        <v>5165</v>
      </c>
      <c r="L1421" s="10" t="s">
        <v>101</v>
      </c>
      <c r="M1421" s="10" t="s">
        <v>102</v>
      </c>
      <c r="N1421" s="124" t="s">
        <v>414</v>
      </c>
      <c r="O1421" s="124" t="s">
        <v>414</v>
      </c>
      <c r="P1421" s="21">
        <v>32</v>
      </c>
      <c r="Q1421" s="10" t="s">
        <v>54</v>
      </c>
      <c r="R1421" s="10" t="s">
        <v>28</v>
      </c>
      <c r="S1421" s="10"/>
      <c r="T1421" s="10"/>
      <c r="U1421" s="10" t="s">
        <v>1483</v>
      </c>
      <c r="V1421" s="10" t="s">
        <v>1483</v>
      </c>
      <c r="W1421" s="50">
        <f>+J1421/$W$2</f>
        <v>6.3949894482671758E-4</v>
      </c>
    </row>
    <row r="1422" spans="1:29">
      <c r="A1422" s="10" t="s">
        <v>219</v>
      </c>
      <c r="B1422" s="10" t="s">
        <v>381</v>
      </c>
      <c r="C1422" s="124">
        <v>46339</v>
      </c>
      <c r="D1422" s="124" t="s">
        <v>492</v>
      </c>
      <c r="E1422" s="21">
        <v>0.96204553000000004</v>
      </c>
      <c r="F1422" s="10"/>
      <c r="G1422" s="14">
        <v>50000000</v>
      </c>
      <c r="H1422" s="14">
        <v>48102276.670000002</v>
      </c>
      <c r="I1422" s="14">
        <v>50000000</v>
      </c>
      <c r="J1422" s="14">
        <v>48102276.670000002</v>
      </c>
      <c r="K1422" s="12">
        <v>5405</v>
      </c>
      <c r="L1422" s="10" t="s">
        <v>101</v>
      </c>
      <c r="M1422" s="10" t="s">
        <v>102</v>
      </c>
      <c r="N1422" s="124" t="s">
        <v>492</v>
      </c>
      <c r="O1422" s="124" t="s">
        <v>492</v>
      </c>
      <c r="P1422" s="21">
        <v>32</v>
      </c>
      <c r="Q1422" s="10" t="s">
        <v>54</v>
      </c>
      <c r="R1422" s="10" t="s">
        <v>28</v>
      </c>
      <c r="S1422" s="10"/>
      <c r="T1422" s="10"/>
      <c r="U1422" s="10" t="s">
        <v>3545</v>
      </c>
      <c r="V1422" s="10" t="s">
        <v>3545</v>
      </c>
      <c r="W1422" s="50">
        <f>+J1422/$W$2</f>
        <v>6.3949902751893556E-4</v>
      </c>
      <c r="AC1422" s="47"/>
    </row>
    <row r="1423" spans="1:29">
      <c r="A1423" s="10" t="s">
        <v>143</v>
      </c>
      <c r="B1423" s="10" t="s">
        <v>381</v>
      </c>
      <c r="C1423" s="124">
        <v>46339</v>
      </c>
      <c r="D1423" s="124" t="s">
        <v>492</v>
      </c>
      <c r="E1423" s="21">
        <v>0.96433294000000003</v>
      </c>
      <c r="F1423" s="10"/>
      <c r="G1423" s="14">
        <v>100000000</v>
      </c>
      <c r="H1423" s="14">
        <v>96433294.120000005</v>
      </c>
      <c r="I1423" s="14">
        <v>100000000</v>
      </c>
      <c r="J1423" s="14">
        <v>96433294.120000005</v>
      </c>
      <c r="K1423" s="12">
        <v>90004134</v>
      </c>
      <c r="L1423" s="10" t="s">
        <v>101</v>
      </c>
      <c r="M1423" s="10" t="s">
        <v>102</v>
      </c>
      <c r="N1423" s="124" t="s">
        <v>390</v>
      </c>
      <c r="O1423" s="124" t="s">
        <v>390</v>
      </c>
      <c r="P1423" s="21">
        <v>30</v>
      </c>
      <c r="Q1423" s="10" t="s">
        <v>54</v>
      </c>
      <c r="R1423" s="10" t="s">
        <v>28</v>
      </c>
      <c r="S1423" s="10"/>
      <c r="T1423" s="10"/>
      <c r="U1423" s="10" t="s">
        <v>2075</v>
      </c>
      <c r="V1423" s="10" t="s">
        <v>2075</v>
      </c>
      <c r="W1423" s="50">
        <f>+J1423/$W$2</f>
        <v>1.2820390650791933E-3</v>
      </c>
    </row>
    <row r="1424" spans="1:29">
      <c r="A1424" s="10" t="s">
        <v>273</v>
      </c>
      <c r="B1424" s="10" t="s">
        <v>381</v>
      </c>
      <c r="C1424" s="124">
        <v>46339</v>
      </c>
      <c r="D1424" s="124" t="s">
        <v>492</v>
      </c>
      <c r="E1424" s="21">
        <v>0.96318788</v>
      </c>
      <c r="F1424" s="10"/>
      <c r="G1424" s="14">
        <v>5000000</v>
      </c>
      <c r="H1424" s="14">
        <v>4815939.4000000004</v>
      </c>
      <c r="I1424" s="14">
        <v>5000000</v>
      </c>
      <c r="J1424" s="14">
        <v>4815939.4000000004</v>
      </c>
      <c r="K1424" s="12">
        <v>8806</v>
      </c>
      <c r="L1424" s="10" t="s">
        <v>101</v>
      </c>
      <c r="M1424" s="10" t="s">
        <v>102</v>
      </c>
      <c r="N1424" s="124" t="s">
        <v>551</v>
      </c>
      <c r="O1424" s="124" t="s">
        <v>551</v>
      </c>
      <c r="P1424" s="21">
        <v>31</v>
      </c>
      <c r="Q1424" s="10" t="s">
        <v>54</v>
      </c>
      <c r="R1424" s="10" t="s">
        <v>28</v>
      </c>
      <c r="S1424" s="10"/>
      <c r="T1424" s="10"/>
      <c r="U1424" s="10" t="s">
        <v>2182</v>
      </c>
      <c r="V1424" s="10" t="s">
        <v>2182</v>
      </c>
      <c r="W1424" s="50">
        <f>+J1424/$W$2</f>
        <v>6.4025837779335324E-5</v>
      </c>
      <c r="AC1424"/>
    </row>
    <row r="1425" spans="1:29">
      <c r="A1425" s="10" t="s">
        <v>471</v>
      </c>
      <c r="B1425" s="10" t="s">
        <v>381</v>
      </c>
      <c r="C1425" s="124">
        <v>46339</v>
      </c>
      <c r="D1425" s="124" t="s">
        <v>492</v>
      </c>
      <c r="E1425" s="21">
        <v>0.96778483000000004</v>
      </c>
      <c r="F1425" s="10"/>
      <c r="G1425" s="14">
        <v>2500000</v>
      </c>
      <c r="H1425" s="14">
        <v>2419462.08</v>
      </c>
      <c r="I1425" s="14">
        <v>2500000</v>
      </c>
      <c r="J1425" s="14">
        <v>2419462.08</v>
      </c>
      <c r="K1425" s="12">
        <v>53553934</v>
      </c>
      <c r="L1425" s="10" t="s">
        <v>101</v>
      </c>
      <c r="M1425" s="10" t="s">
        <v>102</v>
      </c>
      <c r="N1425" s="124" t="s">
        <v>531</v>
      </c>
      <c r="O1425" s="124" t="s">
        <v>531</v>
      </c>
      <c r="P1425" s="21">
        <v>27</v>
      </c>
      <c r="Q1425" s="10" t="s">
        <v>54</v>
      </c>
      <c r="R1425" s="10" t="s">
        <v>28</v>
      </c>
      <c r="S1425" s="10"/>
      <c r="T1425" s="10"/>
      <c r="U1425" s="10" t="s">
        <v>3367</v>
      </c>
      <c r="V1425" s="10" t="s">
        <v>3367</v>
      </c>
      <c r="W1425" s="50">
        <f>+J1425/$W$2</f>
        <v>3.2165705126466752E-5</v>
      </c>
    </row>
    <row r="1426" spans="1:29">
      <c r="A1426" s="10" t="s">
        <v>1665</v>
      </c>
      <c r="B1426" s="10" t="s">
        <v>381</v>
      </c>
      <c r="C1426" s="124">
        <v>46339</v>
      </c>
      <c r="D1426" s="124" t="s">
        <v>492</v>
      </c>
      <c r="E1426" s="21">
        <v>0.96090569000000003</v>
      </c>
      <c r="F1426" s="10"/>
      <c r="G1426" s="14">
        <v>100071435.06999999</v>
      </c>
      <c r="H1426" s="14">
        <v>96159211.379999995</v>
      </c>
      <c r="I1426" s="14">
        <v>100071435.06999999</v>
      </c>
      <c r="J1426" s="14">
        <v>96159211.379999995</v>
      </c>
      <c r="K1426" s="12">
        <v>10434104</v>
      </c>
      <c r="L1426" s="10" t="s">
        <v>101</v>
      </c>
      <c r="M1426" s="10" t="s">
        <v>102</v>
      </c>
      <c r="N1426" s="124" t="s">
        <v>163</v>
      </c>
      <c r="O1426" s="124" t="s">
        <v>163</v>
      </c>
      <c r="P1426" s="21">
        <v>33</v>
      </c>
      <c r="Q1426" s="10" t="s">
        <v>54</v>
      </c>
      <c r="R1426" s="10" t="s">
        <v>28</v>
      </c>
      <c r="S1426" s="10"/>
      <c r="T1426" s="10"/>
      <c r="U1426" s="10" t="s">
        <v>1662</v>
      </c>
      <c r="V1426" s="10" t="s">
        <v>1662</v>
      </c>
      <c r="W1426" s="50">
        <f>+J1426/$W$2</f>
        <v>1.2783952532302825E-3</v>
      </c>
    </row>
    <row r="1427" spans="1:29">
      <c r="A1427" s="10" t="s">
        <v>166</v>
      </c>
      <c r="B1427" s="10" t="s">
        <v>381</v>
      </c>
      <c r="C1427" s="124">
        <v>46339</v>
      </c>
      <c r="D1427" s="124" t="s">
        <v>492</v>
      </c>
      <c r="E1427" s="21">
        <v>0.95524745</v>
      </c>
      <c r="F1427" s="10"/>
      <c r="G1427" s="14">
        <v>315500000</v>
      </c>
      <c r="H1427" s="14">
        <v>301380571.25999999</v>
      </c>
      <c r="I1427" s="14">
        <v>315500000</v>
      </c>
      <c r="J1427" s="14">
        <v>301380571.25999999</v>
      </c>
      <c r="K1427" s="12">
        <v>70418828</v>
      </c>
      <c r="L1427" s="10" t="s">
        <v>101</v>
      </c>
      <c r="M1427" s="10" t="s">
        <v>102</v>
      </c>
      <c r="N1427" s="124" t="s">
        <v>678</v>
      </c>
      <c r="O1427" s="124" t="s">
        <v>678</v>
      </c>
      <c r="P1427" s="21">
        <v>38</v>
      </c>
      <c r="Q1427" s="10" t="s">
        <v>54</v>
      </c>
      <c r="R1427" s="10" t="s">
        <v>28</v>
      </c>
      <c r="S1427" s="10"/>
      <c r="T1427" s="10"/>
      <c r="U1427" s="10" t="s">
        <v>3481</v>
      </c>
      <c r="V1427" s="10" t="s">
        <v>3481</v>
      </c>
      <c r="W1427" s="50">
        <f>+J1427/$W$2</f>
        <v>4.0067247451942957E-3</v>
      </c>
    </row>
    <row r="1428" spans="1:29">
      <c r="A1428" s="10" t="s">
        <v>3144</v>
      </c>
      <c r="B1428" s="10" t="s">
        <v>381</v>
      </c>
      <c r="C1428" s="124">
        <v>46339</v>
      </c>
      <c r="D1428" s="124" t="s">
        <v>492</v>
      </c>
      <c r="E1428" s="21">
        <v>0.96090582000000002</v>
      </c>
      <c r="F1428" s="10"/>
      <c r="G1428" s="14">
        <v>2500000</v>
      </c>
      <c r="H1428" s="14">
        <v>2402264.5499999998</v>
      </c>
      <c r="I1428" s="14">
        <v>2500000</v>
      </c>
      <c r="J1428" s="14">
        <v>2402264.5499999998</v>
      </c>
      <c r="K1428" s="12">
        <v>83</v>
      </c>
      <c r="L1428" s="10" t="s">
        <v>101</v>
      </c>
      <c r="M1428" s="10" t="s">
        <v>102</v>
      </c>
      <c r="N1428" s="124" t="s">
        <v>532</v>
      </c>
      <c r="O1428" s="124" t="s">
        <v>532</v>
      </c>
      <c r="P1428" s="21">
        <v>33</v>
      </c>
      <c r="Q1428" s="10" t="s">
        <v>54</v>
      </c>
      <c r="R1428" s="10" t="s">
        <v>28</v>
      </c>
      <c r="S1428" s="10"/>
      <c r="T1428" s="10"/>
      <c r="U1428" s="10" t="s">
        <v>3107</v>
      </c>
      <c r="V1428" s="10" t="s">
        <v>3107</v>
      </c>
      <c r="W1428" s="50">
        <f>+J1428/$W$2</f>
        <v>3.1937071380372427E-5</v>
      </c>
    </row>
    <row r="1429" spans="1:29">
      <c r="A1429" s="10" t="s">
        <v>402</v>
      </c>
      <c r="B1429" s="10" t="s">
        <v>381</v>
      </c>
      <c r="C1429" s="124">
        <v>46339</v>
      </c>
      <c r="D1429" s="124" t="s">
        <v>492</v>
      </c>
      <c r="E1429" s="21">
        <v>0.96204546000000002</v>
      </c>
      <c r="F1429" s="10"/>
      <c r="G1429" s="14">
        <v>30000000</v>
      </c>
      <c r="H1429" s="14">
        <v>28861363.670000002</v>
      </c>
      <c r="I1429" s="14">
        <v>30000000</v>
      </c>
      <c r="J1429" s="14">
        <v>28861363.670000002</v>
      </c>
      <c r="K1429" s="12">
        <v>697</v>
      </c>
      <c r="L1429" s="10" t="s">
        <v>101</v>
      </c>
      <c r="M1429" s="10" t="s">
        <v>102</v>
      </c>
      <c r="N1429" s="124" t="s">
        <v>434</v>
      </c>
      <c r="O1429" s="124" t="s">
        <v>434</v>
      </c>
      <c r="P1429" s="21">
        <v>32</v>
      </c>
      <c r="Q1429" s="10" t="s">
        <v>54</v>
      </c>
      <c r="R1429" s="10" t="s">
        <v>28</v>
      </c>
      <c r="S1429" s="10"/>
      <c r="T1429" s="10"/>
      <c r="U1429" s="10" t="s">
        <v>2943</v>
      </c>
      <c r="V1429" s="10" t="s">
        <v>2943</v>
      </c>
      <c r="W1429" s="50">
        <f>+J1429/$W$2</f>
        <v>3.8369938550842687E-4</v>
      </c>
    </row>
    <row r="1430" spans="1:29">
      <c r="A1430" s="10" t="s">
        <v>402</v>
      </c>
      <c r="B1430" s="10" t="s">
        <v>381</v>
      </c>
      <c r="C1430" s="124">
        <v>46339</v>
      </c>
      <c r="D1430" s="124" t="s">
        <v>492</v>
      </c>
      <c r="E1430" s="21">
        <v>0.96204546000000002</v>
      </c>
      <c r="F1430" s="10"/>
      <c r="G1430" s="14">
        <v>30000000</v>
      </c>
      <c r="H1430" s="14">
        <v>28861363.670000002</v>
      </c>
      <c r="I1430" s="14">
        <v>30000000</v>
      </c>
      <c r="J1430" s="14">
        <v>28861363.670000002</v>
      </c>
      <c r="K1430" s="12">
        <v>693</v>
      </c>
      <c r="L1430" s="10" t="s">
        <v>101</v>
      </c>
      <c r="M1430" s="10" t="s">
        <v>102</v>
      </c>
      <c r="N1430" s="124" t="s">
        <v>434</v>
      </c>
      <c r="O1430" s="124" t="s">
        <v>434</v>
      </c>
      <c r="P1430" s="21">
        <v>32</v>
      </c>
      <c r="Q1430" s="10" t="s">
        <v>54</v>
      </c>
      <c r="R1430" s="10" t="s">
        <v>28</v>
      </c>
      <c r="S1430" s="10"/>
      <c r="T1430" s="10"/>
      <c r="U1430" s="10" t="s">
        <v>2945</v>
      </c>
      <c r="V1430" s="10" t="s">
        <v>2945</v>
      </c>
      <c r="W1430" s="50">
        <f>+J1430/$W$2</f>
        <v>3.8369938550842687E-4</v>
      </c>
    </row>
    <row r="1431" spans="1:29">
      <c r="A1431" s="10" t="s">
        <v>465</v>
      </c>
      <c r="B1431" s="10" t="s">
        <v>381</v>
      </c>
      <c r="C1431" s="124">
        <v>46339</v>
      </c>
      <c r="D1431" s="124" t="s">
        <v>492</v>
      </c>
      <c r="E1431" s="21">
        <v>0.96090573000000001</v>
      </c>
      <c r="F1431" s="10"/>
      <c r="G1431" s="14">
        <v>25000000</v>
      </c>
      <c r="H1431" s="14">
        <v>24022643.16</v>
      </c>
      <c r="I1431" s="14">
        <v>25000000</v>
      </c>
      <c r="J1431" s="14">
        <v>24022643.16</v>
      </c>
      <c r="K1431" s="12">
        <v>14422655</v>
      </c>
      <c r="L1431" s="10" t="s">
        <v>101</v>
      </c>
      <c r="M1431" s="10" t="s">
        <v>102</v>
      </c>
      <c r="N1431" s="124" t="s">
        <v>421</v>
      </c>
      <c r="O1431" s="124" t="s">
        <v>421</v>
      </c>
      <c r="P1431" s="21">
        <v>33</v>
      </c>
      <c r="Q1431" s="10" t="s">
        <v>54</v>
      </c>
      <c r="R1431" s="10" t="s">
        <v>28</v>
      </c>
      <c r="S1431" s="10"/>
      <c r="T1431" s="10"/>
      <c r="U1431" s="10" t="s">
        <v>2099</v>
      </c>
      <c r="V1431" s="10" t="s">
        <v>2099</v>
      </c>
      <c r="W1431" s="50">
        <f>+J1431/$W$2</f>
        <v>3.1937068269443324E-4</v>
      </c>
    </row>
    <row r="1432" spans="1:29">
      <c r="A1432" s="10" t="s">
        <v>400</v>
      </c>
      <c r="B1432" s="10" t="s">
        <v>381</v>
      </c>
      <c r="C1432" s="124">
        <v>46339</v>
      </c>
      <c r="D1432" s="124" t="s">
        <v>492</v>
      </c>
      <c r="E1432" s="21">
        <v>0.96778483000000004</v>
      </c>
      <c r="F1432" s="10"/>
      <c r="G1432" s="14">
        <v>8000000</v>
      </c>
      <c r="H1432" s="14">
        <v>7742278.6699999999</v>
      </c>
      <c r="I1432" s="14">
        <v>8000000</v>
      </c>
      <c r="J1432" s="14">
        <v>7742278.6699999999</v>
      </c>
      <c r="K1432" s="12">
        <v>761092</v>
      </c>
      <c r="L1432" s="10" t="s">
        <v>101</v>
      </c>
      <c r="M1432" s="10" t="s">
        <v>102</v>
      </c>
      <c r="N1432" s="124" t="s">
        <v>531</v>
      </c>
      <c r="O1432" s="124" t="s">
        <v>531</v>
      </c>
      <c r="P1432" s="21">
        <v>27</v>
      </c>
      <c r="Q1432" s="10" t="s">
        <v>54</v>
      </c>
      <c r="R1432" s="10" t="s">
        <v>28</v>
      </c>
      <c r="S1432" s="10"/>
      <c r="T1432" s="10"/>
      <c r="U1432" s="10" t="s">
        <v>3389</v>
      </c>
      <c r="V1432" s="10" t="s">
        <v>3389</v>
      </c>
      <c r="W1432" s="50">
        <f>+J1432/$W$2</f>
        <v>1.0293025659081757E-4</v>
      </c>
    </row>
    <row r="1433" spans="1:29">
      <c r="A1433" s="10" t="s">
        <v>382</v>
      </c>
      <c r="B1433" s="10" t="s">
        <v>381</v>
      </c>
      <c r="C1433" s="124">
        <v>46339</v>
      </c>
      <c r="D1433" s="124" t="s">
        <v>492</v>
      </c>
      <c r="E1433" s="21">
        <v>0.96090569000000003</v>
      </c>
      <c r="F1433" s="10"/>
      <c r="G1433" s="14">
        <v>2500000</v>
      </c>
      <c r="H1433" s="14">
        <v>2402264.2200000002</v>
      </c>
      <c r="I1433" s="14">
        <v>2500000</v>
      </c>
      <c r="J1433" s="14">
        <v>2402264.2200000002</v>
      </c>
      <c r="K1433" s="12">
        <v>1018</v>
      </c>
      <c r="L1433" s="10" t="s">
        <v>101</v>
      </c>
      <c r="M1433" s="10" t="s">
        <v>102</v>
      </c>
      <c r="N1433" s="124" t="s">
        <v>163</v>
      </c>
      <c r="O1433" s="124" t="s">
        <v>163</v>
      </c>
      <c r="P1433" s="21">
        <v>33</v>
      </c>
      <c r="Q1433" s="10" t="s">
        <v>54</v>
      </c>
      <c r="R1433" s="10" t="s">
        <v>28</v>
      </c>
      <c r="S1433" s="10"/>
      <c r="T1433" s="10"/>
      <c r="U1433" s="10" t="s">
        <v>1642</v>
      </c>
      <c r="V1433" s="10" t="s">
        <v>1642</v>
      </c>
      <c r="W1433" s="50">
        <f>+J1433/$W$2</f>
        <v>3.1937066993164721E-5</v>
      </c>
      <c r="AC1433" s="47"/>
    </row>
    <row r="1434" spans="1:29">
      <c r="A1434" s="10" t="s">
        <v>382</v>
      </c>
      <c r="B1434" s="10" t="s">
        <v>381</v>
      </c>
      <c r="C1434" s="124">
        <v>46339</v>
      </c>
      <c r="D1434" s="124" t="s">
        <v>492</v>
      </c>
      <c r="E1434" s="21">
        <v>0.96433307999999995</v>
      </c>
      <c r="F1434" s="10"/>
      <c r="G1434" s="14">
        <v>5000000</v>
      </c>
      <c r="H1434" s="14">
        <v>4821665.4000000004</v>
      </c>
      <c r="I1434" s="14">
        <v>5000000</v>
      </c>
      <c r="J1434" s="14">
        <v>4821665.4000000004</v>
      </c>
      <c r="K1434" s="12">
        <v>1309</v>
      </c>
      <c r="L1434" s="10" t="s">
        <v>101</v>
      </c>
      <c r="M1434" s="10" t="s">
        <v>102</v>
      </c>
      <c r="N1434" s="124" t="s">
        <v>492</v>
      </c>
      <c r="O1434" s="124" t="s">
        <v>492</v>
      </c>
      <c r="P1434" s="21">
        <v>30</v>
      </c>
      <c r="Q1434" s="10" t="s">
        <v>54</v>
      </c>
      <c r="R1434" s="10" t="s">
        <v>28</v>
      </c>
      <c r="S1434" s="10"/>
      <c r="T1434" s="10"/>
      <c r="U1434" s="10" t="s">
        <v>3533</v>
      </c>
      <c r="V1434" s="10" t="s">
        <v>3533</v>
      </c>
      <c r="W1434" s="50">
        <f>+J1434/$W$2</f>
        <v>6.4101962480390419E-5</v>
      </c>
    </row>
    <row r="1435" spans="1:29">
      <c r="A1435" s="10" t="s">
        <v>382</v>
      </c>
      <c r="B1435" s="10" t="s">
        <v>381</v>
      </c>
      <c r="C1435" s="124">
        <v>46339</v>
      </c>
      <c r="D1435" s="124" t="s">
        <v>492</v>
      </c>
      <c r="E1435" s="21">
        <v>0.96433307999999995</v>
      </c>
      <c r="F1435" s="10"/>
      <c r="G1435" s="14">
        <v>5000000</v>
      </c>
      <c r="H1435" s="14">
        <v>4821665.4000000004</v>
      </c>
      <c r="I1435" s="14">
        <v>5000000</v>
      </c>
      <c r="J1435" s="14">
        <v>4821665.4000000004</v>
      </c>
      <c r="K1435" s="12">
        <v>1310</v>
      </c>
      <c r="L1435" s="10" t="s">
        <v>101</v>
      </c>
      <c r="M1435" s="10" t="s">
        <v>102</v>
      </c>
      <c r="N1435" s="124" t="s">
        <v>492</v>
      </c>
      <c r="O1435" s="124" t="s">
        <v>492</v>
      </c>
      <c r="P1435" s="21">
        <v>30</v>
      </c>
      <c r="Q1435" s="10" t="s">
        <v>54</v>
      </c>
      <c r="R1435" s="10" t="s">
        <v>28</v>
      </c>
      <c r="S1435" s="10"/>
      <c r="T1435" s="10"/>
      <c r="U1435" s="10" t="s">
        <v>3534</v>
      </c>
      <c r="V1435" s="10" t="s">
        <v>3534</v>
      </c>
      <c r="W1435" s="50">
        <f>+J1435/$W$2</f>
        <v>6.4101962480390419E-5</v>
      </c>
    </row>
    <row r="1436" spans="1:29">
      <c r="A1436" s="10" t="s">
        <v>3574</v>
      </c>
      <c r="B1436" s="10" t="s">
        <v>381</v>
      </c>
      <c r="C1436" s="124">
        <v>46339</v>
      </c>
      <c r="D1436" s="124" t="s">
        <v>492</v>
      </c>
      <c r="E1436" s="21">
        <v>0.96090582999999996</v>
      </c>
      <c r="F1436" s="10"/>
      <c r="G1436" s="14">
        <v>65000000</v>
      </c>
      <c r="H1436" s="14">
        <v>62458878.659999996</v>
      </c>
      <c r="I1436" s="14">
        <v>65000000</v>
      </c>
      <c r="J1436" s="14">
        <v>62458878.659999996</v>
      </c>
      <c r="K1436" s="12">
        <v>38498314</v>
      </c>
      <c r="L1436" s="10" t="s">
        <v>101</v>
      </c>
      <c r="M1436" s="10" t="s">
        <v>102</v>
      </c>
      <c r="N1436" s="124" t="s">
        <v>492</v>
      </c>
      <c r="O1436" s="124" t="s">
        <v>492</v>
      </c>
      <c r="P1436" s="21">
        <v>33</v>
      </c>
      <c r="Q1436" s="10" t="s">
        <v>54</v>
      </c>
      <c r="R1436" s="10" t="s">
        <v>28</v>
      </c>
      <c r="S1436" s="10"/>
      <c r="T1436" s="10"/>
      <c r="U1436" s="10" t="s">
        <v>3530</v>
      </c>
      <c r="V1436" s="10" t="s">
        <v>3530</v>
      </c>
      <c r="W1436" s="50">
        <f>+J1436/$W$2</f>
        <v>8.3036386067572782E-4</v>
      </c>
    </row>
    <row r="1437" spans="1:29">
      <c r="A1437" s="10" t="s">
        <v>3579</v>
      </c>
      <c r="B1437" s="10" t="s">
        <v>381</v>
      </c>
      <c r="C1437" s="124">
        <v>46339</v>
      </c>
      <c r="D1437" s="124" t="s">
        <v>492</v>
      </c>
      <c r="E1437" s="21">
        <v>0.96433307000000001</v>
      </c>
      <c r="F1437" s="10"/>
      <c r="G1437" s="14">
        <v>409929.9</v>
      </c>
      <c r="H1437" s="14">
        <v>395308.96</v>
      </c>
      <c r="I1437" s="14">
        <v>409929.9</v>
      </c>
      <c r="J1437" s="14">
        <v>395308.96</v>
      </c>
      <c r="K1437" s="12">
        <v>229</v>
      </c>
      <c r="L1437" s="10" t="s">
        <v>101</v>
      </c>
      <c r="M1437" s="10" t="s">
        <v>102</v>
      </c>
      <c r="N1437" s="124" t="s">
        <v>492</v>
      </c>
      <c r="O1437" s="124" t="s">
        <v>492</v>
      </c>
      <c r="P1437" s="21">
        <v>30</v>
      </c>
      <c r="Q1437" s="10" t="s">
        <v>54</v>
      </c>
      <c r="R1437" s="10" t="s">
        <v>28</v>
      </c>
      <c r="S1437" s="10"/>
      <c r="T1437" s="10"/>
      <c r="U1437" s="10" t="s">
        <v>3556</v>
      </c>
      <c r="V1437" s="10" t="s">
        <v>3556</v>
      </c>
      <c r="W1437" s="50">
        <f>+J1437/$W$2</f>
        <v>5.2554621733150867E-6</v>
      </c>
    </row>
    <row r="1438" spans="1:29">
      <c r="A1438" s="10" t="s">
        <v>382</v>
      </c>
      <c r="B1438" s="10" t="s">
        <v>381</v>
      </c>
      <c r="C1438" s="124">
        <v>46342</v>
      </c>
      <c r="D1438" s="124" t="s">
        <v>492</v>
      </c>
      <c r="E1438" s="21">
        <v>0.95961724000000004</v>
      </c>
      <c r="F1438" s="10"/>
      <c r="G1438" s="14">
        <v>3000000</v>
      </c>
      <c r="H1438" s="14">
        <v>2878851.73</v>
      </c>
      <c r="I1438" s="14">
        <v>3000000</v>
      </c>
      <c r="J1438" s="14">
        <v>2878851.73</v>
      </c>
      <c r="K1438" s="12">
        <v>1056</v>
      </c>
      <c r="L1438" s="10" t="s">
        <v>101</v>
      </c>
      <c r="M1438" s="10" t="s">
        <v>102</v>
      </c>
      <c r="N1438" s="124" t="s">
        <v>398</v>
      </c>
      <c r="O1438" s="124" t="s">
        <v>398</v>
      </c>
      <c r="P1438" s="21">
        <v>32</v>
      </c>
      <c r="Q1438" s="10" t="s">
        <v>54</v>
      </c>
      <c r="R1438" s="10" t="s">
        <v>28</v>
      </c>
      <c r="S1438" s="10"/>
      <c r="T1438" s="10"/>
      <c r="U1438" s="10" t="s">
        <v>1757</v>
      </c>
      <c r="V1438" s="10" t="s">
        <v>1757</v>
      </c>
      <c r="W1438" s="50">
        <f>+J1438/$W$2</f>
        <v>3.8273092442927924E-5</v>
      </c>
    </row>
    <row r="1439" spans="1:29">
      <c r="A1439" s="10" t="s">
        <v>2992</v>
      </c>
      <c r="B1439" s="10" t="s">
        <v>381</v>
      </c>
      <c r="C1439" s="124">
        <v>46342</v>
      </c>
      <c r="D1439" s="124" t="s">
        <v>492</v>
      </c>
      <c r="E1439" s="21">
        <v>0.95840789999999998</v>
      </c>
      <c r="F1439" s="10"/>
      <c r="G1439" s="14">
        <v>3600000</v>
      </c>
      <c r="H1439" s="14">
        <v>3450268.44</v>
      </c>
      <c r="I1439" s="14">
        <v>3600000</v>
      </c>
      <c r="J1439" s="14">
        <v>3450268.44</v>
      </c>
      <c r="K1439" s="12">
        <v>13870045</v>
      </c>
      <c r="L1439" s="10" t="s">
        <v>101</v>
      </c>
      <c r="M1439" s="10" t="s">
        <v>102</v>
      </c>
      <c r="N1439" s="124" t="s">
        <v>434</v>
      </c>
      <c r="O1439" s="124" t="s">
        <v>434</v>
      </c>
      <c r="P1439" s="21">
        <v>33</v>
      </c>
      <c r="Q1439" s="10" t="s">
        <v>54</v>
      </c>
      <c r="R1439" s="10" t="s">
        <v>28</v>
      </c>
      <c r="S1439" s="10"/>
      <c r="T1439" s="10"/>
      <c r="U1439" s="10" t="s">
        <v>2951</v>
      </c>
      <c r="V1439" s="10" t="s">
        <v>2951</v>
      </c>
      <c r="W1439" s="50">
        <f>+J1439/$W$2</f>
        <v>4.5869831218100532E-5</v>
      </c>
    </row>
    <row r="1440" spans="1:29">
      <c r="A1440" s="10" t="s">
        <v>180</v>
      </c>
      <c r="B1440" s="10" t="s">
        <v>381</v>
      </c>
      <c r="C1440" s="124">
        <v>46342</v>
      </c>
      <c r="D1440" s="124" t="s">
        <v>492</v>
      </c>
      <c r="E1440" s="21">
        <v>0.96816992000000002</v>
      </c>
      <c r="F1440" s="10"/>
      <c r="G1440" s="14">
        <v>3915102.27</v>
      </c>
      <c r="H1440" s="14">
        <v>3790484.26</v>
      </c>
      <c r="I1440" s="14">
        <v>3915102.27</v>
      </c>
      <c r="J1440" s="14">
        <v>3790484.26</v>
      </c>
      <c r="K1440" s="12">
        <v>681630</v>
      </c>
      <c r="L1440" s="10" t="s">
        <v>101</v>
      </c>
      <c r="M1440" s="10" t="s">
        <v>102</v>
      </c>
      <c r="N1440" s="124" t="s">
        <v>486</v>
      </c>
      <c r="O1440" s="124" t="s">
        <v>486</v>
      </c>
      <c r="P1440" s="21">
        <v>25</v>
      </c>
      <c r="Q1440" s="10" t="s">
        <v>54</v>
      </c>
      <c r="R1440" s="10" t="s">
        <v>28</v>
      </c>
      <c r="S1440" s="10"/>
      <c r="T1440" s="10"/>
      <c r="U1440" s="10" t="s">
        <v>2878</v>
      </c>
      <c r="V1440" s="10" t="s">
        <v>2878</v>
      </c>
      <c r="W1440" s="50">
        <f>+J1440/$W$2</f>
        <v>5.0392853850254818E-5</v>
      </c>
    </row>
    <row r="1441" spans="1:29">
      <c r="A1441" s="10" t="s">
        <v>180</v>
      </c>
      <c r="B1441" s="10" t="s">
        <v>381</v>
      </c>
      <c r="C1441" s="124">
        <v>46342</v>
      </c>
      <c r="D1441" s="124" t="s">
        <v>492</v>
      </c>
      <c r="E1441" s="21">
        <v>0.96816992000000002</v>
      </c>
      <c r="F1441" s="10"/>
      <c r="G1441" s="14">
        <v>973870.43</v>
      </c>
      <c r="H1441" s="14">
        <v>942872.06</v>
      </c>
      <c r="I1441" s="14">
        <v>973870.43</v>
      </c>
      <c r="J1441" s="14">
        <v>942872.06</v>
      </c>
      <c r="K1441" s="12">
        <v>681511</v>
      </c>
      <c r="L1441" s="10" t="s">
        <v>101</v>
      </c>
      <c r="M1441" s="10" t="s">
        <v>102</v>
      </c>
      <c r="N1441" s="124" t="s">
        <v>486</v>
      </c>
      <c r="O1441" s="124" t="s">
        <v>486</v>
      </c>
      <c r="P1441" s="21">
        <v>25</v>
      </c>
      <c r="Q1441" s="10" t="s">
        <v>54</v>
      </c>
      <c r="R1441" s="10" t="s">
        <v>28</v>
      </c>
      <c r="S1441" s="10"/>
      <c r="T1441" s="10"/>
      <c r="U1441" s="10" t="s">
        <v>2879</v>
      </c>
      <c r="V1441" s="10" t="s">
        <v>2879</v>
      </c>
      <c r="W1441" s="50">
        <f>+J1441/$W$2</f>
        <v>1.2535077488771499E-5</v>
      </c>
    </row>
    <row r="1442" spans="1:29">
      <c r="A1442" s="10" t="s">
        <v>180</v>
      </c>
      <c r="B1442" s="10" t="s">
        <v>381</v>
      </c>
      <c r="C1442" s="124">
        <v>46342</v>
      </c>
      <c r="D1442" s="124" t="s">
        <v>492</v>
      </c>
      <c r="E1442" s="21">
        <v>0.96816992000000002</v>
      </c>
      <c r="F1442" s="10"/>
      <c r="G1442" s="14">
        <v>1029426.04</v>
      </c>
      <c r="H1442" s="14">
        <v>996659.33</v>
      </c>
      <c r="I1442" s="14">
        <v>1029426.04</v>
      </c>
      <c r="J1442" s="14">
        <v>996659.33</v>
      </c>
      <c r="K1442" s="12">
        <v>681498</v>
      </c>
      <c r="L1442" s="10" t="s">
        <v>101</v>
      </c>
      <c r="M1442" s="10" t="s">
        <v>102</v>
      </c>
      <c r="N1442" s="124" t="s">
        <v>486</v>
      </c>
      <c r="O1442" s="124" t="s">
        <v>486</v>
      </c>
      <c r="P1442" s="21">
        <v>25</v>
      </c>
      <c r="Q1442" s="10" t="s">
        <v>54</v>
      </c>
      <c r="R1442" s="10" t="s">
        <v>28</v>
      </c>
      <c r="S1442" s="10"/>
      <c r="T1442" s="10"/>
      <c r="U1442" s="10" t="s">
        <v>2883</v>
      </c>
      <c r="V1442" s="10" t="s">
        <v>2883</v>
      </c>
      <c r="W1442" s="50">
        <f>+J1442/$W$2</f>
        <v>1.3250156051349198E-5</v>
      </c>
    </row>
    <row r="1443" spans="1:29">
      <c r="A1443" s="10" t="s">
        <v>180</v>
      </c>
      <c r="B1443" s="10" t="s">
        <v>381</v>
      </c>
      <c r="C1443" s="124">
        <v>46342</v>
      </c>
      <c r="D1443" s="124" t="s">
        <v>492</v>
      </c>
      <c r="E1443" s="21">
        <v>0.96816990999999997</v>
      </c>
      <c r="F1443" s="10"/>
      <c r="G1443" s="14">
        <v>1351574.42</v>
      </c>
      <c r="H1443" s="14">
        <v>1308553.69</v>
      </c>
      <c r="I1443" s="14">
        <v>1351574.42</v>
      </c>
      <c r="J1443" s="14">
        <v>1308553.69</v>
      </c>
      <c r="K1443" s="12">
        <v>681634</v>
      </c>
      <c r="L1443" s="10" t="s">
        <v>101</v>
      </c>
      <c r="M1443" s="10" t="s">
        <v>102</v>
      </c>
      <c r="N1443" s="124" t="s">
        <v>486</v>
      </c>
      <c r="O1443" s="124" t="s">
        <v>486</v>
      </c>
      <c r="P1443" s="21">
        <v>25</v>
      </c>
      <c r="Q1443" s="10" t="s">
        <v>54</v>
      </c>
      <c r="R1443" s="10" t="s">
        <v>28</v>
      </c>
      <c r="S1443" s="10"/>
      <c r="T1443" s="10"/>
      <c r="U1443" s="10" t="s">
        <v>2884</v>
      </c>
      <c r="V1443" s="10" t="s">
        <v>2884</v>
      </c>
      <c r="W1443" s="50">
        <f>+J1443/$W$2</f>
        <v>1.739665708449127E-5</v>
      </c>
    </row>
    <row r="1444" spans="1:29">
      <c r="A1444" s="10" t="s">
        <v>180</v>
      </c>
      <c r="B1444" s="10" t="s">
        <v>381</v>
      </c>
      <c r="C1444" s="124">
        <v>46342</v>
      </c>
      <c r="D1444" s="124" t="s">
        <v>492</v>
      </c>
      <c r="E1444" s="21">
        <v>0.96816983000000001</v>
      </c>
      <c r="F1444" s="10"/>
      <c r="G1444" s="14">
        <v>188938.02</v>
      </c>
      <c r="H1444" s="14">
        <v>182924.09</v>
      </c>
      <c r="I1444" s="14">
        <v>188938.02</v>
      </c>
      <c r="J1444" s="14">
        <v>182924.09</v>
      </c>
      <c r="K1444" s="12">
        <v>681548</v>
      </c>
      <c r="L1444" s="10" t="s">
        <v>101</v>
      </c>
      <c r="M1444" s="10" t="s">
        <v>102</v>
      </c>
      <c r="N1444" s="124" t="s">
        <v>486</v>
      </c>
      <c r="O1444" s="124" t="s">
        <v>486</v>
      </c>
      <c r="P1444" s="21">
        <v>25</v>
      </c>
      <c r="Q1444" s="10" t="s">
        <v>54</v>
      </c>
      <c r="R1444" s="10" t="s">
        <v>28</v>
      </c>
      <c r="S1444" s="10"/>
      <c r="T1444" s="10"/>
      <c r="U1444" s="10" t="s">
        <v>2885</v>
      </c>
      <c r="V1444" s="10" t="s">
        <v>2885</v>
      </c>
      <c r="W1444" s="50">
        <f>+J1444/$W$2</f>
        <v>2.4318969030782517E-6</v>
      </c>
    </row>
    <row r="1445" spans="1:29">
      <c r="A1445" s="10" t="s">
        <v>180</v>
      </c>
      <c r="B1445" s="10" t="s">
        <v>381</v>
      </c>
      <c r="C1445" s="124">
        <v>46342</v>
      </c>
      <c r="D1445" s="124" t="s">
        <v>492</v>
      </c>
      <c r="E1445" s="21">
        <v>0.96816990999999997</v>
      </c>
      <c r="F1445" s="10"/>
      <c r="G1445" s="14">
        <v>1351574.42</v>
      </c>
      <c r="H1445" s="14">
        <v>1308553.69</v>
      </c>
      <c r="I1445" s="14">
        <v>1351574.42</v>
      </c>
      <c r="J1445" s="14">
        <v>1308553.69</v>
      </c>
      <c r="K1445" s="12">
        <v>681632</v>
      </c>
      <c r="L1445" s="10" t="s">
        <v>101</v>
      </c>
      <c r="M1445" s="10" t="s">
        <v>102</v>
      </c>
      <c r="N1445" s="124" t="s">
        <v>486</v>
      </c>
      <c r="O1445" s="124" t="s">
        <v>486</v>
      </c>
      <c r="P1445" s="21">
        <v>25</v>
      </c>
      <c r="Q1445" s="10" t="s">
        <v>54</v>
      </c>
      <c r="R1445" s="10" t="s">
        <v>28</v>
      </c>
      <c r="S1445" s="10"/>
      <c r="T1445" s="10"/>
      <c r="U1445" s="10" t="s">
        <v>2886</v>
      </c>
      <c r="V1445" s="10" t="s">
        <v>2886</v>
      </c>
      <c r="W1445" s="50">
        <f>+J1445/$W$2</f>
        <v>1.739665708449127E-5</v>
      </c>
    </row>
    <row r="1446" spans="1:29">
      <c r="A1446" s="10" t="s">
        <v>353</v>
      </c>
      <c r="B1446" s="10" t="s">
        <v>381</v>
      </c>
      <c r="C1446" s="124">
        <v>46342</v>
      </c>
      <c r="D1446" s="124" t="s">
        <v>492</v>
      </c>
      <c r="E1446" s="21">
        <v>0.95599794000000005</v>
      </c>
      <c r="F1446" s="10"/>
      <c r="G1446" s="14">
        <v>3625698.78</v>
      </c>
      <c r="H1446" s="14">
        <v>3466160.56</v>
      </c>
      <c r="I1446" s="14">
        <v>3625698.78</v>
      </c>
      <c r="J1446" s="14">
        <v>3466160.56</v>
      </c>
      <c r="K1446" s="12">
        <v>3356</v>
      </c>
      <c r="L1446" s="10" t="s">
        <v>101</v>
      </c>
      <c r="M1446" s="10" t="s">
        <v>102</v>
      </c>
      <c r="N1446" s="124" t="s">
        <v>164</v>
      </c>
      <c r="O1446" s="124" t="s">
        <v>164</v>
      </c>
      <c r="P1446" s="21">
        <v>35</v>
      </c>
      <c r="Q1446" s="10" t="s">
        <v>54</v>
      </c>
      <c r="R1446" s="10" t="s">
        <v>28</v>
      </c>
      <c r="S1446" s="10"/>
      <c r="T1446" s="10"/>
      <c r="U1446" s="10" t="s">
        <v>1948</v>
      </c>
      <c r="V1446" s="10" t="s">
        <v>1948</v>
      </c>
      <c r="W1446" s="50">
        <f>+J1446/$W$2</f>
        <v>4.6081110101113415E-5</v>
      </c>
    </row>
    <row r="1447" spans="1:29">
      <c r="A1447" s="10" t="s">
        <v>2426</v>
      </c>
      <c r="B1447" s="10" t="s">
        <v>381</v>
      </c>
      <c r="C1447" s="124">
        <v>46342</v>
      </c>
      <c r="D1447" s="124" t="s">
        <v>492</v>
      </c>
      <c r="E1447" s="21">
        <v>0.96204551999999999</v>
      </c>
      <c r="F1447" s="10"/>
      <c r="G1447" s="14">
        <v>5925436.6100000003</v>
      </c>
      <c r="H1447" s="14">
        <v>5700539.7400000002</v>
      </c>
      <c r="I1447" s="14">
        <v>5925436.6100000003</v>
      </c>
      <c r="J1447" s="14">
        <v>5700539.7400000002</v>
      </c>
      <c r="K1447" s="12">
        <v>694</v>
      </c>
      <c r="L1447" s="10" t="s">
        <v>101</v>
      </c>
      <c r="M1447" s="10" t="s">
        <v>102</v>
      </c>
      <c r="N1447" s="124" t="s">
        <v>552</v>
      </c>
      <c r="O1447" s="124" t="s">
        <v>552</v>
      </c>
      <c r="P1447" s="21">
        <v>30</v>
      </c>
      <c r="Q1447" s="10" t="s">
        <v>54</v>
      </c>
      <c r="R1447" s="10" t="s">
        <v>28</v>
      </c>
      <c r="S1447" s="10"/>
      <c r="T1447" s="10"/>
      <c r="U1447" s="10" t="s">
        <v>2408</v>
      </c>
      <c r="V1447" s="10" t="s">
        <v>2408</v>
      </c>
      <c r="W1447" s="50">
        <f>+J1447/$W$2</f>
        <v>7.5786217876390712E-5</v>
      </c>
      <c r="AC1447" s="47"/>
    </row>
    <row r="1448" spans="1:29">
      <c r="A1448" s="10" t="s">
        <v>2600</v>
      </c>
      <c r="B1448" s="10" t="s">
        <v>381</v>
      </c>
      <c r="C1448" s="124">
        <v>46342</v>
      </c>
      <c r="D1448" s="124" t="s">
        <v>492</v>
      </c>
      <c r="E1448" s="21">
        <v>0.95840773000000001</v>
      </c>
      <c r="F1448" s="10"/>
      <c r="G1448" s="14">
        <v>5300000</v>
      </c>
      <c r="H1448" s="14">
        <v>5079560.9800000004</v>
      </c>
      <c r="I1448" s="14">
        <v>5300000</v>
      </c>
      <c r="J1448" s="14">
        <v>5079560.9800000004</v>
      </c>
      <c r="K1448" s="12">
        <v>8175681</v>
      </c>
      <c r="L1448" s="10" t="s">
        <v>101</v>
      </c>
      <c r="M1448" s="10" t="s">
        <v>102</v>
      </c>
      <c r="N1448" s="124" t="s">
        <v>423</v>
      </c>
      <c r="O1448" s="124" t="s">
        <v>423</v>
      </c>
      <c r="P1448" s="21">
        <v>33</v>
      </c>
      <c r="Q1448" s="10" t="s">
        <v>54</v>
      </c>
      <c r="R1448" s="10" t="s">
        <v>28</v>
      </c>
      <c r="S1448" s="10"/>
      <c r="T1448" s="10"/>
      <c r="U1448" s="10" t="s">
        <v>2485</v>
      </c>
      <c r="V1448" s="10" t="s">
        <v>2485</v>
      </c>
      <c r="W1448" s="50">
        <f>+J1448/$W$2</f>
        <v>6.7530573016703977E-5</v>
      </c>
    </row>
    <row r="1449" spans="1:29">
      <c r="A1449" s="10" t="s">
        <v>2610</v>
      </c>
      <c r="B1449" s="10" t="s">
        <v>381</v>
      </c>
      <c r="C1449" s="124">
        <v>46342</v>
      </c>
      <c r="D1449" s="124" t="s">
        <v>492</v>
      </c>
      <c r="E1449" s="21">
        <v>0.95961721</v>
      </c>
      <c r="F1449" s="10"/>
      <c r="G1449" s="14">
        <v>1869225</v>
      </c>
      <c r="H1449" s="14">
        <v>1793740.48</v>
      </c>
      <c r="I1449" s="14">
        <v>1869225</v>
      </c>
      <c r="J1449" s="14">
        <v>1793740.48</v>
      </c>
      <c r="K1449" s="12">
        <v>5</v>
      </c>
      <c r="L1449" s="10" t="s">
        <v>101</v>
      </c>
      <c r="M1449" s="10" t="s">
        <v>102</v>
      </c>
      <c r="N1449" s="124" t="s">
        <v>423</v>
      </c>
      <c r="O1449" s="124" t="s">
        <v>423</v>
      </c>
      <c r="P1449" s="21">
        <v>32</v>
      </c>
      <c r="Q1449" s="10" t="s">
        <v>54</v>
      </c>
      <c r="R1449" s="10" t="s">
        <v>28</v>
      </c>
      <c r="S1449" s="10"/>
      <c r="T1449" s="10"/>
      <c r="U1449" s="10" t="s">
        <v>2537</v>
      </c>
      <c r="V1449" s="10" t="s">
        <v>2537</v>
      </c>
      <c r="W1449" s="50">
        <f>+J1449/$W$2</f>
        <v>2.3847006254004581E-5</v>
      </c>
    </row>
    <row r="1450" spans="1:29">
      <c r="A1450" s="10" t="s">
        <v>208</v>
      </c>
      <c r="B1450" s="10" t="s">
        <v>381</v>
      </c>
      <c r="C1450" s="124">
        <v>46342</v>
      </c>
      <c r="D1450" s="124" t="s">
        <v>492</v>
      </c>
      <c r="E1450" s="21">
        <v>0.95840787999999999</v>
      </c>
      <c r="F1450" s="10"/>
      <c r="G1450" s="14">
        <v>2170000</v>
      </c>
      <c r="H1450" s="14">
        <v>2079745.11</v>
      </c>
      <c r="I1450" s="14">
        <v>2170000</v>
      </c>
      <c r="J1450" s="14">
        <v>2079745.11</v>
      </c>
      <c r="K1450" s="12">
        <v>260731</v>
      </c>
      <c r="L1450" s="10" t="s">
        <v>101</v>
      </c>
      <c r="M1450" s="10" t="s">
        <v>102</v>
      </c>
      <c r="N1450" s="124" t="s">
        <v>533</v>
      </c>
      <c r="O1450" s="124" t="s">
        <v>533</v>
      </c>
      <c r="P1450" s="21">
        <v>33</v>
      </c>
      <c r="Q1450" s="10" t="s">
        <v>54</v>
      </c>
      <c r="R1450" s="10" t="s">
        <v>28</v>
      </c>
      <c r="S1450" s="10"/>
      <c r="T1450" s="10"/>
      <c r="U1450" s="10" t="s">
        <v>1859</v>
      </c>
      <c r="V1450" s="10" t="s">
        <v>1859</v>
      </c>
      <c r="W1450" s="50">
        <f>+J1450/$W$2</f>
        <v>2.7649314489967606E-5</v>
      </c>
    </row>
    <row r="1451" spans="1:29">
      <c r="A1451" s="10" t="s">
        <v>389</v>
      </c>
      <c r="B1451" s="10" t="s">
        <v>381</v>
      </c>
      <c r="C1451" s="124">
        <v>46342</v>
      </c>
      <c r="D1451" s="124" t="s">
        <v>492</v>
      </c>
      <c r="E1451" s="21">
        <v>0.95961726000000003</v>
      </c>
      <c r="F1451" s="10"/>
      <c r="G1451" s="14">
        <v>11829797.539999999</v>
      </c>
      <c r="H1451" s="14">
        <v>11352077.880000001</v>
      </c>
      <c r="I1451" s="14">
        <v>11829797.539999999</v>
      </c>
      <c r="J1451" s="14">
        <v>11352077.880000001</v>
      </c>
      <c r="K1451" s="12">
        <v>30897</v>
      </c>
      <c r="L1451" s="10" t="s">
        <v>101</v>
      </c>
      <c r="M1451" s="10" t="s">
        <v>102</v>
      </c>
      <c r="N1451" s="124" t="s">
        <v>321</v>
      </c>
      <c r="O1451" s="124" t="s">
        <v>321</v>
      </c>
      <c r="P1451" s="21">
        <v>32</v>
      </c>
      <c r="Q1451" s="10" t="s">
        <v>54</v>
      </c>
      <c r="R1451" s="10" t="s">
        <v>28</v>
      </c>
      <c r="S1451" s="10"/>
      <c r="T1451" s="10"/>
      <c r="U1451" s="10" t="s">
        <v>1225</v>
      </c>
      <c r="V1451" s="10" t="s">
        <v>1225</v>
      </c>
      <c r="W1451" s="50">
        <f>+J1451/$W$2</f>
        <v>1.5092098060936167E-4</v>
      </c>
    </row>
    <row r="1452" spans="1:29">
      <c r="A1452" s="10" t="s">
        <v>389</v>
      </c>
      <c r="B1452" s="10" t="s">
        <v>381</v>
      </c>
      <c r="C1452" s="124">
        <v>46342</v>
      </c>
      <c r="D1452" s="124" t="s">
        <v>492</v>
      </c>
      <c r="E1452" s="21">
        <v>0.95961726000000003</v>
      </c>
      <c r="F1452" s="10"/>
      <c r="G1452" s="14">
        <v>11229494.109999999</v>
      </c>
      <c r="H1452" s="14">
        <v>10776016.35</v>
      </c>
      <c r="I1452" s="14">
        <v>11229494.109999999</v>
      </c>
      <c r="J1452" s="14">
        <v>10776016.35</v>
      </c>
      <c r="K1452" s="12">
        <v>30920</v>
      </c>
      <c r="L1452" s="10" t="s">
        <v>101</v>
      </c>
      <c r="M1452" s="10" t="s">
        <v>102</v>
      </c>
      <c r="N1452" s="124" t="s">
        <v>321</v>
      </c>
      <c r="O1452" s="124" t="s">
        <v>321</v>
      </c>
      <c r="P1452" s="21">
        <v>32</v>
      </c>
      <c r="Q1452" s="10" t="s">
        <v>54</v>
      </c>
      <c r="R1452" s="10" t="s">
        <v>28</v>
      </c>
      <c r="S1452" s="10"/>
      <c r="T1452" s="10"/>
      <c r="U1452" s="10" t="s">
        <v>1226</v>
      </c>
      <c r="V1452" s="10" t="s">
        <v>1226</v>
      </c>
      <c r="W1452" s="50">
        <f>+J1452/$W$2</f>
        <v>1.432624909550492E-4</v>
      </c>
    </row>
    <row r="1453" spans="1:29">
      <c r="A1453" s="10" t="s">
        <v>389</v>
      </c>
      <c r="B1453" s="10" t="s">
        <v>381</v>
      </c>
      <c r="C1453" s="124">
        <v>46342</v>
      </c>
      <c r="D1453" s="124" t="s">
        <v>492</v>
      </c>
      <c r="E1453" s="21">
        <v>0.95961726000000003</v>
      </c>
      <c r="F1453" s="10"/>
      <c r="G1453" s="14">
        <v>11490967.439999999</v>
      </c>
      <c r="H1453" s="14">
        <v>11026930.67</v>
      </c>
      <c r="I1453" s="14">
        <v>11490967.439999999</v>
      </c>
      <c r="J1453" s="14">
        <v>11026930.67</v>
      </c>
      <c r="K1453" s="12">
        <v>30907</v>
      </c>
      <c r="L1453" s="10" t="s">
        <v>101</v>
      </c>
      <c r="M1453" s="10" t="s">
        <v>102</v>
      </c>
      <c r="N1453" s="124" t="s">
        <v>321</v>
      </c>
      <c r="O1453" s="124" t="s">
        <v>321</v>
      </c>
      <c r="P1453" s="21">
        <v>32</v>
      </c>
      <c r="Q1453" s="10" t="s">
        <v>54</v>
      </c>
      <c r="R1453" s="10" t="s">
        <v>28</v>
      </c>
      <c r="S1453" s="10"/>
      <c r="T1453" s="10"/>
      <c r="U1453" s="10" t="s">
        <v>1227</v>
      </c>
      <c r="V1453" s="10" t="s">
        <v>1227</v>
      </c>
      <c r="W1453" s="50">
        <f>+J1453/$W$2</f>
        <v>1.4659828864985248E-4</v>
      </c>
    </row>
    <row r="1454" spans="1:29">
      <c r="A1454" s="10" t="s">
        <v>1102</v>
      </c>
      <c r="B1454" s="10" t="s">
        <v>381</v>
      </c>
      <c r="C1454" s="124">
        <v>46342</v>
      </c>
      <c r="D1454" s="124" t="s">
        <v>492</v>
      </c>
      <c r="E1454" s="21">
        <v>0.95479762999999995</v>
      </c>
      <c r="F1454" s="10"/>
      <c r="G1454" s="14">
        <v>3140560.45</v>
      </c>
      <c r="H1454" s="14">
        <v>2998599.67</v>
      </c>
      <c r="I1454" s="14">
        <v>3140560.45</v>
      </c>
      <c r="J1454" s="14">
        <v>2998599.67</v>
      </c>
      <c r="K1454" s="12">
        <v>1120</v>
      </c>
      <c r="L1454" s="10" t="s">
        <v>101</v>
      </c>
      <c r="M1454" s="10" t="s">
        <v>102</v>
      </c>
      <c r="N1454" s="124" t="s">
        <v>390</v>
      </c>
      <c r="O1454" s="124" t="s">
        <v>390</v>
      </c>
      <c r="P1454" s="21">
        <v>36</v>
      </c>
      <c r="Q1454" s="10" t="s">
        <v>54</v>
      </c>
      <c r="R1454" s="10" t="s">
        <v>28</v>
      </c>
      <c r="S1454" s="10"/>
      <c r="T1454" s="10"/>
      <c r="U1454" s="10" t="s">
        <v>2042</v>
      </c>
      <c r="V1454" s="10" t="s">
        <v>2042</v>
      </c>
      <c r="W1454" s="50">
        <f>+J1454/$W$2</f>
        <v>3.9865089672139233E-5</v>
      </c>
    </row>
    <row r="1455" spans="1:29">
      <c r="A1455" s="10" t="s">
        <v>273</v>
      </c>
      <c r="B1455" s="10" t="s">
        <v>381</v>
      </c>
      <c r="C1455" s="124">
        <v>46342</v>
      </c>
      <c r="D1455" s="124" t="s">
        <v>492</v>
      </c>
      <c r="E1455" s="21">
        <v>0.96204537000000001</v>
      </c>
      <c r="F1455" s="10"/>
      <c r="G1455" s="14">
        <v>40000000</v>
      </c>
      <c r="H1455" s="14">
        <v>38481814.799999997</v>
      </c>
      <c r="I1455" s="14">
        <v>40000000</v>
      </c>
      <c r="J1455" s="14">
        <v>38481814.799999997</v>
      </c>
      <c r="K1455" s="12">
        <v>4374</v>
      </c>
      <c r="L1455" s="10" t="s">
        <v>101</v>
      </c>
      <c r="M1455" s="10" t="s">
        <v>102</v>
      </c>
      <c r="N1455" s="124" t="s">
        <v>322</v>
      </c>
      <c r="O1455" s="124" t="s">
        <v>322</v>
      </c>
      <c r="P1455" s="21">
        <v>30</v>
      </c>
      <c r="Q1455" s="10" t="s">
        <v>54</v>
      </c>
      <c r="R1455" s="10" t="s">
        <v>28</v>
      </c>
      <c r="S1455" s="10"/>
      <c r="T1455" s="10"/>
      <c r="U1455" s="10" t="s">
        <v>1580</v>
      </c>
      <c r="V1455" s="10" t="s">
        <v>1580</v>
      </c>
      <c r="W1455" s="50">
        <f>+J1455/$W$2</f>
        <v>5.1159913512184661E-4</v>
      </c>
    </row>
    <row r="1456" spans="1:29">
      <c r="A1456" s="10" t="s">
        <v>762</v>
      </c>
      <c r="B1456" s="10" t="s">
        <v>381</v>
      </c>
      <c r="C1456" s="124">
        <v>46342</v>
      </c>
      <c r="D1456" s="124" t="s">
        <v>492</v>
      </c>
      <c r="E1456" s="21">
        <v>0.96571077000000005</v>
      </c>
      <c r="F1456" s="10"/>
      <c r="G1456" s="14">
        <v>3000000</v>
      </c>
      <c r="H1456" s="14">
        <v>2897132.31</v>
      </c>
      <c r="I1456" s="14">
        <v>3000000</v>
      </c>
      <c r="J1456" s="14">
        <v>2897132.31</v>
      </c>
      <c r="K1456" s="12">
        <v>90023131</v>
      </c>
      <c r="L1456" s="10" t="s">
        <v>101</v>
      </c>
      <c r="M1456" s="10" t="s">
        <v>102</v>
      </c>
      <c r="N1456" s="124" t="s">
        <v>677</v>
      </c>
      <c r="O1456" s="124" t="s">
        <v>677</v>
      </c>
      <c r="P1456" s="21">
        <v>27</v>
      </c>
      <c r="Q1456" s="10" t="s">
        <v>54</v>
      </c>
      <c r="R1456" s="10" t="s">
        <v>28</v>
      </c>
      <c r="S1456" s="10"/>
      <c r="T1456" s="10"/>
      <c r="U1456" s="10" t="s">
        <v>3280</v>
      </c>
      <c r="V1456" s="10" t="s">
        <v>3280</v>
      </c>
      <c r="W1456" s="50">
        <f>+J1456/$W$2</f>
        <v>3.8516124871781198E-5</v>
      </c>
    </row>
    <row r="1457" spans="1:29">
      <c r="A1457" s="10" t="s">
        <v>1542</v>
      </c>
      <c r="B1457" s="10" t="s">
        <v>381</v>
      </c>
      <c r="C1457" s="124">
        <v>46342</v>
      </c>
      <c r="D1457" s="124" t="s">
        <v>492</v>
      </c>
      <c r="E1457" s="21">
        <v>0.95840776999999999</v>
      </c>
      <c r="F1457" s="10"/>
      <c r="G1457" s="14">
        <v>25000000</v>
      </c>
      <c r="H1457" s="14">
        <v>23960194.219999999</v>
      </c>
      <c r="I1457" s="14">
        <v>25000000</v>
      </c>
      <c r="J1457" s="14">
        <v>23960194.219999999</v>
      </c>
      <c r="K1457" s="12">
        <v>90016069</v>
      </c>
      <c r="L1457" s="10" t="s">
        <v>101</v>
      </c>
      <c r="M1457" s="10" t="s">
        <v>102</v>
      </c>
      <c r="N1457" s="124" t="s">
        <v>322</v>
      </c>
      <c r="O1457" s="124" t="s">
        <v>322</v>
      </c>
      <c r="P1457" s="21">
        <v>33</v>
      </c>
      <c r="Q1457" s="10" t="s">
        <v>54</v>
      </c>
      <c r="R1457" s="10" t="s">
        <v>28</v>
      </c>
      <c r="S1457" s="10"/>
      <c r="T1457" s="10"/>
      <c r="U1457" s="10" t="s">
        <v>1544</v>
      </c>
      <c r="V1457" s="10" t="s">
        <v>1544</v>
      </c>
      <c r="W1457" s="50">
        <f>+J1457/$W$2</f>
        <v>3.1854045096395685E-4</v>
      </c>
    </row>
    <row r="1458" spans="1:29">
      <c r="A1458" s="10" t="s">
        <v>273</v>
      </c>
      <c r="B1458" s="10" t="s">
        <v>381</v>
      </c>
      <c r="C1458" s="124">
        <v>46342</v>
      </c>
      <c r="D1458" s="124" t="s">
        <v>492</v>
      </c>
      <c r="E1458" s="21">
        <v>0.96693883999999997</v>
      </c>
      <c r="F1458" s="10"/>
      <c r="G1458" s="14">
        <v>4000000</v>
      </c>
      <c r="H1458" s="14">
        <v>3867755.37</v>
      </c>
      <c r="I1458" s="14">
        <v>4000000</v>
      </c>
      <c r="J1458" s="14">
        <v>3867755.37</v>
      </c>
      <c r="K1458" s="12">
        <v>90002236</v>
      </c>
      <c r="L1458" s="10" t="s">
        <v>101</v>
      </c>
      <c r="M1458" s="10" t="s">
        <v>102</v>
      </c>
      <c r="N1458" s="124" t="s">
        <v>532</v>
      </c>
      <c r="O1458" s="124" t="s">
        <v>532</v>
      </c>
      <c r="P1458" s="21">
        <v>26</v>
      </c>
      <c r="Q1458" s="10" t="s">
        <v>54</v>
      </c>
      <c r="R1458" s="10" t="s">
        <v>28</v>
      </c>
      <c r="S1458" s="10"/>
      <c r="T1458" s="10"/>
      <c r="U1458" s="10" t="s">
        <v>3035</v>
      </c>
      <c r="V1458" s="10" t="s">
        <v>3035</v>
      </c>
      <c r="W1458" s="50">
        <f>+J1458/$W$2</f>
        <v>5.1420139939836675E-5</v>
      </c>
    </row>
    <row r="1459" spans="1:29">
      <c r="A1459" s="10" t="s">
        <v>1170</v>
      </c>
      <c r="B1459" s="10" t="s">
        <v>381</v>
      </c>
      <c r="C1459" s="124">
        <v>46342</v>
      </c>
      <c r="D1459" s="124" t="s">
        <v>492</v>
      </c>
      <c r="E1459" s="21">
        <v>0.95840780000000003</v>
      </c>
      <c r="F1459" s="10"/>
      <c r="G1459" s="14">
        <v>5468322.6299999999</v>
      </c>
      <c r="H1459" s="14">
        <v>5240883.08</v>
      </c>
      <c r="I1459" s="14">
        <v>5468322.6299999999</v>
      </c>
      <c r="J1459" s="14">
        <v>5240883.08</v>
      </c>
      <c r="K1459" s="12">
        <v>762870</v>
      </c>
      <c r="L1459" s="10" t="s">
        <v>101</v>
      </c>
      <c r="M1459" s="10" t="s">
        <v>102</v>
      </c>
      <c r="N1459" s="124" t="s">
        <v>366</v>
      </c>
      <c r="O1459" s="124" t="s">
        <v>366</v>
      </c>
      <c r="P1459" s="21">
        <v>33</v>
      </c>
      <c r="Q1459" s="10" t="s">
        <v>54</v>
      </c>
      <c r="R1459" s="10" t="s">
        <v>28</v>
      </c>
      <c r="S1459" s="10"/>
      <c r="T1459" s="10"/>
      <c r="U1459" s="10" t="s">
        <v>1162</v>
      </c>
      <c r="V1459" s="10" t="s">
        <v>1162</v>
      </c>
      <c r="W1459" s="50">
        <f>+J1459/$W$2</f>
        <v>6.9675280777109285E-5</v>
      </c>
    </row>
    <row r="1460" spans="1:29">
      <c r="A1460" s="10" t="s">
        <v>1330</v>
      </c>
      <c r="B1460" s="10" t="s">
        <v>381</v>
      </c>
      <c r="C1460" s="124">
        <v>46342</v>
      </c>
      <c r="D1460" s="124" t="s">
        <v>492</v>
      </c>
      <c r="E1460" s="21">
        <v>0.95840789999999998</v>
      </c>
      <c r="F1460" s="10"/>
      <c r="G1460" s="14">
        <v>7500000</v>
      </c>
      <c r="H1460" s="14">
        <v>7188059.2699999996</v>
      </c>
      <c r="I1460" s="14">
        <v>7500000</v>
      </c>
      <c r="J1460" s="14">
        <v>7188059.2699999996</v>
      </c>
      <c r="K1460" s="12">
        <v>14437226</v>
      </c>
      <c r="L1460" s="10" t="s">
        <v>101</v>
      </c>
      <c r="M1460" s="10" t="s">
        <v>102</v>
      </c>
      <c r="N1460" s="124" t="s">
        <v>483</v>
      </c>
      <c r="O1460" s="124" t="s">
        <v>483</v>
      </c>
      <c r="P1460" s="21">
        <v>33</v>
      </c>
      <c r="Q1460" s="10" t="s">
        <v>54</v>
      </c>
      <c r="R1460" s="10" t="s">
        <v>28</v>
      </c>
      <c r="S1460" s="10"/>
      <c r="T1460" s="10"/>
      <c r="U1460" s="10" t="s">
        <v>2459</v>
      </c>
      <c r="V1460" s="10" t="s">
        <v>2459</v>
      </c>
      <c r="W1460" s="50">
        <f>+J1460/$W$2</f>
        <v>9.5562148636934145E-5</v>
      </c>
    </row>
    <row r="1461" spans="1:29">
      <c r="A1461" s="10" t="s">
        <v>1665</v>
      </c>
      <c r="B1461" s="10" t="s">
        <v>381</v>
      </c>
      <c r="C1461" s="124">
        <v>46342</v>
      </c>
      <c r="D1461" s="124" t="s">
        <v>492</v>
      </c>
      <c r="E1461" s="21">
        <v>0.95961724999999998</v>
      </c>
      <c r="F1461" s="10"/>
      <c r="G1461" s="14">
        <v>38054448.590000004</v>
      </c>
      <c r="H1461" s="14">
        <v>36517705.289999999</v>
      </c>
      <c r="I1461" s="14">
        <v>38054448.590000004</v>
      </c>
      <c r="J1461" s="14">
        <v>36517705.289999999</v>
      </c>
      <c r="K1461" s="12">
        <v>10434108</v>
      </c>
      <c r="L1461" s="10" t="s">
        <v>101</v>
      </c>
      <c r="M1461" s="10" t="s">
        <v>102</v>
      </c>
      <c r="N1461" s="124" t="s">
        <v>398</v>
      </c>
      <c r="O1461" s="124" t="s">
        <v>398</v>
      </c>
      <c r="P1461" s="21">
        <v>32</v>
      </c>
      <c r="Q1461" s="10" t="s">
        <v>54</v>
      </c>
      <c r="R1461" s="10" t="s">
        <v>28</v>
      </c>
      <c r="S1461" s="10"/>
      <c r="T1461" s="10"/>
      <c r="U1461" s="10" t="s">
        <v>1800</v>
      </c>
      <c r="V1461" s="10" t="s">
        <v>1800</v>
      </c>
      <c r="W1461" s="50">
        <f>+J1461/$W$2</f>
        <v>4.8548714607395501E-4</v>
      </c>
    </row>
    <row r="1462" spans="1:29">
      <c r="A1462" s="10" t="s">
        <v>597</v>
      </c>
      <c r="B1462" s="10" t="s">
        <v>381</v>
      </c>
      <c r="C1462" s="124">
        <v>46342</v>
      </c>
      <c r="D1462" s="124" t="s">
        <v>492</v>
      </c>
      <c r="E1462" s="21">
        <v>0.95121449999999996</v>
      </c>
      <c r="F1462" s="10"/>
      <c r="G1462" s="14">
        <v>3750000</v>
      </c>
      <c r="H1462" s="14">
        <v>3567054.38</v>
      </c>
      <c r="I1462" s="14">
        <v>3750000</v>
      </c>
      <c r="J1462" s="14">
        <v>3567054.38</v>
      </c>
      <c r="K1462" s="12">
        <v>66918897</v>
      </c>
      <c r="L1462" s="10" t="s">
        <v>101</v>
      </c>
      <c r="M1462" s="10" t="s">
        <v>102</v>
      </c>
      <c r="N1462" s="124" t="s">
        <v>304</v>
      </c>
      <c r="O1462" s="124" t="s">
        <v>304</v>
      </c>
      <c r="P1462" s="21">
        <v>39</v>
      </c>
      <c r="Q1462" s="10" t="s">
        <v>54</v>
      </c>
      <c r="R1462" s="10" t="s">
        <v>28</v>
      </c>
      <c r="S1462" s="10"/>
      <c r="T1462" s="10"/>
      <c r="U1462" s="10" t="s">
        <v>586</v>
      </c>
      <c r="V1462" s="10" t="s">
        <v>586</v>
      </c>
      <c r="W1462" s="50">
        <f>+J1462/$W$2</f>
        <v>4.7422449934471253E-5</v>
      </c>
    </row>
    <row r="1463" spans="1:29">
      <c r="A1463" s="10" t="s">
        <v>1918</v>
      </c>
      <c r="B1463" s="10" t="s">
        <v>381</v>
      </c>
      <c r="C1463" s="124">
        <v>46342</v>
      </c>
      <c r="D1463" s="124" t="s">
        <v>492</v>
      </c>
      <c r="E1463" s="21">
        <v>0.95961722000000005</v>
      </c>
      <c r="F1463" s="10"/>
      <c r="G1463" s="14">
        <v>30000000</v>
      </c>
      <c r="H1463" s="14">
        <v>28788516.579999998</v>
      </c>
      <c r="I1463" s="14">
        <v>30000000</v>
      </c>
      <c r="J1463" s="14">
        <v>28788516.579999998</v>
      </c>
      <c r="K1463" s="12">
        <v>10505</v>
      </c>
      <c r="L1463" s="10" t="s">
        <v>101</v>
      </c>
      <c r="M1463" s="10" t="s">
        <v>102</v>
      </c>
      <c r="N1463" s="124" t="s">
        <v>348</v>
      </c>
      <c r="O1463" s="124" t="s">
        <v>348</v>
      </c>
      <c r="P1463" s="21">
        <v>32</v>
      </c>
      <c r="Q1463" s="10" t="s">
        <v>54</v>
      </c>
      <c r="R1463" s="10" t="s">
        <v>28</v>
      </c>
      <c r="S1463" s="10"/>
      <c r="T1463" s="10"/>
      <c r="U1463" s="10" t="s">
        <v>1899</v>
      </c>
      <c r="V1463" s="10" t="s">
        <v>1899</v>
      </c>
      <c r="W1463" s="50">
        <f>+J1463/$W$2</f>
        <v>3.827309148571897E-4</v>
      </c>
    </row>
    <row r="1464" spans="1:29">
      <c r="A1464" s="10" t="s">
        <v>402</v>
      </c>
      <c r="B1464" s="10" t="s">
        <v>381</v>
      </c>
      <c r="C1464" s="124">
        <v>46342</v>
      </c>
      <c r="D1464" s="124" t="s">
        <v>492</v>
      </c>
      <c r="E1464" s="21">
        <v>0.95961737000000003</v>
      </c>
      <c r="F1464" s="10"/>
      <c r="G1464" s="14">
        <v>20000000</v>
      </c>
      <c r="H1464" s="14">
        <v>19192347.41</v>
      </c>
      <c r="I1464" s="14">
        <v>20000000</v>
      </c>
      <c r="J1464" s="14">
        <v>19192347.41</v>
      </c>
      <c r="K1464" s="12">
        <v>742</v>
      </c>
      <c r="L1464" s="10" t="s">
        <v>101</v>
      </c>
      <c r="M1464" s="10" t="s">
        <v>102</v>
      </c>
      <c r="N1464" s="124" t="s">
        <v>434</v>
      </c>
      <c r="O1464" s="124" t="s">
        <v>434</v>
      </c>
      <c r="P1464" s="21">
        <v>32</v>
      </c>
      <c r="Q1464" s="10" t="s">
        <v>54</v>
      </c>
      <c r="R1464" s="10" t="s">
        <v>28</v>
      </c>
      <c r="S1464" s="10"/>
      <c r="T1464" s="10"/>
      <c r="U1464" s="10" t="s">
        <v>2947</v>
      </c>
      <c r="V1464" s="10" t="s">
        <v>2947</v>
      </c>
      <c r="W1464" s="50">
        <f>+J1464/$W$2</f>
        <v>2.5515398343203951E-4</v>
      </c>
    </row>
    <row r="1465" spans="1:29">
      <c r="A1465" s="10" t="s">
        <v>465</v>
      </c>
      <c r="B1465" s="10" t="s">
        <v>381</v>
      </c>
      <c r="C1465" s="124">
        <v>46342</v>
      </c>
      <c r="D1465" s="124" t="s">
        <v>492</v>
      </c>
      <c r="E1465" s="21">
        <v>0.95840789999999998</v>
      </c>
      <c r="F1465" s="10"/>
      <c r="G1465" s="14">
        <v>36666666</v>
      </c>
      <c r="H1465" s="14">
        <v>35141622.380000003</v>
      </c>
      <c r="I1465" s="14">
        <v>36666666</v>
      </c>
      <c r="J1465" s="14">
        <v>35141622.380000003</v>
      </c>
      <c r="K1465" s="12">
        <v>14537770</v>
      </c>
      <c r="L1465" s="10" t="s">
        <v>101</v>
      </c>
      <c r="M1465" s="10" t="s">
        <v>102</v>
      </c>
      <c r="N1465" s="124" t="s">
        <v>483</v>
      </c>
      <c r="O1465" s="124" t="s">
        <v>483</v>
      </c>
      <c r="P1465" s="21">
        <v>33</v>
      </c>
      <c r="Q1465" s="10" t="s">
        <v>54</v>
      </c>
      <c r="R1465" s="10" t="s">
        <v>28</v>
      </c>
      <c r="S1465" s="10"/>
      <c r="T1465" s="10"/>
      <c r="U1465" s="10" t="s">
        <v>2455</v>
      </c>
      <c r="V1465" s="10" t="s">
        <v>2455</v>
      </c>
      <c r="W1465" s="50">
        <f>+J1465/$W$2</f>
        <v>4.6719271712690978E-4</v>
      </c>
    </row>
    <row r="1466" spans="1:29">
      <c r="A1466" s="10" t="s">
        <v>465</v>
      </c>
      <c r="B1466" s="10" t="s">
        <v>381</v>
      </c>
      <c r="C1466" s="124">
        <v>46342</v>
      </c>
      <c r="D1466" s="124" t="s">
        <v>492</v>
      </c>
      <c r="E1466" s="21">
        <v>0.95961724000000004</v>
      </c>
      <c r="F1466" s="10"/>
      <c r="G1466" s="14">
        <v>10000000</v>
      </c>
      <c r="H1466" s="14">
        <v>9596172.3800000008</v>
      </c>
      <c r="I1466" s="14">
        <v>10000000</v>
      </c>
      <c r="J1466" s="14">
        <v>9596172.3800000008</v>
      </c>
      <c r="K1466" s="12">
        <v>14422575</v>
      </c>
      <c r="L1466" s="10" t="s">
        <v>101</v>
      </c>
      <c r="M1466" s="10" t="s">
        <v>102</v>
      </c>
      <c r="N1466" s="124" t="s">
        <v>164</v>
      </c>
      <c r="O1466" s="124" t="s">
        <v>164</v>
      </c>
      <c r="P1466" s="21">
        <v>32</v>
      </c>
      <c r="Q1466" s="10" t="s">
        <v>54</v>
      </c>
      <c r="R1466" s="10" t="s">
        <v>28</v>
      </c>
      <c r="S1466" s="10"/>
      <c r="T1466" s="10"/>
      <c r="U1466" s="10" t="s">
        <v>1964</v>
      </c>
      <c r="V1466" s="10" t="s">
        <v>1964</v>
      </c>
      <c r="W1466" s="50">
        <f>+J1466/$W$2</f>
        <v>1.2757697410071609E-4</v>
      </c>
    </row>
    <row r="1467" spans="1:29">
      <c r="A1467" s="10" t="s">
        <v>2625</v>
      </c>
      <c r="B1467" s="10" t="s">
        <v>381</v>
      </c>
      <c r="C1467" s="124">
        <v>46342</v>
      </c>
      <c r="D1467" s="124" t="s">
        <v>492</v>
      </c>
      <c r="E1467" s="21">
        <v>0.95840773000000001</v>
      </c>
      <c r="F1467" s="10"/>
      <c r="G1467" s="14">
        <v>686128.26</v>
      </c>
      <c r="H1467" s="14">
        <v>657590.63</v>
      </c>
      <c r="I1467" s="14">
        <v>686128.26</v>
      </c>
      <c r="J1467" s="14">
        <v>657590.63</v>
      </c>
      <c r="K1467" s="12">
        <v>19384</v>
      </c>
      <c r="L1467" s="10" t="s">
        <v>101</v>
      </c>
      <c r="M1467" s="10" t="s">
        <v>102</v>
      </c>
      <c r="N1467" s="124" t="s">
        <v>423</v>
      </c>
      <c r="O1467" s="124" t="s">
        <v>423</v>
      </c>
      <c r="P1467" s="21">
        <v>33</v>
      </c>
      <c r="Q1467" s="10" t="s">
        <v>54</v>
      </c>
      <c r="R1467" s="10" t="s">
        <v>28</v>
      </c>
      <c r="S1467" s="10"/>
      <c r="T1467" s="10"/>
      <c r="U1467" s="10" t="s">
        <v>2492</v>
      </c>
      <c r="V1467" s="10" t="s">
        <v>2492</v>
      </c>
      <c r="W1467" s="50">
        <f>+J1467/$W$2</f>
        <v>8.7423838849780612E-6</v>
      </c>
    </row>
    <row r="1468" spans="1:29">
      <c r="A1468" s="10" t="s">
        <v>467</v>
      </c>
      <c r="B1468" s="10" t="s">
        <v>381</v>
      </c>
      <c r="C1468" s="124">
        <v>46342</v>
      </c>
      <c r="D1468" s="124" t="s">
        <v>492</v>
      </c>
      <c r="E1468" s="21">
        <v>0.95840773999999995</v>
      </c>
      <c r="F1468" s="10"/>
      <c r="G1468" s="14">
        <v>4069364.15</v>
      </c>
      <c r="H1468" s="14">
        <v>3900110.1</v>
      </c>
      <c r="I1468" s="14">
        <v>4069364.15</v>
      </c>
      <c r="J1468" s="14">
        <v>3900110.1</v>
      </c>
      <c r="K1468" s="12">
        <v>39543</v>
      </c>
      <c r="L1468" s="10" t="s">
        <v>101</v>
      </c>
      <c r="M1468" s="10" t="s">
        <v>102</v>
      </c>
      <c r="N1468" s="124" t="s">
        <v>435</v>
      </c>
      <c r="O1468" s="124" t="s">
        <v>435</v>
      </c>
      <c r="P1468" s="21">
        <v>33</v>
      </c>
      <c r="Q1468" s="10" t="s">
        <v>54</v>
      </c>
      <c r="R1468" s="10" t="s">
        <v>28</v>
      </c>
      <c r="S1468" s="10"/>
      <c r="T1468" s="10"/>
      <c r="U1468" s="10" t="s">
        <v>1299</v>
      </c>
      <c r="V1468" s="10" t="s">
        <v>1299</v>
      </c>
      <c r="W1468" s="50">
        <f>+J1468/$W$2</f>
        <v>5.1850282124427742E-5</v>
      </c>
    </row>
    <row r="1469" spans="1:29">
      <c r="A1469" s="10" t="s">
        <v>382</v>
      </c>
      <c r="B1469" s="10" t="s">
        <v>381</v>
      </c>
      <c r="C1469" s="124">
        <v>46342</v>
      </c>
      <c r="D1469" s="124" t="s">
        <v>492</v>
      </c>
      <c r="E1469" s="21">
        <v>0.95840782999999996</v>
      </c>
      <c r="F1469" s="10"/>
      <c r="G1469" s="14">
        <v>2500000</v>
      </c>
      <c r="H1469" s="14">
        <v>2396019.58</v>
      </c>
      <c r="I1469" s="14">
        <v>2500000</v>
      </c>
      <c r="J1469" s="14">
        <v>2396019.58</v>
      </c>
      <c r="K1469" s="12">
        <v>1019</v>
      </c>
      <c r="L1469" s="10" t="s">
        <v>101</v>
      </c>
      <c r="M1469" s="10" t="s">
        <v>102</v>
      </c>
      <c r="N1469" s="124" t="s">
        <v>163</v>
      </c>
      <c r="O1469" s="124" t="s">
        <v>163</v>
      </c>
      <c r="P1469" s="21">
        <v>33</v>
      </c>
      <c r="Q1469" s="10" t="s">
        <v>54</v>
      </c>
      <c r="R1469" s="10" t="s">
        <v>28</v>
      </c>
      <c r="S1469" s="10"/>
      <c r="T1469" s="10"/>
      <c r="U1469" s="10" t="s">
        <v>1643</v>
      </c>
      <c r="V1469" s="10" t="s">
        <v>1643</v>
      </c>
      <c r="W1469" s="50">
        <f>+J1469/$W$2</f>
        <v>3.1854047196937558E-5</v>
      </c>
      <c r="AC1469"/>
    </row>
    <row r="1470" spans="1:29">
      <c r="A1470" s="10" t="s">
        <v>382</v>
      </c>
      <c r="B1470" s="10" t="s">
        <v>381</v>
      </c>
      <c r="C1470" s="124">
        <v>46342</v>
      </c>
      <c r="D1470" s="124" t="s">
        <v>492</v>
      </c>
      <c r="E1470" s="21">
        <v>0.96204533999999997</v>
      </c>
      <c r="F1470" s="10"/>
      <c r="G1470" s="14">
        <v>2500000</v>
      </c>
      <c r="H1470" s="14">
        <v>2405113.36</v>
      </c>
      <c r="I1470" s="14">
        <v>2500000</v>
      </c>
      <c r="J1470" s="14">
        <v>2405113.36</v>
      </c>
      <c r="K1470" s="12">
        <v>889</v>
      </c>
      <c r="L1470" s="10" t="s">
        <v>101</v>
      </c>
      <c r="M1470" s="10" t="s">
        <v>102</v>
      </c>
      <c r="N1470" s="124" t="s">
        <v>435</v>
      </c>
      <c r="O1470" s="124" t="s">
        <v>435</v>
      </c>
      <c r="P1470" s="21">
        <v>30</v>
      </c>
      <c r="Q1470" s="10" t="s">
        <v>54</v>
      </c>
      <c r="R1470" s="10" t="s">
        <v>28</v>
      </c>
      <c r="S1470" s="10"/>
      <c r="T1470" s="10"/>
      <c r="U1470" s="10" t="s">
        <v>1317</v>
      </c>
      <c r="V1470" s="10" t="s">
        <v>1317</v>
      </c>
      <c r="W1470" s="50">
        <f>+J1470/$W$2</f>
        <v>3.1974945080968443E-5</v>
      </c>
    </row>
    <row r="1471" spans="1:29">
      <c r="A1471" s="10" t="s">
        <v>382</v>
      </c>
      <c r="B1471" s="10" t="s">
        <v>381</v>
      </c>
      <c r="C1471" s="124">
        <v>46342</v>
      </c>
      <c r="D1471" s="124" t="s">
        <v>492</v>
      </c>
      <c r="E1471" s="21">
        <v>0.96204557000000002</v>
      </c>
      <c r="F1471" s="10"/>
      <c r="G1471" s="14">
        <v>5000000</v>
      </c>
      <c r="H1471" s="14">
        <v>4810227.8499999996</v>
      </c>
      <c r="I1471" s="14">
        <v>5000000</v>
      </c>
      <c r="J1471" s="14">
        <v>4810227.8499999996</v>
      </c>
      <c r="K1471" s="12">
        <v>1311</v>
      </c>
      <c r="L1471" s="10" t="s">
        <v>101</v>
      </c>
      <c r="M1471" s="10" t="s">
        <v>102</v>
      </c>
      <c r="N1471" s="124" t="s">
        <v>492</v>
      </c>
      <c r="O1471" s="124" t="s">
        <v>492</v>
      </c>
      <c r="P1471" s="21">
        <v>30</v>
      </c>
      <c r="Q1471" s="10" t="s">
        <v>54</v>
      </c>
      <c r="R1471" s="10" t="s">
        <v>28</v>
      </c>
      <c r="S1471" s="10"/>
      <c r="T1471" s="10"/>
      <c r="U1471" s="10" t="s">
        <v>3535</v>
      </c>
      <c r="V1471" s="10" t="s">
        <v>3535</v>
      </c>
      <c r="W1471" s="50">
        <f>+J1471/$W$2</f>
        <v>6.3949905184799641E-5</v>
      </c>
    </row>
    <row r="1472" spans="1:29">
      <c r="A1472" s="10" t="s">
        <v>386</v>
      </c>
      <c r="B1472" s="10" t="s">
        <v>381</v>
      </c>
      <c r="C1472" s="124">
        <v>46342</v>
      </c>
      <c r="D1472" s="124" t="s">
        <v>492</v>
      </c>
      <c r="E1472" s="21">
        <v>0.95240590000000003</v>
      </c>
      <c r="F1472" s="10"/>
      <c r="G1472" s="14">
        <v>42000000</v>
      </c>
      <c r="H1472" s="14">
        <v>40001047.939999998</v>
      </c>
      <c r="I1472" s="14">
        <v>42000000</v>
      </c>
      <c r="J1472" s="14">
        <v>40001047.939999998</v>
      </c>
      <c r="K1472" s="12">
        <v>163277</v>
      </c>
      <c r="L1472" s="10" t="s">
        <v>101</v>
      </c>
      <c r="M1472" s="10" t="s">
        <v>102</v>
      </c>
      <c r="N1472" s="124" t="s">
        <v>390</v>
      </c>
      <c r="O1472" s="124" t="s">
        <v>390</v>
      </c>
      <c r="P1472" s="21">
        <v>38</v>
      </c>
      <c r="Q1472" s="10" t="s">
        <v>54</v>
      </c>
      <c r="R1472" s="10" t="s">
        <v>28</v>
      </c>
      <c r="S1472" s="10"/>
      <c r="T1472" s="10"/>
      <c r="U1472" s="10" t="s">
        <v>2077</v>
      </c>
      <c r="V1472" s="10" t="s">
        <v>2077</v>
      </c>
      <c r="W1472" s="50">
        <f>+J1472/$W$2</f>
        <v>5.3179668465302011E-4</v>
      </c>
      <c r="AC1472" s="47"/>
    </row>
    <row r="1473" spans="1:29">
      <c r="A1473" s="10" t="s">
        <v>3511</v>
      </c>
      <c r="B1473" s="10" t="s">
        <v>381</v>
      </c>
      <c r="C1473" s="124">
        <v>46342</v>
      </c>
      <c r="D1473" s="124" t="s">
        <v>492</v>
      </c>
      <c r="E1473" s="21">
        <v>0.95840789999999998</v>
      </c>
      <c r="F1473" s="10"/>
      <c r="G1473" s="14">
        <v>60000000</v>
      </c>
      <c r="H1473" s="14">
        <v>57504474.039999999</v>
      </c>
      <c r="I1473" s="14">
        <v>60000000</v>
      </c>
      <c r="J1473" s="14">
        <v>57504474.039999999</v>
      </c>
      <c r="K1473" s="12">
        <v>20866</v>
      </c>
      <c r="L1473" s="10" t="s">
        <v>101</v>
      </c>
      <c r="M1473" s="10" t="s">
        <v>102</v>
      </c>
      <c r="N1473" s="124" t="s">
        <v>678</v>
      </c>
      <c r="O1473" s="124" t="s">
        <v>678</v>
      </c>
      <c r="P1473" s="21">
        <v>33</v>
      </c>
      <c r="Q1473" s="10" t="s">
        <v>54</v>
      </c>
      <c r="R1473" s="10" t="s">
        <v>28</v>
      </c>
      <c r="S1473" s="10"/>
      <c r="T1473" s="10"/>
      <c r="U1473" s="10" t="s">
        <v>3489</v>
      </c>
      <c r="V1473" s="10" t="s">
        <v>3489</v>
      </c>
      <c r="W1473" s="50">
        <f>+J1473/$W$2</f>
        <v>7.6449718750012496E-4</v>
      </c>
    </row>
    <row r="1474" spans="1:29">
      <c r="A1474" s="10" t="s">
        <v>3580</v>
      </c>
      <c r="B1474" s="10" t="s">
        <v>381</v>
      </c>
      <c r="C1474" s="124">
        <v>46342</v>
      </c>
      <c r="D1474" s="124" t="s">
        <v>492</v>
      </c>
      <c r="E1474" s="21">
        <v>0.96204557000000002</v>
      </c>
      <c r="F1474" s="10"/>
      <c r="G1474" s="14">
        <v>5920000</v>
      </c>
      <c r="H1474" s="14">
        <v>5695309.7800000003</v>
      </c>
      <c r="I1474" s="14">
        <v>5920000</v>
      </c>
      <c r="J1474" s="14">
        <v>5695309.7800000003</v>
      </c>
      <c r="K1474" s="12">
        <v>1026</v>
      </c>
      <c r="L1474" s="10" t="s">
        <v>101</v>
      </c>
      <c r="M1474" s="10" t="s">
        <v>102</v>
      </c>
      <c r="N1474" s="124" t="s">
        <v>492</v>
      </c>
      <c r="O1474" s="124" t="s">
        <v>492</v>
      </c>
      <c r="P1474" s="21">
        <v>30</v>
      </c>
      <c r="Q1474" s="10" t="s">
        <v>54</v>
      </c>
      <c r="R1474" s="10" t="s">
        <v>28</v>
      </c>
      <c r="S1474" s="10"/>
      <c r="T1474" s="10"/>
      <c r="U1474" s="10" t="s">
        <v>3558</v>
      </c>
      <c r="V1474" s="10" t="s">
        <v>3558</v>
      </c>
      <c r="W1474" s="50">
        <f>+J1474/$W$2</f>
        <v>7.5716687813252376E-5</v>
      </c>
    </row>
    <row r="1475" spans="1:29">
      <c r="A1475" s="10" t="s">
        <v>382</v>
      </c>
      <c r="B1475" s="10" t="s">
        <v>381</v>
      </c>
      <c r="C1475" s="124">
        <v>46343</v>
      </c>
      <c r="D1475" s="124" t="s">
        <v>492</v>
      </c>
      <c r="E1475" s="21">
        <v>0.95881072000000001</v>
      </c>
      <c r="F1475" s="10"/>
      <c r="G1475" s="14">
        <v>3000000</v>
      </c>
      <c r="H1475" s="14">
        <v>2876432.15</v>
      </c>
      <c r="I1475" s="14">
        <v>3000000</v>
      </c>
      <c r="J1475" s="14">
        <v>2876432.15</v>
      </c>
      <c r="K1475" s="12">
        <v>1057</v>
      </c>
      <c r="L1475" s="10" t="s">
        <v>101</v>
      </c>
      <c r="M1475" s="10" t="s">
        <v>102</v>
      </c>
      <c r="N1475" s="124" t="s">
        <v>398</v>
      </c>
      <c r="O1475" s="124" t="s">
        <v>398</v>
      </c>
      <c r="P1475" s="21">
        <v>32</v>
      </c>
      <c r="Q1475" s="10" t="s">
        <v>54</v>
      </c>
      <c r="R1475" s="10" t="s">
        <v>28</v>
      </c>
      <c r="S1475" s="10"/>
      <c r="T1475" s="10"/>
      <c r="U1475" s="10" t="s">
        <v>1743</v>
      </c>
      <c r="V1475" s="10" t="s">
        <v>1743</v>
      </c>
      <c r="W1475" s="50">
        <f>+J1475/$W$2</f>
        <v>3.8240925170105903E-5</v>
      </c>
      <c r="AC1475" s="47"/>
    </row>
    <row r="1476" spans="1:29">
      <c r="A1476" s="10" t="s">
        <v>2992</v>
      </c>
      <c r="B1476" s="10" t="s">
        <v>381</v>
      </c>
      <c r="C1476" s="124">
        <v>46343</v>
      </c>
      <c r="D1476" s="124" t="s">
        <v>492</v>
      </c>
      <c r="E1476" s="21">
        <v>0.95757809000000005</v>
      </c>
      <c r="F1476" s="10"/>
      <c r="G1476" s="14">
        <v>3600000</v>
      </c>
      <c r="H1476" s="14">
        <v>3447281.11</v>
      </c>
      <c r="I1476" s="14">
        <v>3600000</v>
      </c>
      <c r="J1476" s="14">
        <v>3447281.11</v>
      </c>
      <c r="K1476" s="12">
        <v>13870046</v>
      </c>
      <c r="L1476" s="10" t="s">
        <v>101</v>
      </c>
      <c r="M1476" s="10" t="s">
        <v>102</v>
      </c>
      <c r="N1476" s="124" t="s">
        <v>434</v>
      </c>
      <c r="O1476" s="124" t="s">
        <v>434</v>
      </c>
      <c r="P1476" s="21">
        <v>33</v>
      </c>
      <c r="Q1476" s="10" t="s">
        <v>54</v>
      </c>
      <c r="R1476" s="10" t="s">
        <v>28</v>
      </c>
      <c r="S1476" s="10"/>
      <c r="T1476" s="10"/>
      <c r="U1476" s="10" t="s">
        <v>2952</v>
      </c>
      <c r="V1476" s="10" t="s">
        <v>2952</v>
      </c>
      <c r="W1476" s="50">
        <f>+J1476/$W$2</f>
        <v>4.5830115953831768E-5</v>
      </c>
      <c r="AC1476" s="47"/>
    </row>
    <row r="1477" spans="1:29">
      <c r="A1477" s="10" t="s">
        <v>353</v>
      </c>
      <c r="B1477" s="10" t="s">
        <v>381</v>
      </c>
      <c r="C1477" s="124">
        <v>46343</v>
      </c>
      <c r="D1477" s="124" t="s">
        <v>492</v>
      </c>
      <c r="E1477" s="21">
        <v>0.95512251999999997</v>
      </c>
      <c r="F1477" s="10"/>
      <c r="G1477" s="14">
        <v>3625698.78</v>
      </c>
      <c r="H1477" s="14">
        <v>3462986.55</v>
      </c>
      <c r="I1477" s="14">
        <v>3625698.78</v>
      </c>
      <c r="J1477" s="14">
        <v>3462986.55</v>
      </c>
      <c r="K1477" s="12">
        <v>3357</v>
      </c>
      <c r="L1477" s="10" t="s">
        <v>101</v>
      </c>
      <c r="M1477" s="10" t="s">
        <v>102</v>
      </c>
      <c r="N1477" s="124" t="s">
        <v>164</v>
      </c>
      <c r="O1477" s="124" t="s">
        <v>164</v>
      </c>
      <c r="P1477" s="21">
        <v>35</v>
      </c>
      <c r="Q1477" s="10" t="s">
        <v>54</v>
      </c>
      <c r="R1477" s="10" t="s">
        <v>28</v>
      </c>
      <c r="S1477" s="10"/>
      <c r="T1477" s="10"/>
      <c r="U1477" s="10" t="s">
        <v>1949</v>
      </c>
      <c r="V1477" s="10" t="s">
        <v>1949</v>
      </c>
      <c r="W1477" s="50">
        <f>+J1477/$W$2</f>
        <v>4.6038913006737598E-5</v>
      </c>
    </row>
    <row r="1478" spans="1:29">
      <c r="A1478" s="10" t="s">
        <v>353</v>
      </c>
      <c r="B1478" s="10" t="s">
        <v>381</v>
      </c>
      <c r="C1478" s="124">
        <v>46343</v>
      </c>
      <c r="D1478" s="124" t="s">
        <v>492</v>
      </c>
      <c r="E1478" s="21">
        <v>0.95389942000000005</v>
      </c>
      <c r="F1478" s="10"/>
      <c r="G1478" s="14">
        <v>2874176.47</v>
      </c>
      <c r="H1478" s="14">
        <v>2741675.27</v>
      </c>
      <c r="I1478" s="14">
        <v>2874176.47</v>
      </c>
      <c r="J1478" s="14">
        <v>2741675.27</v>
      </c>
      <c r="K1478" s="12">
        <v>3427</v>
      </c>
      <c r="L1478" s="10" t="s">
        <v>101</v>
      </c>
      <c r="M1478" s="10" t="s">
        <v>102</v>
      </c>
      <c r="N1478" s="124" t="s">
        <v>431</v>
      </c>
      <c r="O1478" s="124" t="s">
        <v>431</v>
      </c>
      <c r="P1478" s="21">
        <v>36</v>
      </c>
      <c r="Q1478" s="10" t="s">
        <v>54</v>
      </c>
      <c r="R1478" s="10" t="s">
        <v>28</v>
      </c>
      <c r="S1478" s="10"/>
      <c r="T1478" s="10"/>
      <c r="U1478" s="10" t="s">
        <v>2275</v>
      </c>
      <c r="V1478" s="10" t="s">
        <v>2275</v>
      </c>
      <c r="W1478" s="50">
        <f>+J1478/$W$2</f>
        <v>3.6449390555170889E-5</v>
      </c>
    </row>
    <row r="1479" spans="1:29">
      <c r="A1479" s="10" t="s">
        <v>2465</v>
      </c>
      <c r="B1479" s="10" t="s">
        <v>381</v>
      </c>
      <c r="C1479" s="124">
        <v>46343</v>
      </c>
      <c r="D1479" s="124" t="s">
        <v>492</v>
      </c>
      <c r="E1479" s="21">
        <v>0.95881066000000004</v>
      </c>
      <c r="F1479" s="10"/>
      <c r="G1479" s="14">
        <v>4000000</v>
      </c>
      <c r="H1479" s="14">
        <v>3835242.63</v>
      </c>
      <c r="I1479" s="14">
        <v>4000000</v>
      </c>
      <c r="J1479" s="14">
        <v>3835242.63</v>
      </c>
      <c r="K1479" s="12">
        <v>723</v>
      </c>
      <c r="L1479" s="10" t="s">
        <v>101</v>
      </c>
      <c r="M1479" s="10" t="s">
        <v>102</v>
      </c>
      <c r="N1479" s="124" t="s">
        <v>483</v>
      </c>
      <c r="O1479" s="124" t="s">
        <v>483</v>
      </c>
      <c r="P1479" s="21">
        <v>32</v>
      </c>
      <c r="Q1479" s="10" t="s">
        <v>54</v>
      </c>
      <c r="R1479" s="10" t="s">
        <v>28</v>
      </c>
      <c r="S1479" s="10"/>
      <c r="T1479" s="10"/>
      <c r="U1479" s="10" t="s">
        <v>2449</v>
      </c>
      <c r="V1479" s="10" t="s">
        <v>2449</v>
      </c>
      <c r="W1479" s="50">
        <f>+J1479/$W$2</f>
        <v>5.0987897080426583E-5</v>
      </c>
    </row>
    <row r="1480" spans="1:29">
      <c r="A1480" s="10" t="s">
        <v>2600</v>
      </c>
      <c r="B1480" s="10" t="s">
        <v>381</v>
      </c>
      <c r="C1480" s="124">
        <v>46343</v>
      </c>
      <c r="D1480" s="124" t="s">
        <v>492</v>
      </c>
      <c r="E1480" s="21">
        <v>0.95757815000000002</v>
      </c>
      <c r="F1480" s="10"/>
      <c r="G1480" s="14">
        <v>5300000</v>
      </c>
      <c r="H1480" s="14">
        <v>5075164.22</v>
      </c>
      <c r="I1480" s="14">
        <v>5300000</v>
      </c>
      <c r="J1480" s="14">
        <v>5075164.22</v>
      </c>
      <c r="K1480" s="12">
        <v>8175682</v>
      </c>
      <c r="L1480" s="10" t="s">
        <v>101</v>
      </c>
      <c r="M1480" s="10" t="s">
        <v>102</v>
      </c>
      <c r="N1480" s="124" t="s">
        <v>423</v>
      </c>
      <c r="O1480" s="124" t="s">
        <v>423</v>
      </c>
      <c r="P1480" s="21">
        <v>33</v>
      </c>
      <c r="Q1480" s="10" t="s">
        <v>54</v>
      </c>
      <c r="R1480" s="10" t="s">
        <v>28</v>
      </c>
      <c r="S1480" s="10"/>
      <c r="T1480" s="10"/>
      <c r="U1480" s="10" t="s">
        <v>2474</v>
      </c>
      <c r="V1480" s="10" t="s">
        <v>2474</v>
      </c>
      <c r="W1480" s="50">
        <f>+J1480/$W$2</f>
        <v>6.7472119988305269E-5</v>
      </c>
    </row>
    <row r="1481" spans="1:29">
      <c r="A1481" s="10" t="s">
        <v>208</v>
      </c>
      <c r="B1481" s="10" t="s">
        <v>381</v>
      </c>
      <c r="C1481" s="124">
        <v>46343</v>
      </c>
      <c r="D1481" s="124" t="s">
        <v>492</v>
      </c>
      <c r="E1481" s="21">
        <v>0.95757808</v>
      </c>
      <c r="F1481" s="10"/>
      <c r="G1481" s="14">
        <v>2170000</v>
      </c>
      <c r="H1481" s="14">
        <v>2077944.43</v>
      </c>
      <c r="I1481" s="14">
        <v>2170000</v>
      </c>
      <c r="J1481" s="14">
        <v>2077944.43</v>
      </c>
      <c r="K1481" s="12">
        <v>260732</v>
      </c>
      <c r="L1481" s="10" t="s">
        <v>101</v>
      </c>
      <c r="M1481" s="10" t="s">
        <v>102</v>
      </c>
      <c r="N1481" s="124" t="s">
        <v>533</v>
      </c>
      <c r="O1481" s="124" t="s">
        <v>533</v>
      </c>
      <c r="P1481" s="21">
        <v>33</v>
      </c>
      <c r="Q1481" s="10" t="s">
        <v>54</v>
      </c>
      <c r="R1481" s="10" t="s">
        <v>28</v>
      </c>
      <c r="S1481" s="10"/>
      <c r="T1481" s="10"/>
      <c r="U1481" s="10" t="s">
        <v>1860</v>
      </c>
      <c r="V1481" s="10" t="s">
        <v>1860</v>
      </c>
      <c r="W1481" s="50">
        <f>+J1481/$W$2</f>
        <v>2.7625375225787393E-5</v>
      </c>
    </row>
    <row r="1482" spans="1:29">
      <c r="A1482" s="10" t="s">
        <v>494</v>
      </c>
      <c r="B1482" s="10" t="s">
        <v>381</v>
      </c>
      <c r="C1482" s="124">
        <v>46343</v>
      </c>
      <c r="D1482" s="124" t="s">
        <v>492</v>
      </c>
      <c r="E1482" s="21">
        <v>0.96752817000000002</v>
      </c>
      <c r="F1482" s="10"/>
      <c r="G1482" s="14">
        <v>32000000</v>
      </c>
      <c r="H1482" s="14">
        <v>30960901.34</v>
      </c>
      <c r="I1482" s="14">
        <v>32000000</v>
      </c>
      <c r="J1482" s="14">
        <v>30960901.34</v>
      </c>
      <c r="K1482" s="12">
        <v>5314</v>
      </c>
      <c r="L1482" s="10" t="s">
        <v>101</v>
      </c>
      <c r="M1482" s="10" t="s">
        <v>102</v>
      </c>
      <c r="N1482" s="124" t="s">
        <v>326</v>
      </c>
      <c r="O1482" s="124" t="s">
        <v>326</v>
      </c>
      <c r="P1482" s="21">
        <v>25</v>
      </c>
      <c r="Q1482" s="10" t="s">
        <v>54</v>
      </c>
      <c r="R1482" s="10" t="s">
        <v>28</v>
      </c>
      <c r="S1482" s="10"/>
      <c r="T1482" s="10"/>
      <c r="U1482" s="10" t="s">
        <v>968</v>
      </c>
      <c r="V1482" s="10" t="s">
        <v>968</v>
      </c>
      <c r="W1482" s="50">
        <f>+J1482/$W$2</f>
        <v>4.1161183354940998E-4</v>
      </c>
    </row>
    <row r="1483" spans="1:29">
      <c r="A1483" s="10" t="s">
        <v>494</v>
      </c>
      <c r="B1483" s="10" t="s">
        <v>381</v>
      </c>
      <c r="C1483" s="124">
        <v>46343</v>
      </c>
      <c r="D1483" s="124" t="s">
        <v>492</v>
      </c>
      <c r="E1483" s="21">
        <v>0.96252742999999996</v>
      </c>
      <c r="F1483" s="10"/>
      <c r="G1483" s="14">
        <v>35000000</v>
      </c>
      <c r="H1483" s="14">
        <v>33688459.93</v>
      </c>
      <c r="I1483" s="14">
        <v>35000000</v>
      </c>
      <c r="J1483" s="14">
        <v>33688459.93</v>
      </c>
      <c r="K1483" s="12">
        <v>66</v>
      </c>
      <c r="L1483" s="10" t="s">
        <v>101</v>
      </c>
      <c r="M1483" s="10" t="s">
        <v>102</v>
      </c>
      <c r="N1483" s="124" t="s">
        <v>270</v>
      </c>
      <c r="O1483" s="124" t="s">
        <v>270</v>
      </c>
      <c r="P1483" s="21">
        <v>29</v>
      </c>
      <c r="Q1483" s="10" t="s">
        <v>54</v>
      </c>
      <c r="R1483" s="10" t="s">
        <v>28</v>
      </c>
      <c r="S1483" s="10"/>
      <c r="T1483" s="10"/>
      <c r="U1483" s="10" t="s">
        <v>622</v>
      </c>
      <c r="V1483" s="10" t="s">
        <v>622</v>
      </c>
      <c r="W1483" s="50">
        <f>+J1483/$W$2</f>
        <v>4.4787354893083124E-4</v>
      </c>
    </row>
    <row r="1484" spans="1:29">
      <c r="A1484" s="10" t="s">
        <v>141</v>
      </c>
      <c r="B1484" s="10" t="s">
        <v>381</v>
      </c>
      <c r="C1484" s="124">
        <v>46343</v>
      </c>
      <c r="D1484" s="124" t="s">
        <v>492</v>
      </c>
      <c r="E1484" s="21">
        <v>0.95512244999999996</v>
      </c>
      <c r="F1484" s="10"/>
      <c r="G1484" s="14">
        <v>25000000</v>
      </c>
      <c r="H1484" s="14">
        <v>23878061.199999999</v>
      </c>
      <c r="I1484" s="14">
        <v>25000000</v>
      </c>
      <c r="J1484" s="14">
        <v>23878061.199999999</v>
      </c>
      <c r="K1484" s="12">
        <v>123</v>
      </c>
      <c r="L1484" s="10" t="s">
        <v>101</v>
      </c>
      <c r="M1484" s="10" t="s">
        <v>102</v>
      </c>
      <c r="N1484" s="124" t="s">
        <v>476</v>
      </c>
      <c r="O1484" s="124" t="s">
        <v>476</v>
      </c>
      <c r="P1484" s="21">
        <v>35</v>
      </c>
      <c r="Q1484" s="10" t="s">
        <v>54</v>
      </c>
      <c r="R1484" s="10" t="s">
        <v>28</v>
      </c>
      <c r="S1484" s="10"/>
      <c r="T1484" s="10"/>
      <c r="U1484" s="10" t="s">
        <v>1508</v>
      </c>
      <c r="V1484" s="10" t="s">
        <v>1508</v>
      </c>
      <c r="W1484" s="50">
        <f>+J1484/$W$2</f>
        <v>3.1744852787729034E-4</v>
      </c>
    </row>
    <row r="1485" spans="1:29">
      <c r="A1485" s="10" t="s">
        <v>1504</v>
      </c>
      <c r="B1485" s="10" t="s">
        <v>381</v>
      </c>
      <c r="C1485" s="124">
        <v>46343</v>
      </c>
      <c r="D1485" s="124" t="s">
        <v>492</v>
      </c>
      <c r="E1485" s="21">
        <v>0.96377276000000001</v>
      </c>
      <c r="F1485" s="10"/>
      <c r="G1485" s="14">
        <v>150000000</v>
      </c>
      <c r="H1485" s="14">
        <v>144565914.63</v>
      </c>
      <c r="I1485" s="14">
        <v>150000000</v>
      </c>
      <c r="J1485" s="14">
        <v>144565914.63</v>
      </c>
      <c r="K1485" s="12">
        <v>79</v>
      </c>
      <c r="L1485" s="10" t="s">
        <v>101</v>
      </c>
      <c r="M1485" s="10" t="s">
        <v>102</v>
      </c>
      <c r="N1485" s="124" t="s">
        <v>414</v>
      </c>
      <c r="O1485" s="124" t="s">
        <v>414</v>
      </c>
      <c r="P1485" s="21">
        <v>28</v>
      </c>
      <c r="Q1485" s="10" t="s">
        <v>54</v>
      </c>
      <c r="R1485" s="10" t="s">
        <v>28</v>
      </c>
      <c r="S1485" s="10"/>
      <c r="T1485" s="10"/>
      <c r="U1485" s="10" t="s">
        <v>1492</v>
      </c>
      <c r="V1485" s="10" t="s">
        <v>1492</v>
      </c>
      <c r="W1485" s="50">
        <f>+J1485/$W$2</f>
        <v>1.9219415008672283E-3</v>
      </c>
    </row>
    <row r="1486" spans="1:29">
      <c r="A1486" s="10" t="s">
        <v>273</v>
      </c>
      <c r="B1486" s="10" t="s">
        <v>381</v>
      </c>
      <c r="C1486" s="124">
        <v>46343</v>
      </c>
      <c r="D1486" s="124" t="s">
        <v>492</v>
      </c>
      <c r="E1486" s="21">
        <v>0.96128535999999998</v>
      </c>
      <c r="F1486" s="10"/>
      <c r="G1486" s="14">
        <v>25000000</v>
      </c>
      <c r="H1486" s="14">
        <v>24032134.100000001</v>
      </c>
      <c r="I1486" s="14">
        <v>25000000</v>
      </c>
      <c r="J1486" s="14">
        <v>24032134.100000001</v>
      </c>
      <c r="K1486" s="12">
        <v>12742280</v>
      </c>
      <c r="L1486" s="10" t="s">
        <v>101</v>
      </c>
      <c r="M1486" s="10" t="s">
        <v>102</v>
      </c>
      <c r="N1486" s="124" t="s">
        <v>322</v>
      </c>
      <c r="O1486" s="124" t="s">
        <v>322</v>
      </c>
      <c r="P1486" s="21">
        <v>30</v>
      </c>
      <c r="Q1486" s="10" t="s">
        <v>54</v>
      </c>
      <c r="R1486" s="10" t="s">
        <v>28</v>
      </c>
      <c r="S1486" s="10"/>
      <c r="T1486" s="10"/>
      <c r="U1486" s="10" t="s">
        <v>1573</v>
      </c>
      <c r="V1486" s="10" t="s">
        <v>1573</v>
      </c>
      <c r="W1486" s="50">
        <f>+J1486/$W$2</f>
        <v>3.1949686064941611E-4</v>
      </c>
    </row>
    <row r="1487" spans="1:29">
      <c r="A1487" s="10" t="s">
        <v>219</v>
      </c>
      <c r="B1487" s="10" t="s">
        <v>381</v>
      </c>
      <c r="C1487" s="124">
        <v>46343</v>
      </c>
      <c r="D1487" s="124" t="s">
        <v>492</v>
      </c>
      <c r="E1487" s="21">
        <v>0.95881055000000004</v>
      </c>
      <c r="F1487" s="10"/>
      <c r="G1487" s="14">
        <v>50000000</v>
      </c>
      <c r="H1487" s="14">
        <v>47940527.659999996</v>
      </c>
      <c r="I1487" s="14">
        <v>50000000</v>
      </c>
      <c r="J1487" s="14">
        <v>47940527.659999996</v>
      </c>
      <c r="K1487" s="12">
        <v>5360</v>
      </c>
      <c r="L1487" s="10" t="s">
        <v>101</v>
      </c>
      <c r="M1487" s="10" t="s">
        <v>102</v>
      </c>
      <c r="N1487" s="124" t="s">
        <v>420</v>
      </c>
      <c r="O1487" s="124" t="s">
        <v>420</v>
      </c>
      <c r="P1487" s="21">
        <v>32</v>
      </c>
      <c r="Q1487" s="10" t="s">
        <v>54</v>
      </c>
      <c r="R1487" s="10" t="s">
        <v>28</v>
      </c>
      <c r="S1487" s="10"/>
      <c r="T1487" s="10"/>
      <c r="U1487" s="10" t="s">
        <v>2674</v>
      </c>
      <c r="V1487" s="10" t="s">
        <v>2674</v>
      </c>
      <c r="W1487" s="50">
        <f>+J1487/$W$2</f>
        <v>6.373486441741559E-4</v>
      </c>
    </row>
    <row r="1488" spans="1:29">
      <c r="A1488" s="10" t="s">
        <v>1725</v>
      </c>
      <c r="B1488" s="10" t="s">
        <v>381</v>
      </c>
      <c r="C1488" s="124">
        <v>46343</v>
      </c>
      <c r="D1488" s="124" t="s">
        <v>492</v>
      </c>
      <c r="E1488" s="21">
        <v>0.95512246999999995</v>
      </c>
      <c r="F1488" s="10"/>
      <c r="G1488" s="14">
        <v>3087576.27</v>
      </c>
      <c r="H1488" s="14">
        <v>2949013.47</v>
      </c>
      <c r="I1488" s="14">
        <v>3087576.27</v>
      </c>
      <c r="J1488" s="14">
        <v>2949013.47</v>
      </c>
      <c r="K1488" s="12">
        <v>1507</v>
      </c>
      <c r="L1488" s="10" t="s">
        <v>101</v>
      </c>
      <c r="M1488" s="10" t="s">
        <v>102</v>
      </c>
      <c r="N1488" s="124" t="s">
        <v>425</v>
      </c>
      <c r="O1488" s="124" t="s">
        <v>425</v>
      </c>
      <c r="P1488" s="21">
        <v>35</v>
      </c>
      <c r="Q1488" s="10" t="s">
        <v>54</v>
      </c>
      <c r="R1488" s="10" t="s">
        <v>28</v>
      </c>
      <c r="S1488" s="10"/>
      <c r="T1488" s="10"/>
      <c r="U1488" s="10" t="s">
        <v>1713</v>
      </c>
      <c r="V1488" s="10" t="s">
        <v>1713</v>
      </c>
      <c r="W1488" s="50">
        <f>+J1488/$W$2</f>
        <v>3.9205862523788145E-5</v>
      </c>
    </row>
    <row r="1489" spans="1:29">
      <c r="A1489" s="10" t="s">
        <v>2127</v>
      </c>
      <c r="B1489" s="10" t="s">
        <v>381</v>
      </c>
      <c r="C1489" s="124">
        <v>46343</v>
      </c>
      <c r="D1489" s="124" t="s">
        <v>492</v>
      </c>
      <c r="E1489" s="21">
        <v>0.95512242999999997</v>
      </c>
      <c r="F1489" s="10"/>
      <c r="G1489" s="14">
        <v>35000000</v>
      </c>
      <c r="H1489" s="14">
        <v>33429285</v>
      </c>
      <c r="I1489" s="14">
        <v>35000000</v>
      </c>
      <c r="J1489" s="14">
        <v>33429285</v>
      </c>
      <c r="K1489" s="12">
        <v>324</v>
      </c>
      <c r="L1489" s="10" t="s">
        <v>101</v>
      </c>
      <c r="M1489" s="10" t="s">
        <v>102</v>
      </c>
      <c r="N1489" s="124" t="s">
        <v>421</v>
      </c>
      <c r="O1489" s="124" t="s">
        <v>421</v>
      </c>
      <c r="P1489" s="21">
        <v>35</v>
      </c>
      <c r="Q1489" s="10" t="s">
        <v>54</v>
      </c>
      <c r="R1489" s="10" t="s">
        <v>28</v>
      </c>
      <c r="S1489" s="10"/>
      <c r="T1489" s="10"/>
      <c r="U1489" s="10" t="s">
        <v>2117</v>
      </c>
      <c r="V1489" s="10" t="s">
        <v>2117</v>
      </c>
      <c r="W1489" s="50">
        <f>+J1489/$W$2</f>
        <v>4.4442792998789968E-4</v>
      </c>
    </row>
    <row r="1490" spans="1:29">
      <c r="A1490" s="10" t="s">
        <v>2243</v>
      </c>
      <c r="B1490" s="10" t="s">
        <v>381</v>
      </c>
      <c r="C1490" s="124">
        <v>46343</v>
      </c>
      <c r="D1490" s="124" t="s">
        <v>492</v>
      </c>
      <c r="E1490" s="21">
        <v>0.95757815999999996</v>
      </c>
      <c r="F1490" s="10"/>
      <c r="G1490" s="14">
        <v>2169517.4900000002</v>
      </c>
      <c r="H1490" s="14">
        <v>2077482.56</v>
      </c>
      <c r="I1490" s="14">
        <v>2169517.4900000002</v>
      </c>
      <c r="J1490" s="14">
        <v>2077482.56</v>
      </c>
      <c r="K1490" s="12">
        <v>90000461</v>
      </c>
      <c r="L1490" s="10" t="s">
        <v>101</v>
      </c>
      <c r="M1490" s="10" t="s">
        <v>102</v>
      </c>
      <c r="N1490" s="124" t="s">
        <v>532</v>
      </c>
      <c r="O1490" s="124" t="s">
        <v>532</v>
      </c>
      <c r="P1490" s="21">
        <v>33</v>
      </c>
      <c r="Q1490" s="10" t="s">
        <v>54</v>
      </c>
      <c r="R1490" s="10" t="s">
        <v>28</v>
      </c>
      <c r="S1490" s="10"/>
      <c r="T1490" s="10"/>
      <c r="U1490" s="10" t="s">
        <v>3131</v>
      </c>
      <c r="V1490" s="10" t="s">
        <v>3131</v>
      </c>
      <c r="W1490" s="50">
        <f>+J1490/$W$2</f>
        <v>2.7619234863287162E-5</v>
      </c>
    </row>
    <row r="1491" spans="1:29">
      <c r="A1491" s="10" t="s">
        <v>273</v>
      </c>
      <c r="B1491" s="10" t="s">
        <v>381</v>
      </c>
      <c r="C1491" s="124">
        <v>46343</v>
      </c>
      <c r="D1491" s="124" t="s">
        <v>492</v>
      </c>
      <c r="E1491" s="21">
        <v>0.95881066000000004</v>
      </c>
      <c r="F1491" s="10"/>
      <c r="G1491" s="14">
        <v>10000000</v>
      </c>
      <c r="H1491" s="14">
        <v>9588106.6099999994</v>
      </c>
      <c r="I1491" s="14">
        <v>10000000</v>
      </c>
      <c r="J1491" s="14">
        <v>9588106.6099999994</v>
      </c>
      <c r="K1491" s="12">
        <v>2198</v>
      </c>
      <c r="L1491" s="10" t="s">
        <v>101</v>
      </c>
      <c r="M1491" s="10" t="s">
        <v>102</v>
      </c>
      <c r="N1491" s="124" t="s">
        <v>551</v>
      </c>
      <c r="O1491" s="124" t="s">
        <v>551</v>
      </c>
      <c r="P1491" s="21">
        <v>32</v>
      </c>
      <c r="Q1491" s="10" t="s">
        <v>54</v>
      </c>
      <c r="R1491" s="10" t="s">
        <v>28</v>
      </c>
      <c r="S1491" s="10"/>
      <c r="T1491" s="10"/>
      <c r="U1491" s="10" t="s">
        <v>2171</v>
      </c>
      <c r="V1491" s="10" t="s">
        <v>2171</v>
      </c>
      <c r="W1491" s="50">
        <f>+J1491/$W$2</f>
        <v>1.2746974316637635E-4</v>
      </c>
    </row>
    <row r="1492" spans="1:29">
      <c r="A1492" s="10" t="s">
        <v>273</v>
      </c>
      <c r="B1492" s="10" t="s">
        <v>381</v>
      </c>
      <c r="C1492" s="124">
        <v>46343</v>
      </c>
      <c r="D1492" s="124" t="s">
        <v>492</v>
      </c>
      <c r="E1492" s="21">
        <v>0.96627324000000003</v>
      </c>
      <c r="F1492" s="10"/>
      <c r="G1492" s="14">
        <v>4000000</v>
      </c>
      <c r="H1492" s="14">
        <v>3865092.95</v>
      </c>
      <c r="I1492" s="14">
        <v>4000000</v>
      </c>
      <c r="J1492" s="14">
        <v>3865092.95</v>
      </c>
      <c r="K1492" s="12">
        <v>90002235</v>
      </c>
      <c r="L1492" s="10" t="s">
        <v>101</v>
      </c>
      <c r="M1492" s="10" t="s">
        <v>102</v>
      </c>
      <c r="N1492" s="124" t="s">
        <v>532</v>
      </c>
      <c r="O1492" s="124" t="s">
        <v>532</v>
      </c>
      <c r="P1492" s="21">
        <v>26</v>
      </c>
      <c r="Q1492" s="10" t="s">
        <v>54</v>
      </c>
      <c r="R1492" s="10" t="s">
        <v>28</v>
      </c>
      <c r="S1492" s="10"/>
      <c r="T1492" s="10"/>
      <c r="U1492" s="10" t="s">
        <v>3037</v>
      </c>
      <c r="V1492" s="10" t="s">
        <v>3037</v>
      </c>
      <c r="W1492" s="50">
        <f>+J1492/$W$2</f>
        <v>5.1384744213922755E-5</v>
      </c>
    </row>
    <row r="1493" spans="1:29">
      <c r="A1493" s="10" t="s">
        <v>1189</v>
      </c>
      <c r="B1493" s="10" t="s">
        <v>381</v>
      </c>
      <c r="C1493" s="124">
        <v>46343</v>
      </c>
      <c r="D1493" s="124" t="s">
        <v>492</v>
      </c>
      <c r="E1493" s="21">
        <v>0.95512275000000002</v>
      </c>
      <c r="F1493" s="10"/>
      <c r="G1493" s="14">
        <v>29431.84</v>
      </c>
      <c r="H1493" s="14">
        <v>28111.02</v>
      </c>
      <c r="I1493" s="14">
        <v>29431.84</v>
      </c>
      <c r="J1493" s="14">
        <v>28111.02</v>
      </c>
      <c r="K1493" s="12">
        <v>30099837</v>
      </c>
      <c r="L1493" s="10" t="s">
        <v>101</v>
      </c>
      <c r="M1493" s="10" t="s">
        <v>102</v>
      </c>
      <c r="N1493" s="124" t="s">
        <v>420</v>
      </c>
      <c r="O1493" s="124" t="s">
        <v>420</v>
      </c>
      <c r="P1493" s="21">
        <v>35</v>
      </c>
      <c r="Q1493" s="10" t="s">
        <v>54</v>
      </c>
      <c r="R1493" s="10" t="s">
        <v>28</v>
      </c>
      <c r="S1493" s="10"/>
      <c r="T1493" s="10"/>
      <c r="U1493" s="10" t="s">
        <v>2648</v>
      </c>
      <c r="V1493" s="10" t="s">
        <v>2648</v>
      </c>
      <c r="W1493" s="50">
        <f>+J1493/$W$2</f>
        <v>3.7372388995003773E-7</v>
      </c>
    </row>
    <row r="1494" spans="1:29">
      <c r="A1494" s="10" t="s">
        <v>1171</v>
      </c>
      <c r="B1494" s="10" t="s">
        <v>381</v>
      </c>
      <c r="C1494" s="124">
        <v>46343</v>
      </c>
      <c r="D1494" s="124" t="s">
        <v>492</v>
      </c>
      <c r="E1494" s="21">
        <v>0.95757802999999997</v>
      </c>
      <c r="F1494" s="10"/>
      <c r="G1494" s="14">
        <v>25000000</v>
      </c>
      <c r="H1494" s="14">
        <v>23939450.640000001</v>
      </c>
      <c r="I1494" s="14">
        <v>25000000</v>
      </c>
      <c r="J1494" s="14">
        <v>23939450.640000001</v>
      </c>
      <c r="K1494" s="12">
        <v>68636415</v>
      </c>
      <c r="L1494" s="10" t="s">
        <v>101</v>
      </c>
      <c r="M1494" s="10" t="s">
        <v>102</v>
      </c>
      <c r="N1494" s="124" t="s">
        <v>366</v>
      </c>
      <c r="O1494" s="124" t="s">
        <v>366</v>
      </c>
      <c r="P1494" s="21">
        <v>33</v>
      </c>
      <c r="Q1494" s="10" t="s">
        <v>54</v>
      </c>
      <c r="R1494" s="10" t="s">
        <v>28</v>
      </c>
      <c r="S1494" s="10"/>
      <c r="T1494" s="10"/>
      <c r="U1494" s="10" t="s">
        <v>1163</v>
      </c>
      <c r="V1494" s="10" t="s">
        <v>1163</v>
      </c>
      <c r="W1494" s="50">
        <f>+J1494/$W$2</f>
        <v>3.1826467401210347E-4</v>
      </c>
    </row>
    <row r="1495" spans="1:29">
      <c r="A1495" s="10" t="s">
        <v>404</v>
      </c>
      <c r="B1495" s="10" t="s">
        <v>381</v>
      </c>
      <c r="C1495" s="124">
        <v>46343</v>
      </c>
      <c r="D1495" s="124" t="s">
        <v>492</v>
      </c>
      <c r="E1495" s="21">
        <v>0.96502142999999996</v>
      </c>
      <c r="F1495" s="10"/>
      <c r="G1495" s="14">
        <v>7869664.6799999997</v>
      </c>
      <c r="H1495" s="14">
        <v>7594395.04</v>
      </c>
      <c r="I1495" s="14">
        <v>7869664.6799999997</v>
      </c>
      <c r="J1495" s="14">
        <v>7594395.04</v>
      </c>
      <c r="K1495" s="12">
        <v>23267</v>
      </c>
      <c r="L1495" s="10" t="s">
        <v>101</v>
      </c>
      <c r="M1495" s="10" t="s">
        <v>102</v>
      </c>
      <c r="N1495" s="124" t="s">
        <v>532</v>
      </c>
      <c r="O1495" s="124" t="s">
        <v>532</v>
      </c>
      <c r="P1495" s="21">
        <v>27</v>
      </c>
      <c r="Q1495" s="10" t="s">
        <v>54</v>
      </c>
      <c r="R1495" s="10" t="s">
        <v>28</v>
      </c>
      <c r="S1495" s="10"/>
      <c r="T1495" s="10"/>
      <c r="U1495" s="10" t="s">
        <v>3021</v>
      </c>
      <c r="V1495" s="10" t="s">
        <v>3021</v>
      </c>
      <c r="W1495" s="50">
        <f>+J1495/$W$2</f>
        <v>1.0096420749464347E-4</v>
      </c>
    </row>
    <row r="1496" spans="1:29">
      <c r="A1496" s="10" t="s">
        <v>404</v>
      </c>
      <c r="B1496" s="10" t="s">
        <v>381</v>
      </c>
      <c r="C1496" s="124">
        <v>46343</v>
      </c>
      <c r="D1496" s="124" t="s">
        <v>492</v>
      </c>
      <c r="E1496" s="21">
        <v>0.96502142999999996</v>
      </c>
      <c r="F1496" s="10"/>
      <c r="G1496" s="14">
        <v>7411283.71</v>
      </c>
      <c r="H1496" s="14">
        <v>7152047.5899999999</v>
      </c>
      <c r="I1496" s="14">
        <v>7411283.71</v>
      </c>
      <c r="J1496" s="14">
        <v>7152047.5899999999</v>
      </c>
      <c r="K1496" s="12">
        <v>23242</v>
      </c>
      <c r="L1496" s="10" t="s">
        <v>101</v>
      </c>
      <c r="M1496" s="10" t="s">
        <v>102</v>
      </c>
      <c r="N1496" s="124" t="s">
        <v>532</v>
      </c>
      <c r="O1496" s="124" t="s">
        <v>532</v>
      </c>
      <c r="P1496" s="21">
        <v>27</v>
      </c>
      <c r="Q1496" s="10" t="s">
        <v>54</v>
      </c>
      <c r="R1496" s="10" t="s">
        <v>28</v>
      </c>
      <c r="S1496" s="10"/>
      <c r="T1496" s="10"/>
      <c r="U1496" s="10" t="s">
        <v>3024</v>
      </c>
      <c r="V1496" s="10" t="s">
        <v>3024</v>
      </c>
      <c r="W1496" s="50">
        <f>+J1496/$W$2</f>
        <v>9.5083388878902032E-5</v>
      </c>
    </row>
    <row r="1497" spans="1:29">
      <c r="A1497" s="10" t="s">
        <v>3144</v>
      </c>
      <c r="B1497" s="10" t="s">
        <v>381</v>
      </c>
      <c r="C1497" s="124">
        <v>46343</v>
      </c>
      <c r="D1497" s="124" t="s">
        <v>492</v>
      </c>
      <c r="E1497" s="21">
        <v>0.95757815999999996</v>
      </c>
      <c r="F1497" s="10"/>
      <c r="G1497" s="14">
        <v>2500000</v>
      </c>
      <c r="H1497" s="14">
        <v>2393945.4</v>
      </c>
      <c r="I1497" s="14">
        <v>2500000</v>
      </c>
      <c r="J1497" s="14">
        <v>2393945.4</v>
      </c>
      <c r="K1497" s="12">
        <v>98</v>
      </c>
      <c r="L1497" s="10" t="s">
        <v>101</v>
      </c>
      <c r="M1497" s="10" t="s">
        <v>102</v>
      </c>
      <c r="N1497" s="124" t="s">
        <v>532</v>
      </c>
      <c r="O1497" s="124" t="s">
        <v>532</v>
      </c>
      <c r="P1497" s="21">
        <v>33</v>
      </c>
      <c r="Q1497" s="10" t="s">
        <v>54</v>
      </c>
      <c r="R1497" s="10" t="s">
        <v>28</v>
      </c>
      <c r="S1497" s="10"/>
      <c r="T1497" s="10"/>
      <c r="U1497" s="10" t="s">
        <v>3108</v>
      </c>
      <c r="V1497" s="10" t="s">
        <v>3108</v>
      </c>
      <c r="W1497" s="50">
        <f>+J1497/$W$2</f>
        <v>3.1826471868185466E-5</v>
      </c>
    </row>
    <row r="1498" spans="1:29">
      <c r="A1498" s="10" t="s">
        <v>686</v>
      </c>
      <c r="B1498" s="10" t="s">
        <v>381</v>
      </c>
      <c r="C1498" s="124">
        <v>46343</v>
      </c>
      <c r="D1498" s="124" t="s">
        <v>492</v>
      </c>
      <c r="E1498" s="21">
        <v>0.95881061999999995</v>
      </c>
      <c r="F1498" s="10"/>
      <c r="G1498" s="14">
        <v>15000000</v>
      </c>
      <c r="H1498" s="14">
        <v>14382159.279999999</v>
      </c>
      <c r="I1498" s="14">
        <v>15000000</v>
      </c>
      <c r="J1498" s="14">
        <v>14382159.279999999</v>
      </c>
      <c r="K1498" s="12">
        <v>67449055</v>
      </c>
      <c r="L1498" s="10" t="s">
        <v>101</v>
      </c>
      <c r="M1498" s="10" t="s">
        <v>102</v>
      </c>
      <c r="N1498" s="124" t="s">
        <v>292</v>
      </c>
      <c r="O1498" s="124" t="s">
        <v>292</v>
      </c>
      <c r="P1498" s="21">
        <v>32</v>
      </c>
      <c r="Q1498" s="10" t="s">
        <v>54</v>
      </c>
      <c r="R1498" s="10" t="s">
        <v>28</v>
      </c>
      <c r="S1498" s="10"/>
      <c r="T1498" s="10"/>
      <c r="U1498" s="10" t="s">
        <v>684</v>
      </c>
      <c r="V1498" s="10" t="s">
        <v>684</v>
      </c>
      <c r="W1498" s="50">
        <f>+J1498/$W$2</f>
        <v>1.9120460630751333E-4</v>
      </c>
    </row>
    <row r="1499" spans="1:29">
      <c r="A1499" s="10" t="s">
        <v>3452</v>
      </c>
      <c r="B1499" s="10" t="s">
        <v>381</v>
      </c>
      <c r="C1499" s="124">
        <v>46343</v>
      </c>
      <c r="D1499" s="124" t="s">
        <v>492</v>
      </c>
      <c r="E1499" s="21">
        <v>0.96128535000000004</v>
      </c>
      <c r="F1499" s="10"/>
      <c r="G1499" s="14">
        <v>2500000</v>
      </c>
      <c r="H1499" s="14">
        <v>2403213.37</v>
      </c>
      <c r="I1499" s="14">
        <v>2500000</v>
      </c>
      <c r="J1499" s="14">
        <v>2403213.37</v>
      </c>
      <c r="K1499" s="12">
        <v>362</v>
      </c>
      <c r="L1499" s="10" t="s">
        <v>101</v>
      </c>
      <c r="M1499" s="10" t="s">
        <v>102</v>
      </c>
      <c r="N1499" s="124" t="s">
        <v>531</v>
      </c>
      <c r="O1499" s="124" t="s">
        <v>531</v>
      </c>
      <c r="P1499" s="21">
        <v>30</v>
      </c>
      <c r="Q1499" s="10" t="s">
        <v>54</v>
      </c>
      <c r="R1499" s="10" t="s">
        <v>28</v>
      </c>
      <c r="S1499" s="10"/>
      <c r="T1499" s="10"/>
      <c r="U1499" s="10" t="s">
        <v>3428</v>
      </c>
      <c r="V1499" s="10" t="s">
        <v>3428</v>
      </c>
      <c r="W1499" s="50">
        <f>+J1499/$W$2</f>
        <v>3.194968553315886E-5</v>
      </c>
    </row>
    <row r="1500" spans="1:29">
      <c r="A1500" s="10" t="s">
        <v>464</v>
      </c>
      <c r="B1500" s="10" t="s">
        <v>125</v>
      </c>
      <c r="C1500" s="124">
        <v>46343</v>
      </c>
      <c r="D1500" s="124" t="s">
        <v>492</v>
      </c>
      <c r="E1500" s="21">
        <v>0.98937465999999996</v>
      </c>
      <c r="F1500" s="10" t="s">
        <v>3573</v>
      </c>
      <c r="G1500" s="14">
        <v>18230</v>
      </c>
      <c r="H1500" s="14">
        <v>18036.3</v>
      </c>
      <c r="I1500" s="14">
        <v>27781968.690000001</v>
      </c>
      <c r="J1500" s="14">
        <v>27486775.75</v>
      </c>
      <c r="K1500" s="12">
        <v>146446</v>
      </c>
      <c r="L1500" s="10" t="s">
        <v>101</v>
      </c>
      <c r="M1500" s="10" t="s">
        <v>102</v>
      </c>
      <c r="N1500" s="124" t="s">
        <v>301</v>
      </c>
      <c r="O1500" s="124" t="s">
        <v>301</v>
      </c>
      <c r="P1500" s="21">
        <v>8</v>
      </c>
      <c r="Q1500" s="10" t="s">
        <v>54</v>
      </c>
      <c r="R1500" s="10" t="s">
        <v>28</v>
      </c>
      <c r="S1500" s="10"/>
      <c r="T1500" s="10"/>
      <c r="U1500" s="10" t="s">
        <v>445</v>
      </c>
      <c r="V1500" s="10" t="s">
        <v>445</v>
      </c>
      <c r="W1500" s="50">
        <f>+J1500/$W$2</f>
        <v>3.6542483180881968E-4</v>
      </c>
    </row>
    <row r="1501" spans="1:29">
      <c r="A1501" s="10" t="s">
        <v>465</v>
      </c>
      <c r="B1501" s="10" t="s">
        <v>381</v>
      </c>
      <c r="C1501" s="124">
        <v>46343</v>
      </c>
      <c r="D1501" s="124" t="s">
        <v>492</v>
      </c>
      <c r="E1501" s="21">
        <v>0.95634870999999999</v>
      </c>
      <c r="F1501" s="10"/>
      <c r="G1501" s="14">
        <v>10000000</v>
      </c>
      <c r="H1501" s="14">
        <v>9563487.0999999996</v>
      </c>
      <c r="I1501" s="14">
        <v>10000000</v>
      </c>
      <c r="J1501" s="14">
        <v>9563487.0999999996</v>
      </c>
      <c r="K1501" s="12">
        <v>14284515</v>
      </c>
      <c r="L1501" s="10" t="s">
        <v>101</v>
      </c>
      <c r="M1501" s="10" t="s">
        <v>102</v>
      </c>
      <c r="N1501" s="124" t="s">
        <v>425</v>
      </c>
      <c r="O1501" s="124" t="s">
        <v>425</v>
      </c>
      <c r="P1501" s="21">
        <v>34</v>
      </c>
      <c r="Q1501" s="10" t="s">
        <v>54</v>
      </c>
      <c r="R1501" s="10" t="s">
        <v>28</v>
      </c>
      <c r="S1501" s="10"/>
      <c r="T1501" s="10"/>
      <c r="U1501" s="10" t="s">
        <v>1688</v>
      </c>
      <c r="V1501" s="10" t="s">
        <v>1688</v>
      </c>
      <c r="W1501" s="50">
        <f>+J1501/$W$2</f>
        <v>1.2714243739640204E-4</v>
      </c>
    </row>
    <row r="1502" spans="1:29">
      <c r="A1502" s="10" t="s">
        <v>2625</v>
      </c>
      <c r="B1502" s="10" t="s">
        <v>381</v>
      </c>
      <c r="C1502" s="124">
        <v>46343</v>
      </c>
      <c r="D1502" s="124" t="s">
        <v>492</v>
      </c>
      <c r="E1502" s="21">
        <v>0.95757815000000002</v>
      </c>
      <c r="F1502" s="10"/>
      <c r="G1502" s="14">
        <v>686128.26</v>
      </c>
      <c r="H1502" s="14">
        <v>657021.43000000005</v>
      </c>
      <c r="I1502" s="14">
        <v>686128.26</v>
      </c>
      <c r="J1502" s="14">
        <v>657021.43000000005</v>
      </c>
      <c r="K1502" s="12">
        <v>19385</v>
      </c>
      <c r="L1502" s="10" t="s">
        <v>101</v>
      </c>
      <c r="M1502" s="10" t="s">
        <v>102</v>
      </c>
      <c r="N1502" s="124" t="s">
        <v>423</v>
      </c>
      <c r="O1502" s="124" t="s">
        <v>423</v>
      </c>
      <c r="P1502" s="21">
        <v>33</v>
      </c>
      <c r="Q1502" s="10" t="s">
        <v>54</v>
      </c>
      <c r="R1502" s="10" t="s">
        <v>28</v>
      </c>
      <c r="S1502" s="10"/>
      <c r="T1502" s="10"/>
      <c r="U1502" s="10" t="s">
        <v>2493</v>
      </c>
      <c r="V1502" s="10" t="s">
        <v>2493</v>
      </c>
      <c r="W1502" s="50">
        <f>+J1502/$W$2</f>
        <v>8.7348166164065351E-6</v>
      </c>
      <c r="AC1502" s="47"/>
    </row>
    <row r="1503" spans="1:29">
      <c r="A1503" s="10" t="s">
        <v>2625</v>
      </c>
      <c r="B1503" s="10" t="s">
        <v>381</v>
      </c>
      <c r="C1503" s="124">
        <v>46343</v>
      </c>
      <c r="D1503" s="124" t="s">
        <v>492</v>
      </c>
      <c r="E1503" s="21">
        <v>0.95757815999999996</v>
      </c>
      <c r="F1503" s="10"/>
      <c r="G1503" s="14">
        <v>685128.94</v>
      </c>
      <c r="H1503" s="14">
        <v>656064.51</v>
      </c>
      <c r="I1503" s="14">
        <v>685128.94</v>
      </c>
      <c r="J1503" s="14">
        <v>656064.51</v>
      </c>
      <c r="K1503" s="12">
        <v>19401</v>
      </c>
      <c r="L1503" s="10" t="s">
        <v>101</v>
      </c>
      <c r="M1503" s="10" t="s">
        <v>102</v>
      </c>
      <c r="N1503" s="124" t="s">
        <v>423</v>
      </c>
      <c r="O1503" s="124" t="s">
        <v>423</v>
      </c>
      <c r="P1503" s="21">
        <v>33</v>
      </c>
      <c r="Q1503" s="10" t="s">
        <v>54</v>
      </c>
      <c r="R1503" s="10" t="s">
        <v>28</v>
      </c>
      <c r="S1503" s="10"/>
      <c r="T1503" s="10"/>
      <c r="U1503" s="10" t="s">
        <v>2494</v>
      </c>
      <c r="V1503" s="10" t="s">
        <v>2494</v>
      </c>
      <c r="W1503" s="50">
        <f>+J1503/$W$2</f>
        <v>8.7220947776126741E-6</v>
      </c>
    </row>
    <row r="1504" spans="1:29">
      <c r="A1504" s="10" t="s">
        <v>400</v>
      </c>
      <c r="B1504" s="10" t="s">
        <v>381</v>
      </c>
      <c r="C1504" s="124">
        <v>46343</v>
      </c>
      <c r="D1504" s="124" t="s">
        <v>492</v>
      </c>
      <c r="E1504" s="21">
        <v>0.95389928000000002</v>
      </c>
      <c r="F1504" s="10"/>
      <c r="G1504" s="14">
        <v>9450000</v>
      </c>
      <c r="H1504" s="14">
        <v>9014348.2300000004</v>
      </c>
      <c r="I1504" s="14">
        <v>9450000</v>
      </c>
      <c r="J1504" s="14">
        <v>9014348.2300000004</v>
      </c>
      <c r="K1504" s="12">
        <v>66335143</v>
      </c>
      <c r="L1504" s="10" t="s">
        <v>101</v>
      </c>
      <c r="M1504" s="10" t="s">
        <v>102</v>
      </c>
      <c r="N1504" s="124" t="s">
        <v>277</v>
      </c>
      <c r="O1504" s="124" t="s">
        <v>277</v>
      </c>
      <c r="P1504" s="21">
        <v>36</v>
      </c>
      <c r="Q1504" s="10" t="s">
        <v>54</v>
      </c>
      <c r="R1504" s="10" t="s">
        <v>28</v>
      </c>
      <c r="S1504" s="10"/>
      <c r="T1504" s="10"/>
      <c r="U1504" s="10" t="s">
        <v>498</v>
      </c>
      <c r="V1504" s="10" t="s">
        <v>498</v>
      </c>
      <c r="W1504" s="50">
        <f>+J1504/$W$2</f>
        <v>1.198418728982384E-4</v>
      </c>
      <c r="AC1504" s="47"/>
    </row>
    <row r="1505" spans="1:29">
      <c r="A1505" s="10" t="s">
        <v>382</v>
      </c>
      <c r="B1505" s="10" t="s">
        <v>381</v>
      </c>
      <c r="C1505" s="124">
        <v>46343</v>
      </c>
      <c r="D1505" s="124" t="s">
        <v>492</v>
      </c>
      <c r="E1505" s="21">
        <v>0.95757804000000002</v>
      </c>
      <c r="F1505" s="10"/>
      <c r="G1505" s="14">
        <v>2500000</v>
      </c>
      <c r="H1505" s="14">
        <v>2393945.11</v>
      </c>
      <c r="I1505" s="14">
        <v>2500000</v>
      </c>
      <c r="J1505" s="14">
        <v>2393945.11</v>
      </c>
      <c r="K1505" s="12">
        <v>1020</v>
      </c>
      <c r="L1505" s="10" t="s">
        <v>101</v>
      </c>
      <c r="M1505" s="10" t="s">
        <v>102</v>
      </c>
      <c r="N1505" s="124" t="s">
        <v>163</v>
      </c>
      <c r="O1505" s="124" t="s">
        <v>163</v>
      </c>
      <c r="P1505" s="21">
        <v>33</v>
      </c>
      <c r="Q1505" s="10" t="s">
        <v>54</v>
      </c>
      <c r="R1505" s="10" t="s">
        <v>28</v>
      </c>
      <c r="S1505" s="10"/>
      <c r="T1505" s="10"/>
      <c r="U1505" s="10" t="s">
        <v>1644</v>
      </c>
      <c r="V1505" s="10" t="s">
        <v>1644</v>
      </c>
      <c r="W1505" s="50">
        <f>+J1505/$W$2</f>
        <v>3.1826468012760507E-5</v>
      </c>
    </row>
    <row r="1506" spans="1:29">
      <c r="A1506" s="10" t="s">
        <v>386</v>
      </c>
      <c r="B1506" s="10" t="s">
        <v>381</v>
      </c>
      <c r="C1506" s="124">
        <v>46343</v>
      </c>
      <c r="D1506" s="124" t="s">
        <v>492</v>
      </c>
      <c r="E1506" s="21">
        <v>0.95146255000000002</v>
      </c>
      <c r="F1506" s="10"/>
      <c r="G1506" s="14">
        <v>45200000</v>
      </c>
      <c r="H1506" s="14">
        <v>43006107.259999998</v>
      </c>
      <c r="I1506" s="14">
        <v>45200000</v>
      </c>
      <c r="J1506" s="14">
        <v>43006107.259999998</v>
      </c>
      <c r="K1506" s="12">
        <v>163278</v>
      </c>
      <c r="L1506" s="10" t="s">
        <v>101</v>
      </c>
      <c r="M1506" s="10" t="s">
        <v>102</v>
      </c>
      <c r="N1506" s="124" t="s">
        <v>416</v>
      </c>
      <c r="O1506" s="124" t="s">
        <v>416</v>
      </c>
      <c r="P1506" s="21">
        <v>38</v>
      </c>
      <c r="Q1506" s="10" t="s">
        <v>54</v>
      </c>
      <c r="R1506" s="10" t="s">
        <v>28</v>
      </c>
      <c r="S1506" s="10"/>
      <c r="T1506" s="10"/>
      <c r="U1506" s="10" t="s">
        <v>2159</v>
      </c>
      <c r="V1506" s="10" t="s">
        <v>2159</v>
      </c>
      <c r="W1506" s="50">
        <f>+J1506/$W$2</f>
        <v>5.7174765258662824E-4</v>
      </c>
    </row>
    <row r="1507" spans="1:29">
      <c r="A1507" s="10" t="s">
        <v>386</v>
      </c>
      <c r="B1507" s="10" t="s">
        <v>381</v>
      </c>
      <c r="C1507" s="124">
        <v>46343</v>
      </c>
      <c r="D1507" s="124" t="s">
        <v>492</v>
      </c>
      <c r="E1507" s="21">
        <v>0.95146255000000002</v>
      </c>
      <c r="F1507" s="10"/>
      <c r="G1507" s="14">
        <v>25000000</v>
      </c>
      <c r="H1507" s="14">
        <v>23786563.75</v>
      </c>
      <c r="I1507" s="14">
        <v>25000000</v>
      </c>
      <c r="J1507" s="14">
        <v>23786563.75</v>
      </c>
      <c r="K1507" s="12">
        <v>163279</v>
      </c>
      <c r="L1507" s="10" t="s">
        <v>101</v>
      </c>
      <c r="M1507" s="10" t="s">
        <v>102</v>
      </c>
      <c r="N1507" s="124" t="s">
        <v>416</v>
      </c>
      <c r="O1507" s="124" t="s">
        <v>416</v>
      </c>
      <c r="P1507" s="21">
        <v>38</v>
      </c>
      <c r="Q1507" s="10" t="s">
        <v>54</v>
      </c>
      <c r="R1507" s="10" t="s">
        <v>28</v>
      </c>
      <c r="S1507" s="10"/>
      <c r="T1507" s="10"/>
      <c r="U1507" s="10" t="s">
        <v>2160</v>
      </c>
      <c r="V1507" s="10" t="s">
        <v>2160</v>
      </c>
      <c r="W1507" s="50">
        <f>+J1507/$W$2</f>
        <v>3.1623210873154217E-4</v>
      </c>
    </row>
    <row r="1508" spans="1:29">
      <c r="A1508" s="10" t="s">
        <v>477</v>
      </c>
      <c r="B1508" s="10" t="s">
        <v>381</v>
      </c>
      <c r="C1508" s="124">
        <v>46344</v>
      </c>
      <c r="D1508" s="124" t="s">
        <v>492</v>
      </c>
      <c r="E1508" s="21">
        <v>0.96306069000000005</v>
      </c>
      <c r="F1508" s="10"/>
      <c r="G1508" s="14">
        <v>8000000</v>
      </c>
      <c r="H1508" s="14">
        <v>7704485.5099999998</v>
      </c>
      <c r="I1508" s="14">
        <v>8000000</v>
      </c>
      <c r="J1508" s="14">
        <v>7704485.5099999998</v>
      </c>
      <c r="K1508" s="12">
        <v>6491</v>
      </c>
      <c r="L1508" s="10" t="s">
        <v>101</v>
      </c>
      <c r="M1508" s="10" t="s">
        <v>102</v>
      </c>
      <c r="N1508" s="124" t="s">
        <v>422</v>
      </c>
      <c r="O1508" s="124" t="s">
        <v>422</v>
      </c>
      <c r="P1508" s="21">
        <v>28</v>
      </c>
      <c r="Q1508" s="10" t="s">
        <v>54</v>
      </c>
      <c r="R1508" s="10" t="s">
        <v>28</v>
      </c>
      <c r="S1508" s="10"/>
      <c r="T1508" s="10"/>
      <c r="U1508" s="10" t="s">
        <v>2725</v>
      </c>
      <c r="V1508" s="10" t="s">
        <v>2725</v>
      </c>
      <c r="W1508" s="50">
        <f>+J1508/$W$2</f>
        <v>1.0242781282432655E-4</v>
      </c>
      <c r="AC1508" s="47"/>
    </row>
    <row r="1509" spans="1:29">
      <c r="A1509" s="10" t="s">
        <v>382</v>
      </c>
      <c r="B1509" s="10" t="s">
        <v>381</v>
      </c>
      <c r="C1509" s="124">
        <v>46344</v>
      </c>
      <c r="D1509" s="124" t="s">
        <v>492</v>
      </c>
      <c r="E1509" s="21">
        <v>0.95800538000000002</v>
      </c>
      <c r="F1509" s="10"/>
      <c r="G1509" s="14">
        <v>3000000</v>
      </c>
      <c r="H1509" s="14">
        <v>2874016.13</v>
      </c>
      <c r="I1509" s="14">
        <v>3000000</v>
      </c>
      <c r="J1509" s="14">
        <v>2874016.13</v>
      </c>
      <c r="K1509" s="12">
        <v>1058</v>
      </c>
      <c r="L1509" s="10" t="s">
        <v>101</v>
      </c>
      <c r="M1509" s="10" t="s">
        <v>102</v>
      </c>
      <c r="N1509" s="124" t="s">
        <v>398</v>
      </c>
      <c r="O1509" s="124" t="s">
        <v>398</v>
      </c>
      <c r="P1509" s="21">
        <v>32</v>
      </c>
      <c r="Q1509" s="10" t="s">
        <v>54</v>
      </c>
      <c r="R1509" s="10" t="s">
        <v>28</v>
      </c>
      <c r="S1509" s="10"/>
      <c r="T1509" s="10"/>
      <c r="U1509" s="10" t="s">
        <v>1744</v>
      </c>
      <c r="V1509" s="10" t="s">
        <v>1744</v>
      </c>
      <c r="W1509" s="50">
        <f>+J1509/$W$2</f>
        <v>3.8208805225948871E-5</v>
      </c>
    </row>
    <row r="1510" spans="1:29">
      <c r="A1510" s="10" t="s">
        <v>3148</v>
      </c>
      <c r="B1510" s="10" t="s">
        <v>381</v>
      </c>
      <c r="C1510" s="124">
        <v>46344</v>
      </c>
      <c r="D1510" s="124" t="s">
        <v>492</v>
      </c>
      <c r="E1510" s="21">
        <v>0.95674977000000005</v>
      </c>
      <c r="F1510" s="10"/>
      <c r="G1510" s="14">
        <v>8574172.7400000002</v>
      </c>
      <c r="H1510" s="14">
        <v>8203337.8300000001</v>
      </c>
      <c r="I1510" s="14">
        <v>8574172.7400000002</v>
      </c>
      <c r="J1510" s="14">
        <v>8203337.8300000001</v>
      </c>
      <c r="K1510" s="12">
        <v>81454508</v>
      </c>
      <c r="L1510" s="10" t="s">
        <v>101</v>
      </c>
      <c r="M1510" s="10" t="s">
        <v>102</v>
      </c>
      <c r="N1510" s="124" t="s">
        <v>532</v>
      </c>
      <c r="O1510" s="124" t="s">
        <v>532</v>
      </c>
      <c r="P1510" s="21">
        <v>33</v>
      </c>
      <c r="Q1510" s="10" t="s">
        <v>54</v>
      </c>
      <c r="R1510" s="10" t="s">
        <v>28</v>
      </c>
      <c r="S1510" s="10"/>
      <c r="T1510" s="10"/>
      <c r="U1510" s="10" t="s">
        <v>3120</v>
      </c>
      <c r="V1510" s="10" t="s">
        <v>3120</v>
      </c>
      <c r="W1510" s="50">
        <f>+J1510/$W$2</f>
        <v>1.0905983932286703E-4</v>
      </c>
      <c r="AC1510" s="47"/>
    </row>
    <row r="1511" spans="1:29">
      <c r="A1511" s="10" t="s">
        <v>3151</v>
      </c>
      <c r="B1511" s="10" t="s">
        <v>381</v>
      </c>
      <c r="C1511" s="124">
        <v>46344</v>
      </c>
      <c r="D1511" s="124" t="s">
        <v>492</v>
      </c>
      <c r="E1511" s="21">
        <v>0.95674977000000005</v>
      </c>
      <c r="F1511" s="10"/>
      <c r="G1511" s="14">
        <v>1885862.4</v>
      </c>
      <c r="H1511" s="14">
        <v>1804298.42</v>
      </c>
      <c r="I1511" s="14">
        <v>1885862.4</v>
      </c>
      <c r="J1511" s="14">
        <v>1804298.42</v>
      </c>
      <c r="K1511" s="12">
        <v>565</v>
      </c>
      <c r="L1511" s="10" t="s">
        <v>101</v>
      </c>
      <c r="M1511" s="10" t="s">
        <v>102</v>
      </c>
      <c r="N1511" s="124" t="s">
        <v>532</v>
      </c>
      <c r="O1511" s="124" t="s">
        <v>532</v>
      </c>
      <c r="P1511" s="21">
        <v>33</v>
      </c>
      <c r="Q1511" s="10" t="s">
        <v>54</v>
      </c>
      <c r="R1511" s="10" t="s">
        <v>28</v>
      </c>
      <c r="S1511" s="10"/>
      <c r="T1511" s="10"/>
      <c r="U1511" s="10" t="s">
        <v>3125</v>
      </c>
      <c r="V1511" s="10" t="s">
        <v>3125</v>
      </c>
      <c r="W1511" s="50">
        <f>+J1511/$W$2</f>
        <v>2.3987369513916853E-5</v>
      </c>
      <c r="AC1511" s="47"/>
    </row>
    <row r="1512" spans="1:29">
      <c r="A1512" s="10" t="s">
        <v>3462</v>
      </c>
      <c r="B1512" s="10" t="s">
        <v>381</v>
      </c>
      <c r="C1512" s="124">
        <v>46344</v>
      </c>
      <c r="D1512" s="124" t="s">
        <v>492</v>
      </c>
      <c r="E1512" s="21">
        <v>0.96052636999999996</v>
      </c>
      <c r="F1512" s="10"/>
      <c r="G1512" s="14">
        <v>9087933.1199999992</v>
      </c>
      <c r="H1512" s="14">
        <v>8729199.4000000004</v>
      </c>
      <c r="I1512" s="14">
        <v>9087933.1199999992</v>
      </c>
      <c r="J1512" s="14">
        <v>8729199.4000000004</v>
      </c>
      <c r="K1512" s="12">
        <v>20619376</v>
      </c>
      <c r="L1512" s="10" t="s">
        <v>101</v>
      </c>
      <c r="M1512" s="10" t="s">
        <v>102</v>
      </c>
      <c r="N1512" s="124" t="s">
        <v>531</v>
      </c>
      <c r="O1512" s="124" t="s">
        <v>531</v>
      </c>
      <c r="P1512" s="21">
        <v>30</v>
      </c>
      <c r="Q1512" s="10" t="s">
        <v>54</v>
      </c>
      <c r="R1512" s="10" t="s">
        <v>28</v>
      </c>
      <c r="S1512" s="10"/>
      <c r="T1512" s="10"/>
      <c r="U1512" s="10" t="s">
        <v>3439</v>
      </c>
      <c r="V1512" s="10" t="s">
        <v>3439</v>
      </c>
      <c r="W1512" s="50">
        <f>+J1512/$W$2</f>
        <v>1.1605094215427031E-4</v>
      </c>
    </row>
    <row r="1513" spans="1:29">
      <c r="A1513" s="10" t="s">
        <v>180</v>
      </c>
      <c r="B1513" s="10" t="s">
        <v>381</v>
      </c>
      <c r="C1513" s="124">
        <v>46344</v>
      </c>
      <c r="D1513" s="124" t="s">
        <v>492</v>
      </c>
      <c r="E1513" s="21">
        <v>0.96433292999999998</v>
      </c>
      <c r="F1513" s="10"/>
      <c r="G1513" s="14">
        <v>918585.17</v>
      </c>
      <c r="H1513" s="14">
        <v>885821.93</v>
      </c>
      <c r="I1513" s="14">
        <v>918585.17</v>
      </c>
      <c r="J1513" s="14">
        <v>885821.93</v>
      </c>
      <c r="K1513" s="12">
        <v>677250</v>
      </c>
      <c r="L1513" s="10" t="s">
        <v>101</v>
      </c>
      <c r="M1513" s="10" t="s">
        <v>102</v>
      </c>
      <c r="N1513" s="124" t="s">
        <v>551</v>
      </c>
      <c r="O1513" s="124" t="s">
        <v>551</v>
      </c>
      <c r="P1513" s="21">
        <v>27</v>
      </c>
      <c r="Q1513" s="10" t="s">
        <v>54</v>
      </c>
      <c r="R1513" s="10" t="s">
        <v>28</v>
      </c>
      <c r="S1513" s="10"/>
      <c r="T1513" s="10"/>
      <c r="U1513" s="10" t="s">
        <v>2203</v>
      </c>
      <c r="V1513" s="10" t="s">
        <v>2203</v>
      </c>
      <c r="W1513" s="50">
        <f>+J1513/$W$2</f>
        <v>1.1776620609378458E-5</v>
      </c>
    </row>
    <row r="1514" spans="1:29">
      <c r="A1514" s="10" t="s">
        <v>180</v>
      </c>
      <c r="B1514" s="10" t="s">
        <v>381</v>
      </c>
      <c r="C1514" s="124">
        <v>46344</v>
      </c>
      <c r="D1514" s="124" t="s">
        <v>492</v>
      </c>
      <c r="E1514" s="21">
        <v>0.96433292999999998</v>
      </c>
      <c r="F1514" s="10"/>
      <c r="G1514" s="14">
        <v>918585.17</v>
      </c>
      <c r="H1514" s="14">
        <v>885821.93</v>
      </c>
      <c r="I1514" s="14">
        <v>918585.17</v>
      </c>
      <c r="J1514" s="14">
        <v>885821.93</v>
      </c>
      <c r="K1514" s="12">
        <v>677264</v>
      </c>
      <c r="L1514" s="10" t="s">
        <v>101</v>
      </c>
      <c r="M1514" s="10" t="s">
        <v>102</v>
      </c>
      <c r="N1514" s="124" t="s">
        <v>551</v>
      </c>
      <c r="O1514" s="124" t="s">
        <v>551</v>
      </c>
      <c r="P1514" s="21">
        <v>27</v>
      </c>
      <c r="Q1514" s="10" t="s">
        <v>54</v>
      </c>
      <c r="R1514" s="10" t="s">
        <v>28</v>
      </c>
      <c r="S1514" s="10"/>
      <c r="T1514" s="10"/>
      <c r="U1514" s="10" t="s">
        <v>2208</v>
      </c>
      <c r="V1514" s="10" t="s">
        <v>2208</v>
      </c>
      <c r="W1514" s="50">
        <f>+J1514/$W$2</f>
        <v>1.1776620609378458E-5</v>
      </c>
    </row>
    <row r="1515" spans="1:29">
      <c r="A1515" s="10" t="s">
        <v>180</v>
      </c>
      <c r="B1515" s="10" t="s">
        <v>381</v>
      </c>
      <c r="C1515" s="124">
        <v>46344</v>
      </c>
      <c r="D1515" s="124" t="s">
        <v>492</v>
      </c>
      <c r="E1515" s="21">
        <v>0.96433292999999998</v>
      </c>
      <c r="F1515" s="10"/>
      <c r="G1515" s="14">
        <v>918585.17</v>
      </c>
      <c r="H1515" s="14">
        <v>885821.93</v>
      </c>
      <c r="I1515" s="14">
        <v>918585.17</v>
      </c>
      <c r="J1515" s="14">
        <v>885821.93</v>
      </c>
      <c r="K1515" s="12">
        <v>670020</v>
      </c>
      <c r="L1515" s="10" t="s">
        <v>101</v>
      </c>
      <c r="M1515" s="10" t="s">
        <v>102</v>
      </c>
      <c r="N1515" s="124" t="s">
        <v>551</v>
      </c>
      <c r="O1515" s="124" t="s">
        <v>551</v>
      </c>
      <c r="P1515" s="21">
        <v>27</v>
      </c>
      <c r="Q1515" s="10" t="s">
        <v>54</v>
      </c>
      <c r="R1515" s="10" t="s">
        <v>28</v>
      </c>
      <c r="S1515" s="10"/>
      <c r="T1515" s="10"/>
      <c r="U1515" s="10" t="s">
        <v>2214</v>
      </c>
      <c r="V1515" s="10" t="s">
        <v>2214</v>
      </c>
      <c r="W1515" s="50">
        <f>+J1515/$W$2</f>
        <v>1.1776620609378458E-5</v>
      </c>
    </row>
    <row r="1516" spans="1:29">
      <c r="A1516" s="10" t="s">
        <v>180</v>
      </c>
      <c r="B1516" s="10" t="s">
        <v>381</v>
      </c>
      <c r="C1516" s="124">
        <v>46344</v>
      </c>
      <c r="D1516" s="124" t="s">
        <v>492</v>
      </c>
      <c r="E1516" s="21">
        <v>0.96433292999999998</v>
      </c>
      <c r="F1516" s="10"/>
      <c r="G1516" s="14">
        <v>918585.17</v>
      </c>
      <c r="H1516" s="14">
        <v>885821.93</v>
      </c>
      <c r="I1516" s="14">
        <v>918585.17</v>
      </c>
      <c r="J1516" s="14">
        <v>885821.93</v>
      </c>
      <c r="K1516" s="12">
        <v>677274</v>
      </c>
      <c r="L1516" s="10" t="s">
        <v>101</v>
      </c>
      <c r="M1516" s="10" t="s">
        <v>102</v>
      </c>
      <c r="N1516" s="124" t="s">
        <v>551</v>
      </c>
      <c r="O1516" s="124" t="s">
        <v>551</v>
      </c>
      <c r="P1516" s="21">
        <v>27</v>
      </c>
      <c r="Q1516" s="10" t="s">
        <v>54</v>
      </c>
      <c r="R1516" s="10" t="s">
        <v>28</v>
      </c>
      <c r="S1516" s="10"/>
      <c r="T1516" s="10"/>
      <c r="U1516" s="10" t="s">
        <v>2215</v>
      </c>
      <c r="V1516" s="10" t="s">
        <v>2215</v>
      </c>
      <c r="W1516" s="50">
        <f>+J1516/$W$2</f>
        <v>1.1776620609378458E-5</v>
      </c>
    </row>
    <row r="1517" spans="1:29">
      <c r="A1517" s="10" t="s">
        <v>180</v>
      </c>
      <c r="B1517" s="10" t="s">
        <v>381</v>
      </c>
      <c r="C1517" s="124">
        <v>46344</v>
      </c>
      <c r="D1517" s="124" t="s">
        <v>492</v>
      </c>
      <c r="E1517" s="21">
        <v>0.96306075999999996</v>
      </c>
      <c r="F1517" s="10"/>
      <c r="G1517" s="14">
        <v>16797939.449999999</v>
      </c>
      <c r="H1517" s="14">
        <v>16177436.41</v>
      </c>
      <c r="I1517" s="14">
        <v>16797939.449999999</v>
      </c>
      <c r="J1517" s="14">
        <v>16177436.41</v>
      </c>
      <c r="K1517" s="12">
        <v>598437</v>
      </c>
      <c r="L1517" s="10" t="s">
        <v>101</v>
      </c>
      <c r="M1517" s="10" t="s">
        <v>102</v>
      </c>
      <c r="N1517" s="124" t="s">
        <v>548</v>
      </c>
      <c r="O1517" s="124" t="s">
        <v>548</v>
      </c>
      <c r="P1517" s="21">
        <v>28</v>
      </c>
      <c r="Q1517" s="10" t="s">
        <v>54</v>
      </c>
      <c r="R1517" s="10" t="s">
        <v>28</v>
      </c>
      <c r="S1517" s="10"/>
      <c r="T1517" s="10"/>
      <c r="U1517" s="10" t="s">
        <v>1397</v>
      </c>
      <c r="V1517" s="10" t="s">
        <v>1397</v>
      </c>
      <c r="W1517" s="50">
        <f>+J1517/$W$2</f>
        <v>2.1507204166069298E-4</v>
      </c>
    </row>
    <row r="1518" spans="1:29">
      <c r="A1518" s="10" t="s">
        <v>180</v>
      </c>
      <c r="B1518" s="10" t="s">
        <v>381</v>
      </c>
      <c r="C1518" s="124">
        <v>46344</v>
      </c>
      <c r="D1518" s="124" t="s">
        <v>492</v>
      </c>
      <c r="E1518" s="21">
        <v>0.96306075999999996</v>
      </c>
      <c r="F1518" s="10"/>
      <c r="G1518" s="14">
        <v>7158904.5</v>
      </c>
      <c r="H1518" s="14">
        <v>6894460.04</v>
      </c>
      <c r="I1518" s="14">
        <v>7158904.5</v>
      </c>
      <c r="J1518" s="14">
        <v>6894460.04</v>
      </c>
      <c r="K1518" s="12">
        <v>654496</v>
      </c>
      <c r="L1518" s="10" t="s">
        <v>101</v>
      </c>
      <c r="M1518" s="10" t="s">
        <v>102</v>
      </c>
      <c r="N1518" s="124" t="s">
        <v>548</v>
      </c>
      <c r="O1518" s="124" t="s">
        <v>548</v>
      </c>
      <c r="P1518" s="21">
        <v>28</v>
      </c>
      <c r="Q1518" s="10" t="s">
        <v>54</v>
      </c>
      <c r="R1518" s="10" t="s">
        <v>28</v>
      </c>
      <c r="S1518" s="10"/>
      <c r="T1518" s="10"/>
      <c r="U1518" s="10" t="s">
        <v>1379</v>
      </c>
      <c r="V1518" s="10" t="s">
        <v>1379</v>
      </c>
      <c r="W1518" s="50">
        <f>+J1518/$W$2</f>
        <v>9.1658873468621659E-5</v>
      </c>
    </row>
    <row r="1519" spans="1:29">
      <c r="A1519" s="10" t="s">
        <v>180</v>
      </c>
      <c r="B1519" s="10" t="s">
        <v>381</v>
      </c>
      <c r="C1519" s="124">
        <v>46344</v>
      </c>
      <c r="D1519" s="124" t="s">
        <v>492</v>
      </c>
      <c r="E1519" s="21">
        <v>0.96306075999999996</v>
      </c>
      <c r="F1519" s="10"/>
      <c r="G1519" s="14">
        <v>15011972.220000001</v>
      </c>
      <c r="H1519" s="14">
        <v>14457441.449999999</v>
      </c>
      <c r="I1519" s="14">
        <v>15011972.220000001</v>
      </c>
      <c r="J1519" s="14">
        <v>14457441.449999999</v>
      </c>
      <c r="K1519" s="12">
        <v>654215</v>
      </c>
      <c r="L1519" s="10" t="s">
        <v>101</v>
      </c>
      <c r="M1519" s="10" t="s">
        <v>102</v>
      </c>
      <c r="N1519" s="124" t="s">
        <v>548</v>
      </c>
      <c r="O1519" s="124" t="s">
        <v>548</v>
      </c>
      <c r="P1519" s="21">
        <v>28</v>
      </c>
      <c r="Q1519" s="10" t="s">
        <v>54</v>
      </c>
      <c r="R1519" s="10" t="s">
        <v>28</v>
      </c>
      <c r="S1519" s="10"/>
      <c r="T1519" s="10"/>
      <c r="U1519" s="10" t="s">
        <v>1384</v>
      </c>
      <c r="V1519" s="10" t="s">
        <v>1384</v>
      </c>
      <c r="W1519" s="50">
        <f>+J1519/$W$2</f>
        <v>1.922054502973892E-4</v>
      </c>
    </row>
    <row r="1520" spans="1:29">
      <c r="A1520" s="10" t="s">
        <v>180</v>
      </c>
      <c r="B1520" s="10" t="s">
        <v>381</v>
      </c>
      <c r="C1520" s="124">
        <v>46344</v>
      </c>
      <c r="D1520" s="124" t="s">
        <v>492</v>
      </c>
      <c r="E1520" s="21">
        <v>0.96306075999999996</v>
      </c>
      <c r="F1520" s="10"/>
      <c r="G1520" s="14">
        <v>8829623.3000000007</v>
      </c>
      <c r="H1520" s="14">
        <v>8503463.7699999996</v>
      </c>
      <c r="I1520" s="14">
        <v>8829623.3000000007</v>
      </c>
      <c r="J1520" s="14">
        <v>8503463.7699999996</v>
      </c>
      <c r="K1520" s="12">
        <v>636510</v>
      </c>
      <c r="L1520" s="10" t="s">
        <v>101</v>
      </c>
      <c r="M1520" s="10" t="s">
        <v>102</v>
      </c>
      <c r="N1520" s="124" t="s">
        <v>548</v>
      </c>
      <c r="O1520" s="124" t="s">
        <v>548</v>
      </c>
      <c r="P1520" s="21">
        <v>28</v>
      </c>
      <c r="Q1520" s="10" t="s">
        <v>54</v>
      </c>
      <c r="R1520" s="10" t="s">
        <v>28</v>
      </c>
      <c r="S1520" s="10"/>
      <c r="T1520" s="10"/>
      <c r="U1520" s="10" t="s">
        <v>1387</v>
      </c>
      <c r="V1520" s="10" t="s">
        <v>1387</v>
      </c>
      <c r="W1520" s="50">
        <f>+J1520/$W$2</f>
        <v>1.1304988428643332E-4</v>
      </c>
    </row>
    <row r="1521" spans="1:23">
      <c r="A1521" s="10" t="s">
        <v>576</v>
      </c>
      <c r="B1521" s="10" t="s">
        <v>381</v>
      </c>
      <c r="C1521" s="124">
        <v>46344</v>
      </c>
      <c r="D1521" s="124" t="s">
        <v>492</v>
      </c>
      <c r="E1521" s="21">
        <v>0.96052636000000002</v>
      </c>
      <c r="F1521" s="10"/>
      <c r="G1521" s="14">
        <v>50000000</v>
      </c>
      <c r="H1521" s="14">
        <v>48026317.75</v>
      </c>
      <c r="I1521" s="14">
        <v>50000000</v>
      </c>
      <c r="J1521" s="14">
        <v>48026317.75</v>
      </c>
      <c r="K1521" s="12">
        <v>68016</v>
      </c>
      <c r="L1521" s="10" t="s">
        <v>101</v>
      </c>
      <c r="M1521" s="10" t="s">
        <v>102</v>
      </c>
      <c r="N1521" s="124" t="s">
        <v>363</v>
      </c>
      <c r="O1521" s="124" t="s">
        <v>363</v>
      </c>
      <c r="P1521" s="21">
        <v>30</v>
      </c>
      <c r="Q1521" s="10" t="s">
        <v>54</v>
      </c>
      <c r="R1521" s="10" t="s">
        <v>28</v>
      </c>
      <c r="S1521" s="10"/>
      <c r="T1521" s="10"/>
      <c r="U1521" s="10" t="s">
        <v>1185</v>
      </c>
      <c r="V1521" s="10" t="s">
        <v>1185</v>
      </c>
      <c r="W1521" s="50">
        <f>+J1521/$W$2</f>
        <v>6.3848918642961177E-4</v>
      </c>
    </row>
    <row r="1522" spans="1:23">
      <c r="A1522" s="10" t="s">
        <v>3269</v>
      </c>
      <c r="B1522" s="10" t="s">
        <v>381</v>
      </c>
      <c r="C1522" s="124">
        <v>46344</v>
      </c>
      <c r="D1522" s="124" t="s">
        <v>492</v>
      </c>
      <c r="E1522" s="21">
        <v>0.96560860999999998</v>
      </c>
      <c r="F1522" s="10"/>
      <c r="G1522" s="14">
        <v>150000000</v>
      </c>
      <c r="H1522" s="14">
        <v>144841291.11000001</v>
      </c>
      <c r="I1522" s="14">
        <v>150000000</v>
      </c>
      <c r="J1522" s="14">
        <v>144841291.11000001</v>
      </c>
      <c r="K1522" s="12">
        <v>360</v>
      </c>
      <c r="L1522" s="10" t="s">
        <v>101</v>
      </c>
      <c r="M1522" s="10" t="s">
        <v>102</v>
      </c>
      <c r="N1522" s="124" t="s">
        <v>472</v>
      </c>
      <c r="O1522" s="124" t="s">
        <v>472</v>
      </c>
      <c r="P1522" s="21">
        <v>26</v>
      </c>
      <c r="Q1522" s="10" t="s">
        <v>54</v>
      </c>
      <c r="R1522" s="10" t="s">
        <v>28</v>
      </c>
      <c r="S1522" s="10"/>
      <c r="T1522" s="10"/>
      <c r="U1522" s="10" t="s">
        <v>3179</v>
      </c>
      <c r="V1522" s="10" t="s">
        <v>3179</v>
      </c>
      <c r="W1522" s="50">
        <f>+J1522/$W$2</f>
        <v>1.9256025124316024E-3</v>
      </c>
    </row>
    <row r="1523" spans="1:23">
      <c r="A1523" s="10" t="s">
        <v>849</v>
      </c>
      <c r="B1523" s="10" t="s">
        <v>381</v>
      </c>
      <c r="C1523" s="124">
        <v>46344</v>
      </c>
      <c r="D1523" s="124" t="s">
        <v>492</v>
      </c>
      <c r="E1523" s="21">
        <v>0.95176019000000001</v>
      </c>
      <c r="F1523" s="10"/>
      <c r="G1523" s="14">
        <v>25000000</v>
      </c>
      <c r="H1523" s="14">
        <v>23794004.75</v>
      </c>
      <c r="I1523" s="14">
        <v>25000000</v>
      </c>
      <c r="J1523" s="14">
        <v>23794004.75</v>
      </c>
      <c r="K1523" s="12">
        <v>2659</v>
      </c>
      <c r="L1523" s="10" t="s">
        <v>101</v>
      </c>
      <c r="M1523" s="10" t="s">
        <v>102</v>
      </c>
      <c r="N1523" s="124" t="s">
        <v>425</v>
      </c>
      <c r="O1523" s="124" t="s">
        <v>425</v>
      </c>
      <c r="P1523" s="21">
        <v>37</v>
      </c>
      <c r="Q1523" s="10" t="s">
        <v>54</v>
      </c>
      <c r="R1523" s="10" t="s">
        <v>28</v>
      </c>
      <c r="S1523" s="10"/>
      <c r="T1523" s="10"/>
      <c r="U1523" s="10" t="s">
        <v>1709</v>
      </c>
      <c r="V1523" s="10" t="s">
        <v>1709</v>
      </c>
      <c r="W1523" s="50">
        <f>+J1523/$W$2</f>
        <v>3.1633103361812114E-4</v>
      </c>
    </row>
    <row r="1524" spans="1:23">
      <c r="A1524" s="10" t="s">
        <v>2600</v>
      </c>
      <c r="B1524" s="10" t="s">
        <v>381</v>
      </c>
      <c r="C1524" s="124">
        <v>46344</v>
      </c>
      <c r="D1524" s="124" t="s">
        <v>492</v>
      </c>
      <c r="E1524" s="21">
        <v>0.95674977999999999</v>
      </c>
      <c r="F1524" s="10"/>
      <c r="G1524" s="14">
        <v>5300000</v>
      </c>
      <c r="H1524" s="14">
        <v>5070773.84</v>
      </c>
      <c r="I1524" s="14">
        <v>5300000</v>
      </c>
      <c r="J1524" s="14">
        <v>5070773.84</v>
      </c>
      <c r="K1524" s="12">
        <v>8175683</v>
      </c>
      <c r="L1524" s="10" t="s">
        <v>101</v>
      </c>
      <c r="M1524" s="10" t="s">
        <v>102</v>
      </c>
      <c r="N1524" s="124" t="s">
        <v>423</v>
      </c>
      <c r="O1524" s="124" t="s">
        <v>423</v>
      </c>
      <c r="P1524" s="21">
        <v>33</v>
      </c>
      <c r="Q1524" s="10" t="s">
        <v>54</v>
      </c>
      <c r="R1524" s="10" t="s">
        <v>28</v>
      </c>
      <c r="S1524" s="10"/>
      <c r="T1524" s="10"/>
      <c r="U1524" s="10" t="s">
        <v>2475</v>
      </c>
      <c r="V1524" s="10" t="s">
        <v>2475</v>
      </c>
      <c r="W1524" s="50">
        <f>+J1524/$W$2</f>
        <v>6.7413751779255615E-5</v>
      </c>
    </row>
    <row r="1525" spans="1:23">
      <c r="A1525" s="10" t="s">
        <v>2616</v>
      </c>
      <c r="B1525" s="10" t="s">
        <v>381</v>
      </c>
      <c r="C1525" s="124">
        <v>46344</v>
      </c>
      <c r="D1525" s="124" t="s">
        <v>492</v>
      </c>
      <c r="E1525" s="21">
        <v>0.95800534999999998</v>
      </c>
      <c r="F1525" s="10"/>
      <c r="G1525" s="14">
        <v>2112204.7400000002</v>
      </c>
      <c r="H1525" s="14">
        <v>2023503.44</v>
      </c>
      <c r="I1525" s="14">
        <v>2112204.7400000002</v>
      </c>
      <c r="J1525" s="14">
        <v>2023503.44</v>
      </c>
      <c r="K1525" s="12">
        <v>213</v>
      </c>
      <c r="L1525" s="10" t="s">
        <v>101</v>
      </c>
      <c r="M1525" s="10" t="s">
        <v>102</v>
      </c>
      <c r="N1525" s="124" t="s">
        <v>423</v>
      </c>
      <c r="O1525" s="124" t="s">
        <v>423</v>
      </c>
      <c r="P1525" s="21">
        <v>32</v>
      </c>
      <c r="Q1525" s="10" t="s">
        <v>54</v>
      </c>
      <c r="R1525" s="10" t="s">
        <v>28</v>
      </c>
      <c r="S1525" s="10"/>
      <c r="T1525" s="10"/>
      <c r="U1525" s="10" t="s">
        <v>2564</v>
      </c>
      <c r="V1525" s="10" t="s">
        <v>2564</v>
      </c>
      <c r="W1525" s="50">
        <f>+J1525/$W$2</f>
        <v>2.6901605737681621E-5</v>
      </c>
    </row>
    <row r="1526" spans="1:23">
      <c r="A1526" s="10" t="s">
        <v>2620</v>
      </c>
      <c r="B1526" s="10" t="s">
        <v>381</v>
      </c>
      <c r="C1526" s="124">
        <v>46344</v>
      </c>
      <c r="D1526" s="124" t="s">
        <v>492</v>
      </c>
      <c r="E1526" s="21">
        <v>0.95800536000000003</v>
      </c>
      <c r="F1526" s="10"/>
      <c r="G1526" s="14">
        <v>1566916.35</v>
      </c>
      <c r="H1526" s="14">
        <v>1501114.26</v>
      </c>
      <c r="I1526" s="14">
        <v>1566916.35</v>
      </c>
      <c r="J1526" s="14">
        <v>1501114.26</v>
      </c>
      <c r="K1526" s="12">
        <v>1181</v>
      </c>
      <c r="L1526" s="10" t="s">
        <v>101</v>
      </c>
      <c r="M1526" s="10" t="s">
        <v>102</v>
      </c>
      <c r="N1526" s="124" t="s">
        <v>423</v>
      </c>
      <c r="O1526" s="124" t="s">
        <v>423</v>
      </c>
      <c r="P1526" s="21">
        <v>32</v>
      </c>
      <c r="Q1526" s="10" t="s">
        <v>54</v>
      </c>
      <c r="R1526" s="10" t="s">
        <v>28</v>
      </c>
      <c r="S1526" s="10"/>
      <c r="T1526" s="10"/>
      <c r="U1526" s="10" t="s">
        <v>2580</v>
      </c>
      <c r="V1526" s="10" t="s">
        <v>2580</v>
      </c>
      <c r="W1526" s="50">
        <f>+J1526/$W$2</f>
        <v>1.9956666834098241E-5</v>
      </c>
    </row>
    <row r="1527" spans="1:23">
      <c r="A1527" s="10" t="s">
        <v>2622</v>
      </c>
      <c r="B1527" s="10" t="s">
        <v>381</v>
      </c>
      <c r="C1527" s="124">
        <v>46344</v>
      </c>
      <c r="D1527" s="124" t="s">
        <v>492</v>
      </c>
      <c r="E1527" s="21">
        <v>0.95800536000000003</v>
      </c>
      <c r="F1527" s="10"/>
      <c r="G1527" s="14">
        <v>5000000</v>
      </c>
      <c r="H1527" s="14">
        <v>4790026.78</v>
      </c>
      <c r="I1527" s="14">
        <v>5000000</v>
      </c>
      <c r="J1527" s="14">
        <v>4790026.78</v>
      </c>
      <c r="K1527" s="12">
        <v>1268</v>
      </c>
      <c r="L1527" s="10" t="s">
        <v>101</v>
      </c>
      <c r="M1527" s="10" t="s">
        <v>102</v>
      </c>
      <c r="N1527" s="124" t="s">
        <v>423</v>
      </c>
      <c r="O1527" s="124" t="s">
        <v>423</v>
      </c>
      <c r="P1527" s="21">
        <v>32</v>
      </c>
      <c r="Q1527" s="10" t="s">
        <v>54</v>
      </c>
      <c r="R1527" s="10" t="s">
        <v>28</v>
      </c>
      <c r="S1527" s="10"/>
      <c r="T1527" s="10"/>
      <c r="U1527" s="10" t="s">
        <v>2585</v>
      </c>
      <c r="V1527" s="10" t="s">
        <v>2585</v>
      </c>
      <c r="W1527" s="50">
        <f>+J1527/$W$2</f>
        <v>6.3681340669476016E-5</v>
      </c>
    </row>
    <row r="1528" spans="1:23">
      <c r="A1528" s="10" t="s">
        <v>2624</v>
      </c>
      <c r="B1528" s="10" t="s">
        <v>381</v>
      </c>
      <c r="C1528" s="124">
        <v>46344</v>
      </c>
      <c r="D1528" s="124" t="s">
        <v>492</v>
      </c>
      <c r="E1528" s="21">
        <v>0.95674977999999999</v>
      </c>
      <c r="F1528" s="10"/>
      <c r="G1528" s="14">
        <v>375000000</v>
      </c>
      <c r="H1528" s="14">
        <v>358781168.50999999</v>
      </c>
      <c r="I1528" s="14">
        <v>375000000</v>
      </c>
      <c r="J1528" s="14">
        <v>358781168.50999999</v>
      </c>
      <c r="K1528" s="12">
        <v>91648903</v>
      </c>
      <c r="L1528" s="10" t="s">
        <v>101</v>
      </c>
      <c r="M1528" s="10" t="s">
        <v>102</v>
      </c>
      <c r="N1528" s="124" t="s">
        <v>423</v>
      </c>
      <c r="O1528" s="124" t="s">
        <v>423</v>
      </c>
      <c r="P1528" s="21">
        <v>33</v>
      </c>
      <c r="Q1528" s="10" t="s">
        <v>54</v>
      </c>
      <c r="R1528" s="10" t="s">
        <v>28</v>
      </c>
      <c r="S1528" s="10"/>
      <c r="T1528" s="10"/>
      <c r="U1528" s="10" t="s">
        <v>2594</v>
      </c>
      <c r="V1528" s="10" t="s">
        <v>2594</v>
      </c>
      <c r="W1528" s="50">
        <f>+J1528/$W$2</f>
        <v>4.7698409355611138E-3</v>
      </c>
    </row>
    <row r="1529" spans="1:23">
      <c r="A1529" s="10" t="s">
        <v>2699</v>
      </c>
      <c r="B1529" s="10" t="s">
        <v>381</v>
      </c>
      <c r="C1529" s="124">
        <v>46344</v>
      </c>
      <c r="D1529" s="124" t="s">
        <v>492</v>
      </c>
      <c r="E1529" s="21">
        <v>0.95800543000000005</v>
      </c>
      <c r="F1529" s="10"/>
      <c r="G1529" s="14">
        <v>1027513.96</v>
      </c>
      <c r="H1529" s="14">
        <v>984363.95</v>
      </c>
      <c r="I1529" s="14">
        <v>1027513.96</v>
      </c>
      <c r="J1529" s="14">
        <v>984363.95</v>
      </c>
      <c r="K1529" s="12">
        <v>3585515</v>
      </c>
      <c r="L1529" s="10" t="s">
        <v>101</v>
      </c>
      <c r="M1529" s="10" t="s">
        <v>102</v>
      </c>
      <c r="N1529" s="124" t="s">
        <v>420</v>
      </c>
      <c r="O1529" s="124" t="s">
        <v>420</v>
      </c>
      <c r="P1529" s="21">
        <v>32</v>
      </c>
      <c r="Q1529" s="10" t="s">
        <v>54</v>
      </c>
      <c r="R1529" s="10" t="s">
        <v>28</v>
      </c>
      <c r="S1529" s="10"/>
      <c r="T1529" s="10"/>
      <c r="U1529" s="10" t="s">
        <v>2658</v>
      </c>
      <c r="V1529" s="10" t="s">
        <v>2658</v>
      </c>
      <c r="W1529" s="50">
        <f>+J1529/$W$2</f>
        <v>1.3086694275788798E-5</v>
      </c>
    </row>
    <row r="1530" spans="1:23">
      <c r="A1530" s="10" t="s">
        <v>494</v>
      </c>
      <c r="B1530" s="10" t="s">
        <v>381</v>
      </c>
      <c r="C1530" s="124">
        <v>46344</v>
      </c>
      <c r="D1530" s="124" t="s">
        <v>492</v>
      </c>
      <c r="E1530" s="21">
        <v>0.96433290000000005</v>
      </c>
      <c r="F1530" s="10"/>
      <c r="G1530" s="14">
        <v>25000000</v>
      </c>
      <c r="H1530" s="14">
        <v>24108322.390000001</v>
      </c>
      <c r="I1530" s="14">
        <v>25000000</v>
      </c>
      <c r="J1530" s="14">
        <v>24108322.390000001</v>
      </c>
      <c r="K1530" s="12">
        <v>895</v>
      </c>
      <c r="L1530" s="10" t="s">
        <v>101</v>
      </c>
      <c r="M1530" s="10" t="s">
        <v>102</v>
      </c>
      <c r="N1530" s="124" t="s">
        <v>422</v>
      </c>
      <c r="O1530" s="124" t="s">
        <v>422</v>
      </c>
      <c r="P1530" s="21">
        <v>27</v>
      </c>
      <c r="Q1530" s="10" t="s">
        <v>54</v>
      </c>
      <c r="R1530" s="10" t="s">
        <v>28</v>
      </c>
      <c r="S1530" s="10"/>
      <c r="T1530" s="10"/>
      <c r="U1530" s="10" t="s">
        <v>2757</v>
      </c>
      <c r="V1530" s="10" t="s">
        <v>2757</v>
      </c>
      <c r="W1530" s="50">
        <f>+J1530/$W$2</f>
        <v>3.2050975111398987E-4</v>
      </c>
    </row>
    <row r="1531" spans="1:23">
      <c r="A1531" s="10" t="s">
        <v>494</v>
      </c>
      <c r="B1531" s="10" t="s">
        <v>381</v>
      </c>
      <c r="C1531" s="124">
        <v>46344</v>
      </c>
      <c r="D1531" s="124" t="s">
        <v>492</v>
      </c>
      <c r="E1531" s="21">
        <v>0.96433290000000005</v>
      </c>
      <c r="F1531" s="10"/>
      <c r="G1531" s="14">
        <v>25000000</v>
      </c>
      <c r="H1531" s="14">
        <v>24108322.390000001</v>
      </c>
      <c r="I1531" s="14">
        <v>25000000</v>
      </c>
      <c r="J1531" s="14">
        <v>24108322.390000001</v>
      </c>
      <c r="K1531" s="12">
        <v>894</v>
      </c>
      <c r="L1531" s="10" t="s">
        <v>101</v>
      </c>
      <c r="M1531" s="10" t="s">
        <v>102</v>
      </c>
      <c r="N1531" s="124" t="s">
        <v>422</v>
      </c>
      <c r="O1531" s="124" t="s">
        <v>422</v>
      </c>
      <c r="P1531" s="21">
        <v>27</v>
      </c>
      <c r="Q1531" s="10" t="s">
        <v>54</v>
      </c>
      <c r="R1531" s="10" t="s">
        <v>28</v>
      </c>
      <c r="S1531" s="10"/>
      <c r="T1531" s="10"/>
      <c r="U1531" s="10" t="s">
        <v>2759</v>
      </c>
      <c r="V1531" s="10" t="s">
        <v>2759</v>
      </c>
      <c r="W1531" s="50">
        <f>+J1531/$W$2</f>
        <v>3.2050975111398987E-4</v>
      </c>
    </row>
    <row r="1532" spans="1:23">
      <c r="A1532" s="10" t="s">
        <v>494</v>
      </c>
      <c r="B1532" s="10" t="s">
        <v>381</v>
      </c>
      <c r="C1532" s="124">
        <v>46344</v>
      </c>
      <c r="D1532" s="124" t="s">
        <v>492</v>
      </c>
      <c r="E1532" s="21">
        <v>0.96433290000000005</v>
      </c>
      <c r="F1532" s="10"/>
      <c r="G1532" s="14">
        <v>25000000</v>
      </c>
      <c r="H1532" s="14">
        <v>24108322.390000001</v>
      </c>
      <c r="I1532" s="14">
        <v>25000000</v>
      </c>
      <c r="J1532" s="14">
        <v>24108322.390000001</v>
      </c>
      <c r="K1532" s="12">
        <v>896</v>
      </c>
      <c r="L1532" s="10" t="s">
        <v>101</v>
      </c>
      <c r="M1532" s="10" t="s">
        <v>102</v>
      </c>
      <c r="N1532" s="124" t="s">
        <v>422</v>
      </c>
      <c r="O1532" s="124" t="s">
        <v>422</v>
      </c>
      <c r="P1532" s="21">
        <v>27</v>
      </c>
      <c r="Q1532" s="10" t="s">
        <v>54</v>
      </c>
      <c r="R1532" s="10" t="s">
        <v>28</v>
      </c>
      <c r="S1532" s="10"/>
      <c r="T1532" s="10"/>
      <c r="U1532" s="10" t="s">
        <v>2760</v>
      </c>
      <c r="V1532" s="10" t="s">
        <v>2760</v>
      </c>
      <c r="W1532" s="50">
        <f>+J1532/$W$2</f>
        <v>3.2050975111398987E-4</v>
      </c>
    </row>
    <row r="1533" spans="1:23">
      <c r="A1533" s="10" t="s">
        <v>494</v>
      </c>
      <c r="B1533" s="10" t="s">
        <v>381</v>
      </c>
      <c r="C1533" s="124">
        <v>46344</v>
      </c>
      <c r="D1533" s="124" t="s">
        <v>492</v>
      </c>
      <c r="E1533" s="21">
        <v>0.96433294000000003</v>
      </c>
      <c r="F1533" s="10"/>
      <c r="G1533" s="14">
        <v>26231345.640000001</v>
      </c>
      <c r="H1533" s="14">
        <v>25295750.66</v>
      </c>
      <c r="I1533" s="14">
        <v>26231345.640000001</v>
      </c>
      <c r="J1533" s="14">
        <v>25295750.66</v>
      </c>
      <c r="K1533" s="12">
        <v>14072118</v>
      </c>
      <c r="L1533" s="10" t="s">
        <v>101</v>
      </c>
      <c r="M1533" s="10" t="s">
        <v>102</v>
      </c>
      <c r="N1533" s="124" t="s">
        <v>531</v>
      </c>
      <c r="O1533" s="124" t="s">
        <v>531</v>
      </c>
      <c r="P1533" s="21">
        <v>27</v>
      </c>
      <c r="Q1533" s="10" t="s">
        <v>54</v>
      </c>
      <c r="R1533" s="10" t="s">
        <v>28</v>
      </c>
      <c r="S1533" s="10"/>
      <c r="T1533" s="10"/>
      <c r="U1533" s="10" t="s">
        <v>3390</v>
      </c>
      <c r="V1533" s="10" t="s">
        <v>3390</v>
      </c>
      <c r="W1533" s="50">
        <f>+J1533/$W$2</f>
        <v>3.3629609796661359E-4</v>
      </c>
    </row>
    <row r="1534" spans="1:23">
      <c r="A1534" s="10" t="s">
        <v>208</v>
      </c>
      <c r="B1534" s="10" t="s">
        <v>381</v>
      </c>
      <c r="C1534" s="124">
        <v>46344</v>
      </c>
      <c r="D1534" s="124" t="s">
        <v>492</v>
      </c>
      <c r="E1534" s="21">
        <v>0.95674970999999998</v>
      </c>
      <c r="F1534" s="10"/>
      <c r="G1534" s="14">
        <v>2170000</v>
      </c>
      <c r="H1534" s="14">
        <v>2076146.88</v>
      </c>
      <c r="I1534" s="14">
        <v>2170000</v>
      </c>
      <c r="J1534" s="14">
        <v>2076146.88</v>
      </c>
      <c r="K1534" s="12">
        <v>260733</v>
      </c>
      <c r="L1534" s="10" t="s">
        <v>101</v>
      </c>
      <c r="M1534" s="10" t="s">
        <v>102</v>
      </c>
      <c r="N1534" s="124" t="s">
        <v>533</v>
      </c>
      <c r="O1534" s="124" t="s">
        <v>533</v>
      </c>
      <c r="P1534" s="21">
        <v>33</v>
      </c>
      <c r="Q1534" s="10" t="s">
        <v>54</v>
      </c>
      <c r="R1534" s="10" t="s">
        <v>28</v>
      </c>
      <c r="S1534" s="10"/>
      <c r="T1534" s="10"/>
      <c r="U1534" s="10" t="s">
        <v>1874</v>
      </c>
      <c r="V1534" s="10" t="s">
        <v>1874</v>
      </c>
      <c r="W1534" s="50">
        <f>+J1534/$W$2</f>
        <v>2.7601477573607582E-5</v>
      </c>
    </row>
    <row r="1535" spans="1:23">
      <c r="A1535" s="10" t="s">
        <v>141</v>
      </c>
      <c r="B1535" s="10" t="s">
        <v>381</v>
      </c>
      <c r="C1535" s="124">
        <v>46344</v>
      </c>
      <c r="D1535" s="124" t="s">
        <v>492</v>
      </c>
      <c r="E1535" s="21">
        <v>0.95424838000000001</v>
      </c>
      <c r="F1535" s="10"/>
      <c r="G1535" s="14">
        <v>15000000</v>
      </c>
      <c r="H1535" s="14">
        <v>14313725.66</v>
      </c>
      <c r="I1535" s="14">
        <v>15000000</v>
      </c>
      <c r="J1535" s="14">
        <v>14313725.66</v>
      </c>
      <c r="K1535" s="12">
        <v>148</v>
      </c>
      <c r="L1535" s="10" t="s">
        <v>101</v>
      </c>
      <c r="M1535" s="10" t="s">
        <v>102</v>
      </c>
      <c r="N1535" s="124" t="s">
        <v>163</v>
      </c>
      <c r="O1535" s="124" t="s">
        <v>163</v>
      </c>
      <c r="P1535" s="21">
        <v>35</v>
      </c>
      <c r="Q1535" s="10" t="s">
        <v>54</v>
      </c>
      <c r="R1535" s="10" t="s">
        <v>28</v>
      </c>
      <c r="S1535" s="10"/>
      <c r="T1535" s="10"/>
      <c r="U1535" s="10" t="s">
        <v>1619</v>
      </c>
      <c r="V1535" s="10" t="s">
        <v>1619</v>
      </c>
      <c r="W1535" s="50">
        <f>+J1535/$W$2</f>
        <v>1.9029481083691988E-4</v>
      </c>
    </row>
    <row r="1536" spans="1:23">
      <c r="A1536" s="10" t="s">
        <v>273</v>
      </c>
      <c r="B1536" s="10" t="s">
        <v>381</v>
      </c>
      <c r="C1536" s="124">
        <v>46344</v>
      </c>
      <c r="D1536" s="124" t="s">
        <v>492</v>
      </c>
      <c r="E1536" s="21">
        <v>0.96560847000000005</v>
      </c>
      <c r="F1536" s="10"/>
      <c r="G1536" s="14">
        <v>15000000</v>
      </c>
      <c r="H1536" s="14">
        <v>14484127.02</v>
      </c>
      <c r="I1536" s="14">
        <v>15000000</v>
      </c>
      <c r="J1536" s="14">
        <v>14484127.02</v>
      </c>
      <c r="K1536" s="12">
        <v>9621095</v>
      </c>
      <c r="L1536" s="10" t="s">
        <v>101</v>
      </c>
      <c r="M1536" s="10" t="s">
        <v>102</v>
      </c>
      <c r="N1536" s="124" t="s">
        <v>319</v>
      </c>
      <c r="O1536" s="124" t="s">
        <v>319</v>
      </c>
      <c r="P1536" s="21">
        <v>26</v>
      </c>
      <c r="Q1536" s="10" t="s">
        <v>54</v>
      </c>
      <c r="R1536" s="10" t="s">
        <v>28</v>
      </c>
      <c r="S1536" s="10"/>
      <c r="T1536" s="10"/>
      <c r="U1536" s="10" t="s">
        <v>1008</v>
      </c>
      <c r="V1536" s="10" t="s">
        <v>1008</v>
      </c>
      <c r="W1536" s="50">
        <f>+J1536/$W$2</f>
        <v>1.9256022344421681E-4</v>
      </c>
    </row>
    <row r="1537" spans="1:29">
      <c r="A1537" s="10" t="s">
        <v>273</v>
      </c>
      <c r="B1537" s="10" t="s">
        <v>381</v>
      </c>
      <c r="C1537" s="124">
        <v>46344</v>
      </c>
      <c r="D1537" s="124" t="s">
        <v>492</v>
      </c>
      <c r="E1537" s="21">
        <v>0.95926423000000005</v>
      </c>
      <c r="F1537" s="10"/>
      <c r="G1537" s="14">
        <v>15000000</v>
      </c>
      <c r="H1537" s="14">
        <v>14388963.439999999</v>
      </c>
      <c r="I1537" s="14">
        <v>15000000</v>
      </c>
      <c r="J1537" s="14">
        <v>14388963.439999999</v>
      </c>
      <c r="K1537" s="12">
        <v>2438</v>
      </c>
      <c r="L1537" s="10" t="s">
        <v>101</v>
      </c>
      <c r="M1537" s="10" t="s">
        <v>102</v>
      </c>
      <c r="N1537" s="124" t="s">
        <v>322</v>
      </c>
      <c r="O1537" s="124" t="s">
        <v>322</v>
      </c>
      <c r="P1537" s="21">
        <v>31</v>
      </c>
      <c r="Q1537" s="10" t="s">
        <v>54</v>
      </c>
      <c r="R1537" s="10" t="s">
        <v>28</v>
      </c>
      <c r="S1537" s="10"/>
      <c r="T1537" s="10"/>
      <c r="U1537" s="10" t="s">
        <v>1565</v>
      </c>
      <c r="V1537" s="10" t="s">
        <v>1565</v>
      </c>
      <c r="W1537" s="50">
        <f>+J1537/$W$2</f>
        <v>1.9129506468088585E-4</v>
      </c>
    </row>
    <row r="1538" spans="1:29">
      <c r="A1538" s="10" t="s">
        <v>273</v>
      </c>
      <c r="B1538" s="10" t="s">
        <v>381</v>
      </c>
      <c r="C1538" s="124">
        <v>46344</v>
      </c>
      <c r="D1538" s="124" t="s">
        <v>492</v>
      </c>
      <c r="E1538" s="21">
        <v>0.96052641999999999</v>
      </c>
      <c r="F1538" s="10"/>
      <c r="G1538" s="14">
        <v>3000000</v>
      </c>
      <c r="H1538" s="14">
        <v>2881579.25</v>
      </c>
      <c r="I1538" s="14">
        <v>3000000</v>
      </c>
      <c r="J1538" s="14">
        <v>2881579.25</v>
      </c>
      <c r="K1538" s="12">
        <v>12759461</v>
      </c>
      <c r="L1538" s="10" t="s">
        <v>101</v>
      </c>
      <c r="M1538" s="10" t="s">
        <v>102</v>
      </c>
      <c r="N1538" s="124" t="s">
        <v>322</v>
      </c>
      <c r="O1538" s="124" t="s">
        <v>322</v>
      </c>
      <c r="P1538" s="21">
        <v>30</v>
      </c>
      <c r="Q1538" s="10" t="s">
        <v>54</v>
      </c>
      <c r="R1538" s="10" t="s">
        <v>28</v>
      </c>
      <c r="S1538" s="10"/>
      <c r="T1538" s="10"/>
      <c r="U1538" s="10" t="s">
        <v>1569</v>
      </c>
      <c r="V1538" s="10" t="s">
        <v>1569</v>
      </c>
      <c r="W1538" s="50">
        <f>+J1538/$W$2</f>
        <v>3.8309353645271936E-5</v>
      </c>
    </row>
    <row r="1539" spans="1:29">
      <c r="A1539" s="10" t="s">
        <v>1814</v>
      </c>
      <c r="B1539" s="10" t="s">
        <v>381</v>
      </c>
      <c r="C1539" s="124">
        <v>46344</v>
      </c>
      <c r="D1539" s="124" t="s">
        <v>492</v>
      </c>
      <c r="E1539" s="21">
        <v>0.95549751000000005</v>
      </c>
      <c r="F1539" s="10"/>
      <c r="G1539" s="14">
        <v>13000000</v>
      </c>
      <c r="H1539" s="14">
        <v>12421467.66</v>
      </c>
      <c r="I1539" s="14">
        <v>13000000</v>
      </c>
      <c r="J1539" s="14">
        <v>12421467.66</v>
      </c>
      <c r="K1539" s="12">
        <v>14330928</v>
      </c>
      <c r="L1539" s="10" t="s">
        <v>101</v>
      </c>
      <c r="M1539" s="10" t="s">
        <v>102</v>
      </c>
      <c r="N1539" s="124" t="s">
        <v>398</v>
      </c>
      <c r="O1539" s="124" t="s">
        <v>398</v>
      </c>
      <c r="P1539" s="21">
        <v>34</v>
      </c>
      <c r="Q1539" s="10" t="s">
        <v>54</v>
      </c>
      <c r="R1539" s="10" t="s">
        <v>28</v>
      </c>
      <c r="S1539" s="10"/>
      <c r="T1539" s="10"/>
      <c r="U1539" s="10" t="s">
        <v>1774</v>
      </c>
      <c r="V1539" s="10" t="s">
        <v>1774</v>
      </c>
      <c r="W1539" s="50">
        <f>+J1539/$W$2</f>
        <v>1.65138056633441E-4</v>
      </c>
    </row>
    <row r="1540" spans="1:29">
      <c r="A1540" s="10" t="s">
        <v>719</v>
      </c>
      <c r="B1540" s="10" t="s">
        <v>381</v>
      </c>
      <c r="C1540" s="124">
        <v>46344</v>
      </c>
      <c r="D1540" s="124" t="s">
        <v>492</v>
      </c>
      <c r="E1540" s="21">
        <v>0.96052638999999995</v>
      </c>
      <c r="F1540" s="10"/>
      <c r="G1540" s="14">
        <v>2700000</v>
      </c>
      <c r="H1540" s="14">
        <v>2593421.2599999998</v>
      </c>
      <c r="I1540" s="14">
        <v>2700000</v>
      </c>
      <c r="J1540" s="14">
        <v>2593421.2599999998</v>
      </c>
      <c r="K1540" s="12">
        <v>6913</v>
      </c>
      <c r="L1540" s="10" t="s">
        <v>101</v>
      </c>
      <c r="M1540" s="10" t="s">
        <v>102</v>
      </c>
      <c r="N1540" s="124" t="s">
        <v>552</v>
      </c>
      <c r="O1540" s="124" t="s">
        <v>552</v>
      </c>
      <c r="P1540" s="21">
        <v>30</v>
      </c>
      <c r="Q1540" s="10" t="s">
        <v>54</v>
      </c>
      <c r="R1540" s="10" t="s">
        <v>28</v>
      </c>
      <c r="S1540" s="10"/>
      <c r="T1540" s="10"/>
      <c r="U1540" s="10" t="s">
        <v>2393</v>
      </c>
      <c r="V1540" s="10" t="s">
        <v>2393</v>
      </c>
      <c r="W1540" s="50">
        <f>+J1540/$W$2</f>
        <v>3.4478417416597764E-5</v>
      </c>
    </row>
    <row r="1541" spans="1:29">
      <c r="A1541" s="10" t="s">
        <v>1189</v>
      </c>
      <c r="B1541" s="10" t="s">
        <v>381</v>
      </c>
      <c r="C1541" s="124">
        <v>46344</v>
      </c>
      <c r="D1541" s="124" t="s">
        <v>492</v>
      </c>
      <c r="E1541" s="21">
        <v>0.95675047999999996</v>
      </c>
      <c r="F1541" s="10"/>
      <c r="G1541" s="14">
        <v>12839.68</v>
      </c>
      <c r="H1541" s="14">
        <v>12284.37</v>
      </c>
      <c r="I1541" s="14">
        <v>12839.68</v>
      </c>
      <c r="J1541" s="14">
        <v>12284.37</v>
      </c>
      <c r="K1541" s="12">
        <v>30101604</v>
      </c>
      <c r="L1541" s="10" t="s">
        <v>101</v>
      </c>
      <c r="M1541" s="10" t="s">
        <v>102</v>
      </c>
      <c r="N1541" s="124" t="s">
        <v>434</v>
      </c>
      <c r="O1541" s="124" t="s">
        <v>434</v>
      </c>
      <c r="P1541" s="21">
        <v>33</v>
      </c>
      <c r="Q1541" s="10" t="s">
        <v>54</v>
      </c>
      <c r="R1541" s="10" t="s">
        <v>28</v>
      </c>
      <c r="S1541" s="10"/>
      <c r="T1541" s="10"/>
      <c r="U1541" s="10" t="s">
        <v>2956</v>
      </c>
      <c r="V1541" s="10" t="s">
        <v>2956</v>
      </c>
      <c r="W1541" s="50">
        <f>+J1541/$W$2</f>
        <v>1.6331540235770689E-7</v>
      </c>
    </row>
    <row r="1542" spans="1:29">
      <c r="A1542" s="10" t="s">
        <v>1189</v>
      </c>
      <c r="B1542" s="10" t="s">
        <v>381</v>
      </c>
      <c r="C1542" s="124">
        <v>46344</v>
      </c>
      <c r="D1542" s="124" t="s">
        <v>492</v>
      </c>
      <c r="E1542" s="21">
        <v>0.95674963000000002</v>
      </c>
      <c r="F1542" s="10"/>
      <c r="G1542" s="14">
        <v>165489.23000000001</v>
      </c>
      <c r="H1542" s="14">
        <v>158331.76</v>
      </c>
      <c r="I1542" s="14">
        <v>165489.23000000001</v>
      </c>
      <c r="J1542" s="14">
        <v>158331.76</v>
      </c>
      <c r="K1542" s="12">
        <v>30101248</v>
      </c>
      <c r="L1542" s="10" t="s">
        <v>101</v>
      </c>
      <c r="M1542" s="10" t="s">
        <v>102</v>
      </c>
      <c r="N1542" s="124" t="s">
        <v>422</v>
      </c>
      <c r="O1542" s="124" t="s">
        <v>422</v>
      </c>
      <c r="P1542" s="21">
        <v>33</v>
      </c>
      <c r="Q1542" s="10" t="s">
        <v>54</v>
      </c>
      <c r="R1542" s="10" t="s">
        <v>28</v>
      </c>
      <c r="S1542" s="10"/>
      <c r="T1542" s="10"/>
      <c r="U1542" s="10" t="s">
        <v>2766</v>
      </c>
      <c r="V1542" s="10" t="s">
        <v>2766</v>
      </c>
      <c r="W1542" s="50">
        <f>+J1542/$W$2</f>
        <v>2.1049524794844082E-6</v>
      </c>
    </row>
    <row r="1543" spans="1:29">
      <c r="A1543" s="10" t="s">
        <v>2430</v>
      </c>
      <c r="B1543" s="10" t="s">
        <v>381</v>
      </c>
      <c r="C1543" s="124">
        <v>46344</v>
      </c>
      <c r="D1543" s="124" t="s">
        <v>492</v>
      </c>
      <c r="E1543" s="21">
        <v>0.95674976</v>
      </c>
      <c r="F1543" s="10"/>
      <c r="G1543" s="14">
        <v>24730000</v>
      </c>
      <c r="H1543" s="14">
        <v>23660421.440000001</v>
      </c>
      <c r="I1543" s="14">
        <v>24730000</v>
      </c>
      <c r="J1543" s="14">
        <v>23660421.440000001</v>
      </c>
      <c r="K1543" s="12">
        <v>195</v>
      </c>
      <c r="L1543" s="10" t="s">
        <v>101</v>
      </c>
      <c r="M1543" s="10" t="s">
        <v>102</v>
      </c>
      <c r="N1543" s="124" t="s">
        <v>552</v>
      </c>
      <c r="O1543" s="124" t="s">
        <v>552</v>
      </c>
      <c r="P1543" s="21">
        <v>33</v>
      </c>
      <c r="Q1543" s="10" t="s">
        <v>54</v>
      </c>
      <c r="R1543" s="10" t="s">
        <v>28</v>
      </c>
      <c r="S1543" s="10"/>
      <c r="T1543" s="10"/>
      <c r="U1543" s="10" t="s">
        <v>2372</v>
      </c>
      <c r="V1543" s="10" t="s">
        <v>2372</v>
      </c>
      <c r="W1543" s="50">
        <f>+J1543/$W$2</f>
        <v>3.1455510111031451E-4</v>
      </c>
    </row>
    <row r="1544" spans="1:29">
      <c r="A1544" s="10" t="s">
        <v>1167</v>
      </c>
      <c r="B1544" s="10" t="s">
        <v>381</v>
      </c>
      <c r="C1544" s="124">
        <v>46344</v>
      </c>
      <c r="D1544" s="124" t="s">
        <v>492</v>
      </c>
      <c r="E1544" s="21">
        <v>0.95674963999999996</v>
      </c>
      <c r="F1544" s="10"/>
      <c r="G1544" s="14">
        <v>735765</v>
      </c>
      <c r="H1544" s="14">
        <v>703942.9</v>
      </c>
      <c r="I1544" s="14">
        <v>735765</v>
      </c>
      <c r="J1544" s="14">
        <v>703942.9</v>
      </c>
      <c r="K1544" s="12">
        <v>262870</v>
      </c>
      <c r="L1544" s="10" t="s">
        <v>101</v>
      </c>
      <c r="M1544" s="10" t="s">
        <v>102</v>
      </c>
      <c r="N1544" s="124" t="s">
        <v>366</v>
      </c>
      <c r="O1544" s="124" t="s">
        <v>366</v>
      </c>
      <c r="P1544" s="21">
        <v>33</v>
      </c>
      <c r="Q1544" s="10" t="s">
        <v>54</v>
      </c>
      <c r="R1544" s="10" t="s">
        <v>28</v>
      </c>
      <c r="S1544" s="10"/>
      <c r="T1544" s="10"/>
      <c r="U1544" s="10" t="s">
        <v>1157</v>
      </c>
      <c r="V1544" s="10" t="s">
        <v>1157</v>
      </c>
      <c r="W1544" s="50">
        <f>+J1544/$W$2</f>
        <v>9.3586173283897358E-6</v>
      </c>
    </row>
    <row r="1545" spans="1:29">
      <c r="A1545" s="10" t="s">
        <v>688</v>
      </c>
      <c r="B1545" s="10" t="s">
        <v>381</v>
      </c>
      <c r="C1545" s="124">
        <v>46344</v>
      </c>
      <c r="D1545" s="124" t="s">
        <v>492</v>
      </c>
      <c r="E1545" s="21">
        <v>0.95052095999999997</v>
      </c>
      <c r="F1545" s="10"/>
      <c r="G1545" s="14">
        <v>42000000</v>
      </c>
      <c r="H1545" s="14">
        <v>39921880.25</v>
      </c>
      <c r="I1545" s="14">
        <v>42000000</v>
      </c>
      <c r="J1545" s="14">
        <v>39921880.25</v>
      </c>
      <c r="K1545" s="12">
        <v>163282</v>
      </c>
      <c r="L1545" s="10" t="s">
        <v>101</v>
      </c>
      <c r="M1545" s="10" t="s">
        <v>102</v>
      </c>
      <c r="N1545" s="124" t="s">
        <v>423</v>
      </c>
      <c r="O1545" s="124" t="s">
        <v>423</v>
      </c>
      <c r="P1545" s="21">
        <v>38</v>
      </c>
      <c r="Q1545" s="10" t="s">
        <v>54</v>
      </c>
      <c r="R1545" s="10" t="s">
        <v>28</v>
      </c>
      <c r="S1545" s="10"/>
      <c r="T1545" s="10"/>
      <c r="U1545" s="10" t="s">
        <v>2520</v>
      </c>
      <c r="V1545" s="10" t="s">
        <v>2520</v>
      </c>
      <c r="W1545" s="50">
        <f>+J1545/$W$2</f>
        <v>5.3074418435010841E-4</v>
      </c>
    </row>
    <row r="1546" spans="1:29">
      <c r="A1546" s="10" t="s">
        <v>404</v>
      </c>
      <c r="B1546" s="10" t="s">
        <v>381</v>
      </c>
      <c r="C1546" s="124">
        <v>46344</v>
      </c>
      <c r="D1546" s="124" t="s">
        <v>492</v>
      </c>
      <c r="E1546" s="21">
        <v>0.96306071000000004</v>
      </c>
      <c r="F1546" s="10"/>
      <c r="G1546" s="14">
        <v>12983989.119999999</v>
      </c>
      <c r="H1546" s="14">
        <v>12504369.779999999</v>
      </c>
      <c r="I1546" s="14">
        <v>12983989.119999999</v>
      </c>
      <c r="J1546" s="14">
        <v>12504369.779999999</v>
      </c>
      <c r="K1546" s="12">
        <v>652703</v>
      </c>
      <c r="L1546" s="10" t="s">
        <v>101</v>
      </c>
      <c r="M1546" s="10" t="s">
        <v>102</v>
      </c>
      <c r="N1546" s="124" t="s">
        <v>434</v>
      </c>
      <c r="O1546" s="124" t="s">
        <v>434</v>
      </c>
      <c r="P1546" s="21">
        <v>28</v>
      </c>
      <c r="Q1546" s="10" t="s">
        <v>54</v>
      </c>
      <c r="R1546" s="10" t="s">
        <v>28</v>
      </c>
      <c r="S1546" s="10"/>
      <c r="T1546" s="10"/>
      <c r="U1546" s="10" t="s">
        <v>2985</v>
      </c>
      <c r="V1546" s="10" t="s">
        <v>2985</v>
      </c>
      <c r="W1546" s="50">
        <f>+J1546/$W$2</f>
        <v>1.6624020457298586E-4</v>
      </c>
    </row>
    <row r="1547" spans="1:29">
      <c r="A1547" s="10" t="s">
        <v>404</v>
      </c>
      <c r="B1547" s="10" t="s">
        <v>381</v>
      </c>
      <c r="C1547" s="124">
        <v>46344</v>
      </c>
      <c r="D1547" s="124" t="s">
        <v>492</v>
      </c>
      <c r="E1547" s="21">
        <v>0.96433298000000001</v>
      </c>
      <c r="F1547" s="10"/>
      <c r="G1547" s="14">
        <v>40000000</v>
      </c>
      <c r="H1547" s="14">
        <v>38573319.079999998</v>
      </c>
      <c r="I1547" s="14">
        <v>40000000</v>
      </c>
      <c r="J1547" s="14">
        <v>38573319.079999998</v>
      </c>
      <c r="K1547" s="12">
        <v>42635</v>
      </c>
      <c r="L1547" s="10" t="s">
        <v>101</v>
      </c>
      <c r="M1547" s="10" t="s">
        <v>102</v>
      </c>
      <c r="N1547" s="124" t="s">
        <v>532</v>
      </c>
      <c r="O1547" s="124" t="s">
        <v>532</v>
      </c>
      <c r="P1547" s="21">
        <v>27</v>
      </c>
      <c r="Q1547" s="10" t="s">
        <v>54</v>
      </c>
      <c r="R1547" s="10" t="s">
        <v>28</v>
      </c>
      <c r="S1547" s="10"/>
      <c r="T1547" s="10"/>
      <c r="U1547" s="10" t="s">
        <v>3064</v>
      </c>
      <c r="V1547" s="10" t="s">
        <v>3064</v>
      </c>
      <c r="W1547" s="50">
        <f>+J1547/$W$2</f>
        <v>5.1281564506949978E-4</v>
      </c>
      <c r="AC1547" s="47"/>
    </row>
    <row r="1548" spans="1:29">
      <c r="A1548" s="10" t="s">
        <v>2017</v>
      </c>
      <c r="B1548" s="10" t="s">
        <v>381</v>
      </c>
      <c r="C1548" s="124">
        <v>46344</v>
      </c>
      <c r="D1548" s="124" t="s">
        <v>492</v>
      </c>
      <c r="E1548" s="21">
        <v>0.95300273999999996</v>
      </c>
      <c r="F1548" s="10"/>
      <c r="G1548" s="14">
        <v>30000000</v>
      </c>
      <c r="H1548" s="14">
        <v>28590082.280000001</v>
      </c>
      <c r="I1548" s="14">
        <v>30000000</v>
      </c>
      <c r="J1548" s="14">
        <v>28590082.280000001</v>
      </c>
      <c r="K1548" s="12">
        <v>10978198</v>
      </c>
      <c r="L1548" s="10" t="s">
        <v>101</v>
      </c>
      <c r="M1548" s="10" t="s">
        <v>102</v>
      </c>
      <c r="N1548" s="124" t="s">
        <v>164</v>
      </c>
      <c r="O1548" s="124" t="s">
        <v>164</v>
      </c>
      <c r="P1548" s="21">
        <v>36</v>
      </c>
      <c r="Q1548" s="10" t="s">
        <v>54</v>
      </c>
      <c r="R1548" s="10" t="s">
        <v>28</v>
      </c>
      <c r="S1548" s="10"/>
      <c r="T1548" s="10"/>
      <c r="U1548" s="10" t="s">
        <v>2002</v>
      </c>
      <c r="V1548" s="10" t="s">
        <v>2002</v>
      </c>
      <c r="W1548" s="50">
        <f>+J1548/$W$2</f>
        <v>3.8009281639987609E-4</v>
      </c>
    </row>
    <row r="1549" spans="1:29">
      <c r="A1549" s="10" t="s">
        <v>290</v>
      </c>
      <c r="B1549" s="10" t="s">
        <v>381</v>
      </c>
      <c r="C1549" s="124">
        <v>46344</v>
      </c>
      <c r="D1549" s="124" t="s">
        <v>492</v>
      </c>
      <c r="E1549" s="21">
        <v>0.95674972000000003</v>
      </c>
      <c r="F1549" s="10"/>
      <c r="G1549" s="14">
        <v>6500000</v>
      </c>
      <c r="H1549" s="14">
        <v>6218873.1600000001</v>
      </c>
      <c r="I1549" s="14">
        <v>6500000</v>
      </c>
      <c r="J1549" s="14">
        <v>6218873.1600000001</v>
      </c>
      <c r="K1549" s="12">
        <v>50791</v>
      </c>
      <c r="L1549" s="10" t="s">
        <v>101</v>
      </c>
      <c r="M1549" s="10" t="s">
        <v>102</v>
      </c>
      <c r="N1549" s="124" t="s">
        <v>483</v>
      </c>
      <c r="O1549" s="124" t="s">
        <v>483</v>
      </c>
      <c r="P1549" s="21">
        <v>33</v>
      </c>
      <c r="Q1549" s="10" t="s">
        <v>54</v>
      </c>
      <c r="R1549" s="10" t="s">
        <v>28</v>
      </c>
      <c r="S1549" s="10"/>
      <c r="T1549" s="10"/>
      <c r="U1549" s="10" t="s">
        <v>2436</v>
      </c>
      <c r="V1549" s="10" t="s">
        <v>2436</v>
      </c>
      <c r="W1549" s="50">
        <f>+J1549/$W$2</f>
        <v>8.2677237199542514E-5</v>
      </c>
    </row>
    <row r="1550" spans="1:29">
      <c r="A1550" s="10" t="s">
        <v>222</v>
      </c>
      <c r="B1550" s="10" t="s">
        <v>381</v>
      </c>
      <c r="C1550" s="124">
        <v>46344</v>
      </c>
      <c r="D1550" s="124" t="s">
        <v>492</v>
      </c>
      <c r="E1550" s="21">
        <v>0.95674979000000004</v>
      </c>
      <c r="F1550" s="10"/>
      <c r="G1550" s="14">
        <v>25000000</v>
      </c>
      <c r="H1550" s="14">
        <v>23918744.66</v>
      </c>
      <c r="I1550" s="14">
        <v>25000000</v>
      </c>
      <c r="J1550" s="14">
        <v>23918744.66</v>
      </c>
      <c r="K1550" s="12">
        <v>475884</v>
      </c>
      <c r="L1550" s="10" t="s">
        <v>101</v>
      </c>
      <c r="M1550" s="10" t="s">
        <v>102</v>
      </c>
      <c r="N1550" s="124" t="s">
        <v>349</v>
      </c>
      <c r="O1550" s="124" t="s">
        <v>349</v>
      </c>
      <c r="P1550" s="21">
        <v>33</v>
      </c>
      <c r="Q1550" s="10" t="s">
        <v>54</v>
      </c>
      <c r="R1550" s="10" t="s">
        <v>28</v>
      </c>
      <c r="S1550" s="10"/>
      <c r="T1550" s="10"/>
      <c r="U1550" s="10" t="s">
        <v>1356</v>
      </c>
      <c r="V1550" s="10" t="s">
        <v>1356</v>
      </c>
      <c r="W1550" s="50">
        <f>+J1550/$W$2</f>
        <v>3.1798939693603766E-4</v>
      </c>
    </row>
    <row r="1551" spans="1:29">
      <c r="A1551" s="10" t="s">
        <v>465</v>
      </c>
      <c r="B1551" s="10" t="s">
        <v>381</v>
      </c>
      <c r="C1551" s="124">
        <v>46344</v>
      </c>
      <c r="D1551" s="124" t="s">
        <v>492</v>
      </c>
      <c r="E1551" s="21">
        <v>0.95674985000000001</v>
      </c>
      <c r="F1551" s="10"/>
      <c r="G1551" s="14">
        <v>25000000</v>
      </c>
      <c r="H1551" s="14">
        <v>23918746.23</v>
      </c>
      <c r="I1551" s="14">
        <v>25000000</v>
      </c>
      <c r="J1551" s="14">
        <v>23918746.23</v>
      </c>
      <c r="K1551" s="12">
        <v>14422595</v>
      </c>
      <c r="L1551" s="10" t="s">
        <v>101</v>
      </c>
      <c r="M1551" s="10" t="s">
        <v>102</v>
      </c>
      <c r="N1551" s="124" t="s">
        <v>390</v>
      </c>
      <c r="O1551" s="124" t="s">
        <v>390</v>
      </c>
      <c r="P1551" s="21">
        <v>33</v>
      </c>
      <c r="Q1551" s="10" t="s">
        <v>54</v>
      </c>
      <c r="R1551" s="10" t="s">
        <v>28</v>
      </c>
      <c r="S1551" s="10"/>
      <c r="T1551" s="10"/>
      <c r="U1551" s="10" t="s">
        <v>2055</v>
      </c>
      <c r="V1551" s="10" t="s">
        <v>2055</v>
      </c>
      <c r="W1551" s="50">
        <f>+J1551/$W$2</f>
        <v>3.1798941780851068E-4</v>
      </c>
      <c r="AC1551" s="47"/>
    </row>
    <row r="1552" spans="1:29">
      <c r="A1552" s="10" t="s">
        <v>465</v>
      </c>
      <c r="B1552" s="10" t="s">
        <v>381</v>
      </c>
      <c r="C1552" s="124">
        <v>46344</v>
      </c>
      <c r="D1552" s="124" t="s">
        <v>492</v>
      </c>
      <c r="E1552" s="21">
        <v>0.95800536999999997</v>
      </c>
      <c r="F1552" s="10"/>
      <c r="G1552" s="14">
        <v>10000000</v>
      </c>
      <c r="H1552" s="14">
        <v>9580053.6799999997</v>
      </c>
      <c r="I1552" s="14">
        <v>10000000</v>
      </c>
      <c r="J1552" s="14">
        <v>9580053.6799999997</v>
      </c>
      <c r="K1552" s="12">
        <v>14422576</v>
      </c>
      <c r="L1552" s="10" t="s">
        <v>101</v>
      </c>
      <c r="M1552" s="10" t="s">
        <v>102</v>
      </c>
      <c r="N1552" s="124" t="s">
        <v>164</v>
      </c>
      <c r="O1552" s="124" t="s">
        <v>164</v>
      </c>
      <c r="P1552" s="21">
        <v>32</v>
      </c>
      <c r="Q1552" s="10" t="s">
        <v>54</v>
      </c>
      <c r="R1552" s="10" t="s">
        <v>28</v>
      </c>
      <c r="S1552" s="10"/>
      <c r="T1552" s="10"/>
      <c r="U1552" s="10" t="s">
        <v>1967</v>
      </c>
      <c r="V1552" s="10" t="s">
        <v>1967</v>
      </c>
      <c r="W1552" s="50">
        <f>+J1552/$W$2</f>
        <v>1.2736268293430029E-4</v>
      </c>
    </row>
    <row r="1553" spans="1:29">
      <c r="A1553" s="10" t="s">
        <v>2625</v>
      </c>
      <c r="B1553" s="10" t="s">
        <v>381</v>
      </c>
      <c r="C1553" s="124">
        <v>46344</v>
      </c>
      <c r="D1553" s="124" t="s">
        <v>492</v>
      </c>
      <c r="E1553" s="21">
        <v>0.95674977999999999</v>
      </c>
      <c r="F1553" s="10"/>
      <c r="G1553" s="14">
        <v>685128.94</v>
      </c>
      <c r="H1553" s="14">
        <v>655496.95999999996</v>
      </c>
      <c r="I1553" s="14">
        <v>685128.94</v>
      </c>
      <c r="J1553" s="14">
        <v>655496.95999999996</v>
      </c>
      <c r="K1553" s="12">
        <v>19403</v>
      </c>
      <c r="L1553" s="10" t="s">
        <v>101</v>
      </c>
      <c r="M1553" s="10" t="s">
        <v>102</v>
      </c>
      <c r="N1553" s="124" t="s">
        <v>423</v>
      </c>
      <c r="O1553" s="124" t="s">
        <v>423</v>
      </c>
      <c r="P1553" s="21">
        <v>33</v>
      </c>
      <c r="Q1553" s="10" t="s">
        <v>54</v>
      </c>
      <c r="R1553" s="10" t="s">
        <v>28</v>
      </c>
      <c r="S1553" s="10"/>
      <c r="T1553" s="10"/>
      <c r="U1553" s="10" t="s">
        <v>2488</v>
      </c>
      <c r="V1553" s="10" t="s">
        <v>2488</v>
      </c>
      <c r="W1553" s="50">
        <f>+J1553/$W$2</f>
        <v>8.714549445079698E-6</v>
      </c>
    </row>
    <row r="1554" spans="1:29">
      <c r="A1554" s="10" t="s">
        <v>2625</v>
      </c>
      <c r="B1554" s="10" t="s">
        <v>381</v>
      </c>
      <c r="C1554" s="124">
        <v>46344</v>
      </c>
      <c r="D1554" s="124" t="s">
        <v>492</v>
      </c>
      <c r="E1554" s="21">
        <v>0.95674977999999999</v>
      </c>
      <c r="F1554" s="10"/>
      <c r="G1554" s="14">
        <v>685128.94</v>
      </c>
      <c r="H1554" s="14">
        <v>655496.95999999996</v>
      </c>
      <c r="I1554" s="14">
        <v>685128.94</v>
      </c>
      <c r="J1554" s="14">
        <v>655496.95999999996</v>
      </c>
      <c r="K1554" s="12">
        <v>19402</v>
      </c>
      <c r="L1554" s="10" t="s">
        <v>101</v>
      </c>
      <c r="M1554" s="10" t="s">
        <v>102</v>
      </c>
      <c r="N1554" s="124" t="s">
        <v>423</v>
      </c>
      <c r="O1554" s="124" t="s">
        <v>423</v>
      </c>
      <c r="P1554" s="21">
        <v>33</v>
      </c>
      <c r="Q1554" s="10" t="s">
        <v>54</v>
      </c>
      <c r="R1554" s="10" t="s">
        <v>28</v>
      </c>
      <c r="S1554" s="10"/>
      <c r="T1554" s="10"/>
      <c r="U1554" s="10" t="s">
        <v>2489</v>
      </c>
      <c r="V1554" s="10" t="s">
        <v>2489</v>
      </c>
      <c r="W1554" s="50">
        <f>+J1554/$W$2</f>
        <v>8.714549445079698E-6</v>
      </c>
      <c r="AC1554" s="47"/>
    </row>
    <row r="1555" spans="1:29">
      <c r="A1555" s="10" t="s">
        <v>2625</v>
      </c>
      <c r="B1555" s="10" t="s">
        <v>381</v>
      </c>
      <c r="C1555" s="124">
        <v>46344</v>
      </c>
      <c r="D1555" s="124" t="s">
        <v>492</v>
      </c>
      <c r="E1555" s="21">
        <v>0.95674976</v>
      </c>
      <c r="F1555" s="10"/>
      <c r="G1555" s="14">
        <v>686128.26</v>
      </c>
      <c r="H1555" s="14">
        <v>656453.05000000005</v>
      </c>
      <c r="I1555" s="14">
        <v>686128.26</v>
      </c>
      <c r="J1555" s="14">
        <v>656453.05000000005</v>
      </c>
      <c r="K1555" s="12">
        <v>19386</v>
      </c>
      <c r="L1555" s="10" t="s">
        <v>101</v>
      </c>
      <c r="M1555" s="10" t="s">
        <v>102</v>
      </c>
      <c r="N1555" s="124" t="s">
        <v>423</v>
      </c>
      <c r="O1555" s="124" t="s">
        <v>423</v>
      </c>
      <c r="P1555" s="21">
        <v>33</v>
      </c>
      <c r="Q1555" s="10" t="s">
        <v>54</v>
      </c>
      <c r="R1555" s="10" t="s">
        <v>28</v>
      </c>
      <c r="S1555" s="10"/>
      <c r="T1555" s="10"/>
      <c r="U1555" s="10" t="s">
        <v>2490</v>
      </c>
      <c r="V1555" s="10" t="s">
        <v>2490</v>
      </c>
      <c r="W1555" s="50">
        <f>+J1555/$W$2</f>
        <v>8.7272602493814388E-6</v>
      </c>
      <c r="AC1555"/>
    </row>
    <row r="1556" spans="1:29">
      <c r="A1556" s="10" t="s">
        <v>2625</v>
      </c>
      <c r="B1556" s="10" t="s">
        <v>381</v>
      </c>
      <c r="C1556" s="124">
        <v>46344</v>
      </c>
      <c r="D1556" s="124" t="s">
        <v>492</v>
      </c>
      <c r="E1556" s="21">
        <v>0.95674976</v>
      </c>
      <c r="F1556" s="10"/>
      <c r="G1556" s="14">
        <v>686128.26</v>
      </c>
      <c r="H1556" s="14">
        <v>656453.05000000005</v>
      </c>
      <c r="I1556" s="14">
        <v>686128.26</v>
      </c>
      <c r="J1556" s="14">
        <v>656453.05000000005</v>
      </c>
      <c r="K1556" s="12">
        <v>19387</v>
      </c>
      <c r="L1556" s="10" t="s">
        <v>101</v>
      </c>
      <c r="M1556" s="10" t="s">
        <v>102</v>
      </c>
      <c r="N1556" s="124" t="s">
        <v>423</v>
      </c>
      <c r="O1556" s="124" t="s">
        <v>423</v>
      </c>
      <c r="P1556" s="21">
        <v>33</v>
      </c>
      <c r="Q1556" s="10" t="s">
        <v>54</v>
      </c>
      <c r="R1556" s="10" t="s">
        <v>28</v>
      </c>
      <c r="S1556" s="10"/>
      <c r="T1556" s="10"/>
      <c r="U1556" s="10" t="s">
        <v>2491</v>
      </c>
      <c r="V1556" s="10" t="s">
        <v>2491</v>
      </c>
      <c r="W1556" s="50">
        <f>+J1556/$W$2</f>
        <v>8.7272602493814388E-6</v>
      </c>
    </row>
    <row r="1557" spans="1:29">
      <c r="A1557" s="10" t="s">
        <v>400</v>
      </c>
      <c r="B1557" s="10" t="s">
        <v>381</v>
      </c>
      <c r="C1557" s="124">
        <v>46344</v>
      </c>
      <c r="D1557" s="124" t="s">
        <v>492</v>
      </c>
      <c r="E1557" s="21">
        <v>0.95300264999999995</v>
      </c>
      <c r="F1557" s="10"/>
      <c r="G1557" s="14">
        <v>9450000</v>
      </c>
      <c r="H1557" s="14">
        <v>9005875.0099999998</v>
      </c>
      <c r="I1557" s="14">
        <v>9450000</v>
      </c>
      <c r="J1557" s="14">
        <v>9005875.0099999998</v>
      </c>
      <c r="K1557" s="12">
        <v>66335193</v>
      </c>
      <c r="L1557" s="10" t="s">
        <v>101</v>
      </c>
      <c r="M1557" s="10" t="s">
        <v>102</v>
      </c>
      <c r="N1557" s="124" t="s">
        <v>277</v>
      </c>
      <c r="O1557" s="124" t="s">
        <v>277</v>
      </c>
      <c r="P1557" s="21">
        <v>36</v>
      </c>
      <c r="Q1557" s="10" t="s">
        <v>54</v>
      </c>
      <c r="R1557" s="10" t="s">
        <v>28</v>
      </c>
      <c r="S1557" s="10"/>
      <c r="T1557" s="10"/>
      <c r="U1557" s="10" t="s">
        <v>499</v>
      </c>
      <c r="V1557" s="10" t="s">
        <v>499</v>
      </c>
      <c r="W1557" s="50">
        <f>+J1557/$W$2</f>
        <v>1.1972922509183355E-4</v>
      </c>
    </row>
    <row r="1558" spans="1:29">
      <c r="A1558" s="10" t="s">
        <v>426</v>
      </c>
      <c r="B1558" s="10" t="s">
        <v>381</v>
      </c>
      <c r="C1558" s="124">
        <v>46344</v>
      </c>
      <c r="D1558" s="124" t="s">
        <v>492</v>
      </c>
      <c r="E1558" s="21">
        <v>0.96052638000000001</v>
      </c>
      <c r="F1558" s="10"/>
      <c r="G1558" s="14">
        <v>5580000</v>
      </c>
      <c r="H1558" s="14">
        <v>5359737.1900000004</v>
      </c>
      <c r="I1558" s="14">
        <v>5580000</v>
      </c>
      <c r="J1558" s="14">
        <v>5359737.1900000004</v>
      </c>
      <c r="K1558" s="12">
        <v>11415150</v>
      </c>
      <c r="L1558" s="10" t="s">
        <v>101</v>
      </c>
      <c r="M1558" s="10" t="s">
        <v>102</v>
      </c>
      <c r="N1558" s="124" t="s">
        <v>486</v>
      </c>
      <c r="O1558" s="124" t="s">
        <v>486</v>
      </c>
      <c r="P1558" s="21">
        <v>30</v>
      </c>
      <c r="Q1558" s="10" t="s">
        <v>54</v>
      </c>
      <c r="R1558" s="10" t="s">
        <v>28</v>
      </c>
      <c r="S1558" s="10"/>
      <c r="T1558" s="10"/>
      <c r="U1558" s="10" t="s">
        <v>2807</v>
      </c>
      <c r="V1558" s="10" t="s">
        <v>2807</v>
      </c>
      <c r="W1558" s="50">
        <f>+J1558/$W$2</f>
        <v>7.1255394921873505E-5</v>
      </c>
    </row>
    <row r="1559" spans="1:29">
      <c r="A1559" s="10" t="s">
        <v>426</v>
      </c>
      <c r="B1559" s="10" t="s">
        <v>381</v>
      </c>
      <c r="C1559" s="124">
        <v>46344</v>
      </c>
      <c r="D1559" s="124" t="s">
        <v>492</v>
      </c>
      <c r="E1559" s="21">
        <v>0.95926418999999996</v>
      </c>
      <c r="F1559" s="10"/>
      <c r="G1559" s="14">
        <v>2500000</v>
      </c>
      <c r="H1559" s="14">
        <v>2398160.48</v>
      </c>
      <c r="I1559" s="14">
        <v>2500000</v>
      </c>
      <c r="J1559" s="14">
        <v>2398160.48</v>
      </c>
      <c r="K1559" s="12">
        <v>90003663</v>
      </c>
      <c r="L1559" s="10" t="s">
        <v>101</v>
      </c>
      <c r="M1559" s="10" t="s">
        <v>102</v>
      </c>
      <c r="N1559" s="124" t="s">
        <v>305</v>
      </c>
      <c r="O1559" s="124" t="s">
        <v>305</v>
      </c>
      <c r="P1559" s="21">
        <v>31</v>
      </c>
      <c r="Q1559" s="10" t="s">
        <v>54</v>
      </c>
      <c r="R1559" s="10" t="s">
        <v>28</v>
      </c>
      <c r="S1559" s="10"/>
      <c r="T1559" s="10"/>
      <c r="U1559" s="10" t="s">
        <v>760</v>
      </c>
      <c r="V1559" s="10" t="s">
        <v>760</v>
      </c>
      <c r="W1559" s="50">
        <f>+J1559/$W$2</f>
        <v>3.1882509539321222E-5</v>
      </c>
    </row>
    <row r="1560" spans="1:29">
      <c r="A1560" s="10" t="s">
        <v>382</v>
      </c>
      <c r="B1560" s="10" t="s">
        <v>381</v>
      </c>
      <c r="C1560" s="124">
        <v>46344</v>
      </c>
      <c r="D1560" s="124" t="s">
        <v>492</v>
      </c>
      <c r="E1560" s="21">
        <v>0.95674968999999999</v>
      </c>
      <c r="F1560" s="10"/>
      <c r="G1560" s="14">
        <v>2500000</v>
      </c>
      <c r="H1560" s="14">
        <v>2391874.2200000002</v>
      </c>
      <c r="I1560" s="14">
        <v>2500000</v>
      </c>
      <c r="J1560" s="14">
        <v>2391874.2200000002</v>
      </c>
      <c r="K1560" s="12">
        <v>1021</v>
      </c>
      <c r="L1560" s="10" t="s">
        <v>101</v>
      </c>
      <c r="M1560" s="10" t="s">
        <v>102</v>
      </c>
      <c r="N1560" s="124" t="s">
        <v>163</v>
      </c>
      <c r="O1560" s="124" t="s">
        <v>163</v>
      </c>
      <c r="P1560" s="21">
        <v>33</v>
      </c>
      <c r="Q1560" s="10" t="s">
        <v>54</v>
      </c>
      <c r="R1560" s="10" t="s">
        <v>28</v>
      </c>
      <c r="S1560" s="10"/>
      <c r="T1560" s="10"/>
      <c r="U1560" s="10" t="s">
        <v>1645</v>
      </c>
      <c r="V1560" s="10" t="s">
        <v>1645</v>
      </c>
      <c r="W1560" s="50">
        <f>+J1560/$W$2</f>
        <v>3.1798936423139839E-5</v>
      </c>
    </row>
    <row r="1561" spans="1:29">
      <c r="A1561" s="10" t="s">
        <v>392</v>
      </c>
      <c r="B1561" s="10" t="s">
        <v>381</v>
      </c>
      <c r="C1561" s="124">
        <v>46344</v>
      </c>
      <c r="D1561" s="124" t="s">
        <v>492</v>
      </c>
      <c r="E1561" s="21">
        <v>0.95424841000000005</v>
      </c>
      <c r="F1561" s="10"/>
      <c r="G1561" s="14">
        <v>1500000</v>
      </c>
      <c r="H1561" s="14">
        <v>1431372.62</v>
      </c>
      <c r="I1561" s="14">
        <v>1500000</v>
      </c>
      <c r="J1561" s="14">
        <v>1431372.62</v>
      </c>
      <c r="K1561" s="12">
        <v>5</v>
      </c>
      <c r="L1561" s="10" t="s">
        <v>101</v>
      </c>
      <c r="M1561" s="10" t="s">
        <v>102</v>
      </c>
      <c r="N1561" s="124" t="s">
        <v>330</v>
      </c>
      <c r="O1561" s="124" t="s">
        <v>330</v>
      </c>
      <c r="P1561" s="21">
        <v>35</v>
      </c>
      <c r="Q1561" s="10" t="s">
        <v>54</v>
      </c>
      <c r="R1561" s="10" t="s">
        <v>28</v>
      </c>
      <c r="S1561" s="10"/>
      <c r="T1561" s="10"/>
      <c r="U1561" s="10" t="s">
        <v>543</v>
      </c>
      <c r="V1561" s="10" t="s">
        <v>543</v>
      </c>
      <c r="W1561" s="50">
        <f>+J1561/$W$2</f>
        <v>1.9029481801598706E-5</v>
      </c>
    </row>
    <row r="1562" spans="1:29">
      <c r="A1562" s="10" t="s">
        <v>3454</v>
      </c>
      <c r="B1562" s="10" t="s">
        <v>381</v>
      </c>
      <c r="C1562" s="124">
        <v>46344</v>
      </c>
      <c r="D1562" s="124" t="s">
        <v>492</v>
      </c>
      <c r="E1562" s="21">
        <v>0.95674972999999996</v>
      </c>
      <c r="F1562" s="10"/>
      <c r="G1562" s="14">
        <v>13250000</v>
      </c>
      <c r="H1562" s="14">
        <v>12676933.92</v>
      </c>
      <c r="I1562" s="14">
        <v>13250000</v>
      </c>
      <c r="J1562" s="14">
        <v>12676933.92</v>
      </c>
      <c r="K1562" s="12">
        <v>70007297</v>
      </c>
      <c r="L1562" s="10" t="s">
        <v>101</v>
      </c>
      <c r="M1562" s="10" t="s">
        <v>102</v>
      </c>
      <c r="N1562" s="124" t="s">
        <v>531</v>
      </c>
      <c r="O1562" s="124" t="s">
        <v>531</v>
      </c>
      <c r="P1562" s="21">
        <v>33</v>
      </c>
      <c r="Q1562" s="10" t="s">
        <v>54</v>
      </c>
      <c r="R1562" s="10" t="s">
        <v>28</v>
      </c>
      <c r="S1562" s="10"/>
      <c r="T1562" s="10"/>
      <c r="U1562" s="10" t="s">
        <v>3444</v>
      </c>
      <c r="V1562" s="10" t="s">
        <v>3444</v>
      </c>
      <c r="W1562" s="50">
        <f>+J1562/$W$2</f>
        <v>1.6853437040783225E-4</v>
      </c>
    </row>
    <row r="1563" spans="1:29">
      <c r="A1563" s="10" t="s">
        <v>382</v>
      </c>
      <c r="B1563" s="10" t="s">
        <v>381</v>
      </c>
      <c r="C1563" s="124">
        <v>46345</v>
      </c>
      <c r="D1563" s="124" t="s">
        <v>492</v>
      </c>
      <c r="E1563" s="21">
        <v>0.95720137999999999</v>
      </c>
      <c r="F1563" s="10"/>
      <c r="G1563" s="14">
        <v>3000000</v>
      </c>
      <c r="H1563" s="14">
        <v>2871604.14</v>
      </c>
      <c r="I1563" s="14">
        <v>3000000</v>
      </c>
      <c r="J1563" s="14">
        <v>2871604.14</v>
      </c>
      <c r="K1563" s="12">
        <v>1059</v>
      </c>
      <c r="L1563" s="10" t="s">
        <v>101</v>
      </c>
      <c r="M1563" s="10" t="s">
        <v>102</v>
      </c>
      <c r="N1563" s="124" t="s">
        <v>398</v>
      </c>
      <c r="O1563" s="124" t="s">
        <v>398</v>
      </c>
      <c r="P1563" s="21">
        <v>32</v>
      </c>
      <c r="Q1563" s="10" t="s">
        <v>54</v>
      </c>
      <c r="R1563" s="10" t="s">
        <v>28</v>
      </c>
      <c r="S1563" s="10"/>
      <c r="T1563" s="10"/>
      <c r="U1563" s="10" t="s">
        <v>1758</v>
      </c>
      <c r="V1563" s="10" t="s">
        <v>1758</v>
      </c>
      <c r="W1563" s="50">
        <f>+J1563/$W$2</f>
        <v>3.8176738858904189E-5</v>
      </c>
    </row>
    <row r="1564" spans="1:29">
      <c r="A1564" s="10" t="s">
        <v>3153</v>
      </c>
      <c r="B1564" s="10" t="s">
        <v>381</v>
      </c>
      <c r="C1564" s="124">
        <v>46345</v>
      </c>
      <c r="D1564" s="124" t="s">
        <v>492</v>
      </c>
      <c r="E1564" s="21">
        <v>0.95592283</v>
      </c>
      <c r="F1564" s="10"/>
      <c r="G1564" s="14">
        <v>574285.71</v>
      </c>
      <c r="H1564" s="14">
        <v>548972.81999999995</v>
      </c>
      <c r="I1564" s="14">
        <v>574285.71</v>
      </c>
      <c r="J1564" s="14">
        <v>548972.81999999995</v>
      </c>
      <c r="K1564" s="12">
        <v>30018579</v>
      </c>
      <c r="L1564" s="10" t="s">
        <v>101</v>
      </c>
      <c r="M1564" s="10" t="s">
        <v>102</v>
      </c>
      <c r="N1564" s="124" t="s">
        <v>532</v>
      </c>
      <c r="O1564" s="124" t="s">
        <v>532</v>
      </c>
      <c r="P1564" s="21">
        <v>33</v>
      </c>
      <c r="Q1564" s="10" t="s">
        <v>54</v>
      </c>
      <c r="R1564" s="10" t="s">
        <v>28</v>
      </c>
      <c r="S1564" s="10"/>
      <c r="T1564" s="10"/>
      <c r="U1564" s="10" t="s">
        <v>3129</v>
      </c>
      <c r="V1564" s="10" t="s">
        <v>3129</v>
      </c>
      <c r="W1564" s="50">
        <f>+J1564/$W$2</f>
        <v>7.2983569350113177E-6</v>
      </c>
    </row>
    <row r="1565" spans="1:29">
      <c r="A1565" s="10" t="s">
        <v>334</v>
      </c>
      <c r="B1565" s="10" t="s">
        <v>381</v>
      </c>
      <c r="C1565" s="124">
        <v>46345</v>
      </c>
      <c r="D1565" s="124" t="s">
        <v>492</v>
      </c>
      <c r="E1565" s="21">
        <v>0.95720137999999999</v>
      </c>
      <c r="F1565" s="10"/>
      <c r="G1565" s="14">
        <v>10000000</v>
      </c>
      <c r="H1565" s="14">
        <v>9572013.8000000007</v>
      </c>
      <c r="I1565" s="14">
        <v>10000000</v>
      </c>
      <c r="J1565" s="14">
        <v>9572013.8000000007</v>
      </c>
      <c r="K1565" s="12">
        <v>13953469</v>
      </c>
      <c r="L1565" s="10" t="s">
        <v>101</v>
      </c>
      <c r="M1565" s="10" t="s">
        <v>102</v>
      </c>
      <c r="N1565" s="124" t="s">
        <v>321</v>
      </c>
      <c r="O1565" s="124" t="s">
        <v>321</v>
      </c>
      <c r="P1565" s="21">
        <v>32</v>
      </c>
      <c r="Q1565" s="10" t="s">
        <v>54</v>
      </c>
      <c r="R1565" s="10" t="s">
        <v>28</v>
      </c>
      <c r="S1565" s="10"/>
      <c r="T1565" s="10"/>
      <c r="U1565" s="10" t="s">
        <v>1218</v>
      </c>
      <c r="V1565" s="10" t="s">
        <v>1218</v>
      </c>
      <c r="W1565" s="50">
        <f>+J1565/$W$2</f>
        <v>1.272557961963473E-4</v>
      </c>
    </row>
    <row r="1566" spans="1:29">
      <c r="A1566" s="10" t="s">
        <v>180</v>
      </c>
      <c r="B1566" s="10" t="s">
        <v>381</v>
      </c>
      <c r="C1566" s="124">
        <v>46345</v>
      </c>
      <c r="D1566" s="124" t="s">
        <v>492</v>
      </c>
      <c r="E1566" s="21">
        <v>0.97017708000000002</v>
      </c>
      <c r="F1566" s="10"/>
      <c r="G1566" s="14">
        <v>2753548.09</v>
      </c>
      <c r="H1566" s="14">
        <v>2671429.25</v>
      </c>
      <c r="I1566" s="14">
        <v>2753548.09</v>
      </c>
      <c r="J1566" s="14">
        <v>2671429.25</v>
      </c>
      <c r="K1566" s="12">
        <v>646175</v>
      </c>
      <c r="L1566" s="10" t="s">
        <v>101</v>
      </c>
      <c r="M1566" s="10" t="s">
        <v>102</v>
      </c>
      <c r="N1566" s="124" t="s">
        <v>321</v>
      </c>
      <c r="O1566" s="124" t="s">
        <v>321</v>
      </c>
      <c r="P1566" s="21">
        <v>22</v>
      </c>
      <c r="Q1566" s="10" t="s">
        <v>54</v>
      </c>
      <c r="R1566" s="10" t="s">
        <v>28</v>
      </c>
      <c r="S1566" s="10"/>
      <c r="T1566" s="10"/>
      <c r="U1566" s="10" t="s">
        <v>1204</v>
      </c>
      <c r="V1566" s="10" t="s">
        <v>1204</v>
      </c>
      <c r="W1566" s="50">
        <f>+J1566/$W$2</f>
        <v>3.5515500008050644E-5</v>
      </c>
    </row>
    <row r="1567" spans="1:29">
      <c r="A1567" s="10" t="s">
        <v>180</v>
      </c>
      <c r="B1567" s="10" t="s">
        <v>381</v>
      </c>
      <c r="C1567" s="124">
        <v>46345</v>
      </c>
      <c r="D1567" s="124" t="s">
        <v>492</v>
      </c>
      <c r="E1567" s="21">
        <v>0.97017708000000002</v>
      </c>
      <c r="F1567" s="10"/>
      <c r="G1567" s="14">
        <v>13824514.550000001</v>
      </c>
      <c r="H1567" s="14">
        <v>13412227.17</v>
      </c>
      <c r="I1567" s="14">
        <v>13824514.550000001</v>
      </c>
      <c r="J1567" s="14">
        <v>13412227.17</v>
      </c>
      <c r="K1567" s="12">
        <v>646107</v>
      </c>
      <c r="L1567" s="10" t="s">
        <v>101</v>
      </c>
      <c r="M1567" s="10" t="s">
        <v>102</v>
      </c>
      <c r="N1567" s="124" t="s">
        <v>321</v>
      </c>
      <c r="O1567" s="124" t="s">
        <v>321</v>
      </c>
      <c r="P1567" s="21">
        <v>22</v>
      </c>
      <c r="Q1567" s="10" t="s">
        <v>54</v>
      </c>
      <c r="R1567" s="10" t="s">
        <v>28</v>
      </c>
      <c r="S1567" s="10"/>
      <c r="T1567" s="10"/>
      <c r="U1567" s="10" t="s">
        <v>1205</v>
      </c>
      <c r="V1567" s="10" t="s">
        <v>1205</v>
      </c>
      <c r="W1567" s="50">
        <f>+J1567/$W$2</f>
        <v>1.7830977712178305E-4</v>
      </c>
    </row>
    <row r="1568" spans="1:29">
      <c r="A1568" s="10" t="s">
        <v>180</v>
      </c>
      <c r="B1568" s="10" t="s">
        <v>381</v>
      </c>
      <c r="C1568" s="124">
        <v>46345</v>
      </c>
      <c r="D1568" s="124" t="s">
        <v>492</v>
      </c>
      <c r="E1568" s="21">
        <v>0.97017708000000002</v>
      </c>
      <c r="F1568" s="10"/>
      <c r="G1568" s="14">
        <v>4118494.87</v>
      </c>
      <c r="H1568" s="14">
        <v>3995669.31</v>
      </c>
      <c r="I1568" s="14">
        <v>4118494.87</v>
      </c>
      <c r="J1568" s="14">
        <v>3995669.31</v>
      </c>
      <c r="K1568" s="12">
        <v>646126</v>
      </c>
      <c r="L1568" s="10" t="s">
        <v>101</v>
      </c>
      <c r="M1568" s="10" t="s">
        <v>102</v>
      </c>
      <c r="N1568" s="124" t="s">
        <v>321</v>
      </c>
      <c r="O1568" s="124" t="s">
        <v>321</v>
      </c>
      <c r="P1568" s="21">
        <v>22</v>
      </c>
      <c r="Q1568" s="10" t="s">
        <v>54</v>
      </c>
      <c r="R1568" s="10" t="s">
        <v>28</v>
      </c>
      <c r="S1568" s="10"/>
      <c r="T1568" s="10"/>
      <c r="U1568" s="10" t="s">
        <v>1206</v>
      </c>
      <c r="V1568" s="10" t="s">
        <v>1206</v>
      </c>
      <c r="W1568" s="50">
        <f>+J1568/$W$2</f>
        <v>5.3120700618020379E-5</v>
      </c>
    </row>
    <row r="1569" spans="1:29">
      <c r="A1569" s="10" t="s">
        <v>180</v>
      </c>
      <c r="B1569" s="10" t="s">
        <v>381</v>
      </c>
      <c r="C1569" s="124">
        <v>46345</v>
      </c>
      <c r="D1569" s="124" t="s">
        <v>492</v>
      </c>
      <c r="E1569" s="21">
        <v>0.97017708999999996</v>
      </c>
      <c r="F1569" s="10"/>
      <c r="G1569" s="14">
        <v>2994215.75</v>
      </c>
      <c r="H1569" s="14">
        <v>2904919.51</v>
      </c>
      <c r="I1569" s="14">
        <v>2994215.75</v>
      </c>
      <c r="J1569" s="14">
        <v>2904919.51</v>
      </c>
      <c r="K1569" s="12">
        <v>646250</v>
      </c>
      <c r="L1569" s="10" t="s">
        <v>101</v>
      </c>
      <c r="M1569" s="10" t="s">
        <v>102</v>
      </c>
      <c r="N1569" s="124" t="s">
        <v>321</v>
      </c>
      <c r="O1569" s="124" t="s">
        <v>321</v>
      </c>
      <c r="P1569" s="21">
        <v>22</v>
      </c>
      <c r="Q1569" s="10" t="s">
        <v>54</v>
      </c>
      <c r="R1569" s="10" t="s">
        <v>28</v>
      </c>
      <c r="S1569" s="10"/>
      <c r="T1569" s="10"/>
      <c r="U1569" s="10" t="s">
        <v>1208</v>
      </c>
      <c r="V1569" s="10" t="s">
        <v>1208</v>
      </c>
      <c r="W1569" s="50">
        <f>+J1569/$W$2</f>
        <v>3.8619652338085118E-5</v>
      </c>
    </row>
    <row r="1570" spans="1:29">
      <c r="A1570" s="10" t="s">
        <v>180</v>
      </c>
      <c r="B1570" s="10" t="s">
        <v>381</v>
      </c>
      <c r="C1570" s="124">
        <v>46345</v>
      </c>
      <c r="D1570" s="124" t="s">
        <v>492</v>
      </c>
      <c r="E1570" s="21">
        <v>0.97017708000000002</v>
      </c>
      <c r="F1570" s="10"/>
      <c r="G1570" s="14">
        <v>6602649.0700000003</v>
      </c>
      <c r="H1570" s="14">
        <v>6405738.79</v>
      </c>
      <c r="I1570" s="14">
        <v>6602649.0700000003</v>
      </c>
      <c r="J1570" s="14">
        <v>6405738.79</v>
      </c>
      <c r="K1570" s="12">
        <v>646185</v>
      </c>
      <c r="L1570" s="10" t="s">
        <v>101</v>
      </c>
      <c r="M1570" s="10" t="s">
        <v>102</v>
      </c>
      <c r="N1570" s="124" t="s">
        <v>321</v>
      </c>
      <c r="O1570" s="124" t="s">
        <v>321</v>
      </c>
      <c r="P1570" s="21">
        <v>22</v>
      </c>
      <c r="Q1570" s="10" t="s">
        <v>54</v>
      </c>
      <c r="R1570" s="10" t="s">
        <v>28</v>
      </c>
      <c r="S1570" s="10"/>
      <c r="T1570" s="10"/>
      <c r="U1570" s="10" t="s">
        <v>1209</v>
      </c>
      <c r="V1570" s="10" t="s">
        <v>1209</v>
      </c>
      <c r="W1570" s="50">
        <f>+J1570/$W$2</f>
        <v>8.5161535177401886E-5</v>
      </c>
    </row>
    <row r="1571" spans="1:29">
      <c r="A1571" s="10" t="s">
        <v>180</v>
      </c>
      <c r="B1571" s="10" t="s">
        <v>381</v>
      </c>
      <c r="C1571" s="124">
        <v>46345</v>
      </c>
      <c r="D1571" s="124" t="s">
        <v>492</v>
      </c>
      <c r="E1571" s="21">
        <v>0.97017706999999997</v>
      </c>
      <c r="F1571" s="10"/>
      <c r="G1571" s="14">
        <v>3715219.33</v>
      </c>
      <c r="H1571" s="14">
        <v>3604420.62</v>
      </c>
      <c r="I1571" s="14">
        <v>3715219.33</v>
      </c>
      <c r="J1571" s="14">
        <v>3604420.62</v>
      </c>
      <c r="K1571" s="12">
        <v>646200</v>
      </c>
      <c r="L1571" s="10" t="s">
        <v>101</v>
      </c>
      <c r="M1571" s="10" t="s">
        <v>102</v>
      </c>
      <c r="N1571" s="124" t="s">
        <v>321</v>
      </c>
      <c r="O1571" s="124" t="s">
        <v>321</v>
      </c>
      <c r="P1571" s="21">
        <v>22</v>
      </c>
      <c r="Q1571" s="10" t="s">
        <v>54</v>
      </c>
      <c r="R1571" s="10" t="s">
        <v>28</v>
      </c>
      <c r="S1571" s="10"/>
      <c r="T1571" s="10"/>
      <c r="U1571" s="10" t="s">
        <v>1210</v>
      </c>
      <c r="V1571" s="10" t="s">
        <v>1210</v>
      </c>
      <c r="W1571" s="50">
        <f>+J1571/$W$2</f>
        <v>4.7919217983642245E-5</v>
      </c>
    </row>
    <row r="1572" spans="1:29">
      <c r="A1572" s="10" t="s">
        <v>180</v>
      </c>
      <c r="B1572" s="10" t="s">
        <v>381</v>
      </c>
      <c r="C1572" s="124">
        <v>46345</v>
      </c>
      <c r="D1572" s="124" t="s">
        <v>492</v>
      </c>
      <c r="E1572" s="21">
        <v>0.97017708000000002</v>
      </c>
      <c r="F1572" s="10"/>
      <c r="G1572" s="14">
        <v>4405109.3099999996</v>
      </c>
      <c r="H1572" s="14">
        <v>4273736.08</v>
      </c>
      <c r="I1572" s="14">
        <v>4405109.3099999996</v>
      </c>
      <c r="J1572" s="14">
        <v>4273736.08</v>
      </c>
      <c r="K1572" s="12">
        <v>646238</v>
      </c>
      <c r="L1572" s="10" t="s">
        <v>101</v>
      </c>
      <c r="M1572" s="10" t="s">
        <v>102</v>
      </c>
      <c r="N1572" s="124" t="s">
        <v>321</v>
      </c>
      <c r="O1572" s="124" t="s">
        <v>321</v>
      </c>
      <c r="P1572" s="21">
        <v>22</v>
      </c>
      <c r="Q1572" s="10" t="s">
        <v>54</v>
      </c>
      <c r="R1572" s="10" t="s">
        <v>28</v>
      </c>
      <c r="S1572" s="10"/>
      <c r="T1572" s="10"/>
      <c r="U1572" s="10" t="s">
        <v>1211</v>
      </c>
      <c r="V1572" s="10" t="s">
        <v>1211</v>
      </c>
      <c r="W1572" s="50">
        <f>+J1572/$W$2</f>
        <v>5.6817478427941275E-5</v>
      </c>
    </row>
    <row r="1573" spans="1:29">
      <c r="A1573" s="10" t="s">
        <v>353</v>
      </c>
      <c r="B1573" s="10" t="s">
        <v>381</v>
      </c>
      <c r="C1573" s="124">
        <v>46345</v>
      </c>
      <c r="D1573" s="124" t="s">
        <v>492</v>
      </c>
      <c r="E1573" s="21">
        <v>0.95337618999999996</v>
      </c>
      <c r="F1573" s="10"/>
      <c r="G1573" s="14">
        <v>3256800.5</v>
      </c>
      <c r="H1573" s="14">
        <v>3104956.04</v>
      </c>
      <c r="I1573" s="14">
        <v>3256800.5</v>
      </c>
      <c r="J1573" s="14">
        <v>3104956.04</v>
      </c>
      <c r="K1573" s="12">
        <v>3587</v>
      </c>
      <c r="L1573" s="10" t="s">
        <v>101</v>
      </c>
      <c r="M1573" s="10" t="s">
        <v>102</v>
      </c>
      <c r="N1573" s="124" t="s">
        <v>422</v>
      </c>
      <c r="O1573" s="124" t="s">
        <v>422</v>
      </c>
      <c r="P1573" s="21">
        <v>35</v>
      </c>
      <c r="Q1573" s="10" t="s">
        <v>54</v>
      </c>
      <c r="R1573" s="10" t="s">
        <v>28</v>
      </c>
      <c r="S1573" s="10"/>
      <c r="T1573" s="10"/>
      <c r="U1573" s="10" t="s">
        <v>2743</v>
      </c>
      <c r="V1573" s="10" t="s">
        <v>2743</v>
      </c>
      <c r="W1573" s="50">
        <f>+J1573/$W$2</f>
        <v>4.1279051752396926E-5</v>
      </c>
    </row>
    <row r="1574" spans="1:29">
      <c r="A1574" s="10" t="s">
        <v>353</v>
      </c>
      <c r="B1574" s="10" t="s">
        <v>381</v>
      </c>
      <c r="C1574" s="124">
        <v>46345</v>
      </c>
      <c r="D1574" s="124" t="s">
        <v>492</v>
      </c>
      <c r="E1574" s="21">
        <v>0.95337607000000002</v>
      </c>
      <c r="F1574" s="10"/>
      <c r="G1574" s="14">
        <v>3625698.78</v>
      </c>
      <c r="H1574" s="14">
        <v>3456654.45</v>
      </c>
      <c r="I1574" s="14">
        <v>3625698.78</v>
      </c>
      <c r="J1574" s="14">
        <v>3456654.45</v>
      </c>
      <c r="K1574" s="12">
        <v>3358</v>
      </c>
      <c r="L1574" s="10" t="s">
        <v>101</v>
      </c>
      <c r="M1574" s="10" t="s">
        <v>102</v>
      </c>
      <c r="N1574" s="124" t="s">
        <v>164</v>
      </c>
      <c r="O1574" s="124" t="s">
        <v>164</v>
      </c>
      <c r="P1574" s="21">
        <v>35</v>
      </c>
      <c r="Q1574" s="10" t="s">
        <v>54</v>
      </c>
      <c r="R1574" s="10" t="s">
        <v>28</v>
      </c>
      <c r="S1574" s="10"/>
      <c r="T1574" s="10"/>
      <c r="U1574" s="10" t="s">
        <v>1952</v>
      </c>
      <c r="V1574" s="10" t="s">
        <v>1952</v>
      </c>
      <c r="W1574" s="50">
        <f>+J1574/$W$2</f>
        <v>4.5954730467521574E-5</v>
      </c>
    </row>
    <row r="1575" spans="1:29">
      <c r="A1575" s="10" t="s">
        <v>849</v>
      </c>
      <c r="B1575" s="10" t="s">
        <v>381</v>
      </c>
      <c r="C1575" s="124">
        <v>46345</v>
      </c>
      <c r="D1575" s="124" t="s">
        <v>492</v>
      </c>
      <c r="E1575" s="21">
        <v>0.95084276000000001</v>
      </c>
      <c r="F1575" s="10"/>
      <c r="G1575" s="14">
        <v>25000000</v>
      </c>
      <c r="H1575" s="14">
        <v>23771069.120000001</v>
      </c>
      <c r="I1575" s="14">
        <v>25000000</v>
      </c>
      <c r="J1575" s="14">
        <v>23771069.120000001</v>
      </c>
      <c r="K1575" s="12">
        <v>2660</v>
      </c>
      <c r="L1575" s="10" t="s">
        <v>101</v>
      </c>
      <c r="M1575" s="10" t="s">
        <v>102</v>
      </c>
      <c r="N1575" s="124" t="s">
        <v>425</v>
      </c>
      <c r="O1575" s="124" t="s">
        <v>425</v>
      </c>
      <c r="P1575" s="21">
        <v>37</v>
      </c>
      <c r="Q1575" s="10" t="s">
        <v>54</v>
      </c>
      <c r="R1575" s="10" t="s">
        <v>28</v>
      </c>
      <c r="S1575" s="10"/>
      <c r="T1575" s="10"/>
      <c r="U1575" s="10" t="s">
        <v>1705</v>
      </c>
      <c r="V1575" s="10" t="s">
        <v>1705</v>
      </c>
      <c r="W1575" s="50">
        <f>+J1575/$W$2</f>
        <v>3.1602611430668902E-4</v>
      </c>
    </row>
    <row r="1576" spans="1:29">
      <c r="A1576" s="10" t="s">
        <v>2600</v>
      </c>
      <c r="B1576" s="10" t="s">
        <v>381</v>
      </c>
      <c r="C1576" s="124">
        <v>46345</v>
      </c>
      <c r="D1576" s="124" t="s">
        <v>492</v>
      </c>
      <c r="E1576" s="21">
        <v>0.95592284000000005</v>
      </c>
      <c r="F1576" s="10"/>
      <c r="G1576" s="14">
        <v>5687804.6399999997</v>
      </c>
      <c r="H1576" s="14">
        <v>5437102.3700000001</v>
      </c>
      <c r="I1576" s="14">
        <v>5687804.6399999997</v>
      </c>
      <c r="J1576" s="14">
        <v>5437102.3700000001</v>
      </c>
      <c r="K1576" s="12">
        <v>8175684</v>
      </c>
      <c r="L1576" s="10" t="s">
        <v>101</v>
      </c>
      <c r="M1576" s="10" t="s">
        <v>102</v>
      </c>
      <c r="N1576" s="124" t="s">
        <v>423</v>
      </c>
      <c r="O1576" s="124" t="s">
        <v>423</v>
      </c>
      <c r="P1576" s="21">
        <v>33</v>
      </c>
      <c r="Q1576" s="10" t="s">
        <v>54</v>
      </c>
      <c r="R1576" s="10" t="s">
        <v>28</v>
      </c>
      <c r="S1576" s="10"/>
      <c r="T1576" s="10"/>
      <c r="U1576" s="10" t="s">
        <v>2476</v>
      </c>
      <c r="V1576" s="10" t="s">
        <v>2476</v>
      </c>
      <c r="W1576" s="50">
        <f>+J1576/$W$2</f>
        <v>7.2283931631544126E-5</v>
      </c>
    </row>
    <row r="1577" spans="1:29">
      <c r="A1577" s="10" t="s">
        <v>208</v>
      </c>
      <c r="B1577" s="10" t="s">
        <v>381</v>
      </c>
      <c r="C1577" s="124">
        <v>46345</v>
      </c>
      <c r="D1577" s="124" t="s">
        <v>492</v>
      </c>
      <c r="E1577" s="21">
        <v>0.95592297000000004</v>
      </c>
      <c r="F1577" s="10"/>
      <c r="G1577" s="14">
        <v>2170000</v>
      </c>
      <c r="H1577" s="14">
        <v>2074352.85</v>
      </c>
      <c r="I1577" s="14">
        <v>2170000</v>
      </c>
      <c r="J1577" s="14">
        <v>2074352.85</v>
      </c>
      <c r="K1577" s="12">
        <v>260734</v>
      </c>
      <c r="L1577" s="10" t="s">
        <v>101</v>
      </c>
      <c r="M1577" s="10" t="s">
        <v>102</v>
      </c>
      <c r="N1577" s="124" t="s">
        <v>533</v>
      </c>
      <c r="O1577" s="124" t="s">
        <v>533</v>
      </c>
      <c r="P1577" s="21">
        <v>33</v>
      </c>
      <c r="Q1577" s="10" t="s">
        <v>54</v>
      </c>
      <c r="R1577" s="10" t="s">
        <v>28</v>
      </c>
      <c r="S1577" s="10"/>
      <c r="T1577" s="10"/>
      <c r="U1577" s="10" t="s">
        <v>1861</v>
      </c>
      <c r="V1577" s="10" t="s">
        <v>1861</v>
      </c>
      <c r="W1577" s="50">
        <f>+J1577/$W$2</f>
        <v>2.7577626718310014E-5</v>
      </c>
      <c r="AC1577" s="47"/>
    </row>
    <row r="1578" spans="1:29">
      <c r="A1578" s="10" t="s">
        <v>494</v>
      </c>
      <c r="B1578" s="10" t="s">
        <v>381</v>
      </c>
      <c r="C1578" s="124">
        <v>46345</v>
      </c>
      <c r="D1578" s="124" t="s">
        <v>492</v>
      </c>
      <c r="E1578" s="21">
        <v>0.96364563000000003</v>
      </c>
      <c r="F1578" s="10"/>
      <c r="G1578" s="14">
        <v>25000000</v>
      </c>
      <c r="H1578" s="14">
        <v>24091140.870000001</v>
      </c>
      <c r="I1578" s="14">
        <v>25000000</v>
      </c>
      <c r="J1578" s="14">
        <v>24091140.870000001</v>
      </c>
      <c r="K1578" s="12">
        <v>893</v>
      </c>
      <c r="L1578" s="10" t="s">
        <v>101</v>
      </c>
      <c r="M1578" s="10" t="s">
        <v>102</v>
      </c>
      <c r="N1578" s="124" t="s">
        <v>422</v>
      </c>
      <c r="O1578" s="124" t="s">
        <v>422</v>
      </c>
      <c r="P1578" s="21">
        <v>27</v>
      </c>
      <c r="Q1578" s="10" t="s">
        <v>54</v>
      </c>
      <c r="R1578" s="10" t="s">
        <v>28</v>
      </c>
      <c r="S1578" s="10"/>
      <c r="T1578" s="10"/>
      <c r="U1578" s="10" t="s">
        <v>2758</v>
      </c>
      <c r="V1578" s="10" t="s">
        <v>2758</v>
      </c>
      <c r="W1578" s="50">
        <f>+J1578/$W$2</f>
        <v>3.202813302139423E-4</v>
      </c>
    </row>
    <row r="1579" spans="1:29">
      <c r="A1579" s="10" t="s">
        <v>3512</v>
      </c>
      <c r="B1579" s="10" t="s">
        <v>381</v>
      </c>
      <c r="C1579" s="124">
        <v>46345</v>
      </c>
      <c r="D1579" s="124" t="s">
        <v>492</v>
      </c>
      <c r="E1579" s="21">
        <v>0.95592301999999996</v>
      </c>
      <c r="F1579" s="10"/>
      <c r="G1579" s="14">
        <v>80000000</v>
      </c>
      <c r="H1579" s="14">
        <v>76473841.299999997</v>
      </c>
      <c r="I1579" s="14">
        <v>80000000</v>
      </c>
      <c r="J1579" s="14">
        <v>76473841.299999997</v>
      </c>
      <c r="K1579" s="12">
        <v>3036</v>
      </c>
      <c r="L1579" s="10" t="s">
        <v>101</v>
      </c>
      <c r="M1579" s="10" t="s">
        <v>102</v>
      </c>
      <c r="N1579" s="124" t="s">
        <v>678</v>
      </c>
      <c r="O1579" s="124" t="s">
        <v>678</v>
      </c>
      <c r="P1579" s="21">
        <v>33</v>
      </c>
      <c r="Q1579" s="10" t="s">
        <v>54</v>
      </c>
      <c r="R1579" s="10" t="s">
        <v>28</v>
      </c>
      <c r="S1579" s="10"/>
      <c r="T1579" s="10"/>
      <c r="U1579" s="10" t="s">
        <v>3499</v>
      </c>
      <c r="V1579" s="10" t="s">
        <v>3499</v>
      </c>
      <c r="W1579" s="50">
        <f>+J1579/$W$2</f>
        <v>1.0166867459828156E-3</v>
      </c>
    </row>
    <row r="1580" spans="1:29">
      <c r="A1580" s="10" t="s">
        <v>2083</v>
      </c>
      <c r="B1580" s="10" t="s">
        <v>381</v>
      </c>
      <c r="C1580" s="124">
        <v>46345</v>
      </c>
      <c r="D1580" s="124" t="s">
        <v>492</v>
      </c>
      <c r="E1580" s="21">
        <v>0.95848334999999996</v>
      </c>
      <c r="F1580" s="10"/>
      <c r="G1580" s="14">
        <v>482400</v>
      </c>
      <c r="H1580" s="14">
        <v>462372.37</v>
      </c>
      <c r="I1580" s="14">
        <v>482400</v>
      </c>
      <c r="J1580" s="14">
        <v>462372.37</v>
      </c>
      <c r="K1580" s="12">
        <v>3978</v>
      </c>
      <c r="L1580" s="10" t="s">
        <v>101</v>
      </c>
      <c r="M1580" s="10" t="s">
        <v>102</v>
      </c>
      <c r="N1580" s="124" t="s">
        <v>390</v>
      </c>
      <c r="O1580" s="124" t="s">
        <v>390</v>
      </c>
      <c r="P1580" s="21">
        <v>31</v>
      </c>
      <c r="Q1580" s="10" t="s">
        <v>54</v>
      </c>
      <c r="R1580" s="10" t="s">
        <v>28</v>
      </c>
      <c r="S1580" s="10"/>
      <c r="T1580" s="10"/>
      <c r="U1580" s="10" t="s">
        <v>2062</v>
      </c>
      <c r="V1580" s="10" t="s">
        <v>2062</v>
      </c>
      <c r="W1580" s="50">
        <f>+J1580/$W$2</f>
        <v>6.1470412927676804E-6</v>
      </c>
    </row>
    <row r="1581" spans="1:29">
      <c r="A1581" s="10" t="s">
        <v>2165</v>
      </c>
      <c r="B1581" s="10" t="s">
        <v>381</v>
      </c>
      <c r="C1581" s="124">
        <v>46345</v>
      </c>
      <c r="D1581" s="124" t="s">
        <v>492</v>
      </c>
      <c r="E1581" s="21">
        <v>0.95720134999999995</v>
      </c>
      <c r="F1581" s="10"/>
      <c r="G1581" s="14">
        <v>2188623.9300000002</v>
      </c>
      <c r="H1581" s="14">
        <v>2094953.77</v>
      </c>
      <c r="I1581" s="14">
        <v>2188623.9300000002</v>
      </c>
      <c r="J1581" s="14">
        <v>2094953.77</v>
      </c>
      <c r="K1581" s="12">
        <v>30000397</v>
      </c>
      <c r="L1581" s="10" t="s">
        <v>101</v>
      </c>
      <c r="M1581" s="10" t="s">
        <v>102</v>
      </c>
      <c r="N1581" s="124" t="s">
        <v>423</v>
      </c>
      <c r="O1581" s="124" t="s">
        <v>423</v>
      </c>
      <c r="P1581" s="21">
        <v>32</v>
      </c>
      <c r="Q1581" s="10" t="s">
        <v>54</v>
      </c>
      <c r="R1581" s="10" t="s">
        <v>28</v>
      </c>
      <c r="S1581" s="10"/>
      <c r="T1581" s="10"/>
      <c r="U1581" s="10" t="s">
        <v>2565</v>
      </c>
      <c r="V1581" s="10" t="s">
        <v>2565</v>
      </c>
      <c r="W1581" s="50">
        <f>+J1581/$W$2</f>
        <v>2.7851507066975751E-5</v>
      </c>
    </row>
    <row r="1582" spans="1:29">
      <c r="A1582" s="10" t="s">
        <v>404</v>
      </c>
      <c r="B1582" s="10" t="s">
        <v>381</v>
      </c>
      <c r="C1582" s="124">
        <v>46345</v>
      </c>
      <c r="D1582" s="124" t="s">
        <v>492</v>
      </c>
      <c r="E1582" s="21">
        <v>0.95976870999999997</v>
      </c>
      <c r="F1582" s="10"/>
      <c r="G1582" s="14">
        <v>10000000</v>
      </c>
      <c r="H1582" s="14">
        <v>9597687.0700000003</v>
      </c>
      <c r="I1582" s="14">
        <v>10000000</v>
      </c>
      <c r="J1582" s="14">
        <v>9597687.0700000003</v>
      </c>
      <c r="K1582" s="12">
        <v>8229</v>
      </c>
      <c r="L1582" s="10" t="s">
        <v>101</v>
      </c>
      <c r="M1582" s="10" t="s">
        <v>102</v>
      </c>
      <c r="N1582" s="124" t="s">
        <v>420</v>
      </c>
      <c r="O1582" s="124" t="s">
        <v>420</v>
      </c>
      <c r="P1582" s="21">
        <v>30</v>
      </c>
      <c r="Q1582" s="10" t="s">
        <v>54</v>
      </c>
      <c r="R1582" s="10" t="s">
        <v>28</v>
      </c>
      <c r="S1582" s="10"/>
      <c r="T1582" s="10"/>
      <c r="U1582" s="10" t="s">
        <v>2634</v>
      </c>
      <c r="V1582" s="10" t="s">
        <v>2634</v>
      </c>
      <c r="W1582" s="50">
        <f>+J1582/$W$2</f>
        <v>1.2759711125115986E-4</v>
      </c>
      <c r="AC1582" s="47"/>
    </row>
    <row r="1583" spans="1:29">
      <c r="A1583" s="10" t="s">
        <v>273</v>
      </c>
      <c r="B1583" s="10" t="s">
        <v>381</v>
      </c>
      <c r="C1583" s="124">
        <v>46345</v>
      </c>
      <c r="D1583" s="124" t="s">
        <v>492</v>
      </c>
      <c r="E1583" s="21">
        <v>0.96494477000000001</v>
      </c>
      <c r="F1583" s="10"/>
      <c r="G1583" s="14">
        <v>4000000</v>
      </c>
      <c r="H1583" s="14">
        <v>3859779.08</v>
      </c>
      <c r="I1583" s="14">
        <v>4000000</v>
      </c>
      <c r="J1583" s="14">
        <v>3859779.08</v>
      </c>
      <c r="K1583" s="12">
        <v>90002234</v>
      </c>
      <c r="L1583" s="10" t="s">
        <v>101</v>
      </c>
      <c r="M1583" s="10" t="s">
        <v>102</v>
      </c>
      <c r="N1583" s="124" t="s">
        <v>532</v>
      </c>
      <c r="O1583" s="124" t="s">
        <v>532</v>
      </c>
      <c r="P1583" s="21">
        <v>26</v>
      </c>
      <c r="Q1583" s="10" t="s">
        <v>54</v>
      </c>
      <c r="R1583" s="10" t="s">
        <v>28</v>
      </c>
      <c r="S1583" s="10"/>
      <c r="T1583" s="10"/>
      <c r="U1583" s="10" t="s">
        <v>3040</v>
      </c>
      <c r="V1583" s="10" t="s">
        <v>3040</v>
      </c>
      <c r="W1583" s="50">
        <f>+J1583/$W$2</f>
        <v>5.1314098603514849E-5</v>
      </c>
    </row>
    <row r="1584" spans="1:29">
      <c r="A1584" s="10" t="s">
        <v>1063</v>
      </c>
      <c r="B1584" s="10" t="s">
        <v>381</v>
      </c>
      <c r="C1584" s="124">
        <v>46345</v>
      </c>
      <c r="D1584" s="124" t="s">
        <v>492</v>
      </c>
      <c r="E1584" s="21">
        <v>0.95592290000000002</v>
      </c>
      <c r="F1584" s="10"/>
      <c r="G1584" s="14">
        <v>15040535.109999999</v>
      </c>
      <c r="H1584" s="14">
        <v>14377591.960000001</v>
      </c>
      <c r="I1584" s="14">
        <v>15040535.109999999</v>
      </c>
      <c r="J1584" s="14">
        <v>14377591.960000001</v>
      </c>
      <c r="K1584" s="12">
        <v>29717251</v>
      </c>
      <c r="L1584" s="10" t="s">
        <v>101</v>
      </c>
      <c r="M1584" s="10" t="s">
        <v>102</v>
      </c>
      <c r="N1584" s="124" t="s">
        <v>155</v>
      </c>
      <c r="O1584" s="124" t="s">
        <v>155</v>
      </c>
      <c r="P1584" s="21">
        <v>33</v>
      </c>
      <c r="Q1584" s="10" t="s">
        <v>54</v>
      </c>
      <c r="R1584" s="10" t="s">
        <v>28</v>
      </c>
      <c r="S1584" s="10"/>
      <c r="T1584" s="10"/>
      <c r="U1584" s="10" t="s">
        <v>1053</v>
      </c>
      <c r="V1584" s="10" t="s">
        <v>1053</v>
      </c>
      <c r="W1584" s="50">
        <f>+J1584/$W$2</f>
        <v>1.9114388575745695E-4</v>
      </c>
    </row>
    <row r="1585" spans="1:29">
      <c r="A1585" s="10" t="s">
        <v>1189</v>
      </c>
      <c r="B1585" s="10" t="s">
        <v>381</v>
      </c>
      <c r="C1585" s="124">
        <v>46345</v>
      </c>
      <c r="D1585" s="124" t="s">
        <v>492</v>
      </c>
      <c r="E1585" s="21">
        <v>0.95592303999999995</v>
      </c>
      <c r="F1585" s="10"/>
      <c r="G1585" s="14">
        <v>204051.5</v>
      </c>
      <c r="H1585" s="14">
        <v>195057.53</v>
      </c>
      <c r="I1585" s="14">
        <v>204051.5</v>
      </c>
      <c r="J1585" s="14">
        <v>195057.53</v>
      </c>
      <c r="K1585" s="12">
        <v>30101906</v>
      </c>
      <c r="L1585" s="10" t="s">
        <v>101</v>
      </c>
      <c r="M1585" s="10" t="s">
        <v>102</v>
      </c>
      <c r="N1585" s="124" t="s">
        <v>434</v>
      </c>
      <c r="O1585" s="124" t="s">
        <v>434</v>
      </c>
      <c r="P1585" s="21">
        <v>33</v>
      </c>
      <c r="Q1585" s="10" t="s">
        <v>54</v>
      </c>
      <c r="R1585" s="10" t="s">
        <v>28</v>
      </c>
      <c r="S1585" s="10"/>
      <c r="T1585" s="10"/>
      <c r="U1585" s="10" t="s">
        <v>2958</v>
      </c>
      <c r="V1585" s="10" t="s">
        <v>2958</v>
      </c>
      <c r="W1585" s="50">
        <f>+J1585/$W$2</f>
        <v>2.5932057561641729E-6</v>
      </c>
    </row>
    <row r="1586" spans="1:29">
      <c r="A1586" s="10" t="s">
        <v>1189</v>
      </c>
      <c r="B1586" s="10" t="s">
        <v>381</v>
      </c>
      <c r="C1586" s="124">
        <v>46345</v>
      </c>
      <c r="D1586" s="124" t="s">
        <v>492</v>
      </c>
      <c r="E1586" s="21">
        <v>0.95337612000000005</v>
      </c>
      <c r="F1586" s="10"/>
      <c r="G1586" s="14">
        <v>278508.32</v>
      </c>
      <c r="H1586" s="14">
        <v>265523.18</v>
      </c>
      <c r="I1586" s="14">
        <v>278508.32</v>
      </c>
      <c r="J1586" s="14">
        <v>265523.18</v>
      </c>
      <c r="K1586" s="12">
        <v>30100623</v>
      </c>
      <c r="L1586" s="10" t="s">
        <v>101</v>
      </c>
      <c r="M1586" s="10" t="s">
        <v>102</v>
      </c>
      <c r="N1586" s="124" t="s">
        <v>420</v>
      </c>
      <c r="O1586" s="124" t="s">
        <v>420</v>
      </c>
      <c r="P1586" s="21">
        <v>35</v>
      </c>
      <c r="Q1586" s="10" t="s">
        <v>54</v>
      </c>
      <c r="R1586" s="10" t="s">
        <v>28</v>
      </c>
      <c r="S1586" s="10"/>
      <c r="T1586" s="10"/>
      <c r="U1586" s="10" t="s">
        <v>2649</v>
      </c>
      <c r="V1586" s="10" t="s">
        <v>2649</v>
      </c>
      <c r="W1586" s="50">
        <f>+J1586/$W$2</f>
        <v>3.530016189434039E-6</v>
      </c>
    </row>
    <row r="1587" spans="1:29">
      <c r="A1587" s="10" t="s">
        <v>404</v>
      </c>
      <c r="B1587" s="10" t="s">
        <v>381</v>
      </c>
      <c r="C1587" s="124">
        <v>46345</v>
      </c>
      <c r="D1587" s="124" t="s">
        <v>492</v>
      </c>
      <c r="E1587" s="21">
        <v>0.96364548000000005</v>
      </c>
      <c r="F1587" s="10"/>
      <c r="G1587" s="14">
        <v>2500000</v>
      </c>
      <c r="H1587" s="14">
        <v>2409113.71</v>
      </c>
      <c r="I1587" s="14">
        <v>2500000</v>
      </c>
      <c r="J1587" s="14">
        <v>2409113.71</v>
      </c>
      <c r="K1587" s="12">
        <v>69814724</v>
      </c>
      <c r="L1587" s="10" t="s">
        <v>101</v>
      </c>
      <c r="M1587" s="10" t="s">
        <v>102</v>
      </c>
      <c r="N1587" s="124" t="s">
        <v>486</v>
      </c>
      <c r="O1587" s="124" t="s">
        <v>486</v>
      </c>
      <c r="P1587" s="21">
        <v>27</v>
      </c>
      <c r="Q1587" s="10" t="s">
        <v>54</v>
      </c>
      <c r="R1587" s="10" t="s">
        <v>28</v>
      </c>
      <c r="S1587" s="10"/>
      <c r="T1587" s="10"/>
      <c r="U1587" s="10" t="s">
        <v>2835</v>
      </c>
      <c r="V1587" s="10" t="s">
        <v>2835</v>
      </c>
      <c r="W1587" s="50">
        <f>+J1587/$W$2</f>
        <v>3.2028128009341787E-5</v>
      </c>
    </row>
    <row r="1588" spans="1:29">
      <c r="A1588" s="10" t="s">
        <v>3144</v>
      </c>
      <c r="B1588" s="10" t="s">
        <v>381</v>
      </c>
      <c r="C1588" s="124">
        <v>46345</v>
      </c>
      <c r="D1588" s="124" t="s">
        <v>492</v>
      </c>
      <c r="E1588" s="21">
        <v>0.95592281999999995</v>
      </c>
      <c r="F1588" s="10"/>
      <c r="G1588" s="14">
        <v>2500000</v>
      </c>
      <c r="H1588" s="14">
        <v>2389807.06</v>
      </c>
      <c r="I1588" s="14">
        <v>2500000</v>
      </c>
      <c r="J1588" s="14">
        <v>2389807.06</v>
      </c>
      <c r="K1588" s="12">
        <v>94</v>
      </c>
      <c r="L1588" s="10" t="s">
        <v>101</v>
      </c>
      <c r="M1588" s="10" t="s">
        <v>102</v>
      </c>
      <c r="N1588" s="124" t="s">
        <v>532</v>
      </c>
      <c r="O1588" s="124" t="s">
        <v>532</v>
      </c>
      <c r="P1588" s="21">
        <v>33</v>
      </c>
      <c r="Q1588" s="10" t="s">
        <v>54</v>
      </c>
      <c r="R1588" s="10" t="s">
        <v>28</v>
      </c>
      <c r="S1588" s="10"/>
      <c r="T1588" s="10"/>
      <c r="U1588" s="10" t="s">
        <v>3111</v>
      </c>
      <c r="V1588" s="10" t="s">
        <v>3111</v>
      </c>
      <c r="W1588" s="50">
        <f>+J1588/$W$2</f>
        <v>3.1771454422260852E-5</v>
      </c>
    </row>
    <row r="1589" spans="1:29">
      <c r="A1589" s="10" t="s">
        <v>1422</v>
      </c>
      <c r="B1589" s="10" t="s">
        <v>381</v>
      </c>
      <c r="C1589" s="124">
        <v>46345</v>
      </c>
      <c r="D1589" s="124" t="s">
        <v>492</v>
      </c>
      <c r="E1589" s="21">
        <v>0.95848330000000004</v>
      </c>
      <c r="F1589" s="10"/>
      <c r="G1589" s="14">
        <v>17265963.219999999</v>
      </c>
      <c r="H1589" s="14">
        <v>16549137.380000001</v>
      </c>
      <c r="I1589" s="14">
        <v>17265963.219999999</v>
      </c>
      <c r="J1589" s="14">
        <v>16549137.380000001</v>
      </c>
      <c r="K1589" s="12">
        <v>31835604</v>
      </c>
      <c r="L1589" s="10" t="s">
        <v>101</v>
      </c>
      <c r="M1589" s="10" t="s">
        <v>102</v>
      </c>
      <c r="N1589" s="124" t="s">
        <v>164</v>
      </c>
      <c r="O1589" s="124" t="s">
        <v>164</v>
      </c>
      <c r="P1589" s="21">
        <v>31</v>
      </c>
      <c r="Q1589" s="10" t="s">
        <v>54</v>
      </c>
      <c r="R1589" s="10" t="s">
        <v>28</v>
      </c>
      <c r="S1589" s="10"/>
      <c r="T1589" s="10"/>
      <c r="U1589" s="10" t="s">
        <v>2010</v>
      </c>
      <c r="V1589" s="10" t="s">
        <v>2010</v>
      </c>
      <c r="W1589" s="50">
        <f>+J1589/$W$2</f>
        <v>2.2001364578628509E-4</v>
      </c>
    </row>
    <row r="1590" spans="1:29">
      <c r="A1590" s="10" t="s">
        <v>597</v>
      </c>
      <c r="B1590" s="10" t="s">
        <v>381</v>
      </c>
      <c r="C1590" s="124">
        <v>46345</v>
      </c>
      <c r="D1590" s="124" t="s">
        <v>492</v>
      </c>
      <c r="E1590" s="21">
        <v>0.94832298999999998</v>
      </c>
      <c r="F1590" s="10"/>
      <c r="G1590" s="14">
        <v>3750000</v>
      </c>
      <c r="H1590" s="14">
        <v>3556211.21</v>
      </c>
      <c r="I1590" s="14">
        <v>3750000</v>
      </c>
      <c r="J1590" s="14">
        <v>3556211.21</v>
      </c>
      <c r="K1590" s="12">
        <v>66918963</v>
      </c>
      <c r="L1590" s="10" t="s">
        <v>101</v>
      </c>
      <c r="M1590" s="10" t="s">
        <v>102</v>
      </c>
      <c r="N1590" s="124" t="s">
        <v>304</v>
      </c>
      <c r="O1590" s="124" t="s">
        <v>304</v>
      </c>
      <c r="P1590" s="21">
        <v>39</v>
      </c>
      <c r="Q1590" s="10" t="s">
        <v>54</v>
      </c>
      <c r="R1590" s="10" t="s">
        <v>28</v>
      </c>
      <c r="S1590" s="10"/>
      <c r="T1590" s="10"/>
      <c r="U1590" s="10" t="s">
        <v>582</v>
      </c>
      <c r="V1590" s="10" t="s">
        <v>582</v>
      </c>
      <c r="W1590" s="50">
        <f>+J1590/$W$2</f>
        <v>4.7278294664694863E-5</v>
      </c>
      <c r="AC1590" s="47"/>
    </row>
    <row r="1591" spans="1:29">
      <c r="A1591" s="10" t="s">
        <v>465</v>
      </c>
      <c r="B1591" s="10" t="s">
        <v>381</v>
      </c>
      <c r="C1591" s="124">
        <v>46345</v>
      </c>
      <c r="D1591" s="124" t="s">
        <v>492</v>
      </c>
      <c r="E1591" s="21">
        <v>0.95464773000000003</v>
      </c>
      <c r="F1591" s="10"/>
      <c r="G1591" s="14">
        <v>10000000</v>
      </c>
      <c r="H1591" s="14">
        <v>9546477.25</v>
      </c>
      <c r="I1591" s="14">
        <v>10000000</v>
      </c>
      <c r="J1591" s="14">
        <v>9546477.25</v>
      </c>
      <c r="K1591" s="12">
        <v>14284516</v>
      </c>
      <c r="L1591" s="10" t="s">
        <v>101</v>
      </c>
      <c r="M1591" s="10" t="s">
        <v>102</v>
      </c>
      <c r="N1591" s="124" t="s">
        <v>425</v>
      </c>
      <c r="O1591" s="124" t="s">
        <v>425</v>
      </c>
      <c r="P1591" s="21">
        <v>34</v>
      </c>
      <c r="Q1591" s="10" t="s">
        <v>54</v>
      </c>
      <c r="R1591" s="10" t="s">
        <v>28</v>
      </c>
      <c r="S1591" s="10"/>
      <c r="T1591" s="10"/>
      <c r="U1591" s="10" t="s">
        <v>1693</v>
      </c>
      <c r="V1591" s="10" t="s">
        <v>1693</v>
      </c>
      <c r="W1591" s="50">
        <f>+J1591/$W$2</f>
        <v>1.2691629877498357E-4</v>
      </c>
    </row>
    <row r="1592" spans="1:29">
      <c r="A1592" s="10" t="s">
        <v>400</v>
      </c>
      <c r="B1592" s="10" t="s">
        <v>381</v>
      </c>
      <c r="C1592" s="124">
        <v>46345</v>
      </c>
      <c r="D1592" s="124" t="s">
        <v>492</v>
      </c>
      <c r="E1592" s="21">
        <v>0.96364570000000005</v>
      </c>
      <c r="F1592" s="10"/>
      <c r="G1592" s="14">
        <v>8000000</v>
      </c>
      <c r="H1592" s="14">
        <v>7709165.6100000003</v>
      </c>
      <c r="I1592" s="14">
        <v>8000000</v>
      </c>
      <c r="J1592" s="14">
        <v>7709165.6100000003</v>
      </c>
      <c r="K1592" s="12">
        <v>761093</v>
      </c>
      <c r="L1592" s="10" t="s">
        <v>101</v>
      </c>
      <c r="M1592" s="10" t="s">
        <v>102</v>
      </c>
      <c r="N1592" s="124" t="s">
        <v>531</v>
      </c>
      <c r="O1592" s="124" t="s">
        <v>531</v>
      </c>
      <c r="P1592" s="21">
        <v>27</v>
      </c>
      <c r="Q1592" s="10" t="s">
        <v>54</v>
      </c>
      <c r="R1592" s="10" t="s">
        <v>28</v>
      </c>
      <c r="S1592" s="10"/>
      <c r="T1592" s="10"/>
      <c r="U1592" s="10" t="s">
        <v>3388</v>
      </c>
      <c r="V1592" s="10" t="s">
        <v>3388</v>
      </c>
      <c r="W1592" s="50">
        <f>+J1592/$W$2</f>
        <v>1.0249003273585433E-4</v>
      </c>
    </row>
    <row r="1593" spans="1:29">
      <c r="A1593" s="10" t="s">
        <v>1436</v>
      </c>
      <c r="B1593" s="10" t="s">
        <v>381</v>
      </c>
      <c r="C1593" s="124">
        <v>46345</v>
      </c>
      <c r="D1593" s="124" t="s">
        <v>492</v>
      </c>
      <c r="E1593" s="21">
        <v>0.96234976000000005</v>
      </c>
      <c r="F1593" s="10"/>
      <c r="G1593" s="14">
        <v>20279181.25</v>
      </c>
      <c r="H1593" s="14">
        <v>19515665.170000002</v>
      </c>
      <c r="I1593" s="14">
        <v>20279181.25</v>
      </c>
      <c r="J1593" s="14">
        <v>19515665.170000002</v>
      </c>
      <c r="K1593" s="12">
        <v>99803231</v>
      </c>
      <c r="L1593" s="10" t="s">
        <v>101</v>
      </c>
      <c r="M1593" s="10" t="s">
        <v>102</v>
      </c>
      <c r="N1593" s="124" t="s">
        <v>548</v>
      </c>
      <c r="O1593" s="124" t="s">
        <v>548</v>
      </c>
      <c r="P1593" s="21">
        <v>28</v>
      </c>
      <c r="Q1593" s="10" t="s">
        <v>54</v>
      </c>
      <c r="R1593" s="10" t="s">
        <v>28</v>
      </c>
      <c r="S1593" s="10"/>
      <c r="T1593" s="10"/>
      <c r="U1593" s="10" t="s">
        <v>1401</v>
      </c>
      <c r="V1593" s="10" t="s">
        <v>1401</v>
      </c>
      <c r="W1593" s="50">
        <f>+J1593/$W$2</f>
        <v>2.5945235364262362E-4</v>
      </c>
    </row>
    <row r="1594" spans="1:29">
      <c r="A1594" s="10" t="s">
        <v>382</v>
      </c>
      <c r="B1594" s="10" t="s">
        <v>381</v>
      </c>
      <c r="C1594" s="124">
        <v>46345</v>
      </c>
      <c r="D1594" s="124" t="s">
        <v>492</v>
      </c>
      <c r="E1594" s="21">
        <v>0.95592292999999995</v>
      </c>
      <c r="F1594" s="10"/>
      <c r="G1594" s="14">
        <v>2500000</v>
      </c>
      <c r="H1594" s="14">
        <v>2389807.3199999998</v>
      </c>
      <c r="I1594" s="14">
        <v>2500000</v>
      </c>
      <c r="J1594" s="14">
        <v>2389807.3199999998</v>
      </c>
      <c r="K1594" s="12">
        <v>1022</v>
      </c>
      <c r="L1594" s="10" t="s">
        <v>101</v>
      </c>
      <c r="M1594" s="10" t="s">
        <v>102</v>
      </c>
      <c r="N1594" s="124" t="s">
        <v>163</v>
      </c>
      <c r="O1594" s="124" t="s">
        <v>163</v>
      </c>
      <c r="P1594" s="21">
        <v>33</v>
      </c>
      <c r="Q1594" s="10" t="s">
        <v>54</v>
      </c>
      <c r="R1594" s="10" t="s">
        <v>28</v>
      </c>
      <c r="S1594" s="10"/>
      <c r="T1594" s="10"/>
      <c r="U1594" s="10" t="s">
        <v>1646</v>
      </c>
      <c r="V1594" s="10" t="s">
        <v>1646</v>
      </c>
      <c r="W1594" s="50">
        <f>+J1594/$W$2</f>
        <v>3.1771457878848739E-5</v>
      </c>
    </row>
    <row r="1595" spans="1:29">
      <c r="A1595" s="10" t="s">
        <v>382</v>
      </c>
      <c r="B1595" s="10" t="s">
        <v>381</v>
      </c>
      <c r="C1595" s="124">
        <v>46345</v>
      </c>
      <c r="D1595" s="124" t="s">
        <v>492</v>
      </c>
      <c r="E1595" s="21">
        <v>0.95976863999999995</v>
      </c>
      <c r="F1595" s="10"/>
      <c r="G1595" s="14">
        <v>2500000</v>
      </c>
      <c r="H1595" s="14">
        <v>2399421.59</v>
      </c>
      <c r="I1595" s="14">
        <v>2500000</v>
      </c>
      <c r="J1595" s="14">
        <v>2399421.59</v>
      </c>
      <c r="K1595" s="12">
        <v>890</v>
      </c>
      <c r="L1595" s="10" t="s">
        <v>101</v>
      </c>
      <c r="M1595" s="10" t="s">
        <v>102</v>
      </c>
      <c r="N1595" s="124" t="s">
        <v>435</v>
      </c>
      <c r="O1595" s="124" t="s">
        <v>435</v>
      </c>
      <c r="P1595" s="21">
        <v>30</v>
      </c>
      <c r="Q1595" s="10" t="s">
        <v>54</v>
      </c>
      <c r="R1595" s="10" t="s">
        <v>28</v>
      </c>
      <c r="S1595" s="10"/>
      <c r="T1595" s="10"/>
      <c r="U1595" s="10" t="s">
        <v>1310</v>
      </c>
      <c r="V1595" s="10" t="s">
        <v>1310</v>
      </c>
      <c r="W1595" s="50">
        <f>+J1595/$W$2</f>
        <v>3.1899275453004001E-5</v>
      </c>
    </row>
    <row r="1596" spans="1:29">
      <c r="A1596" s="10" t="s">
        <v>477</v>
      </c>
      <c r="B1596" s="10" t="s">
        <v>381</v>
      </c>
      <c r="C1596" s="124">
        <v>46346</v>
      </c>
      <c r="D1596" s="124" t="s">
        <v>492</v>
      </c>
      <c r="E1596" s="21">
        <v>0.96163989000000005</v>
      </c>
      <c r="F1596" s="10"/>
      <c r="G1596" s="14">
        <v>8000000</v>
      </c>
      <c r="H1596" s="14">
        <v>7693119.1299999999</v>
      </c>
      <c r="I1596" s="14">
        <v>8000000</v>
      </c>
      <c r="J1596" s="14">
        <v>7693119.1299999999</v>
      </c>
      <c r="K1596" s="12">
        <v>6492</v>
      </c>
      <c r="L1596" s="10" t="s">
        <v>101</v>
      </c>
      <c r="M1596" s="10" t="s">
        <v>102</v>
      </c>
      <c r="N1596" s="124" t="s">
        <v>422</v>
      </c>
      <c r="O1596" s="124" t="s">
        <v>422</v>
      </c>
      <c r="P1596" s="21">
        <v>28</v>
      </c>
      <c r="Q1596" s="10" t="s">
        <v>54</v>
      </c>
      <c r="R1596" s="10" t="s">
        <v>28</v>
      </c>
      <c r="S1596" s="10"/>
      <c r="T1596" s="10"/>
      <c r="U1596" s="10" t="s">
        <v>2723</v>
      </c>
      <c r="V1596" s="10" t="s">
        <v>2723</v>
      </c>
      <c r="W1596" s="50">
        <f>+J1596/$W$2</f>
        <v>1.0227670170319861E-4</v>
      </c>
    </row>
    <row r="1597" spans="1:29">
      <c r="A1597" s="10" t="s">
        <v>382</v>
      </c>
      <c r="B1597" s="10" t="s">
        <v>381</v>
      </c>
      <c r="C1597" s="124">
        <v>46346</v>
      </c>
      <c r="D1597" s="124" t="s">
        <v>492</v>
      </c>
      <c r="E1597" s="21">
        <v>0.95639874000000002</v>
      </c>
      <c r="F1597" s="10"/>
      <c r="G1597" s="14">
        <v>3000000</v>
      </c>
      <c r="H1597" s="14">
        <v>2869196.21</v>
      </c>
      <c r="I1597" s="14">
        <v>3000000</v>
      </c>
      <c r="J1597" s="14">
        <v>2869196.21</v>
      </c>
      <c r="K1597" s="12">
        <v>1060</v>
      </c>
      <c r="L1597" s="10" t="s">
        <v>101</v>
      </c>
      <c r="M1597" s="10" t="s">
        <v>102</v>
      </c>
      <c r="N1597" s="124" t="s">
        <v>398</v>
      </c>
      <c r="O1597" s="124" t="s">
        <v>398</v>
      </c>
      <c r="P1597" s="21">
        <v>32</v>
      </c>
      <c r="Q1597" s="10" t="s">
        <v>54</v>
      </c>
      <c r="R1597" s="10" t="s">
        <v>28</v>
      </c>
      <c r="S1597" s="10"/>
      <c r="T1597" s="10"/>
      <c r="U1597" s="10" t="s">
        <v>1759</v>
      </c>
      <c r="V1597" s="10" t="s">
        <v>1759</v>
      </c>
      <c r="W1597" s="50">
        <f>+J1597/$W$2</f>
        <v>3.8144726467808903E-5</v>
      </c>
    </row>
    <row r="1598" spans="1:29">
      <c r="A1598" s="10" t="s">
        <v>3458</v>
      </c>
      <c r="B1598" s="10" t="s">
        <v>381</v>
      </c>
      <c r="C1598" s="124">
        <v>46346</v>
      </c>
      <c r="D1598" s="124" t="s">
        <v>492</v>
      </c>
      <c r="E1598" s="21">
        <v>0.95901223999999996</v>
      </c>
      <c r="F1598" s="10"/>
      <c r="G1598" s="14">
        <v>1059989.51</v>
      </c>
      <c r="H1598" s="14">
        <v>1016542.92</v>
      </c>
      <c r="I1598" s="14">
        <v>1059989.51</v>
      </c>
      <c r="J1598" s="14">
        <v>1016542.92</v>
      </c>
      <c r="K1598" s="12">
        <v>11204209</v>
      </c>
      <c r="L1598" s="10" t="s">
        <v>101</v>
      </c>
      <c r="M1598" s="10" t="s">
        <v>102</v>
      </c>
      <c r="N1598" s="124" t="s">
        <v>531</v>
      </c>
      <c r="O1598" s="124" t="s">
        <v>531</v>
      </c>
      <c r="P1598" s="21">
        <v>30</v>
      </c>
      <c r="Q1598" s="10" t="s">
        <v>54</v>
      </c>
      <c r="R1598" s="10" t="s">
        <v>28</v>
      </c>
      <c r="S1598" s="10"/>
      <c r="T1598" s="10"/>
      <c r="U1598" s="10" t="s">
        <v>3423</v>
      </c>
      <c r="V1598" s="10" t="s">
        <v>3423</v>
      </c>
      <c r="W1598" s="50">
        <f>+J1598/$W$2</f>
        <v>1.3514499806964316E-5</v>
      </c>
    </row>
    <row r="1599" spans="1:29">
      <c r="A1599" s="10" t="s">
        <v>3460</v>
      </c>
      <c r="B1599" s="10" t="s">
        <v>381</v>
      </c>
      <c r="C1599" s="124">
        <v>46346</v>
      </c>
      <c r="D1599" s="124" t="s">
        <v>492</v>
      </c>
      <c r="E1599" s="21">
        <v>0.95901225999999995</v>
      </c>
      <c r="F1599" s="10"/>
      <c r="G1599" s="14">
        <v>2269565.34</v>
      </c>
      <c r="H1599" s="14">
        <v>2176540.98</v>
      </c>
      <c r="I1599" s="14">
        <v>2269565.34</v>
      </c>
      <c r="J1599" s="14">
        <v>2176540.98</v>
      </c>
      <c r="K1599" s="12">
        <v>10287266</v>
      </c>
      <c r="L1599" s="10" t="s">
        <v>101</v>
      </c>
      <c r="M1599" s="10" t="s">
        <v>102</v>
      </c>
      <c r="N1599" s="124" t="s">
        <v>531</v>
      </c>
      <c r="O1599" s="124" t="s">
        <v>531</v>
      </c>
      <c r="P1599" s="21">
        <v>30</v>
      </c>
      <c r="Q1599" s="10" t="s">
        <v>54</v>
      </c>
      <c r="R1599" s="10" t="s">
        <v>28</v>
      </c>
      <c r="S1599" s="10"/>
      <c r="T1599" s="10"/>
      <c r="U1599" s="10" t="s">
        <v>3433</v>
      </c>
      <c r="V1599" s="10" t="s">
        <v>3433</v>
      </c>
      <c r="W1599" s="50">
        <f>+J1599/$W$2</f>
        <v>2.8936173845035408E-5</v>
      </c>
    </row>
    <row r="1600" spans="1:29">
      <c r="A1600" s="10" t="s">
        <v>334</v>
      </c>
      <c r="B1600" s="10" t="s">
        <v>381</v>
      </c>
      <c r="C1600" s="124">
        <v>46346</v>
      </c>
      <c r="D1600" s="124" t="s">
        <v>492</v>
      </c>
      <c r="E1600" s="21">
        <v>0.95639874000000002</v>
      </c>
      <c r="F1600" s="10"/>
      <c r="G1600" s="14">
        <v>10000000</v>
      </c>
      <c r="H1600" s="14">
        <v>9563987.4299999997</v>
      </c>
      <c r="I1600" s="14">
        <v>10000000</v>
      </c>
      <c r="J1600" s="14">
        <v>9563987.4299999997</v>
      </c>
      <c r="K1600" s="12">
        <v>13953470</v>
      </c>
      <c r="L1600" s="10" t="s">
        <v>101</v>
      </c>
      <c r="M1600" s="10" t="s">
        <v>102</v>
      </c>
      <c r="N1600" s="124" t="s">
        <v>321</v>
      </c>
      <c r="O1600" s="124" t="s">
        <v>321</v>
      </c>
      <c r="P1600" s="21">
        <v>32</v>
      </c>
      <c r="Q1600" s="10" t="s">
        <v>54</v>
      </c>
      <c r="R1600" s="10" t="s">
        <v>28</v>
      </c>
      <c r="S1600" s="10"/>
      <c r="T1600" s="10"/>
      <c r="U1600" s="10" t="s">
        <v>1217</v>
      </c>
      <c r="V1600" s="10" t="s">
        <v>1217</v>
      </c>
      <c r="W1600" s="50">
        <f>+J1600/$W$2</f>
        <v>1.2714908906801903E-4</v>
      </c>
      <c r="AC1600" s="47"/>
    </row>
    <row r="1601" spans="1:29">
      <c r="A1601" s="10" t="s">
        <v>2597</v>
      </c>
      <c r="B1601" s="10" t="s">
        <v>381</v>
      </c>
      <c r="C1601" s="124">
        <v>46346</v>
      </c>
      <c r="D1601" s="124" t="s">
        <v>492</v>
      </c>
      <c r="E1601" s="21">
        <v>0.95509756000000001</v>
      </c>
      <c r="F1601" s="10"/>
      <c r="G1601" s="14">
        <v>14295769.460000001</v>
      </c>
      <c r="H1601" s="14">
        <v>13653854.51</v>
      </c>
      <c r="I1601" s="14">
        <v>14295769.460000001</v>
      </c>
      <c r="J1601" s="14">
        <v>13653854.51</v>
      </c>
      <c r="K1601" s="12">
        <v>46404</v>
      </c>
      <c r="L1601" s="10" t="s">
        <v>101</v>
      </c>
      <c r="M1601" s="10" t="s">
        <v>102</v>
      </c>
      <c r="N1601" s="124" t="s">
        <v>423</v>
      </c>
      <c r="O1601" s="124" t="s">
        <v>423</v>
      </c>
      <c r="P1601" s="21">
        <v>33</v>
      </c>
      <c r="Q1601" s="10" t="s">
        <v>54</v>
      </c>
      <c r="R1601" s="10" t="s">
        <v>28</v>
      </c>
      <c r="S1601" s="10"/>
      <c r="T1601" s="10"/>
      <c r="U1601" s="10" t="s">
        <v>2518</v>
      </c>
      <c r="V1601" s="10" t="s">
        <v>2518</v>
      </c>
      <c r="W1601" s="50">
        <f>+J1601/$W$2</f>
        <v>1.8152210842185969E-4</v>
      </c>
    </row>
    <row r="1602" spans="1:29">
      <c r="A1602" s="10" t="s">
        <v>3269</v>
      </c>
      <c r="B1602" s="10" t="s">
        <v>381</v>
      </c>
      <c r="C1602" s="124">
        <v>46346</v>
      </c>
      <c r="D1602" s="124" t="s">
        <v>492</v>
      </c>
      <c r="E1602" s="21">
        <v>0.96163995000000002</v>
      </c>
      <c r="F1602" s="10"/>
      <c r="G1602" s="14">
        <v>70000000</v>
      </c>
      <c r="H1602" s="14">
        <v>67314796.609999999</v>
      </c>
      <c r="I1602" s="14">
        <v>70000000</v>
      </c>
      <c r="J1602" s="14">
        <v>67314796.609999999</v>
      </c>
      <c r="K1602" s="12">
        <v>83299236</v>
      </c>
      <c r="L1602" s="10" t="s">
        <v>101</v>
      </c>
      <c r="M1602" s="10" t="s">
        <v>102</v>
      </c>
      <c r="N1602" s="124" t="s">
        <v>531</v>
      </c>
      <c r="O1602" s="124" t="s">
        <v>531</v>
      </c>
      <c r="P1602" s="21">
        <v>28</v>
      </c>
      <c r="Q1602" s="10" t="s">
        <v>54</v>
      </c>
      <c r="R1602" s="10" t="s">
        <v>28</v>
      </c>
      <c r="S1602" s="10"/>
      <c r="T1602" s="10"/>
      <c r="U1602" s="10" t="s">
        <v>3373</v>
      </c>
      <c r="V1602" s="10" t="s">
        <v>3373</v>
      </c>
      <c r="W1602" s="50">
        <f>+J1602/$W$2</f>
        <v>8.949211960393046E-4</v>
      </c>
    </row>
    <row r="1603" spans="1:29">
      <c r="A1603" s="10" t="s">
        <v>353</v>
      </c>
      <c r="B1603" s="10" t="s">
        <v>381</v>
      </c>
      <c r="C1603" s="124">
        <v>46346</v>
      </c>
      <c r="D1603" s="124" t="s">
        <v>492</v>
      </c>
      <c r="E1603" s="21">
        <v>0.95250533999999998</v>
      </c>
      <c r="F1603" s="10"/>
      <c r="G1603" s="14">
        <v>1555000.5</v>
      </c>
      <c r="H1603" s="14">
        <v>1481146.28</v>
      </c>
      <c r="I1603" s="14">
        <v>1555000.5</v>
      </c>
      <c r="J1603" s="14">
        <v>1481146.28</v>
      </c>
      <c r="K1603" s="12">
        <v>3588</v>
      </c>
      <c r="L1603" s="10" t="s">
        <v>101</v>
      </c>
      <c r="M1603" s="10" t="s">
        <v>102</v>
      </c>
      <c r="N1603" s="124" t="s">
        <v>422</v>
      </c>
      <c r="O1603" s="124" t="s">
        <v>422</v>
      </c>
      <c r="P1603" s="21">
        <v>35</v>
      </c>
      <c r="Q1603" s="10" t="s">
        <v>54</v>
      </c>
      <c r="R1603" s="10" t="s">
        <v>28</v>
      </c>
      <c r="S1603" s="10"/>
      <c r="T1603" s="10"/>
      <c r="U1603" s="10" t="s">
        <v>2741</v>
      </c>
      <c r="V1603" s="10" t="s">
        <v>2741</v>
      </c>
      <c r="W1603" s="50">
        <f>+J1603/$W$2</f>
        <v>1.9691201149820526E-5</v>
      </c>
    </row>
    <row r="1604" spans="1:29">
      <c r="A1604" s="10" t="s">
        <v>353</v>
      </c>
      <c r="B1604" s="10" t="s">
        <v>381</v>
      </c>
      <c r="C1604" s="124">
        <v>46346</v>
      </c>
      <c r="D1604" s="124" t="s">
        <v>492</v>
      </c>
      <c r="E1604" s="21">
        <v>0.95250533999999998</v>
      </c>
      <c r="F1604" s="10"/>
      <c r="G1604" s="14">
        <v>1250300.6499999999</v>
      </c>
      <c r="H1604" s="14">
        <v>1190918.04</v>
      </c>
      <c r="I1604" s="14">
        <v>1250300.6499999999</v>
      </c>
      <c r="J1604" s="14">
        <v>1190918.04</v>
      </c>
      <c r="K1604" s="12">
        <v>3589</v>
      </c>
      <c r="L1604" s="10" t="s">
        <v>101</v>
      </c>
      <c r="M1604" s="10" t="s">
        <v>102</v>
      </c>
      <c r="N1604" s="124" t="s">
        <v>422</v>
      </c>
      <c r="O1604" s="124" t="s">
        <v>422</v>
      </c>
      <c r="P1604" s="21">
        <v>35</v>
      </c>
      <c r="Q1604" s="10" t="s">
        <v>54</v>
      </c>
      <c r="R1604" s="10" t="s">
        <v>28</v>
      </c>
      <c r="S1604" s="10"/>
      <c r="T1604" s="10"/>
      <c r="U1604" s="10" t="s">
        <v>2742</v>
      </c>
      <c r="V1604" s="10" t="s">
        <v>2742</v>
      </c>
      <c r="W1604" s="50">
        <f>+J1604/$W$2</f>
        <v>1.5832741840049727E-5</v>
      </c>
    </row>
    <row r="1605" spans="1:29">
      <c r="A1605" s="10" t="s">
        <v>353</v>
      </c>
      <c r="B1605" s="10" t="s">
        <v>381</v>
      </c>
      <c r="C1605" s="124">
        <v>46346</v>
      </c>
      <c r="D1605" s="124" t="s">
        <v>492</v>
      </c>
      <c r="E1605" s="21">
        <v>0.95250522999999998</v>
      </c>
      <c r="F1605" s="10"/>
      <c r="G1605" s="14">
        <v>3625698.78</v>
      </c>
      <c r="H1605" s="14">
        <v>3453497.05</v>
      </c>
      <c r="I1605" s="14">
        <v>3625698.78</v>
      </c>
      <c r="J1605" s="14">
        <v>3453497.05</v>
      </c>
      <c r="K1605" s="12">
        <v>3359</v>
      </c>
      <c r="L1605" s="10" t="s">
        <v>101</v>
      </c>
      <c r="M1605" s="10" t="s">
        <v>102</v>
      </c>
      <c r="N1605" s="124" t="s">
        <v>164</v>
      </c>
      <c r="O1605" s="124" t="s">
        <v>164</v>
      </c>
      <c r="P1605" s="21">
        <v>35</v>
      </c>
      <c r="Q1605" s="10" t="s">
        <v>54</v>
      </c>
      <c r="R1605" s="10" t="s">
        <v>28</v>
      </c>
      <c r="S1605" s="10"/>
      <c r="T1605" s="10"/>
      <c r="U1605" s="10" t="s">
        <v>1950</v>
      </c>
      <c r="V1605" s="10" t="s">
        <v>1950</v>
      </c>
      <c r="W1605" s="50">
        <f>+J1605/$W$2</f>
        <v>4.5912754195933831E-5</v>
      </c>
    </row>
    <row r="1606" spans="1:29">
      <c r="A1606" s="10" t="s">
        <v>353</v>
      </c>
      <c r="B1606" s="10" t="s">
        <v>381</v>
      </c>
      <c r="C1606" s="124">
        <v>46346</v>
      </c>
      <c r="D1606" s="124" t="s">
        <v>492</v>
      </c>
      <c r="E1606" s="21">
        <v>0.95121443000000006</v>
      </c>
      <c r="F1606" s="10"/>
      <c r="G1606" s="14">
        <v>2874176.47</v>
      </c>
      <c r="H1606" s="14">
        <v>2733958.13</v>
      </c>
      <c r="I1606" s="14">
        <v>2874176.47</v>
      </c>
      <c r="J1606" s="14">
        <v>2733958.13</v>
      </c>
      <c r="K1606" s="12">
        <v>3429</v>
      </c>
      <c r="L1606" s="10" t="s">
        <v>101</v>
      </c>
      <c r="M1606" s="10" t="s">
        <v>102</v>
      </c>
      <c r="N1606" s="124" t="s">
        <v>431</v>
      </c>
      <c r="O1606" s="124" t="s">
        <v>431</v>
      </c>
      <c r="P1606" s="21">
        <v>36</v>
      </c>
      <c r="Q1606" s="10" t="s">
        <v>54</v>
      </c>
      <c r="R1606" s="10" t="s">
        <v>28</v>
      </c>
      <c r="S1606" s="10"/>
      <c r="T1606" s="10"/>
      <c r="U1606" s="10" t="s">
        <v>2276</v>
      </c>
      <c r="V1606" s="10" t="s">
        <v>2276</v>
      </c>
      <c r="W1606" s="50">
        <f>+J1606/$W$2</f>
        <v>3.6346794506358396E-5</v>
      </c>
    </row>
    <row r="1607" spans="1:29">
      <c r="A1607" s="10" t="s">
        <v>849</v>
      </c>
      <c r="B1607" s="10" t="s">
        <v>381</v>
      </c>
      <c r="C1607" s="124">
        <v>46346</v>
      </c>
      <c r="D1607" s="124" t="s">
        <v>492</v>
      </c>
      <c r="E1607" s="21">
        <v>0.94992730999999997</v>
      </c>
      <c r="F1607" s="10"/>
      <c r="G1607" s="14">
        <v>25000000</v>
      </c>
      <c r="H1607" s="14">
        <v>23748182.629999999</v>
      </c>
      <c r="I1607" s="14">
        <v>25000000</v>
      </c>
      <c r="J1607" s="14">
        <v>23748182.629999999</v>
      </c>
      <c r="K1607" s="12">
        <v>2661</v>
      </c>
      <c r="L1607" s="10" t="s">
        <v>101</v>
      </c>
      <c r="M1607" s="10" t="s">
        <v>102</v>
      </c>
      <c r="N1607" s="124" t="s">
        <v>425</v>
      </c>
      <c r="O1607" s="124" t="s">
        <v>425</v>
      </c>
      <c r="P1607" s="21">
        <v>37</v>
      </c>
      <c r="Q1607" s="10" t="s">
        <v>54</v>
      </c>
      <c r="R1607" s="10" t="s">
        <v>28</v>
      </c>
      <c r="S1607" s="10"/>
      <c r="T1607" s="10"/>
      <c r="U1607" s="10" t="s">
        <v>1706</v>
      </c>
      <c r="V1607" s="10" t="s">
        <v>1706</v>
      </c>
      <c r="W1607" s="50">
        <f>+J1607/$W$2</f>
        <v>3.1572184829036859E-4</v>
      </c>
    </row>
    <row r="1608" spans="1:29">
      <c r="A1608" s="10" t="s">
        <v>2602</v>
      </c>
      <c r="B1608" s="10" t="s">
        <v>381</v>
      </c>
      <c r="C1608" s="124">
        <v>46346</v>
      </c>
      <c r="D1608" s="124" t="s">
        <v>492</v>
      </c>
      <c r="E1608" s="21">
        <v>0.95509756000000001</v>
      </c>
      <c r="F1608" s="10"/>
      <c r="G1608" s="14">
        <v>3581660.97</v>
      </c>
      <c r="H1608" s="14">
        <v>3420835.65</v>
      </c>
      <c r="I1608" s="14">
        <v>3581660.97</v>
      </c>
      <c r="J1608" s="14">
        <v>3420835.65</v>
      </c>
      <c r="K1608" s="12">
        <v>14100643</v>
      </c>
      <c r="L1608" s="10" t="s">
        <v>101</v>
      </c>
      <c r="M1608" s="10" t="s">
        <v>102</v>
      </c>
      <c r="N1608" s="124" t="s">
        <v>423</v>
      </c>
      <c r="O1608" s="124" t="s">
        <v>423</v>
      </c>
      <c r="P1608" s="21">
        <v>33</v>
      </c>
      <c r="Q1608" s="10" t="s">
        <v>54</v>
      </c>
      <c r="R1608" s="10" t="s">
        <v>28</v>
      </c>
      <c r="S1608" s="10"/>
      <c r="T1608" s="10"/>
      <c r="U1608" s="10" t="s">
        <v>2503</v>
      </c>
      <c r="V1608" s="10" t="s">
        <v>2503</v>
      </c>
      <c r="W1608" s="50">
        <f>+J1608/$W$2</f>
        <v>4.5478534965923178E-5</v>
      </c>
    </row>
    <row r="1609" spans="1:29">
      <c r="A1609" s="10" t="s">
        <v>208</v>
      </c>
      <c r="B1609" s="10" t="s">
        <v>381</v>
      </c>
      <c r="C1609" s="124">
        <v>46346</v>
      </c>
      <c r="D1609" s="124" t="s">
        <v>492</v>
      </c>
      <c r="E1609" s="21">
        <v>0.95509748000000005</v>
      </c>
      <c r="F1609" s="10"/>
      <c r="G1609" s="14">
        <v>2170000</v>
      </c>
      <c r="H1609" s="14">
        <v>2072561.53</v>
      </c>
      <c r="I1609" s="14">
        <v>2170000</v>
      </c>
      <c r="J1609" s="14">
        <v>2072561.53</v>
      </c>
      <c r="K1609" s="12">
        <v>260735</v>
      </c>
      <c r="L1609" s="10" t="s">
        <v>101</v>
      </c>
      <c r="M1609" s="10" t="s">
        <v>102</v>
      </c>
      <c r="N1609" s="124" t="s">
        <v>533</v>
      </c>
      <c r="O1609" s="124" t="s">
        <v>533</v>
      </c>
      <c r="P1609" s="21">
        <v>33</v>
      </c>
      <c r="Q1609" s="10" t="s">
        <v>54</v>
      </c>
      <c r="R1609" s="10" t="s">
        <v>28</v>
      </c>
      <c r="S1609" s="10"/>
      <c r="T1609" s="10"/>
      <c r="U1609" s="10" t="s">
        <v>1862</v>
      </c>
      <c r="V1609" s="10" t="s">
        <v>1862</v>
      </c>
      <c r="W1609" s="50">
        <f>+J1609/$W$2</f>
        <v>2.7553811891293943E-5</v>
      </c>
      <c r="AC1609" s="47"/>
    </row>
    <row r="1610" spans="1:29">
      <c r="A1610" s="10" t="s">
        <v>273</v>
      </c>
      <c r="B1610" s="10" t="s">
        <v>381</v>
      </c>
      <c r="C1610" s="124">
        <v>46346</v>
      </c>
      <c r="D1610" s="124" t="s">
        <v>492</v>
      </c>
      <c r="E1610" s="21">
        <v>0.96428199000000003</v>
      </c>
      <c r="F1610" s="10"/>
      <c r="G1610" s="14">
        <v>15000000</v>
      </c>
      <c r="H1610" s="14">
        <v>14464229.82</v>
      </c>
      <c r="I1610" s="14">
        <v>15000000</v>
      </c>
      <c r="J1610" s="14">
        <v>14464229.82</v>
      </c>
      <c r="K1610" s="12">
        <v>9621096</v>
      </c>
      <c r="L1610" s="10" t="s">
        <v>101</v>
      </c>
      <c r="M1610" s="10" t="s">
        <v>102</v>
      </c>
      <c r="N1610" s="124" t="s">
        <v>319</v>
      </c>
      <c r="O1610" s="124" t="s">
        <v>319</v>
      </c>
      <c r="P1610" s="21">
        <v>26</v>
      </c>
      <c r="Q1610" s="10" t="s">
        <v>54</v>
      </c>
      <c r="R1610" s="10" t="s">
        <v>28</v>
      </c>
      <c r="S1610" s="10"/>
      <c r="T1610" s="10"/>
      <c r="U1610" s="10" t="s">
        <v>1012</v>
      </c>
      <c r="V1610" s="10" t="s">
        <v>1012</v>
      </c>
      <c r="W1610" s="50">
        <f>+J1610/$W$2</f>
        <v>1.9229569874952009E-4</v>
      </c>
    </row>
    <row r="1611" spans="1:29">
      <c r="A1611" s="10" t="s">
        <v>273</v>
      </c>
      <c r="B1611" s="10" t="s">
        <v>381</v>
      </c>
      <c r="C1611" s="124">
        <v>46346</v>
      </c>
      <c r="D1611" s="124" t="s">
        <v>492</v>
      </c>
      <c r="E1611" s="21">
        <v>0.95901210999999997</v>
      </c>
      <c r="F1611" s="10"/>
      <c r="G1611" s="14">
        <v>10000000</v>
      </c>
      <c r="H1611" s="14">
        <v>9590121.0899999999</v>
      </c>
      <c r="I1611" s="14">
        <v>10000000</v>
      </c>
      <c r="J1611" s="14">
        <v>9590121.0899999999</v>
      </c>
      <c r="K1611" s="12">
        <v>109</v>
      </c>
      <c r="L1611" s="10" t="s">
        <v>101</v>
      </c>
      <c r="M1611" s="10" t="s">
        <v>102</v>
      </c>
      <c r="N1611" s="124" t="s">
        <v>322</v>
      </c>
      <c r="O1611" s="124" t="s">
        <v>322</v>
      </c>
      <c r="P1611" s="21">
        <v>30</v>
      </c>
      <c r="Q1611" s="10" t="s">
        <v>54</v>
      </c>
      <c r="R1611" s="10" t="s">
        <v>28</v>
      </c>
      <c r="S1611" s="10"/>
      <c r="T1611" s="10"/>
      <c r="U1611" s="10" t="s">
        <v>1562</v>
      </c>
      <c r="V1611" s="10" t="s">
        <v>1562</v>
      </c>
      <c r="W1611" s="50">
        <f>+J1611/$W$2</f>
        <v>1.2749652480936998E-4</v>
      </c>
    </row>
    <row r="1612" spans="1:29">
      <c r="A1612" s="10" t="s">
        <v>273</v>
      </c>
      <c r="B1612" s="10" t="s">
        <v>381</v>
      </c>
      <c r="C1612" s="124">
        <v>46346</v>
      </c>
      <c r="D1612" s="124" t="s">
        <v>492</v>
      </c>
      <c r="E1612" s="21">
        <v>0.95770363000000003</v>
      </c>
      <c r="F1612" s="10"/>
      <c r="G1612" s="14">
        <v>15000000</v>
      </c>
      <c r="H1612" s="14">
        <v>14365554.49</v>
      </c>
      <c r="I1612" s="14">
        <v>15000000</v>
      </c>
      <c r="J1612" s="14">
        <v>14365554.49</v>
      </c>
      <c r="K1612" s="12">
        <v>2439</v>
      </c>
      <c r="L1612" s="10" t="s">
        <v>101</v>
      </c>
      <c r="M1612" s="10" t="s">
        <v>102</v>
      </c>
      <c r="N1612" s="124" t="s">
        <v>322</v>
      </c>
      <c r="O1612" s="124" t="s">
        <v>322</v>
      </c>
      <c r="P1612" s="21">
        <v>31</v>
      </c>
      <c r="Q1612" s="10" t="s">
        <v>54</v>
      </c>
      <c r="R1612" s="10" t="s">
        <v>28</v>
      </c>
      <c r="S1612" s="10"/>
      <c r="T1612" s="10"/>
      <c r="U1612" s="10" t="s">
        <v>1563</v>
      </c>
      <c r="V1612" s="10" t="s">
        <v>1563</v>
      </c>
      <c r="W1612" s="50">
        <f>+J1612/$W$2</f>
        <v>1.9098385278414054E-4</v>
      </c>
    </row>
    <row r="1613" spans="1:29">
      <c r="A1613" s="10" t="s">
        <v>401</v>
      </c>
      <c r="B1613" s="10" t="s">
        <v>381</v>
      </c>
      <c r="C1613" s="124">
        <v>46346</v>
      </c>
      <c r="D1613" s="124" t="s">
        <v>492</v>
      </c>
      <c r="E1613" s="21">
        <v>0.95379954</v>
      </c>
      <c r="F1613" s="10"/>
      <c r="G1613" s="14">
        <v>100000000</v>
      </c>
      <c r="H1613" s="14">
        <v>95379954.379999995</v>
      </c>
      <c r="I1613" s="14">
        <v>100000000</v>
      </c>
      <c r="J1613" s="14">
        <v>95379954.379999995</v>
      </c>
      <c r="K1613" s="12">
        <v>2210</v>
      </c>
      <c r="L1613" s="10" t="s">
        <v>101</v>
      </c>
      <c r="M1613" s="10" t="s">
        <v>102</v>
      </c>
      <c r="N1613" s="124" t="s">
        <v>322</v>
      </c>
      <c r="O1613" s="124" t="s">
        <v>322</v>
      </c>
      <c r="P1613" s="21">
        <v>34</v>
      </c>
      <c r="Q1613" s="10" t="s">
        <v>54</v>
      </c>
      <c r="R1613" s="10" t="s">
        <v>28</v>
      </c>
      <c r="S1613" s="10"/>
      <c r="T1613" s="10"/>
      <c r="U1613" s="10" t="s">
        <v>1529</v>
      </c>
      <c r="V1613" s="10" t="s">
        <v>1529</v>
      </c>
      <c r="W1613" s="50">
        <f>+J1613/$W$2</f>
        <v>1.2680353674164346E-3</v>
      </c>
    </row>
    <row r="1614" spans="1:29">
      <c r="A1614" s="10" t="s">
        <v>404</v>
      </c>
      <c r="B1614" s="10" t="s">
        <v>381</v>
      </c>
      <c r="C1614" s="124">
        <v>46346</v>
      </c>
      <c r="D1614" s="124" t="s">
        <v>492</v>
      </c>
      <c r="E1614" s="21">
        <v>0.95901212999999996</v>
      </c>
      <c r="F1614" s="10"/>
      <c r="G1614" s="14">
        <v>10000000</v>
      </c>
      <c r="H1614" s="14">
        <v>9590121.2799999993</v>
      </c>
      <c r="I1614" s="14">
        <v>10000000</v>
      </c>
      <c r="J1614" s="14">
        <v>9590121.2799999993</v>
      </c>
      <c r="K1614" s="12">
        <v>8230</v>
      </c>
      <c r="L1614" s="10" t="s">
        <v>101</v>
      </c>
      <c r="M1614" s="10" t="s">
        <v>102</v>
      </c>
      <c r="N1614" s="124" t="s">
        <v>420</v>
      </c>
      <c r="O1614" s="124" t="s">
        <v>420</v>
      </c>
      <c r="P1614" s="21">
        <v>30</v>
      </c>
      <c r="Q1614" s="10" t="s">
        <v>54</v>
      </c>
      <c r="R1614" s="10" t="s">
        <v>28</v>
      </c>
      <c r="S1614" s="10"/>
      <c r="T1614" s="10"/>
      <c r="U1614" s="10" t="s">
        <v>2633</v>
      </c>
      <c r="V1614" s="10" t="s">
        <v>2633</v>
      </c>
      <c r="W1614" s="50">
        <f>+J1614/$W$2</f>
        <v>1.2749652733533805E-4</v>
      </c>
    </row>
    <row r="1615" spans="1:29">
      <c r="A1615" s="10" t="s">
        <v>2017</v>
      </c>
      <c r="B1615" s="10" t="s">
        <v>381</v>
      </c>
      <c r="C1615" s="124">
        <v>46346</v>
      </c>
      <c r="D1615" s="124" t="s">
        <v>492</v>
      </c>
      <c r="E1615" s="21">
        <v>0.95121443999999999</v>
      </c>
      <c r="F1615" s="10"/>
      <c r="G1615" s="14">
        <v>30000000</v>
      </c>
      <c r="H1615" s="14">
        <v>28536433.32</v>
      </c>
      <c r="I1615" s="14">
        <v>30000000</v>
      </c>
      <c r="J1615" s="14">
        <v>28536433.32</v>
      </c>
      <c r="K1615" s="12">
        <v>10978199</v>
      </c>
      <c r="L1615" s="10" t="s">
        <v>101</v>
      </c>
      <c r="M1615" s="10" t="s">
        <v>102</v>
      </c>
      <c r="N1615" s="124" t="s">
        <v>164</v>
      </c>
      <c r="O1615" s="124" t="s">
        <v>164</v>
      </c>
      <c r="P1615" s="21">
        <v>36</v>
      </c>
      <c r="Q1615" s="10" t="s">
        <v>54</v>
      </c>
      <c r="R1615" s="10" t="s">
        <v>28</v>
      </c>
      <c r="S1615" s="10"/>
      <c r="T1615" s="10"/>
      <c r="U1615" s="10" t="s">
        <v>2000</v>
      </c>
      <c r="V1615" s="10" t="s">
        <v>2000</v>
      </c>
      <c r="W1615" s="50">
        <f>+J1615/$W$2</f>
        <v>3.7937957660911164E-4</v>
      </c>
    </row>
    <row r="1616" spans="1:29">
      <c r="A1616" s="10" t="s">
        <v>604</v>
      </c>
      <c r="B1616" s="10" t="s">
        <v>381</v>
      </c>
      <c r="C1616" s="124">
        <v>46346</v>
      </c>
      <c r="D1616" s="124" t="s">
        <v>492</v>
      </c>
      <c r="E1616" s="21">
        <v>0.95121453</v>
      </c>
      <c r="F1616" s="10"/>
      <c r="G1616" s="14">
        <v>1555000.5</v>
      </c>
      <c r="H1616" s="14">
        <v>1479139.07</v>
      </c>
      <c r="I1616" s="14">
        <v>1555000.5</v>
      </c>
      <c r="J1616" s="14">
        <v>1479139.07</v>
      </c>
      <c r="K1616" s="12">
        <v>509</v>
      </c>
      <c r="L1616" s="10" t="s">
        <v>101</v>
      </c>
      <c r="M1616" s="10" t="s">
        <v>102</v>
      </c>
      <c r="N1616" s="124" t="s">
        <v>163</v>
      </c>
      <c r="O1616" s="124" t="s">
        <v>163</v>
      </c>
      <c r="P1616" s="21">
        <v>36</v>
      </c>
      <c r="Q1616" s="10" t="s">
        <v>54</v>
      </c>
      <c r="R1616" s="10" t="s">
        <v>28</v>
      </c>
      <c r="S1616" s="10"/>
      <c r="T1616" s="10"/>
      <c r="U1616" s="10" t="s">
        <v>1622</v>
      </c>
      <c r="V1616" s="10" t="s">
        <v>1622</v>
      </c>
      <c r="W1616" s="50">
        <f>+J1616/$W$2</f>
        <v>1.9664516158342216E-5</v>
      </c>
    </row>
    <row r="1617" spans="1:29">
      <c r="A1617" s="10" t="s">
        <v>604</v>
      </c>
      <c r="B1617" s="10" t="s">
        <v>381</v>
      </c>
      <c r="C1617" s="124">
        <v>46346</v>
      </c>
      <c r="D1617" s="124" t="s">
        <v>492</v>
      </c>
      <c r="E1617" s="21">
        <v>0.95379954</v>
      </c>
      <c r="F1617" s="10"/>
      <c r="G1617" s="14">
        <v>5000300.25</v>
      </c>
      <c r="H1617" s="14">
        <v>4769284.08</v>
      </c>
      <c r="I1617" s="14">
        <v>5000300.25</v>
      </c>
      <c r="J1617" s="14">
        <v>4769284.08</v>
      </c>
      <c r="K1617" s="12">
        <v>359</v>
      </c>
      <c r="L1617" s="10" t="s">
        <v>101</v>
      </c>
      <c r="M1617" s="10" t="s">
        <v>102</v>
      </c>
      <c r="N1617" s="124" t="s">
        <v>326</v>
      </c>
      <c r="O1617" s="124" t="s">
        <v>326</v>
      </c>
      <c r="P1617" s="21">
        <v>34</v>
      </c>
      <c r="Q1617" s="10" t="s">
        <v>54</v>
      </c>
      <c r="R1617" s="10" t="s">
        <v>28</v>
      </c>
      <c r="S1617" s="10"/>
      <c r="T1617" s="10"/>
      <c r="U1617" s="10" t="s">
        <v>947</v>
      </c>
      <c r="V1617" s="10" t="s">
        <v>947</v>
      </c>
      <c r="W1617" s="50">
        <f>+J1617/$W$2</f>
        <v>6.3405575416843182E-5</v>
      </c>
    </row>
    <row r="1618" spans="1:29">
      <c r="A1618" s="10" t="s">
        <v>699</v>
      </c>
      <c r="B1618" s="10" t="s">
        <v>381</v>
      </c>
      <c r="C1618" s="124">
        <v>46346</v>
      </c>
      <c r="D1618" s="124" t="s">
        <v>492</v>
      </c>
      <c r="E1618" s="21">
        <v>0.95509748999999999</v>
      </c>
      <c r="F1618" s="10"/>
      <c r="G1618" s="14">
        <v>20000000</v>
      </c>
      <c r="H1618" s="14">
        <v>19101949.84</v>
      </c>
      <c r="I1618" s="14">
        <v>20000000</v>
      </c>
      <c r="J1618" s="14">
        <v>19101949.84</v>
      </c>
      <c r="K1618" s="12">
        <v>395</v>
      </c>
      <c r="L1618" s="10" t="s">
        <v>101</v>
      </c>
      <c r="M1618" s="10" t="s">
        <v>102</v>
      </c>
      <c r="N1618" s="124" t="s">
        <v>483</v>
      </c>
      <c r="O1618" s="124" t="s">
        <v>483</v>
      </c>
      <c r="P1618" s="21">
        <v>33</v>
      </c>
      <c r="Q1618" s="10" t="s">
        <v>54</v>
      </c>
      <c r="R1618" s="10" t="s">
        <v>28</v>
      </c>
      <c r="S1618" s="10"/>
      <c r="T1618" s="10"/>
      <c r="U1618" s="10" t="s">
        <v>2433</v>
      </c>
      <c r="V1618" s="10" t="s">
        <v>2433</v>
      </c>
      <c r="W1618" s="50">
        <f>+J1618/$W$2</f>
        <v>2.5395218671664355E-4</v>
      </c>
    </row>
    <row r="1619" spans="1:29">
      <c r="A1619" s="10" t="s">
        <v>699</v>
      </c>
      <c r="B1619" s="10" t="s">
        <v>381</v>
      </c>
      <c r="C1619" s="124">
        <v>46346</v>
      </c>
      <c r="D1619" s="124" t="s">
        <v>492</v>
      </c>
      <c r="E1619" s="21">
        <v>0.95509748999999999</v>
      </c>
      <c r="F1619" s="10"/>
      <c r="G1619" s="14">
        <v>40000000</v>
      </c>
      <c r="H1619" s="14">
        <v>38203899.689999998</v>
      </c>
      <c r="I1619" s="14">
        <v>40000000</v>
      </c>
      <c r="J1619" s="14">
        <v>38203899.689999998</v>
      </c>
      <c r="K1619" s="12">
        <v>396</v>
      </c>
      <c r="L1619" s="10" t="s">
        <v>101</v>
      </c>
      <c r="M1619" s="10" t="s">
        <v>102</v>
      </c>
      <c r="N1619" s="124" t="s">
        <v>483</v>
      </c>
      <c r="O1619" s="124" t="s">
        <v>483</v>
      </c>
      <c r="P1619" s="21">
        <v>33</v>
      </c>
      <c r="Q1619" s="10" t="s">
        <v>54</v>
      </c>
      <c r="R1619" s="10" t="s">
        <v>28</v>
      </c>
      <c r="S1619" s="10"/>
      <c r="T1619" s="10"/>
      <c r="U1619" s="10" t="s">
        <v>2435</v>
      </c>
      <c r="V1619" s="10" t="s">
        <v>2435</v>
      </c>
      <c r="W1619" s="50">
        <f>+J1619/$W$2</f>
        <v>5.0790437356623274E-4</v>
      </c>
    </row>
    <row r="1620" spans="1:29">
      <c r="A1620" s="10" t="s">
        <v>303</v>
      </c>
      <c r="B1620" s="10" t="s">
        <v>381</v>
      </c>
      <c r="C1620" s="124">
        <v>46346</v>
      </c>
      <c r="D1620" s="124" t="s">
        <v>492</v>
      </c>
      <c r="E1620" s="21">
        <v>0.96560849999999998</v>
      </c>
      <c r="F1620" s="10"/>
      <c r="G1620" s="14">
        <v>12000000</v>
      </c>
      <c r="H1620" s="14">
        <v>11587302</v>
      </c>
      <c r="I1620" s="14">
        <v>12000000</v>
      </c>
      <c r="J1620" s="14">
        <v>11587302</v>
      </c>
      <c r="K1620" s="12">
        <v>34563</v>
      </c>
      <c r="L1620" s="10" t="s">
        <v>101</v>
      </c>
      <c r="M1620" s="10" t="s">
        <v>102</v>
      </c>
      <c r="N1620" s="124" t="s">
        <v>321</v>
      </c>
      <c r="O1620" s="124" t="s">
        <v>321</v>
      </c>
      <c r="P1620" s="21">
        <v>25</v>
      </c>
      <c r="Q1620" s="10" t="s">
        <v>54</v>
      </c>
      <c r="R1620" s="10" t="s">
        <v>28</v>
      </c>
      <c r="S1620" s="10"/>
      <c r="T1620" s="10"/>
      <c r="U1620" s="10" t="s">
        <v>1214</v>
      </c>
      <c r="V1620" s="10" t="s">
        <v>1214</v>
      </c>
      <c r="W1620" s="50">
        <f>+J1620/$W$2</f>
        <v>1.540481838604879E-4</v>
      </c>
    </row>
    <row r="1621" spans="1:29">
      <c r="A1621" s="10" t="s">
        <v>402</v>
      </c>
      <c r="B1621" s="10" t="s">
        <v>381</v>
      </c>
      <c r="C1621" s="124">
        <v>46346</v>
      </c>
      <c r="D1621" s="124" t="s">
        <v>492</v>
      </c>
      <c r="E1621" s="21">
        <v>0.95639874999999996</v>
      </c>
      <c r="F1621" s="10"/>
      <c r="G1621" s="14">
        <v>10000000</v>
      </c>
      <c r="H1621" s="14">
        <v>9563987.4600000009</v>
      </c>
      <c r="I1621" s="14">
        <v>10000000</v>
      </c>
      <c r="J1621" s="14">
        <v>9563987.4600000009</v>
      </c>
      <c r="K1621" s="12">
        <v>698</v>
      </c>
      <c r="L1621" s="10" t="s">
        <v>101</v>
      </c>
      <c r="M1621" s="10" t="s">
        <v>102</v>
      </c>
      <c r="N1621" s="124" t="s">
        <v>420</v>
      </c>
      <c r="O1621" s="124" t="s">
        <v>420</v>
      </c>
      <c r="P1621" s="21">
        <v>32</v>
      </c>
      <c r="Q1621" s="10" t="s">
        <v>54</v>
      </c>
      <c r="R1621" s="10" t="s">
        <v>28</v>
      </c>
      <c r="S1621" s="10"/>
      <c r="T1621" s="10"/>
      <c r="U1621" s="10" t="s">
        <v>2653</v>
      </c>
      <c r="V1621" s="10" t="s">
        <v>2653</v>
      </c>
      <c r="W1621" s="50">
        <f>+J1621/$W$2</f>
        <v>1.2714908946685611E-4</v>
      </c>
    </row>
    <row r="1622" spans="1:29">
      <c r="A1622" s="10" t="s">
        <v>402</v>
      </c>
      <c r="B1622" s="10" t="s">
        <v>381</v>
      </c>
      <c r="C1622" s="124">
        <v>46346</v>
      </c>
      <c r="D1622" s="124" t="s">
        <v>492</v>
      </c>
      <c r="E1622" s="21">
        <v>0.95509756000000001</v>
      </c>
      <c r="F1622" s="10"/>
      <c r="G1622" s="14">
        <v>20000000</v>
      </c>
      <c r="H1622" s="14">
        <v>19101951.170000002</v>
      </c>
      <c r="I1622" s="14">
        <v>20000000</v>
      </c>
      <c r="J1622" s="14">
        <v>19101951.170000002</v>
      </c>
      <c r="K1622" s="12">
        <v>694</v>
      </c>
      <c r="L1622" s="10" t="s">
        <v>101</v>
      </c>
      <c r="M1622" s="10" t="s">
        <v>102</v>
      </c>
      <c r="N1622" s="124" t="s">
        <v>423</v>
      </c>
      <c r="O1622" s="124" t="s">
        <v>423</v>
      </c>
      <c r="P1622" s="21">
        <v>33</v>
      </c>
      <c r="Q1622" s="10" t="s">
        <v>54</v>
      </c>
      <c r="R1622" s="10" t="s">
        <v>28</v>
      </c>
      <c r="S1622" s="10"/>
      <c r="T1622" s="10"/>
      <c r="U1622" s="10" t="s">
        <v>2592</v>
      </c>
      <c r="V1622" s="10" t="s">
        <v>2592</v>
      </c>
      <c r="W1622" s="50">
        <f>+J1622/$W$2</f>
        <v>2.5395220439842012E-4</v>
      </c>
    </row>
    <row r="1623" spans="1:29">
      <c r="A1623" s="10" t="s">
        <v>465</v>
      </c>
      <c r="B1623" s="10" t="s">
        <v>381</v>
      </c>
      <c r="C1623" s="124">
        <v>46346</v>
      </c>
      <c r="D1623" s="124" t="s">
        <v>492</v>
      </c>
      <c r="E1623" s="21">
        <v>0.95639872000000004</v>
      </c>
      <c r="F1623" s="10"/>
      <c r="G1623" s="14">
        <v>10000000</v>
      </c>
      <c r="H1623" s="14">
        <v>9563987.1600000001</v>
      </c>
      <c r="I1623" s="14">
        <v>10000000</v>
      </c>
      <c r="J1623" s="14">
        <v>9563987.1600000001</v>
      </c>
      <c r="K1623" s="12">
        <v>14422577</v>
      </c>
      <c r="L1623" s="10" t="s">
        <v>101</v>
      </c>
      <c r="M1623" s="10" t="s">
        <v>102</v>
      </c>
      <c r="N1623" s="124" t="s">
        <v>164</v>
      </c>
      <c r="O1623" s="124" t="s">
        <v>164</v>
      </c>
      <c r="P1623" s="21">
        <v>32</v>
      </c>
      <c r="Q1623" s="10" t="s">
        <v>54</v>
      </c>
      <c r="R1623" s="10" t="s">
        <v>28</v>
      </c>
      <c r="S1623" s="10"/>
      <c r="T1623" s="10"/>
      <c r="U1623" s="10" t="s">
        <v>1968</v>
      </c>
      <c r="V1623" s="10" t="s">
        <v>1968</v>
      </c>
      <c r="W1623" s="50">
        <f>+J1623/$W$2</f>
        <v>1.2714908547848544E-4</v>
      </c>
      <c r="AC1623"/>
    </row>
    <row r="1624" spans="1:29">
      <c r="A1624" s="10" t="s">
        <v>465</v>
      </c>
      <c r="B1624" s="10" t="s">
        <v>381</v>
      </c>
      <c r="C1624" s="124">
        <v>46346</v>
      </c>
      <c r="D1624" s="124" t="s">
        <v>492</v>
      </c>
      <c r="E1624" s="21">
        <v>0.95509747</v>
      </c>
      <c r="F1624" s="10"/>
      <c r="G1624" s="14">
        <v>25000000</v>
      </c>
      <c r="H1624" s="14">
        <v>23877436.690000001</v>
      </c>
      <c r="I1624" s="14">
        <v>25000000</v>
      </c>
      <c r="J1624" s="14">
        <v>23877436.690000001</v>
      </c>
      <c r="K1624" s="12">
        <v>14422656</v>
      </c>
      <c r="L1624" s="10" t="s">
        <v>101</v>
      </c>
      <c r="M1624" s="10" t="s">
        <v>102</v>
      </c>
      <c r="N1624" s="124" t="s">
        <v>421</v>
      </c>
      <c r="O1624" s="124" t="s">
        <v>421</v>
      </c>
      <c r="P1624" s="21">
        <v>33</v>
      </c>
      <c r="Q1624" s="10" t="s">
        <v>54</v>
      </c>
      <c r="R1624" s="10" t="s">
        <v>28</v>
      </c>
      <c r="S1624" s="10"/>
      <c r="T1624" s="10"/>
      <c r="U1624" s="10" t="s">
        <v>2103</v>
      </c>
      <c r="V1624" s="10" t="s">
        <v>2103</v>
      </c>
      <c r="W1624" s="50">
        <f>+J1624/$W$2</f>
        <v>3.1744022528611745E-4</v>
      </c>
    </row>
    <row r="1625" spans="1:29">
      <c r="A1625" s="10" t="s">
        <v>400</v>
      </c>
      <c r="B1625" s="10" t="s">
        <v>381</v>
      </c>
      <c r="C1625" s="124">
        <v>46346</v>
      </c>
      <c r="D1625" s="124" t="s">
        <v>492</v>
      </c>
      <c r="E1625" s="21">
        <v>0.96295920999999995</v>
      </c>
      <c r="F1625" s="10"/>
      <c r="G1625" s="14">
        <v>8000000</v>
      </c>
      <c r="H1625" s="14">
        <v>7703673.6600000001</v>
      </c>
      <c r="I1625" s="14">
        <v>8000000</v>
      </c>
      <c r="J1625" s="14">
        <v>7703673.6600000001</v>
      </c>
      <c r="K1625" s="12">
        <v>761094</v>
      </c>
      <c r="L1625" s="10" t="s">
        <v>101</v>
      </c>
      <c r="M1625" s="10" t="s">
        <v>102</v>
      </c>
      <c r="N1625" s="124" t="s">
        <v>531</v>
      </c>
      <c r="O1625" s="124" t="s">
        <v>531</v>
      </c>
      <c r="P1625" s="21">
        <v>27</v>
      </c>
      <c r="Q1625" s="10" t="s">
        <v>54</v>
      </c>
      <c r="R1625" s="10" t="s">
        <v>28</v>
      </c>
      <c r="S1625" s="10"/>
      <c r="T1625" s="10"/>
      <c r="U1625" s="10" t="s">
        <v>3387</v>
      </c>
      <c r="V1625" s="10" t="s">
        <v>3387</v>
      </c>
      <c r="W1625" s="50">
        <f>+J1625/$W$2</f>
        <v>1.024170196286312E-4</v>
      </c>
    </row>
    <row r="1626" spans="1:29">
      <c r="A1626" s="10" t="s">
        <v>382</v>
      </c>
      <c r="B1626" s="10" t="s">
        <v>381</v>
      </c>
      <c r="C1626" s="124">
        <v>46346</v>
      </c>
      <c r="D1626" s="124" t="s">
        <v>492</v>
      </c>
      <c r="E1626" s="21">
        <v>0.95509743000000002</v>
      </c>
      <c r="F1626" s="10"/>
      <c r="G1626" s="14">
        <v>2500000</v>
      </c>
      <c r="H1626" s="14">
        <v>2387743.58</v>
      </c>
      <c r="I1626" s="14">
        <v>2500000</v>
      </c>
      <c r="J1626" s="14">
        <v>2387743.58</v>
      </c>
      <c r="K1626" s="12">
        <v>1023</v>
      </c>
      <c r="L1626" s="10" t="s">
        <v>101</v>
      </c>
      <c r="M1626" s="10" t="s">
        <v>102</v>
      </c>
      <c r="N1626" s="124" t="s">
        <v>163</v>
      </c>
      <c r="O1626" s="124" t="s">
        <v>163</v>
      </c>
      <c r="P1626" s="21">
        <v>33</v>
      </c>
      <c r="Q1626" s="10" t="s">
        <v>54</v>
      </c>
      <c r="R1626" s="10" t="s">
        <v>28</v>
      </c>
      <c r="S1626" s="10"/>
      <c r="T1626" s="10"/>
      <c r="U1626" s="10" t="s">
        <v>1647</v>
      </c>
      <c r="V1626" s="10" t="s">
        <v>1647</v>
      </c>
      <c r="W1626" s="50">
        <f>+J1626/$W$2</f>
        <v>3.1744021345395123E-5</v>
      </c>
    </row>
    <row r="1627" spans="1:29">
      <c r="A1627" s="10" t="s">
        <v>382</v>
      </c>
      <c r="B1627" s="10" t="s">
        <v>381</v>
      </c>
      <c r="C1627" s="124">
        <v>46346</v>
      </c>
      <c r="D1627" s="124" t="s">
        <v>492</v>
      </c>
      <c r="E1627" s="21">
        <v>0.95901221999999997</v>
      </c>
      <c r="F1627" s="10"/>
      <c r="G1627" s="14">
        <v>2500000</v>
      </c>
      <c r="H1627" s="14">
        <v>2397530.5499999998</v>
      </c>
      <c r="I1627" s="14">
        <v>2500000</v>
      </c>
      <c r="J1627" s="14">
        <v>2397530.5499999998</v>
      </c>
      <c r="K1627" s="12">
        <v>899</v>
      </c>
      <c r="L1627" s="10" t="s">
        <v>101</v>
      </c>
      <c r="M1627" s="10" t="s">
        <v>102</v>
      </c>
      <c r="N1627" s="124" t="s">
        <v>435</v>
      </c>
      <c r="O1627" s="124" t="s">
        <v>435</v>
      </c>
      <c r="P1627" s="21">
        <v>30</v>
      </c>
      <c r="Q1627" s="10" t="s">
        <v>54</v>
      </c>
      <c r="R1627" s="10" t="s">
        <v>28</v>
      </c>
      <c r="S1627" s="10"/>
      <c r="T1627" s="10"/>
      <c r="U1627" s="10" t="s">
        <v>1320</v>
      </c>
      <c r="V1627" s="10" t="s">
        <v>1320</v>
      </c>
      <c r="W1627" s="50">
        <f>+J1627/$W$2</f>
        <v>3.1874134891585342E-5</v>
      </c>
    </row>
    <row r="1628" spans="1:29">
      <c r="A1628" s="10" t="s">
        <v>3509</v>
      </c>
      <c r="B1628" s="10" t="s">
        <v>381</v>
      </c>
      <c r="C1628" s="124">
        <v>46346</v>
      </c>
      <c r="D1628" s="124" t="s">
        <v>492</v>
      </c>
      <c r="E1628" s="21">
        <v>0.95509748000000005</v>
      </c>
      <c r="F1628" s="10"/>
      <c r="G1628" s="14">
        <v>6355928.2400000002</v>
      </c>
      <c r="H1628" s="14">
        <v>6070531.0599999996</v>
      </c>
      <c r="I1628" s="14">
        <v>6355928.2400000002</v>
      </c>
      <c r="J1628" s="14">
        <v>6070531.0599999996</v>
      </c>
      <c r="K1628" s="12">
        <v>11543</v>
      </c>
      <c r="L1628" s="10" t="s">
        <v>101</v>
      </c>
      <c r="M1628" s="10" t="s">
        <v>102</v>
      </c>
      <c r="N1628" s="124" t="s">
        <v>678</v>
      </c>
      <c r="O1628" s="124" t="s">
        <v>678</v>
      </c>
      <c r="P1628" s="21">
        <v>33</v>
      </c>
      <c r="Q1628" s="10" t="s">
        <v>54</v>
      </c>
      <c r="R1628" s="10" t="s">
        <v>28</v>
      </c>
      <c r="S1628" s="10"/>
      <c r="T1628" s="10"/>
      <c r="U1628" s="10" t="s">
        <v>3482</v>
      </c>
      <c r="V1628" s="10" t="s">
        <v>3482</v>
      </c>
      <c r="W1628" s="50">
        <f>+J1628/$W$2</f>
        <v>8.0705092942402154E-5</v>
      </c>
    </row>
    <row r="1629" spans="1:29">
      <c r="A1629" s="10" t="s">
        <v>3509</v>
      </c>
      <c r="B1629" s="10" t="s">
        <v>381</v>
      </c>
      <c r="C1629" s="124">
        <v>46346</v>
      </c>
      <c r="D1629" s="124" t="s">
        <v>492</v>
      </c>
      <c r="E1629" s="21">
        <v>0.95509748000000005</v>
      </c>
      <c r="F1629" s="10"/>
      <c r="G1629" s="14">
        <v>6355928.2400000002</v>
      </c>
      <c r="H1629" s="14">
        <v>6070531.0599999996</v>
      </c>
      <c r="I1629" s="14">
        <v>6355928.2400000002</v>
      </c>
      <c r="J1629" s="14">
        <v>6070531.0599999996</v>
      </c>
      <c r="K1629" s="12">
        <v>11542</v>
      </c>
      <c r="L1629" s="10" t="s">
        <v>101</v>
      </c>
      <c r="M1629" s="10" t="s">
        <v>102</v>
      </c>
      <c r="N1629" s="124" t="s">
        <v>678</v>
      </c>
      <c r="O1629" s="124" t="s">
        <v>678</v>
      </c>
      <c r="P1629" s="21">
        <v>33</v>
      </c>
      <c r="Q1629" s="10" t="s">
        <v>54</v>
      </c>
      <c r="R1629" s="10" t="s">
        <v>28</v>
      </c>
      <c r="S1629" s="10"/>
      <c r="T1629" s="10"/>
      <c r="U1629" s="10" t="s">
        <v>3484</v>
      </c>
      <c r="V1629" s="10" t="s">
        <v>3484</v>
      </c>
      <c r="W1629" s="50">
        <f>+J1629/$W$2</f>
        <v>8.0705092942402154E-5</v>
      </c>
    </row>
    <row r="1630" spans="1:29">
      <c r="A1630" s="10" t="s">
        <v>382</v>
      </c>
      <c r="B1630" s="10" t="s">
        <v>381</v>
      </c>
      <c r="C1630" s="124">
        <v>46350</v>
      </c>
      <c r="D1630" s="124" t="s">
        <v>492</v>
      </c>
      <c r="E1630" s="21">
        <v>0.95320172000000003</v>
      </c>
      <c r="F1630" s="10"/>
      <c r="G1630" s="14">
        <v>3000000</v>
      </c>
      <c r="H1630" s="14">
        <v>2859605.17</v>
      </c>
      <c r="I1630" s="14">
        <v>3000000</v>
      </c>
      <c r="J1630" s="14">
        <v>2859605.17</v>
      </c>
      <c r="K1630" s="12">
        <v>1061</v>
      </c>
      <c r="L1630" s="10" t="s">
        <v>101</v>
      </c>
      <c r="M1630" s="10" t="s">
        <v>102</v>
      </c>
      <c r="N1630" s="124" t="s">
        <v>398</v>
      </c>
      <c r="O1630" s="124" t="s">
        <v>398</v>
      </c>
      <c r="P1630" s="21">
        <v>32</v>
      </c>
      <c r="Q1630" s="10" t="s">
        <v>54</v>
      </c>
      <c r="R1630" s="10" t="s">
        <v>28</v>
      </c>
      <c r="S1630" s="10"/>
      <c r="T1630" s="10"/>
      <c r="U1630" s="10" t="s">
        <v>1745</v>
      </c>
      <c r="V1630" s="10" t="s">
        <v>1745</v>
      </c>
      <c r="W1630" s="50">
        <f>+J1630/$W$2</f>
        <v>3.8017217726487296E-5</v>
      </c>
    </row>
    <row r="1631" spans="1:29">
      <c r="A1631" s="10" t="s">
        <v>3463</v>
      </c>
      <c r="B1631" s="10" t="s">
        <v>381</v>
      </c>
      <c r="C1631" s="124">
        <v>46350</v>
      </c>
      <c r="D1631" s="124" t="s">
        <v>492</v>
      </c>
      <c r="E1631" s="21">
        <v>0.95599807000000003</v>
      </c>
      <c r="F1631" s="10"/>
      <c r="G1631" s="14">
        <v>285000</v>
      </c>
      <c r="H1631" s="14">
        <v>272459.45</v>
      </c>
      <c r="I1631" s="14">
        <v>285000</v>
      </c>
      <c r="J1631" s="14">
        <v>272459.45</v>
      </c>
      <c r="K1631" s="12">
        <v>10863715</v>
      </c>
      <c r="L1631" s="10" t="s">
        <v>101</v>
      </c>
      <c r="M1631" s="10" t="s">
        <v>102</v>
      </c>
      <c r="N1631" s="124" t="s">
        <v>531</v>
      </c>
      <c r="O1631" s="124" t="s">
        <v>531</v>
      </c>
      <c r="P1631" s="21">
        <v>30</v>
      </c>
      <c r="Q1631" s="10" t="s">
        <v>54</v>
      </c>
      <c r="R1631" s="10" t="s">
        <v>28</v>
      </c>
      <c r="S1631" s="10"/>
      <c r="T1631" s="10"/>
      <c r="U1631" s="10" t="s">
        <v>3440</v>
      </c>
      <c r="V1631" s="10" t="s">
        <v>3440</v>
      </c>
      <c r="W1631" s="50">
        <f>+J1631/$W$2</f>
        <v>3.6222309082931824E-6</v>
      </c>
    </row>
    <row r="1632" spans="1:29">
      <c r="A1632" s="10" t="s">
        <v>353</v>
      </c>
      <c r="B1632" s="10" t="s">
        <v>381</v>
      </c>
      <c r="C1632" s="124">
        <v>46350</v>
      </c>
      <c r="D1632" s="124" t="s">
        <v>492</v>
      </c>
      <c r="E1632" s="21">
        <v>0.94765820000000001</v>
      </c>
      <c r="F1632" s="10"/>
      <c r="G1632" s="14">
        <v>3789564.21</v>
      </c>
      <c r="H1632" s="14">
        <v>3591211.59</v>
      </c>
      <c r="I1632" s="14">
        <v>3789564.21</v>
      </c>
      <c r="J1632" s="14">
        <v>3591211.59</v>
      </c>
      <c r="K1632" s="12">
        <v>3278</v>
      </c>
      <c r="L1632" s="10" t="s">
        <v>101</v>
      </c>
      <c r="M1632" s="10" t="s">
        <v>102</v>
      </c>
      <c r="N1632" s="124" t="s">
        <v>163</v>
      </c>
      <c r="O1632" s="124" t="s">
        <v>163</v>
      </c>
      <c r="P1632" s="21">
        <v>36</v>
      </c>
      <c r="Q1632" s="10" t="s">
        <v>54</v>
      </c>
      <c r="R1632" s="10" t="s">
        <v>28</v>
      </c>
      <c r="S1632" s="10"/>
      <c r="T1632" s="10"/>
      <c r="U1632" s="10" t="s">
        <v>1631</v>
      </c>
      <c r="V1632" s="10" t="s">
        <v>1631</v>
      </c>
      <c r="W1632" s="50">
        <f>+J1632/$W$2</f>
        <v>4.7743609625280758E-5</v>
      </c>
    </row>
    <row r="1633" spans="1:23">
      <c r="A1633" s="10" t="s">
        <v>353</v>
      </c>
      <c r="B1633" s="10" t="s">
        <v>381</v>
      </c>
      <c r="C1633" s="124">
        <v>46350</v>
      </c>
      <c r="D1633" s="124" t="s">
        <v>492</v>
      </c>
      <c r="E1633" s="21">
        <v>0.94903806000000002</v>
      </c>
      <c r="F1633" s="10"/>
      <c r="G1633" s="14">
        <v>1555000.5</v>
      </c>
      <c r="H1633" s="14">
        <v>1475754.65</v>
      </c>
      <c r="I1633" s="14">
        <v>1555000.5</v>
      </c>
      <c r="J1633" s="14">
        <v>1475754.65</v>
      </c>
      <c r="K1633" s="12">
        <v>3590</v>
      </c>
      <c r="L1633" s="10" t="s">
        <v>101</v>
      </c>
      <c r="M1633" s="10" t="s">
        <v>102</v>
      </c>
      <c r="N1633" s="124" t="s">
        <v>422</v>
      </c>
      <c r="O1633" s="124" t="s">
        <v>422</v>
      </c>
      <c r="P1633" s="21">
        <v>35</v>
      </c>
      <c r="Q1633" s="10" t="s">
        <v>54</v>
      </c>
      <c r="R1633" s="10" t="s">
        <v>28</v>
      </c>
      <c r="S1633" s="10"/>
      <c r="T1633" s="10"/>
      <c r="U1633" s="10" t="s">
        <v>2740</v>
      </c>
      <c r="V1633" s="10" t="s">
        <v>2740</v>
      </c>
      <c r="W1633" s="50">
        <f>+J1633/$W$2</f>
        <v>1.9619521753741289E-5</v>
      </c>
    </row>
    <row r="1634" spans="1:23">
      <c r="A1634" s="10" t="s">
        <v>353</v>
      </c>
      <c r="B1634" s="10" t="s">
        <v>381</v>
      </c>
      <c r="C1634" s="124">
        <v>46350</v>
      </c>
      <c r="D1634" s="124" t="s">
        <v>492</v>
      </c>
      <c r="E1634" s="21">
        <v>0.94903806000000002</v>
      </c>
      <c r="F1634" s="10"/>
      <c r="G1634" s="14">
        <v>1250300.6499999999</v>
      </c>
      <c r="H1634" s="14">
        <v>1186582.8999999999</v>
      </c>
      <c r="I1634" s="14">
        <v>1250300.6499999999</v>
      </c>
      <c r="J1634" s="14">
        <v>1186582.8999999999</v>
      </c>
      <c r="K1634" s="12">
        <v>3591</v>
      </c>
      <c r="L1634" s="10" t="s">
        <v>101</v>
      </c>
      <c r="M1634" s="10" t="s">
        <v>102</v>
      </c>
      <c r="N1634" s="124" t="s">
        <v>422</v>
      </c>
      <c r="O1634" s="124" t="s">
        <v>422</v>
      </c>
      <c r="P1634" s="21">
        <v>35</v>
      </c>
      <c r="Q1634" s="10" t="s">
        <v>54</v>
      </c>
      <c r="R1634" s="10" t="s">
        <v>28</v>
      </c>
      <c r="S1634" s="10"/>
      <c r="T1634" s="10"/>
      <c r="U1634" s="10" t="s">
        <v>2747</v>
      </c>
      <c r="V1634" s="10" t="s">
        <v>2747</v>
      </c>
      <c r="W1634" s="50">
        <f>+J1634/$W$2</f>
        <v>1.5775108022981613E-5</v>
      </c>
    </row>
    <row r="1635" spans="1:23">
      <c r="A1635" s="10" t="s">
        <v>353</v>
      </c>
      <c r="B1635" s="10" t="s">
        <v>381</v>
      </c>
      <c r="C1635" s="124">
        <v>46350</v>
      </c>
      <c r="D1635" s="124" t="s">
        <v>492</v>
      </c>
      <c r="E1635" s="21">
        <v>0.94903817000000001</v>
      </c>
      <c r="F1635" s="10"/>
      <c r="G1635" s="14">
        <v>3625698.78</v>
      </c>
      <c r="H1635" s="14">
        <v>3440926.54</v>
      </c>
      <c r="I1635" s="14">
        <v>3625698.78</v>
      </c>
      <c r="J1635" s="14">
        <v>3440926.54</v>
      </c>
      <c r="K1635" s="12">
        <v>3360</v>
      </c>
      <c r="L1635" s="10" t="s">
        <v>101</v>
      </c>
      <c r="M1635" s="10" t="s">
        <v>102</v>
      </c>
      <c r="N1635" s="124" t="s">
        <v>164</v>
      </c>
      <c r="O1635" s="124" t="s">
        <v>164</v>
      </c>
      <c r="P1635" s="21">
        <v>35</v>
      </c>
      <c r="Q1635" s="10" t="s">
        <v>54</v>
      </c>
      <c r="R1635" s="10" t="s">
        <v>28</v>
      </c>
      <c r="S1635" s="10"/>
      <c r="T1635" s="10"/>
      <c r="U1635" s="10" t="s">
        <v>1951</v>
      </c>
      <c r="V1635" s="10" t="s">
        <v>1951</v>
      </c>
      <c r="W1635" s="50">
        <f>+J1635/$W$2</f>
        <v>4.5745634685654385E-5</v>
      </c>
    </row>
    <row r="1636" spans="1:23">
      <c r="A1636" s="10" t="s">
        <v>849</v>
      </c>
      <c r="B1636" s="10" t="s">
        <v>381</v>
      </c>
      <c r="C1636" s="124">
        <v>46350</v>
      </c>
      <c r="D1636" s="124" t="s">
        <v>492</v>
      </c>
      <c r="E1636" s="21">
        <v>0.94628243999999995</v>
      </c>
      <c r="F1636" s="10"/>
      <c r="G1636" s="14">
        <v>25000000</v>
      </c>
      <c r="H1636" s="14">
        <v>23657060.949999999</v>
      </c>
      <c r="I1636" s="14">
        <v>25000000</v>
      </c>
      <c r="J1636" s="14">
        <v>23657060.949999999</v>
      </c>
      <c r="K1636" s="12">
        <v>2662</v>
      </c>
      <c r="L1636" s="10" t="s">
        <v>101</v>
      </c>
      <c r="M1636" s="10" t="s">
        <v>102</v>
      </c>
      <c r="N1636" s="124" t="s">
        <v>425</v>
      </c>
      <c r="O1636" s="124" t="s">
        <v>425</v>
      </c>
      <c r="P1636" s="21">
        <v>37</v>
      </c>
      <c r="Q1636" s="10" t="s">
        <v>54</v>
      </c>
      <c r="R1636" s="10" t="s">
        <v>28</v>
      </c>
      <c r="S1636" s="10"/>
      <c r="T1636" s="10"/>
      <c r="U1636" s="10" t="s">
        <v>1710</v>
      </c>
      <c r="V1636" s="10" t="s">
        <v>1710</v>
      </c>
      <c r="W1636" s="50">
        <f>+J1636/$W$2</f>
        <v>3.1451042484474543E-4</v>
      </c>
    </row>
    <row r="1637" spans="1:23">
      <c r="A1637" s="10" t="s">
        <v>208</v>
      </c>
      <c r="B1637" s="10" t="s">
        <v>381</v>
      </c>
      <c r="C1637" s="124">
        <v>46350</v>
      </c>
      <c r="D1637" s="124" t="s">
        <v>492</v>
      </c>
      <c r="E1637" s="21">
        <v>0.95180986000000001</v>
      </c>
      <c r="F1637" s="10"/>
      <c r="G1637" s="14">
        <v>2170000</v>
      </c>
      <c r="H1637" s="14">
        <v>2065427.39</v>
      </c>
      <c r="I1637" s="14">
        <v>2170000</v>
      </c>
      <c r="J1637" s="14">
        <v>2065427.39</v>
      </c>
      <c r="K1637" s="12">
        <v>260736</v>
      </c>
      <c r="L1637" s="10" t="s">
        <v>101</v>
      </c>
      <c r="M1637" s="10" t="s">
        <v>102</v>
      </c>
      <c r="N1637" s="124" t="s">
        <v>533</v>
      </c>
      <c r="O1637" s="124" t="s">
        <v>533</v>
      </c>
      <c r="P1637" s="21">
        <v>33</v>
      </c>
      <c r="Q1637" s="10" t="s">
        <v>54</v>
      </c>
      <c r="R1637" s="10" t="s">
        <v>28</v>
      </c>
      <c r="S1637" s="10"/>
      <c r="T1637" s="10"/>
      <c r="U1637" s="10" t="s">
        <v>1863</v>
      </c>
      <c r="V1637" s="10" t="s">
        <v>1863</v>
      </c>
      <c r="W1637" s="50">
        <f>+J1637/$W$2</f>
        <v>2.7458966576102669E-5</v>
      </c>
    </row>
    <row r="1638" spans="1:23">
      <c r="A1638" s="10" t="s">
        <v>494</v>
      </c>
      <c r="B1638" s="10" t="s">
        <v>381</v>
      </c>
      <c r="C1638" s="124">
        <v>46350</v>
      </c>
      <c r="D1638" s="124" t="s">
        <v>492</v>
      </c>
      <c r="E1638" s="21">
        <v>0.96022322000000004</v>
      </c>
      <c r="F1638" s="10"/>
      <c r="G1638" s="14">
        <v>8000000</v>
      </c>
      <c r="H1638" s="14">
        <v>7681785.7699999996</v>
      </c>
      <c r="I1638" s="14">
        <v>8000000</v>
      </c>
      <c r="J1638" s="14">
        <v>7681785.7699999996</v>
      </c>
      <c r="K1638" s="12">
        <v>69815983</v>
      </c>
      <c r="L1638" s="10" t="s">
        <v>101</v>
      </c>
      <c r="M1638" s="10" t="s">
        <v>102</v>
      </c>
      <c r="N1638" s="124" t="s">
        <v>486</v>
      </c>
      <c r="O1638" s="124" t="s">
        <v>486</v>
      </c>
      <c r="P1638" s="21">
        <v>27</v>
      </c>
      <c r="Q1638" s="10" t="s">
        <v>54</v>
      </c>
      <c r="R1638" s="10" t="s">
        <v>28</v>
      </c>
      <c r="S1638" s="10"/>
      <c r="T1638" s="10"/>
      <c r="U1638" s="10" t="s">
        <v>2857</v>
      </c>
      <c r="V1638" s="10" t="s">
        <v>2857</v>
      </c>
      <c r="W1638" s="50">
        <f>+J1638/$W$2</f>
        <v>1.0212602956873303E-4</v>
      </c>
    </row>
    <row r="1639" spans="1:23">
      <c r="A1639" s="10" t="s">
        <v>141</v>
      </c>
      <c r="B1639" s="10" t="s">
        <v>381</v>
      </c>
      <c r="C1639" s="124">
        <v>46350</v>
      </c>
      <c r="D1639" s="124" t="s">
        <v>492</v>
      </c>
      <c r="E1639" s="21">
        <v>0.94903804000000003</v>
      </c>
      <c r="F1639" s="10"/>
      <c r="G1639" s="14">
        <v>20000000</v>
      </c>
      <c r="H1639" s="14">
        <v>18980760.780000001</v>
      </c>
      <c r="I1639" s="14">
        <v>20000000</v>
      </c>
      <c r="J1639" s="14">
        <v>18980760.780000001</v>
      </c>
      <c r="K1639" s="12">
        <v>147</v>
      </c>
      <c r="L1639" s="10" t="s">
        <v>101</v>
      </c>
      <c r="M1639" s="10" t="s">
        <v>102</v>
      </c>
      <c r="N1639" s="124" t="s">
        <v>163</v>
      </c>
      <c r="O1639" s="124" t="s">
        <v>163</v>
      </c>
      <c r="P1639" s="21">
        <v>35</v>
      </c>
      <c r="Q1639" s="10" t="s">
        <v>54</v>
      </c>
      <c r="R1639" s="10" t="s">
        <v>28</v>
      </c>
      <c r="S1639" s="10"/>
      <c r="T1639" s="10"/>
      <c r="U1639" s="10" t="s">
        <v>1620</v>
      </c>
      <c r="V1639" s="10" t="s">
        <v>1620</v>
      </c>
      <c r="W1639" s="50">
        <f>+J1639/$W$2</f>
        <v>2.5234103041841643E-4</v>
      </c>
    </row>
    <row r="1640" spans="1:23">
      <c r="A1640" s="10" t="s">
        <v>676</v>
      </c>
      <c r="B1640" s="10" t="s">
        <v>381</v>
      </c>
      <c r="C1640" s="124">
        <v>46350</v>
      </c>
      <c r="D1640" s="124" t="s">
        <v>492</v>
      </c>
      <c r="E1640" s="21">
        <v>0.95180991000000004</v>
      </c>
      <c r="F1640" s="10"/>
      <c r="G1640" s="14">
        <v>5800000</v>
      </c>
      <c r="H1640" s="14">
        <v>5520497.5</v>
      </c>
      <c r="I1640" s="14">
        <v>5800000</v>
      </c>
      <c r="J1640" s="14">
        <v>5520497.5</v>
      </c>
      <c r="K1640" s="12">
        <v>6581</v>
      </c>
      <c r="L1640" s="10" t="s">
        <v>101</v>
      </c>
      <c r="M1640" s="10" t="s">
        <v>102</v>
      </c>
      <c r="N1640" s="124" t="s">
        <v>417</v>
      </c>
      <c r="O1640" s="124" t="s">
        <v>417</v>
      </c>
      <c r="P1640" s="21">
        <v>33</v>
      </c>
      <c r="Q1640" s="10" t="s">
        <v>54</v>
      </c>
      <c r="R1640" s="10" t="s">
        <v>28</v>
      </c>
      <c r="S1640" s="10"/>
      <c r="T1640" s="10"/>
      <c r="U1640" s="10" t="s">
        <v>1682</v>
      </c>
      <c r="V1640" s="10" t="s">
        <v>1682</v>
      </c>
      <c r="W1640" s="50">
        <f>+J1640/$W$2</f>
        <v>7.3392633926462232E-5</v>
      </c>
    </row>
    <row r="1641" spans="1:23">
      <c r="A1641" s="10" t="s">
        <v>135</v>
      </c>
      <c r="B1641" s="10" t="s">
        <v>381</v>
      </c>
      <c r="C1641" s="124">
        <v>46350</v>
      </c>
      <c r="D1641" s="124" t="s">
        <v>492</v>
      </c>
      <c r="E1641" s="21">
        <v>0.94903811000000005</v>
      </c>
      <c r="F1641" s="10"/>
      <c r="G1641" s="14">
        <v>100000000</v>
      </c>
      <c r="H1641" s="14">
        <v>94903811.349999994</v>
      </c>
      <c r="I1641" s="14">
        <v>100000000</v>
      </c>
      <c r="J1641" s="14">
        <v>94903811.349999994</v>
      </c>
      <c r="K1641" s="12">
        <v>98</v>
      </c>
      <c r="L1641" s="10" t="s">
        <v>101</v>
      </c>
      <c r="M1641" s="10" t="s">
        <v>102</v>
      </c>
      <c r="N1641" s="124" t="s">
        <v>425</v>
      </c>
      <c r="O1641" s="124" t="s">
        <v>425</v>
      </c>
      <c r="P1641" s="21">
        <v>35</v>
      </c>
      <c r="Q1641" s="10" t="s">
        <v>54</v>
      </c>
      <c r="R1641" s="10" t="s">
        <v>28</v>
      </c>
      <c r="S1641" s="10"/>
      <c r="T1641" s="10"/>
      <c r="U1641" s="10" t="s">
        <v>1685</v>
      </c>
      <c r="V1641" s="10" t="s">
        <v>1685</v>
      </c>
      <c r="W1641" s="50">
        <f>+J1641/$W$2</f>
        <v>1.2617052511366196E-3</v>
      </c>
    </row>
    <row r="1642" spans="1:23">
      <c r="A1642" s="10" t="s">
        <v>471</v>
      </c>
      <c r="B1642" s="10" t="s">
        <v>381</v>
      </c>
      <c r="C1642" s="124">
        <v>46350</v>
      </c>
      <c r="D1642" s="124" t="s">
        <v>492</v>
      </c>
      <c r="E1642" s="21">
        <v>0.96022322000000004</v>
      </c>
      <c r="F1642" s="10"/>
      <c r="G1642" s="14">
        <v>2500000</v>
      </c>
      <c r="H1642" s="14">
        <v>2400558.04</v>
      </c>
      <c r="I1642" s="14">
        <v>2500000</v>
      </c>
      <c r="J1642" s="14">
        <v>2400558.04</v>
      </c>
      <c r="K1642" s="12">
        <v>53553935</v>
      </c>
      <c r="L1642" s="10" t="s">
        <v>101</v>
      </c>
      <c r="M1642" s="10" t="s">
        <v>102</v>
      </c>
      <c r="N1642" s="124" t="s">
        <v>531</v>
      </c>
      <c r="O1642" s="124" t="s">
        <v>531</v>
      </c>
      <c r="P1642" s="21">
        <v>27</v>
      </c>
      <c r="Q1642" s="10" t="s">
        <v>54</v>
      </c>
      <c r="R1642" s="10" t="s">
        <v>28</v>
      </c>
      <c r="S1642" s="10"/>
      <c r="T1642" s="10"/>
      <c r="U1642" s="10" t="s">
        <v>3363</v>
      </c>
      <c r="V1642" s="10" t="s">
        <v>3363</v>
      </c>
      <c r="W1642" s="50">
        <f>+J1642/$W$2</f>
        <v>3.1914384065737858E-5</v>
      </c>
    </row>
    <row r="1643" spans="1:23">
      <c r="A1643" s="10" t="s">
        <v>3144</v>
      </c>
      <c r="B1643" s="10" t="s">
        <v>381</v>
      </c>
      <c r="C1643" s="124">
        <v>46350</v>
      </c>
      <c r="D1643" s="124" t="s">
        <v>492</v>
      </c>
      <c r="E1643" s="21">
        <v>0.95180993999999997</v>
      </c>
      <c r="F1643" s="10"/>
      <c r="G1643" s="14">
        <v>2500000</v>
      </c>
      <c r="H1643" s="14">
        <v>2379524.84</v>
      </c>
      <c r="I1643" s="14">
        <v>2500000</v>
      </c>
      <c r="J1643" s="14">
        <v>2379524.84</v>
      </c>
      <c r="K1643" s="12">
        <v>101</v>
      </c>
      <c r="L1643" s="10" t="s">
        <v>101</v>
      </c>
      <c r="M1643" s="10" t="s">
        <v>102</v>
      </c>
      <c r="N1643" s="124" t="s">
        <v>532</v>
      </c>
      <c r="O1643" s="124" t="s">
        <v>532</v>
      </c>
      <c r="P1643" s="21">
        <v>33</v>
      </c>
      <c r="Q1643" s="10" t="s">
        <v>54</v>
      </c>
      <c r="R1643" s="10" t="s">
        <v>28</v>
      </c>
      <c r="S1643" s="10"/>
      <c r="T1643" s="10"/>
      <c r="U1643" s="10" t="s">
        <v>3113</v>
      </c>
      <c r="V1643" s="10" t="s">
        <v>3113</v>
      </c>
      <c r="W1643" s="50">
        <f>+J1643/$W$2</f>
        <v>3.1634756740863233E-5</v>
      </c>
    </row>
    <row r="1644" spans="1:23">
      <c r="A1644" s="10" t="s">
        <v>2017</v>
      </c>
      <c r="B1644" s="10" t="s">
        <v>381</v>
      </c>
      <c r="C1644" s="124">
        <v>46350</v>
      </c>
      <c r="D1644" s="124" t="s">
        <v>492</v>
      </c>
      <c r="E1644" s="21">
        <v>0.94765832999999999</v>
      </c>
      <c r="F1644" s="10"/>
      <c r="G1644" s="14">
        <v>30000000</v>
      </c>
      <c r="H1644" s="14">
        <v>28429749.850000001</v>
      </c>
      <c r="I1644" s="14">
        <v>30000000</v>
      </c>
      <c r="J1644" s="14">
        <v>28429749.850000001</v>
      </c>
      <c r="K1644" s="12">
        <v>10978200</v>
      </c>
      <c r="L1644" s="10" t="s">
        <v>101</v>
      </c>
      <c r="M1644" s="10" t="s">
        <v>102</v>
      </c>
      <c r="N1644" s="124" t="s">
        <v>164</v>
      </c>
      <c r="O1644" s="124" t="s">
        <v>164</v>
      </c>
      <c r="P1644" s="21">
        <v>36</v>
      </c>
      <c r="Q1644" s="10" t="s">
        <v>54</v>
      </c>
      <c r="R1644" s="10" t="s">
        <v>28</v>
      </c>
      <c r="S1644" s="10"/>
      <c r="T1644" s="10"/>
      <c r="U1644" s="10" t="s">
        <v>2001</v>
      </c>
      <c r="V1644" s="10" t="s">
        <v>2001</v>
      </c>
      <c r="W1644" s="50">
        <f>+J1644/$W$2</f>
        <v>3.7796126587539343E-4</v>
      </c>
    </row>
    <row r="1645" spans="1:23">
      <c r="A1645" s="10" t="s">
        <v>604</v>
      </c>
      <c r="B1645" s="10" t="s">
        <v>381</v>
      </c>
      <c r="C1645" s="124">
        <v>46350</v>
      </c>
      <c r="D1645" s="124" t="s">
        <v>492</v>
      </c>
      <c r="E1645" s="21">
        <v>0.94765818999999996</v>
      </c>
      <c r="F1645" s="10"/>
      <c r="G1645" s="14">
        <v>1555000.5</v>
      </c>
      <c r="H1645" s="14">
        <v>1473608.96</v>
      </c>
      <c r="I1645" s="14">
        <v>1555000.5</v>
      </c>
      <c r="J1645" s="14">
        <v>1473608.96</v>
      </c>
      <c r="K1645" s="12">
        <v>510</v>
      </c>
      <c r="L1645" s="10" t="s">
        <v>101</v>
      </c>
      <c r="M1645" s="10" t="s">
        <v>102</v>
      </c>
      <c r="N1645" s="124" t="s">
        <v>163</v>
      </c>
      <c r="O1645" s="124" t="s">
        <v>163</v>
      </c>
      <c r="P1645" s="21">
        <v>36</v>
      </c>
      <c r="Q1645" s="10" t="s">
        <v>54</v>
      </c>
      <c r="R1645" s="10" t="s">
        <v>28</v>
      </c>
      <c r="S1645" s="10"/>
      <c r="T1645" s="10"/>
      <c r="U1645" s="10" t="s">
        <v>1623</v>
      </c>
      <c r="V1645" s="10" t="s">
        <v>1623</v>
      </c>
      <c r="W1645" s="50">
        <f>+J1645/$W$2</f>
        <v>1.9590995730372982E-5</v>
      </c>
    </row>
    <row r="1646" spans="1:23">
      <c r="A1646" s="10" t="s">
        <v>604</v>
      </c>
      <c r="B1646" s="10" t="s">
        <v>381</v>
      </c>
      <c r="C1646" s="124">
        <v>46350</v>
      </c>
      <c r="D1646" s="124" t="s">
        <v>492</v>
      </c>
      <c r="E1646" s="21">
        <v>0.95042183999999996</v>
      </c>
      <c r="F1646" s="10"/>
      <c r="G1646" s="14">
        <v>5000300.25</v>
      </c>
      <c r="H1646" s="14">
        <v>4752394.59</v>
      </c>
      <c r="I1646" s="14">
        <v>5000300.25</v>
      </c>
      <c r="J1646" s="14">
        <v>4752394.59</v>
      </c>
      <c r="K1646" s="12">
        <v>360</v>
      </c>
      <c r="L1646" s="10" t="s">
        <v>101</v>
      </c>
      <c r="M1646" s="10" t="s">
        <v>102</v>
      </c>
      <c r="N1646" s="124" t="s">
        <v>326</v>
      </c>
      <c r="O1646" s="124" t="s">
        <v>326</v>
      </c>
      <c r="P1646" s="21">
        <v>34</v>
      </c>
      <c r="Q1646" s="10" t="s">
        <v>54</v>
      </c>
      <c r="R1646" s="10" t="s">
        <v>28</v>
      </c>
      <c r="S1646" s="10"/>
      <c r="T1646" s="10"/>
      <c r="U1646" s="10" t="s">
        <v>949</v>
      </c>
      <c r="V1646" s="10" t="s">
        <v>949</v>
      </c>
      <c r="W1646" s="50">
        <f>+J1646/$W$2</f>
        <v>6.3181036929727726E-5</v>
      </c>
    </row>
    <row r="1647" spans="1:23">
      <c r="A1647" s="10" t="s">
        <v>427</v>
      </c>
      <c r="B1647" s="10" t="s">
        <v>381</v>
      </c>
      <c r="C1647" s="124">
        <v>46350</v>
      </c>
      <c r="D1647" s="124" t="s">
        <v>492</v>
      </c>
      <c r="E1647" s="21">
        <v>0.95881068999999997</v>
      </c>
      <c r="F1647" s="10"/>
      <c r="G1647" s="14">
        <v>3000000</v>
      </c>
      <c r="H1647" s="14">
        <v>2876432.07</v>
      </c>
      <c r="I1647" s="14">
        <v>3000000</v>
      </c>
      <c r="J1647" s="14">
        <v>2876432.07</v>
      </c>
      <c r="K1647" s="12">
        <v>14315894</v>
      </c>
      <c r="L1647" s="10" t="s">
        <v>101</v>
      </c>
      <c r="M1647" s="10" t="s">
        <v>102</v>
      </c>
      <c r="N1647" s="124" t="s">
        <v>486</v>
      </c>
      <c r="O1647" s="124" t="s">
        <v>486</v>
      </c>
      <c r="P1647" s="21">
        <v>28</v>
      </c>
      <c r="Q1647" s="10" t="s">
        <v>54</v>
      </c>
      <c r="R1647" s="10" t="s">
        <v>28</v>
      </c>
      <c r="S1647" s="10"/>
      <c r="T1647" s="10"/>
      <c r="U1647" s="10" t="s">
        <v>2778</v>
      </c>
      <c r="V1647" s="10" t="s">
        <v>2778</v>
      </c>
      <c r="W1647" s="50">
        <f>+J1647/$W$2</f>
        <v>3.8240924106540394E-5</v>
      </c>
    </row>
    <row r="1648" spans="1:23">
      <c r="A1648" s="10" t="s">
        <v>382</v>
      </c>
      <c r="B1648" s="10" t="s">
        <v>381</v>
      </c>
      <c r="C1648" s="124">
        <v>46350</v>
      </c>
      <c r="D1648" s="124" t="s">
        <v>492</v>
      </c>
      <c r="E1648" s="21">
        <v>0.95180982000000003</v>
      </c>
      <c r="F1648" s="10"/>
      <c r="G1648" s="14">
        <v>2500000</v>
      </c>
      <c r="H1648" s="14">
        <v>2379524.54</v>
      </c>
      <c r="I1648" s="14">
        <v>2500000</v>
      </c>
      <c r="J1648" s="14">
        <v>2379524.54</v>
      </c>
      <c r="K1648" s="12">
        <v>1024</v>
      </c>
      <c r="L1648" s="10" t="s">
        <v>101</v>
      </c>
      <c r="M1648" s="10" t="s">
        <v>102</v>
      </c>
      <c r="N1648" s="124" t="s">
        <v>163</v>
      </c>
      <c r="O1648" s="124" t="s">
        <v>163</v>
      </c>
      <c r="P1648" s="21">
        <v>33</v>
      </c>
      <c r="Q1648" s="10" t="s">
        <v>54</v>
      </c>
      <c r="R1648" s="10" t="s">
        <v>28</v>
      </c>
      <c r="S1648" s="10"/>
      <c r="T1648" s="10"/>
      <c r="U1648" s="10" t="s">
        <v>1648</v>
      </c>
      <c r="V1648" s="10" t="s">
        <v>1648</v>
      </c>
      <c r="W1648" s="50">
        <f>+J1648/$W$2</f>
        <v>3.1634752752492591E-5</v>
      </c>
    </row>
    <row r="1649" spans="1:29">
      <c r="A1649" s="10" t="s">
        <v>382</v>
      </c>
      <c r="B1649" s="10" t="s">
        <v>381</v>
      </c>
      <c r="C1649" s="124">
        <v>46350</v>
      </c>
      <c r="D1649" s="124" t="s">
        <v>492</v>
      </c>
      <c r="E1649" s="21">
        <v>0.95599803000000005</v>
      </c>
      <c r="F1649" s="10"/>
      <c r="G1649" s="14">
        <v>2500000</v>
      </c>
      <c r="H1649" s="14">
        <v>2389995.0699999998</v>
      </c>
      <c r="I1649" s="14">
        <v>2500000</v>
      </c>
      <c r="J1649" s="14">
        <v>2389995.0699999998</v>
      </c>
      <c r="K1649" s="12">
        <v>891</v>
      </c>
      <c r="L1649" s="10" t="s">
        <v>101</v>
      </c>
      <c r="M1649" s="10" t="s">
        <v>102</v>
      </c>
      <c r="N1649" s="124" t="s">
        <v>435</v>
      </c>
      <c r="O1649" s="124" t="s">
        <v>435</v>
      </c>
      <c r="P1649" s="21">
        <v>30</v>
      </c>
      <c r="Q1649" s="10" t="s">
        <v>54</v>
      </c>
      <c r="R1649" s="10" t="s">
        <v>28</v>
      </c>
      <c r="S1649" s="10"/>
      <c r="T1649" s="10"/>
      <c r="U1649" s="10" t="s">
        <v>1321</v>
      </c>
      <c r="V1649" s="10" t="s">
        <v>1321</v>
      </c>
      <c r="W1649" s="50">
        <f>+J1649/$W$2</f>
        <v>3.1773953934144427E-5</v>
      </c>
    </row>
    <row r="1650" spans="1:29">
      <c r="A1650" s="10" t="s">
        <v>1423</v>
      </c>
      <c r="B1650" s="10" t="s">
        <v>381</v>
      </c>
      <c r="C1650" s="124">
        <v>46350</v>
      </c>
      <c r="D1650" s="124" t="s">
        <v>492</v>
      </c>
      <c r="E1650" s="21">
        <v>0.95881068000000003</v>
      </c>
      <c r="F1650" s="10"/>
      <c r="G1650" s="14">
        <v>7098063.4299999997</v>
      </c>
      <c r="H1650" s="14">
        <v>6805699.0300000003</v>
      </c>
      <c r="I1650" s="14">
        <v>7098063.4299999997</v>
      </c>
      <c r="J1650" s="14">
        <v>6805699.0300000003</v>
      </c>
      <c r="K1650" s="12">
        <v>90027050</v>
      </c>
      <c r="L1650" s="10" t="s">
        <v>101</v>
      </c>
      <c r="M1650" s="10" t="s">
        <v>102</v>
      </c>
      <c r="N1650" s="124" t="s">
        <v>548</v>
      </c>
      <c r="O1650" s="124" t="s">
        <v>548</v>
      </c>
      <c r="P1650" s="21">
        <v>28</v>
      </c>
      <c r="Q1650" s="10" t="s">
        <v>54</v>
      </c>
      <c r="R1650" s="10" t="s">
        <v>28</v>
      </c>
      <c r="S1650" s="10"/>
      <c r="T1650" s="10"/>
      <c r="U1650" s="10" t="s">
        <v>1416</v>
      </c>
      <c r="V1650" s="10" t="s">
        <v>1416</v>
      </c>
      <c r="W1650" s="50">
        <f>+J1650/$W$2</f>
        <v>9.047883411277139E-5</v>
      </c>
    </row>
    <row r="1651" spans="1:29">
      <c r="A1651" s="10" t="s">
        <v>2701</v>
      </c>
      <c r="B1651" s="10" t="s">
        <v>381</v>
      </c>
      <c r="C1651" s="124">
        <v>46351</v>
      </c>
      <c r="D1651" s="124" t="s">
        <v>492</v>
      </c>
      <c r="E1651" s="21">
        <v>0.95099153000000003</v>
      </c>
      <c r="F1651" s="10"/>
      <c r="G1651" s="14">
        <v>121402.9</v>
      </c>
      <c r="H1651" s="14">
        <v>115453.13</v>
      </c>
      <c r="I1651" s="14">
        <v>121402.9</v>
      </c>
      <c r="J1651" s="14">
        <v>115453.13</v>
      </c>
      <c r="K1651" s="12">
        <v>90000511</v>
      </c>
      <c r="L1651" s="10" t="s">
        <v>101</v>
      </c>
      <c r="M1651" s="10" t="s">
        <v>102</v>
      </c>
      <c r="N1651" s="124" t="s">
        <v>420</v>
      </c>
      <c r="O1651" s="124" t="s">
        <v>420</v>
      </c>
      <c r="P1651" s="21">
        <v>33</v>
      </c>
      <c r="Q1651" s="10" t="s">
        <v>54</v>
      </c>
      <c r="R1651" s="10" t="s">
        <v>28</v>
      </c>
      <c r="S1651" s="10"/>
      <c r="T1651" s="10"/>
      <c r="U1651" s="10" t="s">
        <v>2665</v>
      </c>
      <c r="V1651" s="10" t="s">
        <v>2665</v>
      </c>
      <c r="W1651" s="50">
        <f>+J1651/$W$2</f>
        <v>1.5348995821036519E-6</v>
      </c>
    </row>
    <row r="1652" spans="1:29">
      <c r="A1652" s="10" t="s">
        <v>2704</v>
      </c>
      <c r="B1652" s="10" t="s">
        <v>381</v>
      </c>
      <c r="C1652" s="124">
        <v>46351</v>
      </c>
      <c r="D1652" s="124" t="s">
        <v>492</v>
      </c>
      <c r="E1652" s="21">
        <v>0.95099162999999998</v>
      </c>
      <c r="F1652" s="10"/>
      <c r="G1652" s="14">
        <v>281718.78999999998</v>
      </c>
      <c r="H1652" s="14">
        <v>267912.21000000002</v>
      </c>
      <c r="I1652" s="14">
        <v>281718.78999999998</v>
      </c>
      <c r="J1652" s="14">
        <v>267912.21000000002</v>
      </c>
      <c r="K1652" s="12">
        <v>315867</v>
      </c>
      <c r="L1652" s="10" t="s">
        <v>101</v>
      </c>
      <c r="M1652" s="10" t="s">
        <v>102</v>
      </c>
      <c r="N1652" s="124" t="s">
        <v>420</v>
      </c>
      <c r="O1652" s="124" t="s">
        <v>420</v>
      </c>
      <c r="P1652" s="21">
        <v>33</v>
      </c>
      <c r="Q1652" s="10" t="s">
        <v>54</v>
      </c>
      <c r="R1652" s="10" t="s">
        <v>28</v>
      </c>
      <c r="S1652" s="10"/>
      <c r="T1652" s="10"/>
      <c r="U1652" s="10" t="s">
        <v>2668</v>
      </c>
      <c r="V1652" s="10" t="s">
        <v>2668</v>
      </c>
      <c r="W1652" s="50">
        <f>+J1652/$W$2</f>
        <v>3.5617773131786542E-6</v>
      </c>
    </row>
    <row r="1653" spans="1:29">
      <c r="A1653" s="10" t="s">
        <v>2774</v>
      </c>
      <c r="B1653" s="10" t="s">
        <v>381</v>
      </c>
      <c r="C1653" s="124">
        <v>46351</v>
      </c>
      <c r="D1653" s="124" t="s">
        <v>492</v>
      </c>
      <c r="E1653" s="21">
        <v>0.96040502000000005</v>
      </c>
      <c r="F1653" s="10"/>
      <c r="G1653" s="14">
        <v>140000000</v>
      </c>
      <c r="H1653" s="14">
        <v>134456702.83000001</v>
      </c>
      <c r="I1653" s="14">
        <v>140000000</v>
      </c>
      <c r="J1653" s="14">
        <v>134456702.83000001</v>
      </c>
      <c r="K1653" s="12">
        <v>4480</v>
      </c>
      <c r="L1653" s="10" t="s">
        <v>101</v>
      </c>
      <c r="M1653" s="10" t="s">
        <v>102</v>
      </c>
      <c r="N1653" s="124" t="s">
        <v>422</v>
      </c>
      <c r="O1653" s="124" t="s">
        <v>422</v>
      </c>
      <c r="P1653" s="21">
        <v>26.4</v>
      </c>
      <c r="Q1653" s="10" t="s">
        <v>54</v>
      </c>
      <c r="R1653" s="10" t="s">
        <v>28</v>
      </c>
      <c r="S1653" s="10"/>
      <c r="T1653" s="10"/>
      <c r="U1653" s="10" t="s">
        <v>2715</v>
      </c>
      <c r="V1653" s="10" t="s">
        <v>2715</v>
      </c>
      <c r="W1653" s="50">
        <f>+J1653/$W$2</f>
        <v>1.787543888890686E-3</v>
      </c>
      <c r="AC1653" s="47"/>
    </row>
    <row r="1654" spans="1:29">
      <c r="A1654" s="10" t="s">
        <v>3156</v>
      </c>
      <c r="B1654" s="10" t="s">
        <v>381</v>
      </c>
      <c r="C1654" s="124">
        <v>46351</v>
      </c>
      <c r="D1654" s="124" t="s">
        <v>492</v>
      </c>
      <c r="E1654" s="21">
        <v>0.95099149999999999</v>
      </c>
      <c r="F1654" s="10"/>
      <c r="G1654" s="14">
        <v>827834.5</v>
      </c>
      <c r="H1654" s="14">
        <v>787263.57</v>
      </c>
      <c r="I1654" s="14">
        <v>827834.5</v>
      </c>
      <c r="J1654" s="14">
        <v>787263.57</v>
      </c>
      <c r="K1654" s="12">
        <v>17414</v>
      </c>
      <c r="L1654" s="10" t="s">
        <v>101</v>
      </c>
      <c r="M1654" s="10" t="s">
        <v>102</v>
      </c>
      <c r="N1654" s="124" t="s">
        <v>532</v>
      </c>
      <c r="O1654" s="124" t="s">
        <v>532</v>
      </c>
      <c r="P1654" s="21">
        <v>33</v>
      </c>
      <c r="Q1654" s="10" t="s">
        <v>54</v>
      </c>
      <c r="R1654" s="10" t="s">
        <v>28</v>
      </c>
      <c r="S1654" s="10"/>
      <c r="T1654" s="10"/>
      <c r="U1654" s="10" t="s">
        <v>3133</v>
      </c>
      <c r="V1654" s="10" t="s">
        <v>3133</v>
      </c>
      <c r="W1654" s="50">
        <f>+J1654/$W$2</f>
        <v>1.0466329709713622E-5</v>
      </c>
    </row>
    <row r="1655" spans="1:29">
      <c r="A1655" s="10" t="s">
        <v>3267</v>
      </c>
      <c r="B1655" s="10" t="s">
        <v>381</v>
      </c>
      <c r="C1655" s="124">
        <v>46351</v>
      </c>
      <c r="D1655" s="124" t="s">
        <v>492</v>
      </c>
      <c r="E1655" s="21">
        <v>0.95382464</v>
      </c>
      <c r="F1655" s="10"/>
      <c r="G1655" s="14">
        <v>619400</v>
      </c>
      <c r="H1655" s="14">
        <v>590798.98</v>
      </c>
      <c r="I1655" s="14">
        <v>619400</v>
      </c>
      <c r="J1655" s="14">
        <v>590798.98</v>
      </c>
      <c r="K1655" s="12">
        <v>604</v>
      </c>
      <c r="L1655" s="10" t="s">
        <v>101</v>
      </c>
      <c r="M1655" s="10" t="s">
        <v>102</v>
      </c>
      <c r="N1655" s="124" t="s">
        <v>472</v>
      </c>
      <c r="O1655" s="124" t="s">
        <v>472</v>
      </c>
      <c r="P1655" s="21">
        <v>31</v>
      </c>
      <c r="Q1655" s="10" t="s">
        <v>54</v>
      </c>
      <c r="R1655" s="10" t="s">
        <v>28</v>
      </c>
      <c r="S1655" s="10"/>
      <c r="T1655" s="10"/>
      <c r="U1655" s="10" t="s">
        <v>3201</v>
      </c>
      <c r="V1655" s="10" t="s">
        <v>3201</v>
      </c>
      <c r="W1655" s="50">
        <f>+J1655/$W$2</f>
        <v>7.8544176975476007E-6</v>
      </c>
    </row>
    <row r="1656" spans="1:29">
      <c r="A1656" s="10" t="s">
        <v>3459</v>
      </c>
      <c r="B1656" s="10" t="s">
        <v>381</v>
      </c>
      <c r="C1656" s="124">
        <v>46351</v>
      </c>
      <c r="D1656" s="124" t="s">
        <v>492</v>
      </c>
      <c r="E1656" s="21">
        <v>0.95524737999999998</v>
      </c>
      <c r="F1656" s="10"/>
      <c r="G1656" s="14">
        <v>500000</v>
      </c>
      <c r="H1656" s="14">
        <v>477623.69</v>
      </c>
      <c r="I1656" s="14">
        <v>500000</v>
      </c>
      <c r="J1656" s="14">
        <v>477623.69</v>
      </c>
      <c r="K1656" s="12">
        <v>201</v>
      </c>
      <c r="L1656" s="10" t="s">
        <v>101</v>
      </c>
      <c r="M1656" s="10" t="s">
        <v>102</v>
      </c>
      <c r="N1656" s="124" t="s">
        <v>531</v>
      </c>
      <c r="O1656" s="124" t="s">
        <v>531</v>
      </c>
      <c r="P1656" s="21">
        <v>30</v>
      </c>
      <c r="Q1656" s="10" t="s">
        <v>54</v>
      </c>
      <c r="R1656" s="10" t="s">
        <v>28</v>
      </c>
      <c r="S1656" s="10"/>
      <c r="T1656" s="10"/>
      <c r="U1656" s="10" t="s">
        <v>3424</v>
      </c>
      <c r="V1656" s="10" t="s">
        <v>3424</v>
      </c>
      <c r="W1656" s="50">
        <f>+J1656/$W$2</f>
        <v>6.3498010160816269E-6</v>
      </c>
    </row>
    <row r="1657" spans="1:29">
      <c r="A1657" s="10" t="s">
        <v>3461</v>
      </c>
      <c r="B1657" s="10" t="s">
        <v>381</v>
      </c>
      <c r="C1657" s="124">
        <v>46351</v>
      </c>
      <c r="D1657" s="124" t="s">
        <v>492</v>
      </c>
      <c r="E1657" s="21">
        <v>0.95524737999999998</v>
      </c>
      <c r="F1657" s="10"/>
      <c r="G1657" s="14">
        <v>600000</v>
      </c>
      <c r="H1657" s="14">
        <v>573148.43000000005</v>
      </c>
      <c r="I1657" s="14">
        <v>600000</v>
      </c>
      <c r="J1657" s="14">
        <v>573148.43000000005</v>
      </c>
      <c r="K1657" s="12">
        <v>69995854</v>
      </c>
      <c r="L1657" s="10" t="s">
        <v>101</v>
      </c>
      <c r="M1657" s="10" t="s">
        <v>102</v>
      </c>
      <c r="N1657" s="124" t="s">
        <v>531</v>
      </c>
      <c r="O1657" s="124" t="s">
        <v>531</v>
      </c>
      <c r="P1657" s="21">
        <v>30</v>
      </c>
      <c r="Q1657" s="10" t="s">
        <v>54</v>
      </c>
      <c r="R1657" s="10" t="s">
        <v>28</v>
      </c>
      <c r="S1657" s="10"/>
      <c r="T1657" s="10"/>
      <c r="U1657" s="10" t="s">
        <v>3436</v>
      </c>
      <c r="V1657" s="10" t="s">
        <v>3436</v>
      </c>
      <c r="W1657" s="50">
        <f>+J1657/$W$2</f>
        <v>7.619761245887091E-6</v>
      </c>
    </row>
    <row r="1658" spans="1:29">
      <c r="A1658" s="10" t="s">
        <v>3269</v>
      </c>
      <c r="B1658" s="10" t="s">
        <v>381</v>
      </c>
      <c r="C1658" s="124">
        <v>46351</v>
      </c>
      <c r="D1658" s="124" t="s">
        <v>492</v>
      </c>
      <c r="E1658" s="21">
        <v>0.96098167999999995</v>
      </c>
      <c r="F1658" s="10"/>
      <c r="G1658" s="14">
        <v>150000000</v>
      </c>
      <c r="H1658" s="14">
        <v>144147251.63999999</v>
      </c>
      <c r="I1658" s="14">
        <v>150000000</v>
      </c>
      <c r="J1658" s="14">
        <v>144147251.63999999</v>
      </c>
      <c r="K1658" s="12">
        <v>461478</v>
      </c>
      <c r="L1658" s="10" t="s">
        <v>101</v>
      </c>
      <c r="M1658" s="10" t="s">
        <v>102</v>
      </c>
      <c r="N1658" s="124" t="s">
        <v>472</v>
      </c>
      <c r="O1658" s="124" t="s">
        <v>472</v>
      </c>
      <c r="P1658" s="21">
        <v>26</v>
      </c>
      <c r="Q1658" s="10" t="s">
        <v>54</v>
      </c>
      <c r="R1658" s="10" t="s">
        <v>28</v>
      </c>
      <c r="S1658" s="10"/>
      <c r="T1658" s="10"/>
      <c r="U1658" s="10" t="s">
        <v>3178</v>
      </c>
      <c r="V1658" s="10" t="s">
        <v>3178</v>
      </c>
      <c r="W1658" s="50">
        <f>+J1658/$W$2</f>
        <v>1.9163755569348872E-3</v>
      </c>
    </row>
    <row r="1659" spans="1:29">
      <c r="A1659" s="10" t="s">
        <v>353</v>
      </c>
      <c r="B1659" s="10" t="s">
        <v>381</v>
      </c>
      <c r="C1659" s="124">
        <v>46351</v>
      </c>
      <c r="D1659" s="124" t="s">
        <v>492</v>
      </c>
      <c r="E1659" s="21">
        <v>0.94817510999999999</v>
      </c>
      <c r="F1659" s="10"/>
      <c r="G1659" s="14">
        <v>3256800.5</v>
      </c>
      <c r="H1659" s="14">
        <v>3088017.18</v>
      </c>
      <c r="I1659" s="14">
        <v>3256800.5</v>
      </c>
      <c r="J1659" s="14">
        <v>3088017.18</v>
      </c>
      <c r="K1659" s="12">
        <v>3592</v>
      </c>
      <c r="L1659" s="10" t="s">
        <v>101</v>
      </c>
      <c r="M1659" s="10" t="s">
        <v>102</v>
      </c>
      <c r="N1659" s="124" t="s">
        <v>422</v>
      </c>
      <c r="O1659" s="124" t="s">
        <v>422</v>
      </c>
      <c r="P1659" s="21">
        <v>35</v>
      </c>
      <c r="Q1659" s="10" t="s">
        <v>54</v>
      </c>
      <c r="R1659" s="10" t="s">
        <v>28</v>
      </c>
      <c r="S1659" s="10"/>
      <c r="T1659" s="10"/>
      <c r="U1659" s="10" t="s">
        <v>2746</v>
      </c>
      <c r="V1659" s="10" t="s">
        <v>2746</v>
      </c>
      <c r="W1659" s="50">
        <f>+J1659/$W$2</f>
        <v>4.10538569124189E-5</v>
      </c>
    </row>
    <row r="1660" spans="1:29">
      <c r="A1660" s="10" t="s">
        <v>353</v>
      </c>
      <c r="B1660" s="10" t="s">
        <v>381</v>
      </c>
      <c r="C1660" s="124">
        <v>46351</v>
      </c>
      <c r="D1660" s="124" t="s">
        <v>492</v>
      </c>
      <c r="E1660" s="21">
        <v>0.94817523999999997</v>
      </c>
      <c r="F1660" s="10"/>
      <c r="G1660" s="14">
        <v>3841101.28</v>
      </c>
      <c r="H1660" s="14">
        <v>3642037.11</v>
      </c>
      <c r="I1660" s="14">
        <v>3841101.28</v>
      </c>
      <c r="J1660" s="14">
        <v>3642037.11</v>
      </c>
      <c r="K1660" s="12">
        <v>3361</v>
      </c>
      <c r="L1660" s="10" t="s">
        <v>101</v>
      </c>
      <c r="M1660" s="10" t="s">
        <v>102</v>
      </c>
      <c r="N1660" s="124" t="s">
        <v>164</v>
      </c>
      <c r="O1660" s="124" t="s">
        <v>164</v>
      </c>
      <c r="P1660" s="21">
        <v>35</v>
      </c>
      <c r="Q1660" s="10" t="s">
        <v>54</v>
      </c>
      <c r="R1660" s="10" t="s">
        <v>28</v>
      </c>
      <c r="S1660" s="10"/>
      <c r="T1660" s="10"/>
      <c r="U1660" s="10" t="s">
        <v>1945</v>
      </c>
      <c r="V1660" s="10" t="s">
        <v>1945</v>
      </c>
      <c r="W1660" s="50">
        <f>+J1660/$W$2</f>
        <v>4.8419312998660077E-5</v>
      </c>
    </row>
    <row r="1661" spans="1:29">
      <c r="A1661" s="10" t="s">
        <v>849</v>
      </c>
      <c r="B1661" s="10" t="s">
        <v>381</v>
      </c>
      <c r="C1661" s="124">
        <v>46351</v>
      </c>
      <c r="D1661" s="124" t="s">
        <v>492</v>
      </c>
      <c r="E1661" s="21">
        <v>0.94537554000000001</v>
      </c>
      <c r="F1661" s="10"/>
      <c r="G1661" s="14">
        <v>25000000</v>
      </c>
      <c r="H1661" s="14">
        <v>23634388.420000002</v>
      </c>
      <c r="I1661" s="14">
        <v>25000000</v>
      </c>
      <c r="J1661" s="14">
        <v>23634388.420000002</v>
      </c>
      <c r="K1661" s="12">
        <v>2663</v>
      </c>
      <c r="L1661" s="10" t="s">
        <v>101</v>
      </c>
      <c r="M1661" s="10" t="s">
        <v>102</v>
      </c>
      <c r="N1661" s="124" t="s">
        <v>425</v>
      </c>
      <c r="O1661" s="124" t="s">
        <v>425</v>
      </c>
      <c r="P1661" s="21">
        <v>37</v>
      </c>
      <c r="Q1661" s="10" t="s">
        <v>54</v>
      </c>
      <c r="R1661" s="10" t="s">
        <v>28</v>
      </c>
      <c r="S1661" s="10"/>
      <c r="T1661" s="10"/>
      <c r="U1661" s="10" t="s">
        <v>1707</v>
      </c>
      <c r="V1661" s="10" t="s">
        <v>1707</v>
      </c>
      <c r="W1661" s="50">
        <f>+J1661/$W$2</f>
        <v>3.1420900333436948E-4</v>
      </c>
    </row>
    <row r="1662" spans="1:29">
      <c r="A1662" s="10" t="s">
        <v>2602</v>
      </c>
      <c r="B1662" s="10" t="s">
        <v>381</v>
      </c>
      <c r="C1662" s="124">
        <v>46351</v>
      </c>
      <c r="D1662" s="124" t="s">
        <v>492</v>
      </c>
      <c r="E1662" s="21">
        <v>0.95099151000000004</v>
      </c>
      <c r="F1662" s="10"/>
      <c r="G1662" s="14">
        <v>6590432.0999999996</v>
      </c>
      <c r="H1662" s="14">
        <v>6267444.96</v>
      </c>
      <c r="I1662" s="14">
        <v>6590432.0999999996</v>
      </c>
      <c r="J1662" s="14">
        <v>6267444.96</v>
      </c>
      <c r="K1662" s="12">
        <v>14100644</v>
      </c>
      <c r="L1662" s="10" t="s">
        <v>101</v>
      </c>
      <c r="M1662" s="10" t="s">
        <v>102</v>
      </c>
      <c r="N1662" s="124" t="s">
        <v>423</v>
      </c>
      <c r="O1662" s="124" t="s">
        <v>423</v>
      </c>
      <c r="P1662" s="21">
        <v>33</v>
      </c>
      <c r="Q1662" s="10" t="s">
        <v>54</v>
      </c>
      <c r="R1662" s="10" t="s">
        <v>28</v>
      </c>
      <c r="S1662" s="10"/>
      <c r="T1662" s="10"/>
      <c r="U1662" s="10" t="s">
        <v>2502</v>
      </c>
      <c r="V1662" s="10" t="s">
        <v>2502</v>
      </c>
      <c r="W1662" s="50">
        <f>+J1662/$W$2</f>
        <v>8.3322978337284042E-5</v>
      </c>
    </row>
    <row r="1663" spans="1:29">
      <c r="A1663" s="10" t="s">
        <v>208</v>
      </c>
      <c r="B1663" s="10" t="s">
        <v>381</v>
      </c>
      <c r="C1663" s="124">
        <v>46351</v>
      </c>
      <c r="D1663" s="124" t="s">
        <v>492</v>
      </c>
      <c r="E1663" s="21">
        <v>0.95099142999999997</v>
      </c>
      <c r="F1663" s="10"/>
      <c r="G1663" s="14">
        <v>2170000</v>
      </c>
      <c r="H1663" s="14">
        <v>2063651.4</v>
      </c>
      <c r="I1663" s="14">
        <v>2170000</v>
      </c>
      <c r="J1663" s="14">
        <v>2063651.4</v>
      </c>
      <c r="K1663" s="12">
        <v>260737</v>
      </c>
      <c r="L1663" s="10" t="s">
        <v>101</v>
      </c>
      <c r="M1663" s="10" t="s">
        <v>102</v>
      </c>
      <c r="N1663" s="124" t="s">
        <v>533</v>
      </c>
      <c r="O1663" s="124" t="s">
        <v>533</v>
      </c>
      <c r="P1663" s="21">
        <v>33</v>
      </c>
      <c r="Q1663" s="10" t="s">
        <v>54</v>
      </c>
      <c r="R1663" s="10" t="s">
        <v>28</v>
      </c>
      <c r="S1663" s="10"/>
      <c r="T1663" s="10"/>
      <c r="U1663" s="10" t="s">
        <v>1864</v>
      </c>
      <c r="V1663" s="10" t="s">
        <v>1864</v>
      </c>
      <c r="W1663" s="50">
        <f>+J1663/$W$2</f>
        <v>2.7435355554826586E-5</v>
      </c>
    </row>
    <row r="1664" spans="1:29">
      <c r="A1664" s="10" t="s">
        <v>494</v>
      </c>
      <c r="B1664" s="10" t="s">
        <v>381</v>
      </c>
      <c r="C1664" s="124">
        <v>46351</v>
      </c>
      <c r="D1664" s="124" t="s">
        <v>492</v>
      </c>
      <c r="E1664" s="21">
        <v>0.95810594000000004</v>
      </c>
      <c r="F1664" s="10"/>
      <c r="G1664" s="14">
        <v>25000000</v>
      </c>
      <c r="H1664" s="14">
        <v>23952648.600000001</v>
      </c>
      <c r="I1664" s="14">
        <v>25000000</v>
      </c>
      <c r="J1664" s="14">
        <v>23952648.600000001</v>
      </c>
      <c r="K1664" s="12">
        <v>69915720</v>
      </c>
      <c r="L1664" s="10" t="s">
        <v>101</v>
      </c>
      <c r="M1664" s="10" t="s">
        <v>102</v>
      </c>
      <c r="N1664" s="124" t="s">
        <v>532</v>
      </c>
      <c r="O1664" s="124" t="s">
        <v>532</v>
      </c>
      <c r="P1664" s="21">
        <v>28</v>
      </c>
      <c r="Q1664" s="10" t="s">
        <v>54</v>
      </c>
      <c r="R1664" s="10" t="s">
        <v>28</v>
      </c>
      <c r="S1664" s="10"/>
      <c r="T1664" s="10"/>
      <c r="U1664" s="10" t="s">
        <v>3134</v>
      </c>
      <c r="V1664" s="10" t="s">
        <v>3134</v>
      </c>
      <c r="W1664" s="50">
        <f>+J1664/$W$2</f>
        <v>3.1844013519958815E-4</v>
      </c>
    </row>
    <row r="1665" spans="1:29">
      <c r="A1665" s="10" t="s">
        <v>494</v>
      </c>
      <c r="B1665" s="10" t="s">
        <v>381</v>
      </c>
      <c r="C1665" s="124">
        <v>46351</v>
      </c>
      <c r="D1665" s="124" t="s">
        <v>492</v>
      </c>
      <c r="E1665" s="21">
        <v>0.95667449999999998</v>
      </c>
      <c r="F1665" s="10"/>
      <c r="G1665" s="14">
        <v>30000000</v>
      </c>
      <c r="H1665" s="14">
        <v>28700234.989999998</v>
      </c>
      <c r="I1665" s="14">
        <v>30000000</v>
      </c>
      <c r="J1665" s="14">
        <v>28700234.989999998</v>
      </c>
      <c r="K1665" s="12">
        <v>67</v>
      </c>
      <c r="L1665" s="10" t="s">
        <v>101</v>
      </c>
      <c r="M1665" s="10" t="s">
        <v>102</v>
      </c>
      <c r="N1665" s="124" t="s">
        <v>270</v>
      </c>
      <c r="O1665" s="124" t="s">
        <v>270</v>
      </c>
      <c r="P1665" s="21">
        <v>29</v>
      </c>
      <c r="Q1665" s="10" t="s">
        <v>54</v>
      </c>
      <c r="R1665" s="10" t="s">
        <v>28</v>
      </c>
      <c r="S1665" s="10"/>
      <c r="T1665" s="10"/>
      <c r="U1665" s="10" t="s">
        <v>623</v>
      </c>
      <c r="V1665" s="10" t="s">
        <v>623</v>
      </c>
      <c r="W1665" s="50">
        <f>+J1665/$W$2</f>
        <v>3.8155724918352237E-4</v>
      </c>
    </row>
    <row r="1666" spans="1:29">
      <c r="A1666" s="10" t="s">
        <v>1504</v>
      </c>
      <c r="B1666" s="10" t="s">
        <v>381</v>
      </c>
      <c r="C1666" s="124">
        <v>46351</v>
      </c>
      <c r="D1666" s="124" t="s">
        <v>492</v>
      </c>
      <c r="E1666" s="21">
        <v>0.95810587000000003</v>
      </c>
      <c r="F1666" s="10"/>
      <c r="G1666" s="14">
        <v>150000000</v>
      </c>
      <c r="H1666" s="14">
        <v>143715880.63999999</v>
      </c>
      <c r="I1666" s="14">
        <v>150000000</v>
      </c>
      <c r="J1666" s="14">
        <v>143715880.63999999</v>
      </c>
      <c r="K1666" s="12">
        <v>78</v>
      </c>
      <c r="L1666" s="10" t="s">
        <v>101</v>
      </c>
      <c r="M1666" s="10" t="s">
        <v>102</v>
      </c>
      <c r="N1666" s="124" t="s">
        <v>414</v>
      </c>
      <c r="O1666" s="124" t="s">
        <v>414</v>
      </c>
      <c r="P1666" s="21">
        <v>28</v>
      </c>
      <c r="Q1666" s="10" t="s">
        <v>54</v>
      </c>
      <c r="R1666" s="10" t="s">
        <v>28</v>
      </c>
      <c r="S1666" s="10"/>
      <c r="T1666" s="10"/>
      <c r="U1666" s="10" t="s">
        <v>1488</v>
      </c>
      <c r="V1666" s="10" t="s">
        <v>1488</v>
      </c>
      <c r="W1666" s="50">
        <f>+J1666/$W$2</f>
        <v>1.9106406654890542E-3</v>
      </c>
    </row>
    <row r="1667" spans="1:29">
      <c r="A1667" s="10" t="s">
        <v>267</v>
      </c>
      <c r="B1667" s="10" t="s">
        <v>381</v>
      </c>
      <c r="C1667" s="124">
        <v>46351</v>
      </c>
      <c r="D1667" s="124" t="s">
        <v>492</v>
      </c>
      <c r="E1667" s="21">
        <v>0.95810585000000004</v>
      </c>
      <c r="F1667" s="10"/>
      <c r="G1667" s="14">
        <v>50000000</v>
      </c>
      <c r="H1667" s="14">
        <v>47905292.689999998</v>
      </c>
      <c r="I1667" s="14">
        <v>50000000</v>
      </c>
      <c r="J1667" s="14">
        <v>47905292.689999998</v>
      </c>
      <c r="K1667" s="12">
        <v>29757440</v>
      </c>
      <c r="L1667" s="10" t="s">
        <v>101</v>
      </c>
      <c r="M1667" s="10" t="s">
        <v>102</v>
      </c>
      <c r="N1667" s="124" t="s">
        <v>366</v>
      </c>
      <c r="O1667" s="124" t="s">
        <v>366</v>
      </c>
      <c r="P1667" s="21">
        <v>28</v>
      </c>
      <c r="Q1667" s="10" t="s">
        <v>54</v>
      </c>
      <c r="R1667" s="10" t="s">
        <v>28</v>
      </c>
      <c r="S1667" s="10"/>
      <c r="T1667" s="10"/>
      <c r="U1667" s="10" t="s">
        <v>1165</v>
      </c>
      <c r="V1667" s="10" t="s">
        <v>1165</v>
      </c>
      <c r="W1667" s="50">
        <f>+J1667/$W$2</f>
        <v>6.3688021044067079E-4</v>
      </c>
    </row>
    <row r="1668" spans="1:29">
      <c r="A1668" s="10" t="s">
        <v>273</v>
      </c>
      <c r="B1668" s="10" t="s">
        <v>381</v>
      </c>
      <c r="C1668" s="124">
        <v>46351</v>
      </c>
      <c r="D1668" s="124" t="s">
        <v>492</v>
      </c>
      <c r="E1668" s="21">
        <v>0.95382456999999998</v>
      </c>
      <c r="F1668" s="10"/>
      <c r="G1668" s="14">
        <v>15000000</v>
      </c>
      <c r="H1668" s="14">
        <v>14307368.49</v>
      </c>
      <c r="I1668" s="14">
        <v>15000000</v>
      </c>
      <c r="J1668" s="14">
        <v>14307368.49</v>
      </c>
      <c r="K1668" s="12">
        <v>2440</v>
      </c>
      <c r="L1668" s="10" t="s">
        <v>101</v>
      </c>
      <c r="M1668" s="10" t="s">
        <v>102</v>
      </c>
      <c r="N1668" s="124" t="s">
        <v>322</v>
      </c>
      <c r="O1668" s="124" t="s">
        <v>322</v>
      </c>
      <c r="P1668" s="21">
        <v>31</v>
      </c>
      <c r="Q1668" s="10" t="s">
        <v>54</v>
      </c>
      <c r="R1668" s="10" t="s">
        <v>28</v>
      </c>
      <c r="S1668" s="10"/>
      <c r="T1668" s="10"/>
      <c r="U1668" s="10" t="s">
        <v>1567</v>
      </c>
      <c r="V1668" s="10" t="s">
        <v>1567</v>
      </c>
      <c r="W1668" s="50">
        <f>+J1668/$W$2</f>
        <v>1.9021029500286356E-4</v>
      </c>
      <c r="AC1668" s="47"/>
    </row>
    <row r="1669" spans="1:29">
      <c r="A1669" s="10" t="s">
        <v>2127</v>
      </c>
      <c r="B1669" s="10" t="s">
        <v>381</v>
      </c>
      <c r="C1669" s="124">
        <v>46351</v>
      </c>
      <c r="D1669" s="124" t="s">
        <v>492</v>
      </c>
      <c r="E1669" s="21">
        <v>0.94817514000000003</v>
      </c>
      <c r="F1669" s="10"/>
      <c r="G1669" s="14">
        <v>35000000</v>
      </c>
      <c r="H1669" s="14">
        <v>33186130.030000001</v>
      </c>
      <c r="I1669" s="14">
        <v>35000000</v>
      </c>
      <c r="J1669" s="14">
        <v>33186130.030000001</v>
      </c>
      <c r="K1669" s="12">
        <v>325</v>
      </c>
      <c r="L1669" s="10" t="s">
        <v>101</v>
      </c>
      <c r="M1669" s="10" t="s">
        <v>102</v>
      </c>
      <c r="N1669" s="124" t="s">
        <v>421</v>
      </c>
      <c r="O1669" s="124" t="s">
        <v>421</v>
      </c>
      <c r="P1669" s="21">
        <v>35</v>
      </c>
      <c r="Q1669" s="10" t="s">
        <v>54</v>
      </c>
      <c r="R1669" s="10" t="s">
        <v>28</v>
      </c>
      <c r="S1669" s="10"/>
      <c r="T1669" s="10"/>
      <c r="U1669" s="10" t="s">
        <v>2118</v>
      </c>
      <c r="V1669" s="10" t="s">
        <v>2118</v>
      </c>
      <c r="W1669" s="50">
        <f>+J1669/$W$2</f>
        <v>4.4119528950565872E-4</v>
      </c>
    </row>
    <row r="1670" spans="1:29">
      <c r="A1670" s="10" t="s">
        <v>404</v>
      </c>
      <c r="B1670" s="10" t="s">
        <v>381</v>
      </c>
      <c r="C1670" s="124">
        <v>46351</v>
      </c>
      <c r="D1670" s="124" t="s">
        <v>492</v>
      </c>
      <c r="E1670" s="21">
        <v>0.95524750000000003</v>
      </c>
      <c r="F1670" s="10"/>
      <c r="G1670" s="14">
        <v>10000000</v>
      </c>
      <c r="H1670" s="14">
        <v>9552475</v>
      </c>
      <c r="I1670" s="14">
        <v>10000000</v>
      </c>
      <c r="J1670" s="14">
        <v>9552475</v>
      </c>
      <c r="K1670" s="12">
        <v>8231</v>
      </c>
      <c r="L1670" s="10" t="s">
        <v>101</v>
      </c>
      <c r="M1670" s="10" t="s">
        <v>102</v>
      </c>
      <c r="N1670" s="124" t="s">
        <v>420</v>
      </c>
      <c r="O1670" s="124" t="s">
        <v>420</v>
      </c>
      <c r="P1670" s="21">
        <v>30</v>
      </c>
      <c r="Q1670" s="10" t="s">
        <v>54</v>
      </c>
      <c r="R1670" s="10" t="s">
        <v>28</v>
      </c>
      <c r="S1670" s="10"/>
      <c r="T1670" s="10"/>
      <c r="U1670" s="10" t="s">
        <v>2635</v>
      </c>
      <c r="V1670" s="10" t="s">
        <v>2635</v>
      </c>
      <c r="W1670" s="50">
        <f>+J1670/$W$2</f>
        <v>1.2699603627511512E-4</v>
      </c>
    </row>
    <row r="1671" spans="1:29">
      <c r="A1671" s="10" t="s">
        <v>719</v>
      </c>
      <c r="B1671" s="10" t="s">
        <v>381</v>
      </c>
      <c r="C1671" s="124">
        <v>46351</v>
      </c>
      <c r="D1671" s="124" t="s">
        <v>492</v>
      </c>
      <c r="E1671" s="21">
        <v>0.95524741000000002</v>
      </c>
      <c r="F1671" s="10"/>
      <c r="G1671" s="14">
        <v>2700000</v>
      </c>
      <c r="H1671" s="14">
        <v>2579168.02</v>
      </c>
      <c r="I1671" s="14">
        <v>2700000</v>
      </c>
      <c r="J1671" s="14">
        <v>2579168.02</v>
      </c>
      <c r="K1671" s="12">
        <v>6914</v>
      </c>
      <c r="L1671" s="10" t="s">
        <v>101</v>
      </c>
      <c r="M1671" s="10" t="s">
        <v>102</v>
      </c>
      <c r="N1671" s="124" t="s">
        <v>552</v>
      </c>
      <c r="O1671" s="124" t="s">
        <v>552</v>
      </c>
      <c r="P1671" s="21">
        <v>30</v>
      </c>
      <c r="Q1671" s="10" t="s">
        <v>54</v>
      </c>
      <c r="R1671" s="10" t="s">
        <v>28</v>
      </c>
      <c r="S1671" s="10"/>
      <c r="T1671" s="10"/>
      <c r="U1671" s="10" t="s">
        <v>2394</v>
      </c>
      <c r="V1671" s="10" t="s">
        <v>2394</v>
      </c>
      <c r="W1671" s="50">
        <f>+J1671/$W$2</f>
        <v>3.4288926736530256E-5</v>
      </c>
      <c r="AC1671" s="47"/>
    </row>
    <row r="1672" spans="1:29">
      <c r="A1672" s="10" t="s">
        <v>273</v>
      </c>
      <c r="B1672" s="10" t="s">
        <v>381</v>
      </c>
      <c r="C1672" s="124">
        <v>46351</v>
      </c>
      <c r="D1672" s="124" t="s">
        <v>492</v>
      </c>
      <c r="E1672" s="21">
        <v>0.95240588000000004</v>
      </c>
      <c r="F1672" s="10"/>
      <c r="G1672" s="14">
        <v>10000000</v>
      </c>
      <c r="H1672" s="14">
        <v>9524058.7799999993</v>
      </c>
      <c r="I1672" s="14">
        <v>10000000</v>
      </c>
      <c r="J1672" s="14">
        <v>9524058.7799999993</v>
      </c>
      <c r="K1672" s="12">
        <v>2199</v>
      </c>
      <c r="L1672" s="10" t="s">
        <v>101</v>
      </c>
      <c r="M1672" s="10" t="s">
        <v>102</v>
      </c>
      <c r="N1672" s="124" t="s">
        <v>551</v>
      </c>
      <c r="O1672" s="124" t="s">
        <v>551</v>
      </c>
      <c r="P1672" s="21">
        <v>32</v>
      </c>
      <c r="Q1672" s="10" t="s">
        <v>54</v>
      </c>
      <c r="R1672" s="10" t="s">
        <v>28</v>
      </c>
      <c r="S1672" s="10"/>
      <c r="T1672" s="10"/>
      <c r="U1672" s="10" t="s">
        <v>2173</v>
      </c>
      <c r="V1672" s="10" t="s">
        <v>2173</v>
      </c>
      <c r="W1672" s="50">
        <f>+J1672/$W$2</f>
        <v>1.2661825488276165E-4</v>
      </c>
    </row>
    <row r="1673" spans="1:29">
      <c r="A1673" s="10" t="s">
        <v>273</v>
      </c>
      <c r="B1673" s="10" t="s">
        <v>381</v>
      </c>
      <c r="C1673" s="124">
        <v>46351</v>
      </c>
      <c r="D1673" s="124" t="s">
        <v>492</v>
      </c>
      <c r="E1673" s="21">
        <v>0.95382451999999995</v>
      </c>
      <c r="F1673" s="10"/>
      <c r="G1673" s="14">
        <v>5000000</v>
      </c>
      <c r="H1673" s="14">
        <v>4769122.59</v>
      </c>
      <c r="I1673" s="14">
        <v>5000000</v>
      </c>
      <c r="J1673" s="14">
        <v>4769122.59</v>
      </c>
      <c r="K1673" s="12">
        <v>8807</v>
      </c>
      <c r="L1673" s="10" t="s">
        <v>101</v>
      </c>
      <c r="M1673" s="10" t="s">
        <v>102</v>
      </c>
      <c r="N1673" s="124" t="s">
        <v>551</v>
      </c>
      <c r="O1673" s="124" t="s">
        <v>551</v>
      </c>
      <c r="P1673" s="21">
        <v>31</v>
      </c>
      <c r="Q1673" s="10" t="s">
        <v>54</v>
      </c>
      <c r="R1673" s="10" t="s">
        <v>28</v>
      </c>
      <c r="S1673" s="10"/>
      <c r="T1673" s="10"/>
      <c r="U1673" s="10" t="s">
        <v>2181</v>
      </c>
      <c r="V1673" s="10" t="s">
        <v>2181</v>
      </c>
      <c r="W1673" s="50">
        <f>+J1673/$W$2</f>
        <v>6.3403428476924666E-5</v>
      </c>
    </row>
    <row r="1674" spans="1:29">
      <c r="A1674" s="10" t="s">
        <v>273</v>
      </c>
      <c r="B1674" s="10" t="s">
        <v>381</v>
      </c>
      <c r="C1674" s="124">
        <v>46351</v>
      </c>
      <c r="D1674" s="124" t="s">
        <v>492</v>
      </c>
      <c r="E1674" s="21">
        <v>0.96098161999999998</v>
      </c>
      <c r="F1674" s="10"/>
      <c r="G1674" s="14">
        <v>4000000</v>
      </c>
      <c r="H1674" s="14">
        <v>3843926.46</v>
      </c>
      <c r="I1674" s="14">
        <v>4000000</v>
      </c>
      <c r="J1674" s="14">
        <v>3843926.46</v>
      </c>
      <c r="K1674" s="12">
        <v>90002233</v>
      </c>
      <c r="L1674" s="10" t="s">
        <v>101</v>
      </c>
      <c r="M1674" s="10" t="s">
        <v>102</v>
      </c>
      <c r="N1674" s="124" t="s">
        <v>532</v>
      </c>
      <c r="O1674" s="124" t="s">
        <v>532</v>
      </c>
      <c r="P1674" s="21">
        <v>26</v>
      </c>
      <c r="Q1674" s="10" t="s">
        <v>54</v>
      </c>
      <c r="R1674" s="10" t="s">
        <v>28</v>
      </c>
      <c r="S1674" s="10"/>
      <c r="T1674" s="10"/>
      <c r="U1674" s="10" t="s">
        <v>3027</v>
      </c>
      <c r="V1674" s="10" t="s">
        <v>3027</v>
      </c>
      <c r="W1674" s="50">
        <f>+J1674/$W$2</f>
        <v>5.1103344855970293E-5</v>
      </c>
      <c r="AC1674" s="47"/>
    </row>
    <row r="1675" spans="1:29">
      <c r="A1675" s="10" t="s">
        <v>1063</v>
      </c>
      <c r="B1675" s="10" t="s">
        <v>381</v>
      </c>
      <c r="C1675" s="124">
        <v>46351</v>
      </c>
      <c r="D1675" s="124" t="s">
        <v>492</v>
      </c>
      <c r="E1675" s="21">
        <v>0.95099140000000004</v>
      </c>
      <c r="F1675" s="10"/>
      <c r="G1675" s="14">
        <v>15040535.109999999</v>
      </c>
      <c r="H1675" s="14">
        <v>14303419.58</v>
      </c>
      <c r="I1675" s="14">
        <v>15040535.109999999</v>
      </c>
      <c r="J1675" s="14">
        <v>14303419.58</v>
      </c>
      <c r="K1675" s="12">
        <v>29717250</v>
      </c>
      <c r="L1675" s="10" t="s">
        <v>101</v>
      </c>
      <c r="M1675" s="10" t="s">
        <v>102</v>
      </c>
      <c r="N1675" s="124" t="s">
        <v>155</v>
      </c>
      <c r="O1675" s="124" t="s">
        <v>155</v>
      </c>
      <c r="P1675" s="21">
        <v>33</v>
      </c>
      <c r="Q1675" s="10" t="s">
        <v>54</v>
      </c>
      <c r="R1675" s="10" t="s">
        <v>28</v>
      </c>
      <c r="S1675" s="10"/>
      <c r="T1675" s="10"/>
      <c r="U1675" s="10" t="s">
        <v>1054</v>
      </c>
      <c r="V1675" s="10" t="s">
        <v>1054</v>
      </c>
      <c r="W1675" s="50">
        <f>+J1675/$W$2</f>
        <v>1.9015779594711024E-4</v>
      </c>
      <c r="AC1675" s="47"/>
    </row>
    <row r="1676" spans="1:29">
      <c r="A1676" s="10" t="s">
        <v>1118</v>
      </c>
      <c r="B1676" s="10" t="s">
        <v>381</v>
      </c>
      <c r="C1676" s="124">
        <v>46351</v>
      </c>
      <c r="D1676" s="124" t="s">
        <v>492</v>
      </c>
      <c r="E1676" s="21">
        <v>0.95099138000000005</v>
      </c>
      <c r="F1676" s="10"/>
      <c r="G1676" s="14">
        <v>5898583.8099999996</v>
      </c>
      <c r="H1676" s="14">
        <v>5609502.3499999996</v>
      </c>
      <c r="I1676" s="14">
        <v>5898583.8099999996</v>
      </c>
      <c r="J1676" s="14">
        <v>5609502.3499999996</v>
      </c>
      <c r="K1676" s="12">
        <v>10180817</v>
      </c>
      <c r="L1676" s="10" t="s">
        <v>101</v>
      </c>
      <c r="M1676" s="10" t="s">
        <v>102</v>
      </c>
      <c r="N1676" s="124" t="s">
        <v>362</v>
      </c>
      <c r="O1676" s="124" t="s">
        <v>362</v>
      </c>
      <c r="P1676" s="21">
        <v>33</v>
      </c>
      <c r="Q1676" s="10" t="s">
        <v>54</v>
      </c>
      <c r="R1676" s="10" t="s">
        <v>28</v>
      </c>
      <c r="S1676" s="10"/>
      <c r="T1676" s="10"/>
      <c r="U1676" s="10" t="s">
        <v>1110</v>
      </c>
      <c r="V1676" s="10" t="s">
        <v>1110</v>
      </c>
      <c r="W1676" s="50">
        <f>+J1676/$W$2</f>
        <v>7.457591502997323E-5</v>
      </c>
    </row>
    <row r="1677" spans="1:29">
      <c r="A1677" s="10" t="s">
        <v>1118</v>
      </c>
      <c r="B1677" s="10" t="s">
        <v>381</v>
      </c>
      <c r="C1677" s="124">
        <v>46351</v>
      </c>
      <c r="D1677" s="124" t="s">
        <v>492</v>
      </c>
      <c r="E1677" s="21">
        <v>0.95099138999999999</v>
      </c>
      <c r="F1677" s="10"/>
      <c r="G1677" s="14">
        <v>2900162.75</v>
      </c>
      <c r="H1677" s="14">
        <v>2758029.81</v>
      </c>
      <c r="I1677" s="14">
        <v>2900162.75</v>
      </c>
      <c r="J1677" s="14">
        <v>2758029.81</v>
      </c>
      <c r="K1677" s="12">
        <v>10180818</v>
      </c>
      <c r="L1677" s="10" t="s">
        <v>101</v>
      </c>
      <c r="M1677" s="10" t="s">
        <v>102</v>
      </c>
      <c r="N1677" s="124" t="s">
        <v>366</v>
      </c>
      <c r="O1677" s="124" t="s">
        <v>366</v>
      </c>
      <c r="P1677" s="21">
        <v>33</v>
      </c>
      <c r="Q1677" s="10" t="s">
        <v>54</v>
      </c>
      <c r="R1677" s="10" t="s">
        <v>28</v>
      </c>
      <c r="S1677" s="10"/>
      <c r="T1677" s="10"/>
      <c r="U1677" s="10" t="s">
        <v>1158</v>
      </c>
      <c r="V1677" s="10" t="s">
        <v>1158</v>
      </c>
      <c r="W1677" s="50">
        <f>+J1677/$W$2</f>
        <v>3.6666817112696852E-5</v>
      </c>
    </row>
    <row r="1678" spans="1:29">
      <c r="A1678" s="10" t="s">
        <v>1505</v>
      </c>
      <c r="B1678" s="10" t="s">
        <v>381</v>
      </c>
      <c r="C1678" s="124">
        <v>46351</v>
      </c>
      <c r="D1678" s="124" t="s">
        <v>492</v>
      </c>
      <c r="E1678" s="21">
        <v>0.95810587000000003</v>
      </c>
      <c r="F1678" s="10"/>
      <c r="G1678" s="14">
        <v>150000000</v>
      </c>
      <c r="H1678" s="14">
        <v>143715880.63999999</v>
      </c>
      <c r="I1678" s="14">
        <v>150000000</v>
      </c>
      <c r="J1678" s="14">
        <v>143715880.63999999</v>
      </c>
      <c r="K1678" s="12">
        <v>90000173</v>
      </c>
      <c r="L1678" s="10" t="s">
        <v>101</v>
      </c>
      <c r="M1678" s="10" t="s">
        <v>102</v>
      </c>
      <c r="N1678" s="124" t="s">
        <v>414</v>
      </c>
      <c r="O1678" s="124" t="s">
        <v>414</v>
      </c>
      <c r="P1678" s="21">
        <v>28</v>
      </c>
      <c r="Q1678" s="10" t="s">
        <v>54</v>
      </c>
      <c r="R1678" s="10" t="s">
        <v>28</v>
      </c>
      <c r="S1678" s="10"/>
      <c r="T1678" s="10"/>
      <c r="U1678" s="10" t="s">
        <v>1476</v>
      </c>
      <c r="V1678" s="10" t="s">
        <v>1476</v>
      </c>
      <c r="W1678" s="50">
        <f>+J1678/$W$2</f>
        <v>1.9106406654890542E-3</v>
      </c>
    </row>
    <row r="1679" spans="1:29">
      <c r="A1679" s="10" t="s">
        <v>2017</v>
      </c>
      <c r="B1679" s="10" t="s">
        <v>381</v>
      </c>
      <c r="C1679" s="124">
        <v>46351</v>
      </c>
      <c r="D1679" s="124" t="s">
        <v>492</v>
      </c>
      <c r="E1679" s="21">
        <v>0.94677334000000002</v>
      </c>
      <c r="F1679" s="10"/>
      <c r="G1679" s="14">
        <v>30000000</v>
      </c>
      <c r="H1679" s="14">
        <v>28403200.300000001</v>
      </c>
      <c r="I1679" s="14">
        <v>30000000</v>
      </c>
      <c r="J1679" s="14">
        <v>28403200.300000001</v>
      </c>
      <c r="K1679" s="12">
        <v>10978201</v>
      </c>
      <c r="L1679" s="10" t="s">
        <v>101</v>
      </c>
      <c r="M1679" s="10" t="s">
        <v>102</v>
      </c>
      <c r="N1679" s="124" t="s">
        <v>164</v>
      </c>
      <c r="O1679" s="124" t="s">
        <v>164</v>
      </c>
      <c r="P1679" s="21">
        <v>36</v>
      </c>
      <c r="Q1679" s="10" t="s">
        <v>54</v>
      </c>
      <c r="R1679" s="10" t="s">
        <v>28</v>
      </c>
      <c r="S1679" s="10"/>
      <c r="T1679" s="10"/>
      <c r="U1679" s="10" t="s">
        <v>2003</v>
      </c>
      <c r="V1679" s="10" t="s">
        <v>2003</v>
      </c>
      <c r="W1679" s="50">
        <f>+J1679/$W$2</f>
        <v>3.7760830105581649E-4</v>
      </c>
    </row>
    <row r="1680" spans="1:29">
      <c r="A1680" s="10" t="s">
        <v>577</v>
      </c>
      <c r="B1680" s="10" t="s">
        <v>381</v>
      </c>
      <c r="C1680" s="124">
        <v>46351</v>
      </c>
      <c r="D1680" s="124" t="s">
        <v>492</v>
      </c>
      <c r="E1680" s="21">
        <v>0.95099138000000005</v>
      </c>
      <c r="F1680" s="10"/>
      <c r="G1680" s="14">
        <v>6744589.1799999997</v>
      </c>
      <c r="H1680" s="14">
        <v>6414046.1699999999</v>
      </c>
      <c r="I1680" s="14">
        <v>6744589.1799999997</v>
      </c>
      <c r="J1680" s="14">
        <v>6414046.1699999999</v>
      </c>
      <c r="K1680" s="12">
        <v>14564375</v>
      </c>
      <c r="L1680" s="10" t="s">
        <v>101</v>
      </c>
      <c r="M1680" s="10" t="s">
        <v>102</v>
      </c>
      <c r="N1680" s="124" t="s">
        <v>677</v>
      </c>
      <c r="O1680" s="124" t="s">
        <v>677</v>
      </c>
      <c r="P1680" s="21">
        <v>33</v>
      </c>
      <c r="Q1680" s="10" t="s">
        <v>54</v>
      </c>
      <c r="R1680" s="10" t="s">
        <v>28</v>
      </c>
      <c r="S1680" s="10"/>
      <c r="T1680" s="10"/>
      <c r="U1680" s="10" t="s">
        <v>3298</v>
      </c>
      <c r="V1680" s="10" t="s">
        <v>3298</v>
      </c>
      <c r="W1680" s="50">
        <f>+J1680/$W$2</f>
        <v>8.5271978212513844E-5</v>
      </c>
    </row>
    <row r="1681" spans="1:23">
      <c r="A1681" s="10" t="s">
        <v>604</v>
      </c>
      <c r="B1681" s="10" t="s">
        <v>381</v>
      </c>
      <c r="C1681" s="124">
        <v>46351</v>
      </c>
      <c r="D1681" s="124" t="s">
        <v>492</v>
      </c>
      <c r="E1681" s="21">
        <v>0.94958125000000004</v>
      </c>
      <c r="F1681" s="10"/>
      <c r="G1681" s="14">
        <v>5000300.25</v>
      </c>
      <c r="H1681" s="14">
        <v>4748191.37</v>
      </c>
      <c r="I1681" s="14">
        <v>5000300.25</v>
      </c>
      <c r="J1681" s="14">
        <v>4748191.37</v>
      </c>
      <c r="K1681" s="12">
        <v>361</v>
      </c>
      <c r="L1681" s="10" t="s">
        <v>101</v>
      </c>
      <c r="M1681" s="10" t="s">
        <v>102</v>
      </c>
      <c r="N1681" s="124" t="s">
        <v>326</v>
      </c>
      <c r="O1681" s="124" t="s">
        <v>326</v>
      </c>
      <c r="P1681" s="21">
        <v>34</v>
      </c>
      <c r="Q1681" s="10" t="s">
        <v>54</v>
      </c>
      <c r="R1681" s="10" t="s">
        <v>28</v>
      </c>
      <c r="S1681" s="10"/>
      <c r="T1681" s="10"/>
      <c r="U1681" s="10" t="s">
        <v>956</v>
      </c>
      <c r="V1681" s="10" t="s">
        <v>956</v>
      </c>
      <c r="W1681" s="50">
        <f>+J1681/$W$2</f>
        <v>6.3125156932178166E-5</v>
      </c>
    </row>
    <row r="1682" spans="1:23">
      <c r="A1682" s="10" t="s">
        <v>465</v>
      </c>
      <c r="B1682" s="10" t="s">
        <v>381</v>
      </c>
      <c r="C1682" s="124">
        <v>46351</v>
      </c>
      <c r="D1682" s="124" t="s">
        <v>492</v>
      </c>
      <c r="E1682" s="21">
        <v>0.95240594000000001</v>
      </c>
      <c r="F1682" s="10"/>
      <c r="G1682" s="14">
        <v>10000000</v>
      </c>
      <c r="H1682" s="14">
        <v>9524059.4199999999</v>
      </c>
      <c r="I1682" s="14">
        <v>10000000</v>
      </c>
      <c r="J1682" s="14">
        <v>9524059.4199999999</v>
      </c>
      <c r="K1682" s="12">
        <v>14422578</v>
      </c>
      <c r="L1682" s="10" t="s">
        <v>101</v>
      </c>
      <c r="M1682" s="10" t="s">
        <v>102</v>
      </c>
      <c r="N1682" s="124" t="s">
        <v>164</v>
      </c>
      <c r="O1682" s="124" t="s">
        <v>164</v>
      </c>
      <c r="P1682" s="21">
        <v>32</v>
      </c>
      <c r="Q1682" s="10" t="s">
        <v>54</v>
      </c>
      <c r="R1682" s="10" t="s">
        <v>28</v>
      </c>
      <c r="S1682" s="10"/>
      <c r="T1682" s="10"/>
      <c r="U1682" s="10" t="s">
        <v>1969</v>
      </c>
      <c r="V1682" s="10" t="s">
        <v>1969</v>
      </c>
      <c r="W1682" s="50">
        <f>+J1682/$W$2</f>
        <v>1.266182633912857E-4</v>
      </c>
    </row>
    <row r="1683" spans="1:23">
      <c r="A1683" s="10" t="s">
        <v>222</v>
      </c>
      <c r="B1683" s="10" t="s">
        <v>381</v>
      </c>
      <c r="C1683" s="124">
        <v>46351</v>
      </c>
      <c r="D1683" s="124" t="s">
        <v>492</v>
      </c>
      <c r="E1683" s="21">
        <v>0.95099151000000004</v>
      </c>
      <c r="F1683" s="10"/>
      <c r="G1683" s="14">
        <v>25000000</v>
      </c>
      <c r="H1683" s="14">
        <v>23774787.719999999</v>
      </c>
      <c r="I1683" s="14">
        <v>25000000</v>
      </c>
      <c r="J1683" s="14">
        <v>23774787.719999999</v>
      </c>
      <c r="K1683" s="12">
        <v>475885</v>
      </c>
      <c r="L1683" s="10" t="s">
        <v>101</v>
      </c>
      <c r="M1683" s="10" t="s">
        <v>102</v>
      </c>
      <c r="N1683" s="124" t="s">
        <v>349</v>
      </c>
      <c r="O1683" s="124" t="s">
        <v>349</v>
      </c>
      <c r="P1683" s="21">
        <v>33</v>
      </c>
      <c r="Q1683" s="10" t="s">
        <v>54</v>
      </c>
      <c r="R1683" s="10" t="s">
        <v>28</v>
      </c>
      <c r="S1683" s="10"/>
      <c r="T1683" s="10"/>
      <c r="U1683" s="10" t="s">
        <v>1351</v>
      </c>
      <c r="V1683" s="10" t="s">
        <v>1351</v>
      </c>
      <c r="W1683" s="50">
        <f>+J1683/$W$2</f>
        <v>3.1607555149029768E-4</v>
      </c>
    </row>
    <row r="1684" spans="1:23">
      <c r="A1684" s="10" t="s">
        <v>471</v>
      </c>
      <c r="B1684" s="10" t="s">
        <v>381</v>
      </c>
      <c r="C1684" s="124">
        <v>46351</v>
      </c>
      <c r="D1684" s="124" t="s">
        <v>492</v>
      </c>
      <c r="E1684" s="21">
        <v>0.95524737999999998</v>
      </c>
      <c r="F1684" s="10"/>
      <c r="G1684" s="14">
        <v>9478811.3499999996</v>
      </c>
      <c r="H1684" s="14">
        <v>9054609.6799999997</v>
      </c>
      <c r="I1684" s="14">
        <v>9478811.3499999996</v>
      </c>
      <c r="J1684" s="14">
        <v>9054609.6799999997</v>
      </c>
      <c r="K1684" s="12">
        <v>90020413</v>
      </c>
      <c r="L1684" s="10" t="s">
        <v>101</v>
      </c>
      <c r="M1684" s="10" t="s">
        <v>102</v>
      </c>
      <c r="N1684" s="124" t="s">
        <v>270</v>
      </c>
      <c r="O1684" s="124" t="s">
        <v>270</v>
      </c>
      <c r="P1684" s="21">
        <v>30</v>
      </c>
      <c r="Q1684" s="10" t="s">
        <v>54</v>
      </c>
      <c r="R1684" s="10" t="s">
        <v>28</v>
      </c>
      <c r="S1684" s="10"/>
      <c r="T1684" s="10"/>
      <c r="U1684" s="10" t="s">
        <v>615</v>
      </c>
      <c r="V1684" s="10" t="s">
        <v>615</v>
      </c>
      <c r="W1684" s="50">
        <f>+J1684/$W$2</f>
        <v>1.2037713151599857E-4</v>
      </c>
    </row>
    <row r="1685" spans="1:23">
      <c r="A1685" s="10" t="s">
        <v>400</v>
      </c>
      <c r="B1685" s="10" t="s">
        <v>381</v>
      </c>
      <c r="C1685" s="124">
        <v>46351</v>
      </c>
      <c r="D1685" s="124" t="s">
        <v>492</v>
      </c>
      <c r="E1685" s="21">
        <v>0.94677323999999996</v>
      </c>
      <c r="F1685" s="10"/>
      <c r="G1685" s="14">
        <v>9450000</v>
      </c>
      <c r="H1685" s="14">
        <v>8947007.0800000001</v>
      </c>
      <c r="I1685" s="14">
        <v>9450000</v>
      </c>
      <c r="J1685" s="14">
        <v>8947007.0800000001</v>
      </c>
      <c r="K1685" s="12">
        <v>66335232</v>
      </c>
      <c r="L1685" s="10" t="s">
        <v>101</v>
      </c>
      <c r="M1685" s="10" t="s">
        <v>102</v>
      </c>
      <c r="N1685" s="124" t="s">
        <v>277</v>
      </c>
      <c r="O1685" s="124" t="s">
        <v>277</v>
      </c>
      <c r="P1685" s="21">
        <v>36</v>
      </c>
      <c r="Q1685" s="10" t="s">
        <v>54</v>
      </c>
      <c r="R1685" s="10" t="s">
        <v>28</v>
      </c>
      <c r="S1685" s="10"/>
      <c r="T1685" s="10"/>
      <c r="U1685" s="10" t="s">
        <v>501</v>
      </c>
      <c r="V1685" s="10" t="s">
        <v>501</v>
      </c>
      <c r="W1685" s="50">
        <f>+J1685/$W$2</f>
        <v>1.1894660134524214E-4</v>
      </c>
    </row>
    <row r="1686" spans="1:23">
      <c r="A1686" s="10" t="s">
        <v>303</v>
      </c>
      <c r="B1686" s="10" t="s">
        <v>381</v>
      </c>
      <c r="C1686" s="124">
        <v>46351</v>
      </c>
      <c r="D1686" s="124" t="s">
        <v>492</v>
      </c>
      <c r="E1686" s="21">
        <v>0.96971315999999996</v>
      </c>
      <c r="F1686" s="10"/>
      <c r="G1686" s="14">
        <v>8500000</v>
      </c>
      <c r="H1686" s="14">
        <v>8242561.8399999999</v>
      </c>
      <c r="I1686" s="14">
        <v>8500000</v>
      </c>
      <c r="J1686" s="14">
        <v>8242561.8399999999</v>
      </c>
      <c r="K1686" s="12">
        <v>34602</v>
      </c>
      <c r="L1686" s="10" t="s">
        <v>101</v>
      </c>
      <c r="M1686" s="10" t="s">
        <v>102</v>
      </c>
      <c r="N1686" s="124" t="s">
        <v>431</v>
      </c>
      <c r="O1686" s="124" t="s">
        <v>431</v>
      </c>
      <c r="P1686" s="21">
        <v>20</v>
      </c>
      <c r="Q1686" s="10" t="s">
        <v>54</v>
      </c>
      <c r="R1686" s="10" t="s">
        <v>28</v>
      </c>
      <c r="S1686" s="10"/>
      <c r="T1686" s="10"/>
      <c r="U1686" s="10" t="s">
        <v>2247</v>
      </c>
      <c r="V1686" s="10" t="s">
        <v>2247</v>
      </c>
      <c r="W1686" s="50">
        <f>+J1686/$W$2</f>
        <v>1.0958130562315208E-4</v>
      </c>
    </row>
    <row r="1687" spans="1:23">
      <c r="A1687" s="10" t="s">
        <v>382</v>
      </c>
      <c r="B1687" s="10" t="s">
        <v>381</v>
      </c>
      <c r="C1687" s="124">
        <v>46351</v>
      </c>
      <c r="D1687" s="124" t="s">
        <v>492</v>
      </c>
      <c r="E1687" s="21">
        <v>0.95240594999999995</v>
      </c>
      <c r="F1687" s="10"/>
      <c r="G1687" s="14">
        <v>3000000</v>
      </c>
      <c r="H1687" s="14">
        <v>2857217.84</v>
      </c>
      <c r="I1687" s="14">
        <v>3000000</v>
      </c>
      <c r="J1687" s="14">
        <v>2857217.84</v>
      </c>
      <c r="K1687" s="12">
        <v>1062</v>
      </c>
      <c r="L1687" s="10" t="s">
        <v>101</v>
      </c>
      <c r="M1687" s="10" t="s">
        <v>102</v>
      </c>
      <c r="N1687" s="124" t="s">
        <v>398</v>
      </c>
      <c r="O1687" s="124" t="s">
        <v>398</v>
      </c>
      <c r="P1687" s="21">
        <v>32</v>
      </c>
      <c r="Q1687" s="10" t="s">
        <v>54</v>
      </c>
      <c r="R1687" s="10" t="s">
        <v>28</v>
      </c>
      <c r="S1687" s="10"/>
      <c r="T1687" s="10"/>
      <c r="U1687" s="10" t="s">
        <v>1763</v>
      </c>
      <c r="V1687" s="10" t="s">
        <v>1763</v>
      </c>
      <c r="W1687" s="50">
        <f>+J1687/$W$2</f>
        <v>3.7985479203509674E-5</v>
      </c>
    </row>
    <row r="1688" spans="1:23">
      <c r="A1688" s="10" t="s">
        <v>382</v>
      </c>
      <c r="B1688" s="10" t="s">
        <v>381</v>
      </c>
      <c r="C1688" s="124">
        <v>46351</v>
      </c>
      <c r="D1688" s="124" t="s">
        <v>492</v>
      </c>
      <c r="E1688" s="21">
        <v>0.95099140000000004</v>
      </c>
      <c r="F1688" s="10"/>
      <c r="G1688" s="14">
        <v>2500000</v>
      </c>
      <c r="H1688" s="14">
        <v>2377478.4900000002</v>
      </c>
      <c r="I1688" s="14">
        <v>2500000</v>
      </c>
      <c r="J1688" s="14">
        <v>2377478.4900000002</v>
      </c>
      <c r="K1688" s="12">
        <v>1025</v>
      </c>
      <c r="L1688" s="10" t="s">
        <v>101</v>
      </c>
      <c r="M1688" s="10" t="s">
        <v>102</v>
      </c>
      <c r="N1688" s="124" t="s">
        <v>163</v>
      </c>
      <c r="O1688" s="124" t="s">
        <v>163</v>
      </c>
      <c r="P1688" s="21">
        <v>33</v>
      </c>
      <c r="Q1688" s="10" t="s">
        <v>54</v>
      </c>
      <c r="R1688" s="10" t="s">
        <v>28</v>
      </c>
      <c r="S1688" s="10"/>
      <c r="T1688" s="10"/>
      <c r="U1688" s="10" t="s">
        <v>1649</v>
      </c>
      <c r="V1688" s="10" t="s">
        <v>1649</v>
      </c>
      <c r="W1688" s="50">
        <f>+J1688/$W$2</f>
        <v>3.1607551399961366E-5</v>
      </c>
    </row>
    <row r="1689" spans="1:23">
      <c r="A1689" s="10" t="s">
        <v>477</v>
      </c>
      <c r="B1689" s="10" t="s">
        <v>381</v>
      </c>
      <c r="C1689" s="124">
        <v>46352</v>
      </c>
      <c r="D1689" s="124" t="s">
        <v>492</v>
      </c>
      <c r="E1689" s="21">
        <v>0.95305251999999996</v>
      </c>
      <c r="F1689" s="10"/>
      <c r="G1689" s="14">
        <v>60000000</v>
      </c>
      <c r="H1689" s="14">
        <v>57183150.950000003</v>
      </c>
      <c r="I1689" s="14">
        <v>60000000</v>
      </c>
      <c r="J1689" s="14">
        <v>57183150.950000003</v>
      </c>
      <c r="K1689" s="12">
        <v>80939924</v>
      </c>
      <c r="L1689" s="10" t="s">
        <v>101</v>
      </c>
      <c r="M1689" s="10" t="s">
        <v>102</v>
      </c>
      <c r="N1689" s="124" t="s">
        <v>390</v>
      </c>
      <c r="O1689" s="124" t="s">
        <v>390</v>
      </c>
      <c r="P1689" s="21">
        <v>31</v>
      </c>
      <c r="Q1689" s="10" t="s">
        <v>54</v>
      </c>
      <c r="R1689" s="10" t="s">
        <v>28</v>
      </c>
      <c r="S1689" s="10"/>
      <c r="T1689" s="10"/>
      <c r="U1689" s="10" t="s">
        <v>2024</v>
      </c>
      <c r="V1689" s="10" t="s">
        <v>2024</v>
      </c>
      <c r="W1689" s="50">
        <f>+J1689/$W$2</f>
        <v>7.6022533556712628E-4</v>
      </c>
    </row>
    <row r="1690" spans="1:23">
      <c r="A1690" s="10" t="s">
        <v>477</v>
      </c>
      <c r="B1690" s="10" t="s">
        <v>381</v>
      </c>
      <c r="C1690" s="124">
        <v>46352</v>
      </c>
      <c r="D1690" s="124" t="s">
        <v>492</v>
      </c>
      <c r="E1690" s="21">
        <v>0.95740227</v>
      </c>
      <c r="F1690" s="10"/>
      <c r="G1690" s="14">
        <v>32500000</v>
      </c>
      <c r="H1690" s="14">
        <v>31115573.75</v>
      </c>
      <c r="I1690" s="14">
        <v>32500000</v>
      </c>
      <c r="J1690" s="14">
        <v>31115573.75</v>
      </c>
      <c r="K1690" s="12">
        <v>1367869</v>
      </c>
      <c r="L1690" s="10" t="s">
        <v>101</v>
      </c>
      <c r="M1690" s="10" t="s">
        <v>102</v>
      </c>
      <c r="N1690" s="124" t="s">
        <v>472</v>
      </c>
      <c r="O1690" s="124" t="s">
        <v>472</v>
      </c>
      <c r="P1690" s="21">
        <v>28</v>
      </c>
      <c r="Q1690" s="10" t="s">
        <v>54</v>
      </c>
      <c r="R1690" s="10" t="s">
        <v>28</v>
      </c>
      <c r="S1690" s="10"/>
      <c r="T1690" s="10"/>
      <c r="U1690" s="10" t="s">
        <v>3172</v>
      </c>
      <c r="V1690" s="10" t="s">
        <v>3172</v>
      </c>
      <c r="W1690" s="50">
        <f>+J1690/$W$2</f>
        <v>4.1366813654848819E-4</v>
      </c>
    </row>
    <row r="1691" spans="1:23">
      <c r="A1691" s="10" t="s">
        <v>477</v>
      </c>
      <c r="B1691" s="10" t="s">
        <v>381</v>
      </c>
      <c r="C1691" s="124">
        <v>46352</v>
      </c>
      <c r="D1691" s="124" t="s">
        <v>492</v>
      </c>
      <c r="E1691" s="21">
        <v>0.95594785000000004</v>
      </c>
      <c r="F1691" s="10"/>
      <c r="G1691" s="14">
        <v>5000000</v>
      </c>
      <c r="H1691" s="14">
        <v>4779739.24</v>
      </c>
      <c r="I1691" s="14">
        <v>5000000</v>
      </c>
      <c r="J1691" s="14">
        <v>4779739.24</v>
      </c>
      <c r="K1691" s="12">
        <v>11481</v>
      </c>
      <c r="L1691" s="10" t="s">
        <v>101</v>
      </c>
      <c r="M1691" s="10" t="s">
        <v>102</v>
      </c>
      <c r="N1691" s="124" t="s">
        <v>486</v>
      </c>
      <c r="O1691" s="124" t="s">
        <v>486</v>
      </c>
      <c r="P1691" s="21">
        <v>29</v>
      </c>
      <c r="Q1691" s="10" t="s">
        <v>54</v>
      </c>
      <c r="R1691" s="10" t="s">
        <v>28</v>
      </c>
      <c r="S1691" s="10"/>
      <c r="T1691" s="10"/>
      <c r="U1691" s="10" t="s">
        <v>2818</v>
      </c>
      <c r="V1691" s="10" t="s">
        <v>2818</v>
      </c>
      <c r="W1691" s="50">
        <f>+J1691/$W$2</f>
        <v>6.3544572260972279E-5</v>
      </c>
    </row>
    <row r="1692" spans="1:23">
      <c r="A1692" s="10" t="s">
        <v>477</v>
      </c>
      <c r="B1692" s="10" t="s">
        <v>381</v>
      </c>
      <c r="C1692" s="124">
        <v>46352</v>
      </c>
      <c r="D1692" s="124" t="s">
        <v>492</v>
      </c>
      <c r="E1692" s="21">
        <v>0.95594785000000004</v>
      </c>
      <c r="F1692" s="10"/>
      <c r="G1692" s="14">
        <v>5000000</v>
      </c>
      <c r="H1692" s="14">
        <v>4779739.24</v>
      </c>
      <c r="I1692" s="14">
        <v>5000000</v>
      </c>
      <c r="J1692" s="14">
        <v>4779739.24</v>
      </c>
      <c r="K1692" s="12">
        <v>11480</v>
      </c>
      <c r="L1692" s="10" t="s">
        <v>101</v>
      </c>
      <c r="M1692" s="10" t="s">
        <v>102</v>
      </c>
      <c r="N1692" s="124" t="s">
        <v>486</v>
      </c>
      <c r="O1692" s="124" t="s">
        <v>486</v>
      </c>
      <c r="P1692" s="21">
        <v>29</v>
      </c>
      <c r="Q1692" s="10" t="s">
        <v>54</v>
      </c>
      <c r="R1692" s="10" t="s">
        <v>28</v>
      </c>
      <c r="S1692" s="10"/>
      <c r="T1692" s="10"/>
      <c r="U1692" s="10" t="s">
        <v>2819</v>
      </c>
      <c r="V1692" s="10" t="s">
        <v>2819</v>
      </c>
      <c r="W1692" s="50">
        <f>+J1692/$W$2</f>
        <v>6.3544572260972279E-5</v>
      </c>
    </row>
    <row r="1693" spans="1:23">
      <c r="A1693" s="10" t="s">
        <v>477</v>
      </c>
      <c r="B1693" s="10" t="s">
        <v>381</v>
      </c>
      <c r="C1693" s="124">
        <v>46352</v>
      </c>
      <c r="D1693" s="124" t="s">
        <v>492</v>
      </c>
      <c r="E1693" s="21">
        <v>0.95594785000000004</v>
      </c>
      <c r="F1693" s="10"/>
      <c r="G1693" s="14">
        <v>5000000</v>
      </c>
      <c r="H1693" s="14">
        <v>4779739.24</v>
      </c>
      <c r="I1693" s="14">
        <v>5000000</v>
      </c>
      <c r="J1693" s="14">
        <v>4779739.24</v>
      </c>
      <c r="K1693" s="12">
        <v>11483</v>
      </c>
      <c r="L1693" s="10" t="s">
        <v>101</v>
      </c>
      <c r="M1693" s="10" t="s">
        <v>102</v>
      </c>
      <c r="N1693" s="124" t="s">
        <v>486</v>
      </c>
      <c r="O1693" s="124" t="s">
        <v>486</v>
      </c>
      <c r="P1693" s="21">
        <v>29</v>
      </c>
      <c r="Q1693" s="10" t="s">
        <v>54</v>
      </c>
      <c r="R1693" s="10" t="s">
        <v>28</v>
      </c>
      <c r="S1693" s="10"/>
      <c r="T1693" s="10"/>
      <c r="U1693" s="10" t="s">
        <v>2821</v>
      </c>
      <c r="V1693" s="10" t="s">
        <v>2821</v>
      </c>
      <c r="W1693" s="50">
        <f>+J1693/$W$2</f>
        <v>6.3544572260972279E-5</v>
      </c>
    </row>
    <row r="1694" spans="1:23">
      <c r="A1694" s="10" t="s">
        <v>477</v>
      </c>
      <c r="B1694" s="10" t="s">
        <v>381</v>
      </c>
      <c r="C1694" s="124">
        <v>46352</v>
      </c>
      <c r="D1694" s="124" t="s">
        <v>492</v>
      </c>
      <c r="E1694" s="21">
        <v>0.95594785000000004</v>
      </c>
      <c r="F1694" s="10"/>
      <c r="G1694" s="14">
        <v>5000000</v>
      </c>
      <c r="H1694" s="14">
        <v>4779739.24</v>
      </c>
      <c r="I1694" s="14">
        <v>5000000</v>
      </c>
      <c r="J1694" s="14">
        <v>4779739.24</v>
      </c>
      <c r="K1694" s="12">
        <v>11482</v>
      </c>
      <c r="L1694" s="10" t="s">
        <v>101</v>
      </c>
      <c r="M1694" s="10" t="s">
        <v>102</v>
      </c>
      <c r="N1694" s="124" t="s">
        <v>486</v>
      </c>
      <c r="O1694" s="124" t="s">
        <v>486</v>
      </c>
      <c r="P1694" s="21">
        <v>29</v>
      </c>
      <c r="Q1694" s="10" t="s">
        <v>54</v>
      </c>
      <c r="R1694" s="10" t="s">
        <v>28</v>
      </c>
      <c r="S1694" s="10"/>
      <c r="T1694" s="10"/>
      <c r="U1694" s="10" t="s">
        <v>2822</v>
      </c>
      <c r="V1694" s="10" t="s">
        <v>2822</v>
      </c>
      <c r="W1694" s="50">
        <f>+J1694/$W$2</f>
        <v>6.3544572260972279E-5</v>
      </c>
    </row>
    <row r="1695" spans="1:23">
      <c r="A1695" s="10" t="s">
        <v>477</v>
      </c>
      <c r="B1695" s="10" t="s">
        <v>381</v>
      </c>
      <c r="C1695" s="124">
        <v>46352</v>
      </c>
      <c r="D1695" s="124" t="s">
        <v>492</v>
      </c>
      <c r="E1695" s="21">
        <v>0.95886095000000005</v>
      </c>
      <c r="F1695" s="10"/>
      <c r="G1695" s="14">
        <v>5000000</v>
      </c>
      <c r="H1695" s="14">
        <v>4794304.74</v>
      </c>
      <c r="I1695" s="14">
        <v>5000000</v>
      </c>
      <c r="J1695" s="14">
        <v>4794304.74</v>
      </c>
      <c r="K1695" s="12">
        <v>40740204</v>
      </c>
      <c r="L1695" s="10" t="s">
        <v>101</v>
      </c>
      <c r="M1695" s="10" t="s">
        <v>102</v>
      </c>
      <c r="N1695" s="124" t="s">
        <v>486</v>
      </c>
      <c r="O1695" s="124" t="s">
        <v>486</v>
      </c>
      <c r="P1695" s="21">
        <v>27</v>
      </c>
      <c r="Q1695" s="10" t="s">
        <v>54</v>
      </c>
      <c r="R1695" s="10" t="s">
        <v>28</v>
      </c>
      <c r="S1695" s="10"/>
      <c r="T1695" s="10"/>
      <c r="U1695" s="10" t="s">
        <v>2909</v>
      </c>
      <c r="V1695" s="10" t="s">
        <v>2909</v>
      </c>
      <c r="W1695" s="50">
        <f>+J1695/$W$2</f>
        <v>6.3738214303099076E-5</v>
      </c>
    </row>
    <row r="1696" spans="1:23">
      <c r="A1696" s="10" t="s">
        <v>477</v>
      </c>
      <c r="B1696" s="10" t="s">
        <v>381</v>
      </c>
      <c r="C1696" s="124">
        <v>46352</v>
      </c>
      <c r="D1696" s="124" t="s">
        <v>492</v>
      </c>
      <c r="E1696" s="21">
        <v>0.95886095000000005</v>
      </c>
      <c r="F1696" s="10"/>
      <c r="G1696" s="14">
        <v>5000000</v>
      </c>
      <c r="H1696" s="14">
        <v>4794304.74</v>
      </c>
      <c r="I1696" s="14">
        <v>5000000</v>
      </c>
      <c r="J1696" s="14">
        <v>4794304.74</v>
      </c>
      <c r="K1696" s="12">
        <v>40740212</v>
      </c>
      <c r="L1696" s="10" t="s">
        <v>101</v>
      </c>
      <c r="M1696" s="10" t="s">
        <v>102</v>
      </c>
      <c r="N1696" s="124" t="s">
        <v>486</v>
      </c>
      <c r="O1696" s="124" t="s">
        <v>486</v>
      </c>
      <c r="P1696" s="21">
        <v>27</v>
      </c>
      <c r="Q1696" s="10" t="s">
        <v>54</v>
      </c>
      <c r="R1696" s="10" t="s">
        <v>28</v>
      </c>
      <c r="S1696" s="10"/>
      <c r="T1696" s="10"/>
      <c r="U1696" s="10" t="s">
        <v>2910</v>
      </c>
      <c r="V1696" s="10" t="s">
        <v>2910</v>
      </c>
      <c r="W1696" s="50">
        <f>+J1696/$W$2</f>
        <v>6.3738214303099076E-5</v>
      </c>
    </row>
    <row r="1697" spans="1:29">
      <c r="A1697" s="10" t="s">
        <v>2772</v>
      </c>
      <c r="B1697" s="10" t="s">
        <v>381</v>
      </c>
      <c r="C1697" s="124">
        <v>46352</v>
      </c>
      <c r="D1697" s="124" t="s">
        <v>492</v>
      </c>
      <c r="E1697" s="21">
        <v>0.95305256999999999</v>
      </c>
      <c r="F1697" s="10"/>
      <c r="G1697" s="14">
        <v>47373027.109999999</v>
      </c>
      <c r="H1697" s="14">
        <v>45148985.270000003</v>
      </c>
      <c r="I1697" s="14">
        <v>47373027.109999999</v>
      </c>
      <c r="J1697" s="14">
        <v>45148985.270000003</v>
      </c>
      <c r="K1697" s="12">
        <v>11412587</v>
      </c>
      <c r="L1697" s="10" t="s">
        <v>101</v>
      </c>
      <c r="M1697" s="10" t="s">
        <v>102</v>
      </c>
      <c r="N1697" s="124" t="s">
        <v>422</v>
      </c>
      <c r="O1697" s="124" t="s">
        <v>422</v>
      </c>
      <c r="P1697" s="21">
        <v>31</v>
      </c>
      <c r="Q1697" s="10" t="s">
        <v>54</v>
      </c>
      <c r="R1697" s="10" t="s">
        <v>28</v>
      </c>
      <c r="S1697" s="10"/>
      <c r="T1697" s="10"/>
      <c r="U1697" s="10" t="s">
        <v>2755</v>
      </c>
      <c r="V1697" s="10" t="s">
        <v>2755</v>
      </c>
      <c r="W1697" s="50">
        <f>+J1697/$W$2</f>
        <v>6.002362917603614E-4</v>
      </c>
    </row>
    <row r="1698" spans="1:29">
      <c r="A1698" s="10" t="s">
        <v>2993</v>
      </c>
      <c r="B1698" s="10" t="s">
        <v>381</v>
      </c>
      <c r="C1698" s="124">
        <v>46352</v>
      </c>
      <c r="D1698" s="124" t="s">
        <v>492</v>
      </c>
      <c r="E1698" s="21">
        <v>0.95161141999999999</v>
      </c>
      <c r="F1698" s="10"/>
      <c r="G1698" s="14">
        <v>25000000</v>
      </c>
      <c r="H1698" s="14">
        <v>23790285.460000001</v>
      </c>
      <c r="I1698" s="14">
        <v>25000000</v>
      </c>
      <c r="J1698" s="14">
        <v>23790285.460000001</v>
      </c>
      <c r="K1698" s="12">
        <v>51407</v>
      </c>
      <c r="L1698" s="10" t="s">
        <v>101</v>
      </c>
      <c r="M1698" s="10" t="s">
        <v>102</v>
      </c>
      <c r="N1698" s="124" t="s">
        <v>677</v>
      </c>
      <c r="O1698" s="124" t="s">
        <v>677</v>
      </c>
      <c r="P1698" s="21">
        <v>32</v>
      </c>
      <c r="Q1698" s="10" t="s">
        <v>54</v>
      </c>
      <c r="R1698" s="10" t="s">
        <v>28</v>
      </c>
      <c r="S1698" s="10"/>
      <c r="T1698" s="10"/>
      <c r="U1698" s="10" t="s">
        <v>3338</v>
      </c>
      <c r="V1698" s="10" t="s">
        <v>3338</v>
      </c>
      <c r="W1698" s="50">
        <f>+J1698/$W$2</f>
        <v>3.1628158726125993E-4</v>
      </c>
    </row>
    <row r="1699" spans="1:29">
      <c r="A1699" s="10" t="s">
        <v>3152</v>
      </c>
      <c r="B1699" s="10" t="s">
        <v>381</v>
      </c>
      <c r="C1699" s="124">
        <v>46352</v>
      </c>
      <c r="D1699" s="124" t="s">
        <v>492</v>
      </c>
      <c r="E1699" s="21">
        <v>0.95017446999999999</v>
      </c>
      <c r="F1699" s="10"/>
      <c r="G1699" s="14">
        <v>182156</v>
      </c>
      <c r="H1699" s="14">
        <v>173079.98</v>
      </c>
      <c r="I1699" s="14">
        <v>182156</v>
      </c>
      <c r="J1699" s="14">
        <v>173079.98</v>
      </c>
      <c r="K1699" s="12">
        <v>2232882</v>
      </c>
      <c r="L1699" s="10" t="s">
        <v>101</v>
      </c>
      <c r="M1699" s="10" t="s">
        <v>102</v>
      </c>
      <c r="N1699" s="124" t="s">
        <v>532</v>
      </c>
      <c r="O1699" s="124" t="s">
        <v>532</v>
      </c>
      <c r="P1699" s="21">
        <v>33</v>
      </c>
      <c r="Q1699" s="10" t="s">
        <v>54</v>
      </c>
      <c r="R1699" s="10" t="s">
        <v>28</v>
      </c>
      <c r="S1699" s="10"/>
      <c r="T1699" s="10"/>
      <c r="U1699" s="10" t="s">
        <v>3126</v>
      </c>
      <c r="V1699" s="10" t="s">
        <v>3126</v>
      </c>
      <c r="W1699" s="50">
        <f>+J1699/$W$2</f>
        <v>2.3010237052257347E-6</v>
      </c>
    </row>
    <row r="1700" spans="1:29">
      <c r="A1700" s="10" t="s">
        <v>3155</v>
      </c>
      <c r="B1700" s="10" t="s">
        <v>381</v>
      </c>
      <c r="C1700" s="124">
        <v>46352</v>
      </c>
      <c r="D1700" s="124" t="s">
        <v>492</v>
      </c>
      <c r="E1700" s="21">
        <v>0.95017446999999999</v>
      </c>
      <c r="F1700" s="10"/>
      <c r="G1700" s="14">
        <v>6135324.1399999997</v>
      </c>
      <c r="H1700" s="14">
        <v>5829628.3499999996</v>
      </c>
      <c r="I1700" s="14">
        <v>6135324.1399999997</v>
      </c>
      <c r="J1700" s="14">
        <v>5829628.3499999996</v>
      </c>
      <c r="K1700" s="12">
        <v>149440</v>
      </c>
      <c r="L1700" s="10" t="s">
        <v>101</v>
      </c>
      <c r="M1700" s="10" t="s">
        <v>102</v>
      </c>
      <c r="N1700" s="124" t="s">
        <v>532</v>
      </c>
      <c r="O1700" s="124" t="s">
        <v>532</v>
      </c>
      <c r="P1700" s="21">
        <v>33</v>
      </c>
      <c r="Q1700" s="10" t="s">
        <v>54</v>
      </c>
      <c r="R1700" s="10" t="s">
        <v>28</v>
      </c>
      <c r="S1700" s="10"/>
      <c r="T1700" s="10"/>
      <c r="U1700" s="10" t="s">
        <v>3132</v>
      </c>
      <c r="V1700" s="10" t="s">
        <v>3132</v>
      </c>
      <c r="W1700" s="50">
        <f>+J1700/$W$2</f>
        <v>7.7502395285728511E-5</v>
      </c>
    </row>
    <row r="1701" spans="1:29">
      <c r="A1701" s="10" t="s">
        <v>3264</v>
      </c>
      <c r="B1701" s="10" t="s">
        <v>381</v>
      </c>
      <c r="C1701" s="124">
        <v>46352</v>
      </c>
      <c r="D1701" s="124" t="s">
        <v>492</v>
      </c>
      <c r="E1701" s="21">
        <v>0.95305249999999997</v>
      </c>
      <c r="F1701" s="10"/>
      <c r="G1701" s="14">
        <v>1520907</v>
      </c>
      <c r="H1701" s="14">
        <v>1449504.22</v>
      </c>
      <c r="I1701" s="14">
        <v>1520907</v>
      </c>
      <c r="J1701" s="14">
        <v>1449504.22</v>
      </c>
      <c r="K1701" s="12">
        <v>1368988</v>
      </c>
      <c r="L1701" s="10" t="s">
        <v>101</v>
      </c>
      <c r="M1701" s="10" t="s">
        <v>102</v>
      </c>
      <c r="N1701" s="124" t="s">
        <v>472</v>
      </c>
      <c r="O1701" s="124" t="s">
        <v>472</v>
      </c>
      <c r="P1701" s="21">
        <v>31</v>
      </c>
      <c r="Q1701" s="10" t="s">
        <v>54</v>
      </c>
      <c r="R1701" s="10" t="s">
        <v>28</v>
      </c>
      <c r="S1701" s="10"/>
      <c r="T1701" s="10"/>
      <c r="U1701" s="10" t="s">
        <v>3196</v>
      </c>
      <c r="V1701" s="10" t="s">
        <v>3196</v>
      </c>
      <c r="W1701" s="50">
        <f>+J1701/$W$2</f>
        <v>1.9270533605589385E-5</v>
      </c>
    </row>
    <row r="1702" spans="1:29">
      <c r="A1702" s="10" t="s">
        <v>3459</v>
      </c>
      <c r="B1702" s="10" t="s">
        <v>381</v>
      </c>
      <c r="C1702" s="124">
        <v>46352</v>
      </c>
      <c r="D1702" s="124" t="s">
        <v>492</v>
      </c>
      <c r="E1702" s="21">
        <v>0.95449792</v>
      </c>
      <c r="F1702" s="10"/>
      <c r="G1702" s="14">
        <v>543369.21</v>
      </c>
      <c r="H1702" s="14">
        <v>518644.78</v>
      </c>
      <c r="I1702" s="14">
        <v>543369.21</v>
      </c>
      <c r="J1702" s="14">
        <v>518644.78</v>
      </c>
      <c r="K1702" s="12">
        <v>202</v>
      </c>
      <c r="L1702" s="10" t="s">
        <v>101</v>
      </c>
      <c r="M1702" s="10" t="s">
        <v>102</v>
      </c>
      <c r="N1702" s="124" t="s">
        <v>531</v>
      </c>
      <c r="O1702" s="124" t="s">
        <v>531</v>
      </c>
      <c r="P1702" s="21">
        <v>30</v>
      </c>
      <c r="Q1702" s="10" t="s">
        <v>54</v>
      </c>
      <c r="R1702" s="10" t="s">
        <v>28</v>
      </c>
      <c r="S1702" s="10"/>
      <c r="T1702" s="10"/>
      <c r="U1702" s="10" t="s">
        <v>3425</v>
      </c>
      <c r="V1702" s="10" t="s">
        <v>3425</v>
      </c>
      <c r="W1702" s="50">
        <f>+J1702/$W$2</f>
        <v>6.8951587200991476E-6</v>
      </c>
    </row>
    <row r="1703" spans="1:29">
      <c r="A1703" s="10" t="s">
        <v>180</v>
      </c>
      <c r="B1703" s="10" t="s">
        <v>381</v>
      </c>
      <c r="C1703" s="124">
        <v>46352</v>
      </c>
      <c r="D1703" s="124" t="s">
        <v>492</v>
      </c>
      <c r="E1703" s="21">
        <v>0.96622200999999996</v>
      </c>
      <c r="F1703" s="10"/>
      <c r="G1703" s="14">
        <v>9164430.8599999994</v>
      </c>
      <c r="H1703" s="14">
        <v>8854874.7899999991</v>
      </c>
      <c r="I1703" s="14">
        <v>9164430.8599999994</v>
      </c>
      <c r="J1703" s="14">
        <v>8854874.7899999991</v>
      </c>
      <c r="K1703" s="12">
        <v>646957</v>
      </c>
      <c r="L1703" s="10" t="s">
        <v>101</v>
      </c>
      <c r="M1703" s="10" t="s">
        <v>102</v>
      </c>
      <c r="N1703" s="124" t="s">
        <v>321</v>
      </c>
      <c r="O1703" s="124" t="s">
        <v>321</v>
      </c>
      <c r="P1703" s="21">
        <v>22</v>
      </c>
      <c r="Q1703" s="10" t="s">
        <v>54</v>
      </c>
      <c r="R1703" s="10" t="s">
        <v>28</v>
      </c>
      <c r="S1703" s="10"/>
      <c r="T1703" s="10"/>
      <c r="U1703" s="10" t="s">
        <v>1207</v>
      </c>
      <c r="V1703" s="10" t="s">
        <v>1207</v>
      </c>
      <c r="W1703" s="50">
        <f>+J1703/$W$2</f>
        <v>1.177217422754252E-4</v>
      </c>
    </row>
    <row r="1704" spans="1:29">
      <c r="A1704" s="10" t="s">
        <v>477</v>
      </c>
      <c r="B1704" s="10" t="s">
        <v>381</v>
      </c>
      <c r="C1704" s="124">
        <v>46352</v>
      </c>
      <c r="D1704" s="124" t="s">
        <v>492</v>
      </c>
      <c r="E1704" s="21">
        <v>0.95886092999999994</v>
      </c>
      <c r="F1704" s="10"/>
      <c r="G1704" s="14">
        <v>20000000</v>
      </c>
      <c r="H1704" s="14">
        <v>19177218.57</v>
      </c>
      <c r="I1704" s="14">
        <v>20000000</v>
      </c>
      <c r="J1704" s="14">
        <v>19177218.57</v>
      </c>
      <c r="K1704" s="12">
        <v>1355</v>
      </c>
      <c r="L1704" s="10" t="s">
        <v>101</v>
      </c>
      <c r="M1704" s="10" t="s">
        <v>102</v>
      </c>
      <c r="N1704" s="124" t="s">
        <v>531</v>
      </c>
      <c r="O1704" s="124" t="s">
        <v>531</v>
      </c>
      <c r="P1704" s="21">
        <v>27</v>
      </c>
      <c r="Q1704" s="10" t="s">
        <v>54</v>
      </c>
      <c r="R1704" s="10" t="s">
        <v>28</v>
      </c>
      <c r="S1704" s="10"/>
      <c r="T1704" s="10"/>
      <c r="U1704" s="10" t="s">
        <v>3383</v>
      </c>
      <c r="V1704" s="10" t="s">
        <v>3383</v>
      </c>
      <c r="W1704" s="50">
        <f>+J1704/$W$2</f>
        <v>2.5495285202751448E-4</v>
      </c>
    </row>
    <row r="1705" spans="1:29">
      <c r="A1705" s="10" t="s">
        <v>353</v>
      </c>
      <c r="B1705" s="10" t="s">
        <v>381</v>
      </c>
      <c r="C1705" s="124">
        <v>46352</v>
      </c>
      <c r="D1705" s="124" t="s">
        <v>492</v>
      </c>
      <c r="E1705" s="21">
        <v>0.94588996999999997</v>
      </c>
      <c r="F1705" s="10"/>
      <c r="G1705" s="14">
        <v>3256800.5</v>
      </c>
      <c r="H1705" s="14">
        <v>3080574.92</v>
      </c>
      <c r="I1705" s="14">
        <v>3256800.5</v>
      </c>
      <c r="J1705" s="14">
        <v>3080574.92</v>
      </c>
      <c r="K1705" s="12">
        <v>3593</v>
      </c>
      <c r="L1705" s="10" t="s">
        <v>101</v>
      </c>
      <c r="M1705" s="10" t="s">
        <v>102</v>
      </c>
      <c r="N1705" s="124" t="s">
        <v>532</v>
      </c>
      <c r="O1705" s="124" t="s">
        <v>532</v>
      </c>
      <c r="P1705" s="21">
        <v>36</v>
      </c>
      <c r="Q1705" s="10" t="s">
        <v>54</v>
      </c>
      <c r="R1705" s="10" t="s">
        <v>28</v>
      </c>
      <c r="S1705" s="10"/>
      <c r="T1705" s="10"/>
      <c r="U1705" s="10" t="s">
        <v>3100</v>
      </c>
      <c r="V1705" s="10" t="s">
        <v>3100</v>
      </c>
      <c r="W1705" s="50">
        <f>+J1705/$W$2</f>
        <v>4.0954915274683248E-5</v>
      </c>
    </row>
    <row r="1706" spans="1:29">
      <c r="A1706" s="10" t="s">
        <v>353</v>
      </c>
      <c r="B1706" s="10" t="s">
        <v>381</v>
      </c>
      <c r="C1706" s="124">
        <v>46352</v>
      </c>
      <c r="D1706" s="124" t="s">
        <v>492</v>
      </c>
      <c r="E1706" s="21">
        <v>0.94731379999999998</v>
      </c>
      <c r="F1706" s="10"/>
      <c r="G1706" s="14">
        <v>3102456.89</v>
      </c>
      <c r="H1706" s="14">
        <v>2939000.24</v>
      </c>
      <c r="I1706" s="14">
        <v>3102456.89</v>
      </c>
      <c r="J1706" s="14">
        <v>2939000.24</v>
      </c>
      <c r="K1706" s="12">
        <v>3515</v>
      </c>
      <c r="L1706" s="10" t="s">
        <v>101</v>
      </c>
      <c r="M1706" s="10" t="s">
        <v>102</v>
      </c>
      <c r="N1706" s="124" t="s">
        <v>486</v>
      </c>
      <c r="O1706" s="124" t="s">
        <v>486</v>
      </c>
      <c r="P1706" s="21">
        <v>35</v>
      </c>
      <c r="Q1706" s="10" t="s">
        <v>54</v>
      </c>
      <c r="R1706" s="10" t="s">
        <v>28</v>
      </c>
      <c r="S1706" s="10"/>
      <c r="T1706" s="10"/>
      <c r="U1706" s="10" t="s">
        <v>2841</v>
      </c>
      <c r="V1706" s="10" t="s">
        <v>2841</v>
      </c>
      <c r="W1706" s="50">
        <f>+J1706/$W$2</f>
        <v>3.907274094845703E-5</v>
      </c>
    </row>
    <row r="1707" spans="1:29">
      <c r="A1707" s="10" t="s">
        <v>353</v>
      </c>
      <c r="B1707" s="10" t="s">
        <v>381</v>
      </c>
      <c r="C1707" s="124">
        <v>46352</v>
      </c>
      <c r="D1707" s="124" t="s">
        <v>492</v>
      </c>
      <c r="E1707" s="21">
        <v>0.94731381000000003</v>
      </c>
      <c r="F1707" s="10"/>
      <c r="G1707" s="14">
        <v>4150625.28</v>
      </c>
      <c r="H1707" s="14">
        <v>3931944.64</v>
      </c>
      <c r="I1707" s="14">
        <v>4150625.28</v>
      </c>
      <c r="J1707" s="14">
        <v>3931944.64</v>
      </c>
      <c r="K1707" s="12">
        <v>3483</v>
      </c>
      <c r="L1707" s="10" t="s">
        <v>101</v>
      </c>
      <c r="M1707" s="10" t="s">
        <v>102</v>
      </c>
      <c r="N1707" s="124" t="s">
        <v>486</v>
      </c>
      <c r="O1707" s="124" t="s">
        <v>486</v>
      </c>
      <c r="P1707" s="21">
        <v>35</v>
      </c>
      <c r="Q1707" s="10" t="s">
        <v>54</v>
      </c>
      <c r="R1707" s="10" t="s">
        <v>28</v>
      </c>
      <c r="S1707" s="10"/>
      <c r="T1707" s="10"/>
      <c r="U1707" s="10" t="s">
        <v>2842</v>
      </c>
      <c r="V1707" s="10" t="s">
        <v>2842</v>
      </c>
      <c r="W1707" s="50">
        <f>+J1707/$W$2</f>
        <v>5.2273508607265081E-5</v>
      </c>
      <c r="AC1707" s="47"/>
    </row>
    <row r="1708" spans="1:29">
      <c r="A1708" s="10" t="s">
        <v>353</v>
      </c>
      <c r="B1708" s="10" t="s">
        <v>381</v>
      </c>
      <c r="C1708" s="124">
        <v>46352</v>
      </c>
      <c r="D1708" s="124" t="s">
        <v>492</v>
      </c>
      <c r="E1708" s="21">
        <v>0.94731379999999998</v>
      </c>
      <c r="F1708" s="10"/>
      <c r="G1708" s="14">
        <v>1555000.5</v>
      </c>
      <c r="H1708" s="14">
        <v>1473073.44</v>
      </c>
      <c r="I1708" s="14">
        <v>1555000.5</v>
      </c>
      <c r="J1708" s="14">
        <v>1473073.44</v>
      </c>
      <c r="K1708" s="12">
        <v>3594</v>
      </c>
      <c r="L1708" s="10" t="s">
        <v>101</v>
      </c>
      <c r="M1708" s="10" t="s">
        <v>102</v>
      </c>
      <c r="N1708" s="124" t="s">
        <v>486</v>
      </c>
      <c r="O1708" s="124" t="s">
        <v>486</v>
      </c>
      <c r="P1708" s="21">
        <v>35</v>
      </c>
      <c r="Q1708" s="10" t="s">
        <v>54</v>
      </c>
      <c r="R1708" s="10" t="s">
        <v>28</v>
      </c>
      <c r="S1708" s="10"/>
      <c r="T1708" s="10"/>
      <c r="U1708" s="10" t="s">
        <v>2844</v>
      </c>
      <c r="V1708" s="10" t="s">
        <v>2844</v>
      </c>
      <c r="W1708" s="50">
        <f>+J1708/$W$2</f>
        <v>1.9583876222879266E-5</v>
      </c>
    </row>
    <row r="1709" spans="1:29">
      <c r="A1709" s="10" t="s">
        <v>353</v>
      </c>
      <c r="B1709" s="10" t="s">
        <v>381</v>
      </c>
      <c r="C1709" s="124">
        <v>46352</v>
      </c>
      <c r="D1709" s="124" t="s">
        <v>492</v>
      </c>
      <c r="E1709" s="21">
        <v>0.94731381000000003</v>
      </c>
      <c r="F1709" s="10"/>
      <c r="G1709" s="14">
        <v>1250300.6499999999</v>
      </c>
      <c r="H1709" s="14">
        <v>1184427.07</v>
      </c>
      <c r="I1709" s="14">
        <v>1250300.6499999999</v>
      </c>
      <c r="J1709" s="14">
        <v>1184427.07</v>
      </c>
      <c r="K1709" s="12">
        <v>3595</v>
      </c>
      <c r="L1709" s="10" t="s">
        <v>101</v>
      </c>
      <c r="M1709" s="10" t="s">
        <v>102</v>
      </c>
      <c r="N1709" s="124" t="s">
        <v>486</v>
      </c>
      <c r="O1709" s="124" t="s">
        <v>486</v>
      </c>
      <c r="P1709" s="21">
        <v>35</v>
      </c>
      <c r="Q1709" s="10" t="s">
        <v>54</v>
      </c>
      <c r="R1709" s="10" t="s">
        <v>28</v>
      </c>
      <c r="S1709" s="10"/>
      <c r="T1709" s="10"/>
      <c r="U1709" s="10" t="s">
        <v>2845</v>
      </c>
      <c r="V1709" s="10" t="s">
        <v>2845</v>
      </c>
      <c r="W1709" s="50">
        <f>+J1709/$W$2</f>
        <v>1.5746447192685492E-5</v>
      </c>
    </row>
    <row r="1710" spans="1:29">
      <c r="A1710" s="10" t="s">
        <v>353</v>
      </c>
      <c r="B1710" s="10" t="s">
        <v>381</v>
      </c>
      <c r="C1710" s="124">
        <v>46352</v>
      </c>
      <c r="D1710" s="124" t="s">
        <v>492</v>
      </c>
      <c r="E1710" s="21">
        <v>0.94731388000000005</v>
      </c>
      <c r="F1710" s="10"/>
      <c r="G1710" s="14">
        <v>3841101.28</v>
      </c>
      <c r="H1710" s="14">
        <v>3638728.55</v>
      </c>
      <c r="I1710" s="14">
        <v>3841101.28</v>
      </c>
      <c r="J1710" s="14">
        <v>3638728.55</v>
      </c>
      <c r="K1710" s="12">
        <v>3362</v>
      </c>
      <c r="L1710" s="10" t="s">
        <v>101</v>
      </c>
      <c r="M1710" s="10" t="s">
        <v>102</v>
      </c>
      <c r="N1710" s="124" t="s">
        <v>164</v>
      </c>
      <c r="O1710" s="124" t="s">
        <v>164</v>
      </c>
      <c r="P1710" s="21">
        <v>35</v>
      </c>
      <c r="Q1710" s="10" t="s">
        <v>54</v>
      </c>
      <c r="R1710" s="10" t="s">
        <v>28</v>
      </c>
      <c r="S1710" s="10"/>
      <c r="T1710" s="10"/>
      <c r="U1710" s="10" t="s">
        <v>1946</v>
      </c>
      <c r="V1710" s="10" t="s">
        <v>1946</v>
      </c>
      <c r="W1710" s="50">
        <f>+J1710/$W$2</f>
        <v>4.8375327120049727E-5</v>
      </c>
    </row>
    <row r="1711" spans="1:29">
      <c r="A1711" s="10" t="s">
        <v>849</v>
      </c>
      <c r="B1711" s="10" t="s">
        <v>381</v>
      </c>
      <c r="C1711" s="124">
        <v>46352</v>
      </c>
      <c r="D1711" s="124" t="s">
        <v>492</v>
      </c>
      <c r="E1711" s="21">
        <v>0.94447037</v>
      </c>
      <c r="F1711" s="10"/>
      <c r="G1711" s="14">
        <v>25000000</v>
      </c>
      <c r="H1711" s="14">
        <v>23611759.25</v>
      </c>
      <c r="I1711" s="14">
        <v>25000000</v>
      </c>
      <c r="J1711" s="14">
        <v>23611759.25</v>
      </c>
      <c r="K1711" s="12">
        <v>2664</v>
      </c>
      <c r="L1711" s="10" t="s">
        <v>101</v>
      </c>
      <c r="M1711" s="10" t="s">
        <v>102</v>
      </c>
      <c r="N1711" s="124" t="s">
        <v>425</v>
      </c>
      <c r="O1711" s="124" t="s">
        <v>425</v>
      </c>
      <c r="P1711" s="21">
        <v>37</v>
      </c>
      <c r="Q1711" s="10" t="s">
        <v>54</v>
      </c>
      <c r="R1711" s="10" t="s">
        <v>28</v>
      </c>
      <c r="S1711" s="10"/>
      <c r="T1711" s="10"/>
      <c r="U1711" s="10" t="s">
        <v>1711</v>
      </c>
      <c r="V1711" s="10" t="s">
        <v>1711</v>
      </c>
      <c r="W1711" s="50">
        <f>+J1711/$W$2</f>
        <v>3.1390815827649744E-4</v>
      </c>
    </row>
    <row r="1712" spans="1:29">
      <c r="A1712" s="10" t="s">
        <v>2602</v>
      </c>
      <c r="B1712" s="10" t="s">
        <v>381</v>
      </c>
      <c r="C1712" s="124">
        <v>46352</v>
      </c>
      <c r="D1712" s="124" t="s">
        <v>492</v>
      </c>
      <c r="E1712" s="21">
        <v>0.95017448000000004</v>
      </c>
      <c r="F1712" s="10"/>
      <c r="G1712" s="14">
        <v>6590432.0999999996</v>
      </c>
      <c r="H1712" s="14">
        <v>6262060.4000000004</v>
      </c>
      <c r="I1712" s="14">
        <v>6590432.0999999996</v>
      </c>
      <c r="J1712" s="14">
        <v>6262060.4000000004</v>
      </c>
      <c r="K1712" s="12">
        <v>14100645</v>
      </c>
      <c r="L1712" s="10" t="s">
        <v>101</v>
      </c>
      <c r="M1712" s="10" t="s">
        <v>102</v>
      </c>
      <c r="N1712" s="124" t="s">
        <v>423</v>
      </c>
      <c r="O1712" s="124" t="s">
        <v>423</v>
      </c>
      <c r="P1712" s="21">
        <v>33</v>
      </c>
      <c r="Q1712" s="10" t="s">
        <v>54</v>
      </c>
      <c r="R1712" s="10" t="s">
        <v>28</v>
      </c>
      <c r="S1712" s="10"/>
      <c r="T1712" s="10"/>
      <c r="U1712" s="10" t="s">
        <v>2505</v>
      </c>
      <c r="V1712" s="10" t="s">
        <v>2505</v>
      </c>
      <c r="W1712" s="50">
        <f>+J1712/$W$2</f>
        <v>8.3251392933806362E-5</v>
      </c>
    </row>
    <row r="1713" spans="1:29">
      <c r="A1713" s="10" t="s">
        <v>2618</v>
      </c>
      <c r="B1713" s="10" t="s">
        <v>381</v>
      </c>
      <c r="C1713" s="124">
        <v>46352</v>
      </c>
      <c r="D1713" s="124" t="s">
        <v>492</v>
      </c>
      <c r="E1713" s="21">
        <v>0.95161129</v>
      </c>
      <c r="F1713" s="10"/>
      <c r="G1713" s="14">
        <v>1620000</v>
      </c>
      <c r="H1713" s="14">
        <v>1541610.29</v>
      </c>
      <c r="I1713" s="14">
        <v>1620000</v>
      </c>
      <c r="J1713" s="14">
        <v>1541610.29</v>
      </c>
      <c r="K1713" s="12">
        <v>3410387</v>
      </c>
      <c r="L1713" s="10" t="s">
        <v>101</v>
      </c>
      <c r="M1713" s="10" t="s">
        <v>102</v>
      </c>
      <c r="N1713" s="124" t="s">
        <v>423</v>
      </c>
      <c r="O1713" s="124" t="s">
        <v>423</v>
      </c>
      <c r="P1713" s="21">
        <v>32</v>
      </c>
      <c r="Q1713" s="10" t="s">
        <v>54</v>
      </c>
      <c r="R1713" s="10" t="s">
        <v>28</v>
      </c>
      <c r="S1713" s="10"/>
      <c r="T1713" s="10"/>
      <c r="U1713" s="10" t="s">
        <v>2574</v>
      </c>
      <c r="V1713" s="10" t="s">
        <v>2574</v>
      </c>
      <c r="W1713" s="50">
        <f>+J1713/$W$2</f>
        <v>2.0495044091811886E-5</v>
      </c>
    </row>
    <row r="1714" spans="1:29">
      <c r="A1714" s="10" t="s">
        <v>494</v>
      </c>
      <c r="B1714" s="10" t="s">
        <v>381</v>
      </c>
      <c r="C1714" s="124">
        <v>46352</v>
      </c>
      <c r="D1714" s="124" t="s">
        <v>492</v>
      </c>
      <c r="E1714" s="21">
        <v>0.96032423</v>
      </c>
      <c r="F1714" s="10"/>
      <c r="G1714" s="14">
        <v>15000000</v>
      </c>
      <c r="H1714" s="14">
        <v>14404863.449999999</v>
      </c>
      <c r="I1714" s="14">
        <v>15000000</v>
      </c>
      <c r="J1714" s="14">
        <v>14404863.449999999</v>
      </c>
      <c r="K1714" s="12">
        <v>20411017</v>
      </c>
      <c r="L1714" s="10" t="s">
        <v>101</v>
      </c>
      <c r="M1714" s="10" t="s">
        <v>102</v>
      </c>
      <c r="N1714" s="124" t="s">
        <v>319</v>
      </c>
      <c r="O1714" s="124" t="s">
        <v>319</v>
      </c>
      <c r="P1714" s="21">
        <v>26</v>
      </c>
      <c r="Q1714" s="10" t="s">
        <v>54</v>
      </c>
      <c r="R1714" s="10" t="s">
        <v>28</v>
      </c>
      <c r="S1714" s="10"/>
      <c r="T1714" s="10"/>
      <c r="U1714" s="10" t="s">
        <v>993</v>
      </c>
      <c r="V1714" s="10" t="s">
        <v>993</v>
      </c>
      <c r="W1714" s="50">
        <f>+J1714/$W$2</f>
        <v>1.9150644845804672E-4</v>
      </c>
    </row>
    <row r="1715" spans="1:29">
      <c r="A1715" s="10" t="s">
        <v>494</v>
      </c>
      <c r="B1715" s="10" t="s">
        <v>381</v>
      </c>
      <c r="C1715" s="124">
        <v>46352</v>
      </c>
      <c r="D1715" s="124" t="s">
        <v>492</v>
      </c>
      <c r="E1715" s="21">
        <v>0.95886092999999994</v>
      </c>
      <c r="F1715" s="10"/>
      <c r="G1715" s="14">
        <v>8268850</v>
      </c>
      <c r="H1715" s="14">
        <v>7928677.1900000004</v>
      </c>
      <c r="I1715" s="14">
        <v>8268850</v>
      </c>
      <c r="J1715" s="14">
        <v>7928677.1900000004</v>
      </c>
      <c r="K1715" s="12">
        <v>40830425</v>
      </c>
      <c r="L1715" s="10" t="s">
        <v>101</v>
      </c>
      <c r="M1715" s="10" t="s">
        <v>102</v>
      </c>
      <c r="N1715" s="124" t="s">
        <v>531</v>
      </c>
      <c r="O1715" s="124" t="s">
        <v>531</v>
      </c>
      <c r="P1715" s="21">
        <v>27</v>
      </c>
      <c r="Q1715" s="10" t="s">
        <v>54</v>
      </c>
      <c r="R1715" s="10" t="s">
        <v>28</v>
      </c>
      <c r="S1715" s="10"/>
      <c r="T1715" s="10"/>
      <c r="U1715" s="10" t="s">
        <v>3392</v>
      </c>
      <c r="V1715" s="10" t="s">
        <v>3392</v>
      </c>
      <c r="W1715" s="50">
        <f>+J1715/$W$2</f>
        <v>1.0540834454263611E-4</v>
      </c>
    </row>
    <row r="1716" spans="1:29">
      <c r="A1716" s="10" t="s">
        <v>494</v>
      </c>
      <c r="B1716" s="10" t="s">
        <v>381</v>
      </c>
      <c r="C1716" s="124">
        <v>46352</v>
      </c>
      <c r="D1716" s="124" t="s">
        <v>492</v>
      </c>
      <c r="E1716" s="21">
        <v>0.95886092999999994</v>
      </c>
      <c r="F1716" s="10"/>
      <c r="G1716" s="14">
        <v>46583450</v>
      </c>
      <c r="H1716" s="14">
        <v>44667050.130000003</v>
      </c>
      <c r="I1716" s="14">
        <v>46583450</v>
      </c>
      <c r="J1716" s="14">
        <v>44667050.130000003</v>
      </c>
      <c r="K1716" s="12">
        <v>40830424</v>
      </c>
      <c r="L1716" s="10" t="s">
        <v>101</v>
      </c>
      <c r="M1716" s="10" t="s">
        <v>102</v>
      </c>
      <c r="N1716" s="124" t="s">
        <v>531</v>
      </c>
      <c r="O1716" s="124" t="s">
        <v>531</v>
      </c>
      <c r="P1716" s="21">
        <v>27</v>
      </c>
      <c r="Q1716" s="10" t="s">
        <v>54</v>
      </c>
      <c r="R1716" s="10" t="s">
        <v>28</v>
      </c>
      <c r="S1716" s="10"/>
      <c r="T1716" s="10"/>
      <c r="U1716" s="10" t="s">
        <v>3393</v>
      </c>
      <c r="V1716" s="10" t="s">
        <v>3393</v>
      </c>
      <c r="W1716" s="50">
        <f>+J1716/$W$2</f>
        <v>5.9382917187554703E-4</v>
      </c>
    </row>
    <row r="1717" spans="1:29">
      <c r="A1717" s="10" t="s">
        <v>494</v>
      </c>
      <c r="B1717" s="10" t="s">
        <v>381</v>
      </c>
      <c r="C1717" s="124">
        <v>46352</v>
      </c>
      <c r="D1717" s="124" t="s">
        <v>492</v>
      </c>
      <c r="E1717" s="21">
        <v>0.95886099999999996</v>
      </c>
      <c r="F1717" s="10"/>
      <c r="G1717" s="14">
        <v>25000000</v>
      </c>
      <c r="H1717" s="14">
        <v>23971525.120000001</v>
      </c>
      <c r="I1717" s="14">
        <v>25000000</v>
      </c>
      <c r="J1717" s="14">
        <v>23971525.120000001</v>
      </c>
      <c r="K1717" s="12">
        <v>9508923</v>
      </c>
      <c r="L1717" s="10" t="s">
        <v>101</v>
      </c>
      <c r="M1717" s="10" t="s">
        <v>102</v>
      </c>
      <c r="N1717" s="124" t="s">
        <v>530</v>
      </c>
      <c r="O1717" s="124" t="s">
        <v>530</v>
      </c>
      <c r="P1717" s="21">
        <v>27</v>
      </c>
      <c r="Q1717" s="10" t="s">
        <v>54</v>
      </c>
      <c r="R1717" s="10" t="s">
        <v>28</v>
      </c>
      <c r="S1717" s="10"/>
      <c r="T1717" s="10"/>
      <c r="U1717" s="10" t="s">
        <v>857</v>
      </c>
      <c r="V1717" s="10" t="s">
        <v>857</v>
      </c>
      <c r="W1717" s="50">
        <f>+J1717/$W$2</f>
        <v>3.1869109039378313E-4</v>
      </c>
      <c r="AC1717" s="47"/>
    </row>
    <row r="1718" spans="1:29">
      <c r="A1718" s="10" t="s">
        <v>1287</v>
      </c>
      <c r="B1718" s="10" t="s">
        <v>381</v>
      </c>
      <c r="C1718" s="124">
        <v>46352</v>
      </c>
      <c r="D1718" s="124" t="s">
        <v>492</v>
      </c>
      <c r="E1718" s="21">
        <v>0.95740221000000003</v>
      </c>
      <c r="F1718" s="10"/>
      <c r="G1718" s="14">
        <v>97351912.840000004</v>
      </c>
      <c r="H1718" s="14">
        <v>93204936.019999996</v>
      </c>
      <c r="I1718" s="14">
        <v>97351912.840000004</v>
      </c>
      <c r="J1718" s="14">
        <v>93204936.019999996</v>
      </c>
      <c r="K1718" s="12">
        <v>40296547</v>
      </c>
      <c r="L1718" s="10" t="s">
        <v>101</v>
      </c>
      <c r="M1718" s="10" t="s">
        <v>102</v>
      </c>
      <c r="N1718" s="124" t="s">
        <v>532</v>
      </c>
      <c r="O1718" s="124" t="s">
        <v>532</v>
      </c>
      <c r="P1718" s="21">
        <v>28</v>
      </c>
      <c r="Q1718" s="10" t="s">
        <v>54</v>
      </c>
      <c r="R1718" s="10" t="s">
        <v>28</v>
      </c>
      <c r="S1718" s="10"/>
      <c r="T1718" s="10"/>
      <c r="U1718" s="10" t="s">
        <v>3141</v>
      </c>
      <c r="V1718" s="10" t="s">
        <v>3141</v>
      </c>
      <c r="W1718" s="50">
        <f>+J1718/$W$2</f>
        <v>1.2391194361477736E-3</v>
      </c>
    </row>
    <row r="1719" spans="1:29">
      <c r="A1719" s="10" t="s">
        <v>1287</v>
      </c>
      <c r="B1719" s="10" t="s">
        <v>381</v>
      </c>
      <c r="C1719" s="124">
        <v>46352</v>
      </c>
      <c r="D1719" s="124" t="s">
        <v>492</v>
      </c>
      <c r="E1719" s="21">
        <v>0.95740221000000003</v>
      </c>
      <c r="F1719" s="10"/>
      <c r="G1719" s="14">
        <v>38458308.5</v>
      </c>
      <c r="H1719" s="14">
        <v>36820069.359999999</v>
      </c>
      <c r="I1719" s="14">
        <v>38458308.5</v>
      </c>
      <c r="J1719" s="14">
        <v>36820069.359999999</v>
      </c>
      <c r="K1719" s="12">
        <v>40296559</v>
      </c>
      <c r="L1719" s="10" t="s">
        <v>101</v>
      </c>
      <c r="M1719" s="10" t="s">
        <v>102</v>
      </c>
      <c r="N1719" s="124" t="s">
        <v>532</v>
      </c>
      <c r="O1719" s="124" t="s">
        <v>532</v>
      </c>
      <c r="P1719" s="21">
        <v>28</v>
      </c>
      <c r="Q1719" s="10" t="s">
        <v>54</v>
      </c>
      <c r="R1719" s="10" t="s">
        <v>28</v>
      </c>
      <c r="S1719" s="10"/>
      <c r="T1719" s="10"/>
      <c r="U1719" s="10" t="s">
        <v>3142</v>
      </c>
      <c r="V1719" s="10" t="s">
        <v>3142</v>
      </c>
      <c r="W1719" s="50">
        <f>+J1719/$W$2</f>
        <v>4.8950694601083121E-4</v>
      </c>
    </row>
    <row r="1720" spans="1:29">
      <c r="A1720" s="10" t="s">
        <v>1287</v>
      </c>
      <c r="B1720" s="10" t="s">
        <v>381</v>
      </c>
      <c r="C1720" s="124">
        <v>46352</v>
      </c>
      <c r="D1720" s="124" t="s">
        <v>492</v>
      </c>
      <c r="E1720" s="21">
        <v>0.95740221000000003</v>
      </c>
      <c r="F1720" s="10"/>
      <c r="G1720" s="14">
        <v>75590913.420000002</v>
      </c>
      <c r="H1720" s="14">
        <v>72370907.189999998</v>
      </c>
      <c r="I1720" s="14">
        <v>75590913.420000002</v>
      </c>
      <c r="J1720" s="14">
        <v>72370907.189999998</v>
      </c>
      <c r="K1720" s="12">
        <v>40296506</v>
      </c>
      <c r="L1720" s="10" t="s">
        <v>101</v>
      </c>
      <c r="M1720" s="10" t="s">
        <v>102</v>
      </c>
      <c r="N1720" s="124" t="s">
        <v>532</v>
      </c>
      <c r="O1720" s="124" t="s">
        <v>532</v>
      </c>
      <c r="P1720" s="21">
        <v>28</v>
      </c>
      <c r="Q1720" s="10" t="s">
        <v>54</v>
      </c>
      <c r="R1720" s="10" t="s">
        <v>28</v>
      </c>
      <c r="S1720" s="10"/>
      <c r="T1720" s="10"/>
      <c r="U1720" s="10" t="s">
        <v>3143</v>
      </c>
      <c r="V1720" s="10" t="s">
        <v>3143</v>
      </c>
      <c r="W1720" s="50">
        <f>+J1720/$W$2</f>
        <v>9.6214000609938575E-4</v>
      </c>
    </row>
    <row r="1721" spans="1:29">
      <c r="A1721" s="10" t="s">
        <v>208</v>
      </c>
      <c r="B1721" s="10" t="s">
        <v>381</v>
      </c>
      <c r="C1721" s="124">
        <v>46352</v>
      </c>
      <c r="D1721" s="124" t="s">
        <v>492</v>
      </c>
      <c r="E1721" s="21">
        <v>0.95017441999999996</v>
      </c>
      <c r="F1721" s="10"/>
      <c r="G1721" s="14">
        <v>2170000</v>
      </c>
      <c r="H1721" s="14">
        <v>2061878.5</v>
      </c>
      <c r="I1721" s="14">
        <v>2170000</v>
      </c>
      <c r="J1721" s="14">
        <v>2061878.5</v>
      </c>
      <c r="K1721" s="12">
        <v>260738</v>
      </c>
      <c r="L1721" s="10" t="s">
        <v>101</v>
      </c>
      <c r="M1721" s="10" t="s">
        <v>102</v>
      </c>
      <c r="N1721" s="124" t="s">
        <v>533</v>
      </c>
      <c r="O1721" s="124" t="s">
        <v>533</v>
      </c>
      <c r="P1721" s="21">
        <v>33</v>
      </c>
      <c r="Q1721" s="10" t="s">
        <v>54</v>
      </c>
      <c r="R1721" s="10" t="s">
        <v>28</v>
      </c>
      <c r="S1721" s="10"/>
      <c r="T1721" s="10"/>
      <c r="U1721" s="10" t="s">
        <v>1876</v>
      </c>
      <c r="V1721" s="10" t="s">
        <v>1876</v>
      </c>
      <c r="W1721" s="50">
        <f>+J1721/$W$2</f>
        <v>2.7411785613768154E-5</v>
      </c>
    </row>
    <row r="1722" spans="1:29">
      <c r="A1722" s="10" t="s">
        <v>273</v>
      </c>
      <c r="B1722" s="10" t="s">
        <v>381</v>
      </c>
      <c r="C1722" s="124">
        <v>46352</v>
      </c>
      <c r="D1722" s="124" t="s">
        <v>492</v>
      </c>
      <c r="E1722" s="21">
        <v>0.96032421000000001</v>
      </c>
      <c r="F1722" s="10"/>
      <c r="G1722" s="14">
        <v>5000000</v>
      </c>
      <c r="H1722" s="14">
        <v>4801621.07</v>
      </c>
      <c r="I1722" s="14">
        <v>5000000</v>
      </c>
      <c r="J1722" s="14">
        <v>4801621.07</v>
      </c>
      <c r="K1722" s="12">
        <v>491505</v>
      </c>
      <c r="L1722" s="10" t="s">
        <v>101</v>
      </c>
      <c r="M1722" s="10" t="s">
        <v>102</v>
      </c>
      <c r="N1722" s="124" t="s">
        <v>361</v>
      </c>
      <c r="O1722" s="124" t="s">
        <v>361</v>
      </c>
      <c r="P1722" s="21">
        <v>26</v>
      </c>
      <c r="Q1722" s="10" t="s">
        <v>54</v>
      </c>
      <c r="R1722" s="10" t="s">
        <v>28</v>
      </c>
      <c r="S1722" s="10"/>
      <c r="T1722" s="10"/>
      <c r="U1722" s="10" t="s">
        <v>1021</v>
      </c>
      <c r="V1722" s="10" t="s">
        <v>1021</v>
      </c>
      <c r="W1722" s="50">
        <f>+J1722/$W$2</f>
        <v>6.3835481755783406E-5</v>
      </c>
    </row>
    <row r="1723" spans="1:29">
      <c r="A1723" s="10" t="s">
        <v>273</v>
      </c>
      <c r="B1723" s="10" t="s">
        <v>381</v>
      </c>
      <c r="C1723" s="124">
        <v>46352</v>
      </c>
      <c r="D1723" s="124" t="s">
        <v>492</v>
      </c>
      <c r="E1723" s="21">
        <v>0.95305245999999999</v>
      </c>
      <c r="F1723" s="10"/>
      <c r="G1723" s="14">
        <v>15000000</v>
      </c>
      <c r="H1723" s="14">
        <v>14295786.869999999</v>
      </c>
      <c r="I1723" s="14">
        <v>15000000</v>
      </c>
      <c r="J1723" s="14">
        <v>14295786.869999999</v>
      </c>
      <c r="K1723" s="12">
        <v>2441</v>
      </c>
      <c r="L1723" s="10" t="s">
        <v>101</v>
      </c>
      <c r="M1723" s="10" t="s">
        <v>102</v>
      </c>
      <c r="N1723" s="124" t="s">
        <v>322</v>
      </c>
      <c r="O1723" s="124" t="s">
        <v>322</v>
      </c>
      <c r="P1723" s="21">
        <v>31</v>
      </c>
      <c r="Q1723" s="10" t="s">
        <v>54</v>
      </c>
      <c r="R1723" s="10" t="s">
        <v>28</v>
      </c>
      <c r="S1723" s="10"/>
      <c r="T1723" s="10"/>
      <c r="U1723" s="10" t="s">
        <v>1564</v>
      </c>
      <c r="V1723" s="10" t="s">
        <v>1564</v>
      </c>
      <c r="W1723" s="50">
        <f>+J1723/$W$2</f>
        <v>1.9005632235874308E-4</v>
      </c>
    </row>
    <row r="1724" spans="1:29">
      <c r="A1724" s="10" t="s">
        <v>1725</v>
      </c>
      <c r="B1724" s="10" t="s">
        <v>381</v>
      </c>
      <c r="C1724" s="124">
        <v>46352</v>
      </c>
      <c r="D1724" s="124" t="s">
        <v>492</v>
      </c>
      <c r="E1724" s="21">
        <v>0.94731383999999996</v>
      </c>
      <c r="F1724" s="10"/>
      <c r="G1724" s="14">
        <v>3087576.27</v>
      </c>
      <c r="H1724" s="14">
        <v>2924903.72</v>
      </c>
      <c r="I1724" s="14">
        <v>3087576.27</v>
      </c>
      <c r="J1724" s="14">
        <v>2924903.72</v>
      </c>
      <c r="K1724" s="12">
        <v>1508</v>
      </c>
      <c r="L1724" s="10" t="s">
        <v>101</v>
      </c>
      <c r="M1724" s="10" t="s">
        <v>102</v>
      </c>
      <c r="N1724" s="124" t="s">
        <v>425</v>
      </c>
      <c r="O1724" s="124" t="s">
        <v>425</v>
      </c>
      <c r="P1724" s="21">
        <v>35</v>
      </c>
      <c r="Q1724" s="10" t="s">
        <v>54</v>
      </c>
      <c r="R1724" s="10" t="s">
        <v>28</v>
      </c>
      <c r="S1724" s="10"/>
      <c r="T1724" s="10"/>
      <c r="U1724" s="10" t="s">
        <v>1712</v>
      </c>
      <c r="V1724" s="10" t="s">
        <v>1712</v>
      </c>
      <c r="W1724" s="50">
        <f>+J1724/$W$2</f>
        <v>3.888533379321476E-5</v>
      </c>
    </row>
    <row r="1725" spans="1:29">
      <c r="A1725" s="10" t="s">
        <v>404</v>
      </c>
      <c r="B1725" s="10" t="s">
        <v>381</v>
      </c>
      <c r="C1725" s="124">
        <v>46352</v>
      </c>
      <c r="D1725" s="124" t="s">
        <v>492</v>
      </c>
      <c r="E1725" s="21">
        <v>0.95449803</v>
      </c>
      <c r="F1725" s="10"/>
      <c r="G1725" s="14">
        <v>20000000</v>
      </c>
      <c r="H1725" s="14">
        <v>19089960.620000001</v>
      </c>
      <c r="I1725" s="14">
        <v>20000000</v>
      </c>
      <c r="J1725" s="14">
        <v>19089960.620000001</v>
      </c>
      <c r="K1725" s="12">
        <v>10508</v>
      </c>
      <c r="L1725" s="10" t="s">
        <v>101</v>
      </c>
      <c r="M1725" s="10" t="s">
        <v>102</v>
      </c>
      <c r="N1725" s="124" t="s">
        <v>420</v>
      </c>
      <c r="O1725" s="124" t="s">
        <v>420</v>
      </c>
      <c r="P1725" s="21">
        <v>30</v>
      </c>
      <c r="Q1725" s="10" t="s">
        <v>54</v>
      </c>
      <c r="R1725" s="10" t="s">
        <v>28</v>
      </c>
      <c r="S1725" s="10"/>
      <c r="T1725" s="10"/>
      <c r="U1725" s="10" t="s">
        <v>2632</v>
      </c>
      <c r="V1725" s="10" t="s">
        <v>2632</v>
      </c>
      <c r="W1725" s="50">
        <f>+J1725/$W$2</f>
        <v>2.5379279520627266E-4</v>
      </c>
    </row>
    <row r="1726" spans="1:29">
      <c r="A1726" s="10" t="s">
        <v>151</v>
      </c>
      <c r="B1726" s="10" t="s">
        <v>381</v>
      </c>
      <c r="C1726" s="124">
        <v>46352</v>
      </c>
      <c r="D1726" s="124" t="s">
        <v>492</v>
      </c>
      <c r="E1726" s="21">
        <v>0.95886112999999995</v>
      </c>
      <c r="F1726" s="10"/>
      <c r="G1726" s="14">
        <v>88000000</v>
      </c>
      <c r="H1726" s="14">
        <v>84379779.469999999</v>
      </c>
      <c r="I1726" s="14">
        <v>88000000</v>
      </c>
      <c r="J1726" s="14">
        <v>84379779.469999999</v>
      </c>
      <c r="K1726" s="12">
        <v>474</v>
      </c>
      <c r="L1726" s="10" t="s">
        <v>101</v>
      </c>
      <c r="M1726" s="10" t="s">
        <v>102</v>
      </c>
      <c r="N1726" s="124" t="s">
        <v>678</v>
      </c>
      <c r="O1726" s="124" t="s">
        <v>678</v>
      </c>
      <c r="P1726" s="21">
        <v>27</v>
      </c>
      <c r="Q1726" s="10" t="s">
        <v>54</v>
      </c>
      <c r="R1726" s="10" t="s">
        <v>28</v>
      </c>
      <c r="S1726" s="10"/>
      <c r="T1726" s="10"/>
      <c r="U1726" s="10" t="s">
        <v>3471</v>
      </c>
      <c r="V1726" s="10" t="s">
        <v>3471</v>
      </c>
      <c r="W1726" s="50">
        <f>+J1726/$W$2</f>
        <v>1.1217927850591951E-3</v>
      </c>
    </row>
    <row r="1727" spans="1:29">
      <c r="A1727" s="10" t="s">
        <v>151</v>
      </c>
      <c r="B1727" s="10" t="s">
        <v>381</v>
      </c>
      <c r="C1727" s="124">
        <v>46352</v>
      </c>
      <c r="D1727" s="124" t="s">
        <v>492</v>
      </c>
      <c r="E1727" s="21">
        <v>0.95886112999999995</v>
      </c>
      <c r="F1727" s="10"/>
      <c r="G1727" s="14">
        <v>92000000</v>
      </c>
      <c r="H1727" s="14">
        <v>88215223.989999995</v>
      </c>
      <c r="I1727" s="14">
        <v>92000000</v>
      </c>
      <c r="J1727" s="14">
        <v>88215223.989999995</v>
      </c>
      <c r="K1727" s="12">
        <v>475</v>
      </c>
      <c r="L1727" s="10" t="s">
        <v>101</v>
      </c>
      <c r="M1727" s="10" t="s">
        <v>102</v>
      </c>
      <c r="N1727" s="124" t="s">
        <v>678</v>
      </c>
      <c r="O1727" s="124" t="s">
        <v>678</v>
      </c>
      <c r="P1727" s="21">
        <v>27</v>
      </c>
      <c r="Q1727" s="10" t="s">
        <v>54</v>
      </c>
      <c r="R1727" s="10" t="s">
        <v>28</v>
      </c>
      <c r="S1727" s="10"/>
      <c r="T1727" s="10"/>
      <c r="U1727" s="10" t="s">
        <v>3472</v>
      </c>
      <c r="V1727" s="10" t="s">
        <v>3472</v>
      </c>
      <c r="W1727" s="50">
        <f>+J1727/$W$2</f>
        <v>1.1727833661801202E-3</v>
      </c>
    </row>
    <row r="1728" spans="1:29">
      <c r="A1728" s="10" t="s">
        <v>273</v>
      </c>
      <c r="B1728" s="10" t="s">
        <v>381</v>
      </c>
      <c r="C1728" s="124">
        <v>46352</v>
      </c>
      <c r="D1728" s="124" t="s">
        <v>492</v>
      </c>
      <c r="E1728" s="21">
        <v>0.96032417999999997</v>
      </c>
      <c r="F1728" s="10"/>
      <c r="G1728" s="14">
        <v>4000000</v>
      </c>
      <c r="H1728" s="14">
        <v>3841296.72</v>
      </c>
      <c r="I1728" s="14">
        <v>4000000</v>
      </c>
      <c r="J1728" s="14">
        <v>3841296.72</v>
      </c>
      <c r="K1728" s="12">
        <v>90002232</v>
      </c>
      <c r="L1728" s="10" t="s">
        <v>101</v>
      </c>
      <c r="M1728" s="10" t="s">
        <v>102</v>
      </c>
      <c r="N1728" s="124" t="s">
        <v>532</v>
      </c>
      <c r="O1728" s="124" t="s">
        <v>532</v>
      </c>
      <c r="P1728" s="21">
        <v>26</v>
      </c>
      <c r="Q1728" s="10" t="s">
        <v>54</v>
      </c>
      <c r="R1728" s="10" t="s">
        <v>28</v>
      </c>
      <c r="S1728" s="10"/>
      <c r="T1728" s="10"/>
      <c r="U1728" s="10" t="s">
        <v>3030</v>
      </c>
      <c r="V1728" s="10" t="s">
        <v>3030</v>
      </c>
      <c r="W1728" s="50">
        <f>+J1728/$W$2</f>
        <v>5.1068383596565366E-5</v>
      </c>
    </row>
    <row r="1729" spans="1:29">
      <c r="A1729" s="10" t="s">
        <v>1189</v>
      </c>
      <c r="B1729" s="10" t="s">
        <v>381</v>
      </c>
      <c r="C1729" s="124">
        <v>46352</v>
      </c>
      <c r="D1729" s="124" t="s">
        <v>492</v>
      </c>
      <c r="E1729" s="21">
        <v>0.95017463000000002</v>
      </c>
      <c r="F1729" s="10"/>
      <c r="G1729" s="14">
        <v>706225.7</v>
      </c>
      <c r="H1729" s="14">
        <v>671037.74</v>
      </c>
      <c r="I1729" s="14">
        <v>706225.7</v>
      </c>
      <c r="J1729" s="14">
        <v>671037.74</v>
      </c>
      <c r="K1729" s="12">
        <v>124048</v>
      </c>
      <c r="L1729" s="10" t="s">
        <v>101</v>
      </c>
      <c r="M1729" s="10" t="s">
        <v>102</v>
      </c>
      <c r="N1729" s="124" t="s">
        <v>677</v>
      </c>
      <c r="O1729" s="124" t="s">
        <v>677</v>
      </c>
      <c r="P1729" s="21">
        <v>33</v>
      </c>
      <c r="Q1729" s="10" t="s">
        <v>54</v>
      </c>
      <c r="R1729" s="10" t="s">
        <v>28</v>
      </c>
      <c r="S1729" s="10"/>
      <c r="T1729" s="10"/>
      <c r="U1729" s="10" t="s">
        <v>3307</v>
      </c>
      <c r="V1729" s="10" t="s">
        <v>3307</v>
      </c>
      <c r="W1729" s="50">
        <f>+J1729/$W$2</f>
        <v>8.9211574142838663E-6</v>
      </c>
    </row>
    <row r="1730" spans="1:29">
      <c r="A1730" s="10" t="s">
        <v>1189</v>
      </c>
      <c r="B1730" s="10" t="s">
        <v>381</v>
      </c>
      <c r="C1730" s="124">
        <v>46352</v>
      </c>
      <c r="D1730" s="124" t="s">
        <v>492</v>
      </c>
      <c r="E1730" s="21">
        <v>0.95017443999999995</v>
      </c>
      <c r="F1730" s="10"/>
      <c r="G1730" s="14">
        <v>204483.81</v>
      </c>
      <c r="H1730" s="14">
        <v>194295.29</v>
      </c>
      <c r="I1730" s="14">
        <v>204483.81</v>
      </c>
      <c r="J1730" s="14">
        <v>194295.29</v>
      </c>
      <c r="K1730" s="12">
        <v>124582</v>
      </c>
      <c r="L1730" s="10" t="s">
        <v>101</v>
      </c>
      <c r="M1730" s="10" t="s">
        <v>102</v>
      </c>
      <c r="N1730" s="124" t="s">
        <v>492</v>
      </c>
      <c r="O1730" s="124" t="s">
        <v>492</v>
      </c>
      <c r="P1730" s="21">
        <v>33</v>
      </c>
      <c r="Q1730" s="10" t="s">
        <v>54</v>
      </c>
      <c r="R1730" s="10" t="s">
        <v>28</v>
      </c>
      <c r="S1730" s="10"/>
      <c r="T1730" s="10"/>
      <c r="U1730" s="10" t="s">
        <v>3537</v>
      </c>
      <c r="V1730" s="10" t="s">
        <v>3537</v>
      </c>
      <c r="W1730" s="50">
        <f>+J1730/$W$2</f>
        <v>2.5830721040279105E-6</v>
      </c>
      <c r="AC1730" s="47"/>
    </row>
    <row r="1731" spans="1:29">
      <c r="A1731" s="10" t="s">
        <v>2430</v>
      </c>
      <c r="B1731" s="10" t="s">
        <v>381</v>
      </c>
      <c r="C1731" s="124">
        <v>46352</v>
      </c>
      <c r="D1731" s="124" t="s">
        <v>492</v>
      </c>
      <c r="E1731" s="21">
        <v>0.95017446000000005</v>
      </c>
      <c r="F1731" s="10"/>
      <c r="G1731" s="14">
        <v>24730000</v>
      </c>
      <c r="H1731" s="14">
        <v>23497814.289999999</v>
      </c>
      <c r="I1731" s="14">
        <v>24730000</v>
      </c>
      <c r="J1731" s="14">
        <v>23497814.289999999</v>
      </c>
      <c r="K1731" s="12">
        <v>197</v>
      </c>
      <c r="L1731" s="10" t="s">
        <v>101</v>
      </c>
      <c r="M1731" s="10" t="s">
        <v>102</v>
      </c>
      <c r="N1731" s="124" t="s">
        <v>552</v>
      </c>
      <c r="O1731" s="124" t="s">
        <v>552</v>
      </c>
      <c r="P1731" s="21">
        <v>33</v>
      </c>
      <c r="Q1731" s="10" t="s">
        <v>54</v>
      </c>
      <c r="R1731" s="10" t="s">
        <v>28</v>
      </c>
      <c r="S1731" s="10"/>
      <c r="T1731" s="10"/>
      <c r="U1731" s="10" t="s">
        <v>2373</v>
      </c>
      <c r="V1731" s="10" t="s">
        <v>2373</v>
      </c>
      <c r="W1731" s="50">
        <f>+J1731/$W$2</f>
        <v>3.1239330916424889E-4</v>
      </c>
    </row>
    <row r="1732" spans="1:29">
      <c r="A1732" s="10" t="s">
        <v>471</v>
      </c>
      <c r="B1732" s="10" t="s">
        <v>381</v>
      </c>
      <c r="C1732" s="124">
        <v>46352</v>
      </c>
      <c r="D1732" s="124" t="s">
        <v>492</v>
      </c>
      <c r="E1732" s="21">
        <v>0.95886092999999994</v>
      </c>
      <c r="F1732" s="10"/>
      <c r="G1732" s="14">
        <v>2959532.92</v>
      </c>
      <c r="H1732" s="14">
        <v>2837780.48</v>
      </c>
      <c r="I1732" s="14">
        <v>2959532.92</v>
      </c>
      <c r="J1732" s="14">
        <v>2837780.48</v>
      </c>
      <c r="K1732" s="12">
        <v>53553936</v>
      </c>
      <c r="L1732" s="10" t="s">
        <v>101</v>
      </c>
      <c r="M1732" s="10" t="s">
        <v>102</v>
      </c>
      <c r="N1732" s="124" t="s">
        <v>531</v>
      </c>
      <c r="O1732" s="124" t="s">
        <v>531</v>
      </c>
      <c r="P1732" s="21">
        <v>27</v>
      </c>
      <c r="Q1732" s="10" t="s">
        <v>54</v>
      </c>
      <c r="R1732" s="10" t="s">
        <v>28</v>
      </c>
      <c r="S1732" s="10"/>
      <c r="T1732" s="10"/>
      <c r="U1732" s="10" t="s">
        <v>3364</v>
      </c>
      <c r="V1732" s="10" t="s">
        <v>3364</v>
      </c>
      <c r="W1732" s="50">
        <f>+J1732/$W$2</f>
        <v>3.7727067883338463E-5</v>
      </c>
    </row>
    <row r="1733" spans="1:29">
      <c r="A1733" s="10" t="s">
        <v>1062</v>
      </c>
      <c r="B1733" s="10" t="s">
        <v>381</v>
      </c>
      <c r="C1733" s="124">
        <v>46352</v>
      </c>
      <c r="D1733" s="124" t="s">
        <v>492</v>
      </c>
      <c r="E1733" s="21">
        <v>0.95017454000000001</v>
      </c>
      <c r="F1733" s="10"/>
      <c r="G1733" s="14">
        <v>300000000</v>
      </c>
      <c r="H1733" s="14">
        <v>285052362.54000002</v>
      </c>
      <c r="I1733" s="14">
        <v>300000000</v>
      </c>
      <c r="J1733" s="14">
        <v>285052362.54000002</v>
      </c>
      <c r="K1733" s="12">
        <v>231767</v>
      </c>
      <c r="L1733" s="10" t="s">
        <v>101</v>
      </c>
      <c r="M1733" s="10" t="s">
        <v>102</v>
      </c>
      <c r="N1733" s="124" t="s">
        <v>155</v>
      </c>
      <c r="O1733" s="124" t="s">
        <v>155</v>
      </c>
      <c r="P1733" s="21">
        <v>33</v>
      </c>
      <c r="Q1733" s="10" t="s">
        <v>54</v>
      </c>
      <c r="R1733" s="10" t="s">
        <v>28</v>
      </c>
      <c r="S1733" s="10"/>
      <c r="T1733" s="10"/>
      <c r="U1733" s="10" t="s">
        <v>1055</v>
      </c>
      <c r="V1733" s="10" t="s">
        <v>1055</v>
      </c>
      <c r="W1733" s="50">
        <f>+J1733/$W$2</f>
        <v>3.7896482506823738E-3</v>
      </c>
    </row>
    <row r="1734" spans="1:29">
      <c r="A1734" s="10" t="s">
        <v>166</v>
      </c>
      <c r="B1734" s="10" t="s">
        <v>381</v>
      </c>
      <c r="C1734" s="124">
        <v>46352</v>
      </c>
      <c r="D1734" s="124" t="s">
        <v>492</v>
      </c>
      <c r="E1734" s="21">
        <v>0.94305499999999998</v>
      </c>
      <c r="F1734" s="10"/>
      <c r="G1734" s="14">
        <v>150000000</v>
      </c>
      <c r="H1734" s="14">
        <v>141458250.18000001</v>
      </c>
      <c r="I1734" s="14">
        <v>150000000</v>
      </c>
      <c r="J1734" s="14">
        <v>141458250.18000001</v>
      </c>
      <c r="K1734" s="12">
        <v>70406570</v>
      </c>
      <c r="L1734" s="10" t="s">
        <v>101</v>
      </c>
      <c r="M1734" s="10" t="s">
        <v>102</v>
      </c>
      <c r="N1734" s="124" t="s">
        <v>551</v>
      </c>
      <c r="O1734" s="124" t="s">
        <v>551</v>
      </c>
      <c r="P1734" s="21">
        <v>38</v>
      </c>
      <c r="Q1734" s="10" t="s">
        <v>54</v>
      </c>
      <c r="R1734" s="10" t="s">
        <v>28</v>
      </c>
      <c r="S1734" s="10"/>
      <c r="T1734" s="10"/>
      <c r="U1734" s="10" t="s">
        <v>2223</v>
      </c>
      <c r="V1734" s="10" t="s">
        <v>2223</v>
      </c>
      <c r="W1734" s="50">
        <f>+J1734/$W$2</f>
        <v>1.8806264419716976E-3</v>
      </c>
    </row>
    <row r="1735" spans="1:29">
      <c r="A1735" s="10" t="s">
        <v>166</v>
      </c>
      <c r="B1735" s="10" t="s">
        <v>381</v>
      </c>
      <c r="C1735" s="124">
        <v>46352</v>
      </c>
      <c r="D1735" s="124" t="s">
        <v>492</v>
      </c>
      <c r="E1735" s="21">
        <v>0.94731385000000001</v>
      </c>
      <c r="F1735" s="10"/>
      <c r="G1735" s="14">
        <v>250000000</v>
      </c>
      <c r="H1735" s="14">
        <v>236828462.83000001</v>
      </c>
      <c r="I1735" s="14">
        <v>250000000</v>
      </c>
      <c r="J1735" s="14">
        <v>236828462.83000001</v>
      </c>
      <c r="K1735" s="12">
        <v>70400477</v>
      </c>
      <c r="L1735" s="10" t="s">
        <v>101</v>
      </c>
      <c r="M1735" s="10" t="s">
        <v>102</v>
      </c>
      <c r="N1735" s="124" t="s">
        <v>548</v>
      </c>
      <c r="O1735" s="124" t="s">
        <v>548</v>
      </c>
      <c r="P1735" s="21">
        <v>35</v>
      </c>
      <c r="Q1735" s="10" t="s">
        <v>54</v>
      </c>
      <c r="R1735" s="10" t="s">
        <v>28</v>
      </c>
      <c r="S1735" s="10"/>
      <c r="T1735" s="10"/>
      <c r="U1735" s="10" t="s">
        <v>1372</v>
      </c>
      <c r="V1735" s="10" t="s">
        <v>1372</v>
      </c>
      <c r="W1735" s="50">
        <f>+J1735/$W$2</f>
        <v>3.1485322972882352E-3</v>
      </c>
    </row>
    <row r="1736" spans="1:29">
      <c r="A1736" s="10" t="s">
        <v>540</v>
      </c>
      <c r="B1736" s="10" t="s">
        <v>381</v>
      </c>
      <c r="C1736" s="124">
        <v>46352</v>
      </c>
      <c r="D1736" s="124" t="s">
        <v>492</v>
      </c>
      <c r="E1736" s="21">
        <v>0.95017446000000005</v>
      </c>
      <c r="F1736" s="10"/>
      <c r="G1736" s="14">
        <v>5448062.4299999997</v>
      </c>
      <c r="H1736" s="14">
        <v>5176609.79</v>
      </c>
      <c r="I1736" s="14">
        <v>5448062.4299999997</v>
      </c>
      <c r="J1736" s="14">
        <v>5176609.79</v>
      </c>
      <c r="K1736" s="12">
        <v>90000596</v>
      </c>
      <c r="L1736" s="10" t="s">
        <v>101</v>
      </c>
      <c r="M1736" s="10" t="s">
        <v>102</v>
      </c>
      <c r="N1736" s="124" t="s">
        <v>157</v>
      </c>
      <c r="O1736" s="124" t="s">
        <v>157</v>
      </c>
      <c r="P1736" s="21">
        <v>33</v>
      </c>
      <c r="Q1736" s="10" t="s">
        <v>54</v>
      </c>
      <c r="R1736" s="10" t="s">
        <v>28</v>
      </c>
      <c r="S1736" s="10"/>
      <c r="T1736" s="10"/>
      <c r="U1736" s="10" t="s">
        <v>654</v>
      </c>
      <c r="V1736" s="10" t="s">
        <v>654</v>
      </c>
      <c r="W1736" s="50">
        <f>+J1736/$W$2</f>
        <v>6.882079510000875E-5</v>
      </c>
    </row>
    <row r="1737" spans="1:29">
      <c r="A1737" s="10" t="s">
        <v>3144</v>
      </c>
      <c r="B1737" s="10" t="s">
        <v>381</v>
      </c>
      <c r="C1737" s="124">
        <v>46352</v>
      </c>
      <c r="D1737" s="124" t="s">
        <v>492</v>
      </c>
      <c r="E1737" s="21">
        <v>0.95017446000000005</v>
      </c>
      <c r="F1737" s="10"/>
      <c r="G1737" s="14">
        <v>2500000</v>
      </c>
      <c r="H1737" s="14">
        <v>2375436.16</v>
      </c>
      <c r="I1737" s="14">
        <v>2500000</v>
      </c>
      <c r="J1737" s="14">
        <v>2375436.16</v>
      </c>
      <c r="K1737" s="12">
        <v>103</v>
      </c>
      <c r="L1737" s="10" t="s">
        <v>101</v>
      </c>
      <c r="M1737" s="10" t="s">
        <v>102</v>
      </c>
      <c r="N1737" s="124" t="s">
        <v>532</v>
      </c>
      <c r="O1737" s="124" t="s">
        <v>532</v>
      </c>
      <c r="P1737" s="21">
        <v>33</v>
      </c>
      <c r="Q1737" s="10" t="s">
        <v>54</v>
      </c>
      <c r="R1737" s="10" t="s">
        <v>28</v>
      </c>
      <c r="S1737" s="10"/>
      <c r="T1737" s="10"/>
      <c r="U1737" s="10" t="s">
        <v>3112</v>
      </c>
      <c r="V1737" s="10" t="s">
        <v>3112</v>
      </c>
      <c r="W1737" s="50">
        <f>+J1737/$W$2</f>
        <v>3.1580399503226147E-5</v>
      </c>
    </row>
    <row r="1738" spans="1:29">
      <c r="A1738" s="10" t="s">
        <v>2017</v>
      </c>
      <c r="B1738" s="10" t="s">
        <v>381</v>
      </c>
      <c r="C1738" s="124">
        <v>46352</v>
      </c>
      <c r="D1738" s="124" t="s">
        <v>492</v>
      </c>
      <c r="E1738" s="21">
        <v>0.94589000999999995</v>
      </c>
      <c r="F1738" s="10"/>
      <c r="G1738" s="14">
        <v>30000000</v>
      </c>
      <c r="H1738" s="14">
        <v>28376700.280000001</v>
      </c>
      <c r="I1738" s="14">
        <v>30000000</v>
      </c>
      <c r="J1738" s="14">
        <v>28376700.280000001</v>
      </c>
      <c r="K1738" s="12">
        <v>10978203</v>
      </c>
      <c r="L1738" s="10" t="s">
        <v>101</v>
      </c>
      <c r="M1738" s="10" t="s">
        <v>102</v>
      </c>
      <c r="N1738" s="124" t="s">
        <v>164</v>
      </c>
      <c r="O1738" s="124" t="s">
        <v>164</v>
      </c>
      <c r="P1738" s="21">
        <v>36</v>
      </c>
      <c r="Q1738" s="10" t="s">
        <v>54</v>
      </c>
      <c r="R1738" s="10" t="s">
        <v>28</v>
      </c>
      <c r="S1738" s="10"/>
      <c r="T1738" s="10"/>
      <c r="U1738" s="10" t="s">
        <v>2005</v>
      </c>
      <c r="V1738" s="10" t="s">
        <v>2005</v>
      </c>
      <c r="W1738" s="50">
        <f>+J1738/$W$2</f>
        <v>3.7725599471623316E-4</v>
      </c>
    </row>
    <row r="1739" spans="1:29">
      <c r="A1739" s="10" t="s">
        <v>2017</v>
      </c>
      <c r="B1739" s="10" t="s">
        <v>381</v>
      </c>
      <c r="C1739" s="124">
        <v>46352</v>
      </c>
      <c r="D1739" s="124" t="s">
        <v>492</v>
      </c>
      <c r="E1739" s="21">
        <v>0.94589000999999995</v>
      </c>
      <c r="F1739" s="10"/>
      <c r="G1739" s="14">
        <v>30000000</v>
      </c>
      <c r="H1739" s="14">
        <v>28376700.280000001</v>
      </c>
      <c r="I1739" s="14">
        <v>30000000</v>
      </c>
      <c r="J1739" s="14">
        <v>28376700.280000001</v>
      </c>
      <c r="K1739" s="12">
        <v>10978202</v>
      </c>
      <c r="L1739" s="10" t="s">
        <v>101</v>
      </c>
      <c r="M1739" s="10" t="s">
        <v>102</v>
      </c>
      <c r="N1739" s="124" t="s">
        <v>164</v>
      </c>
      <c r="O1739" s="124" t="s">
        <v>164</v>
      </c>
      <c r="P1739" s="21">
        <v>36</v>
      </c>
      <c r="Q1739" s="10" t="s">
        <v>54</v>
      </c>
      <c r="R1739" s="10" t="s">
        <v>28</v>
      </c>
      <c r="S1739" s="10"/>
      <c r="T1739" s="10"/>
      <c r="U1739" s="10" t="s">
        <v>2006</v>
      </c>
      <c r="V1739" s="10" t="s">
        <v>2006</v>
      </c>
      <c r="W1739" s="50">
        <f>+J1739/$W$2</f>
        <v>3.7725599471623316E-4</v>
      </c>
    </row>
    <row r="1740" spans="1:29">
      <c r="A1740" s="10" t="s">
        <v>604</v>
      </c>
      <c r="B1740" s="10" t="s">
        <v>381</v>
      </c>
      <c r="C1740" s="124">
        <v>46352</v>
      </c>
      <c r="D1740" s="124" t="s">
        <v>492</v>
      </c>
      <c r="E1740" s="21">
        <v>0.94874201999999996</v>
      </c>
      <c r="F1740" s="10"/>
      <c r="G1740" s="14">
        <v>5000300.25</v>
      </c>
      <c r="H1740" s="14">
        <v>4743994.9400000004</v>
      </c>
      <c r="I1740" s="14">
        <v>5000300.25</v>
      </c>
      <c r="J1740" s="14">
        <v>4743994.9400000004</v>
      </c>
      <c r="K1740" s="12">
        <v>363</v>
      </c>
      <c r="L1740" s="10" t="s">
        <v>101</v>
      </c>
      <c r="M1740" s="10" t="s">
        <v>102</v>
      </c>
      <c r="N1740" s="124" t="s">
        <v>326</v>
      </c>
      <c r="O1740" s="124" t="s">
        <v>326</v>
      </c>
      <c r="P1740" s="21">
        <v>34</v>
      </c>
      <c r="Q1740" s="10" t="s">
        <v>54</v>
      </c>
      <c r="R1740" s="10" t="s">
        <v>28</v>
      </c>
      <c r="S1740" s="10"/>
      <c r="T1740" s="10"/>
      <c r="U1740" s="10" t="s">
        <v>952</v>
      </c>
      <c r="V1740" s="10" t="s">
        <v>952</v>
      </c>
      <c r="W1740" s="50">
        <f>+J1740/$W$2</f>
        <v>6.3069367204750875E-5</v>
      </c>
    </row>
    <row r="1741" spans="1:29">
      <c r="A1741" s="10" t="s">
        <v>604</v>
      </c>
      <c r="B1741" s="10" t="s">
        <v>381</v>
      </c>
      <c r="C1741" s="124">
        <v>46352</v>
      </c>
      <c r="D1741" s="124" t="s">
        <v>492</v>
      </c>
      <c r="E1741" s="21">
        <v>0.94874201999999996</v>
      </c>
      <c r="F1741" s="10"/>
      <c r="G1741" s="14">
        <v>5000300.25</v>
      </c>
      <c r="H1741" s="14">
        <v>4743994.9400000004</v>
      </c>
      <c r="I1741" s="14">
        <v>5000300.25</v>
      </c>
      <c r="J1741" s="14">
        <v>4743994.9400000004</v>
      </c>
      <c r="K1741" s="12">
        <v>364</v>
      </c>
      <c r="L1741" s="10" t="s">
        <v>101</v>
      </c>
      <c r="M1741" s="10" t="s">
        <v>102</v>
      </c>
      <c r="N1741" s="124" t="s">
        <v>326</v>
      </c>
      <c r="O1741" s="124" t="s">
        <v>326</v>
      </c>
      <c r="P1741" s="21">
        <v>34</v>
      </c>
      <c r="Q1741" s="10" t="s">
        <v>54</v>
      </c>
      <c r="R1741" s="10" t="s">
        <v>28</v>
      </c>
      <c r="S1741" s="10"/>
      <c r="T1741" s="10"/>
      <c r="U1741" s="10" t="s">
        <v>953</v>
      </c>
      <c r="V1741" s="10" t="s">
        <v>953</v>
      </c>
      <c r="W1741" s="50">
        <f>+J1741/$W$2</f>
        <v>6.3069367204750875E-5</v>
      </c>
    </row>
    <row r="1742" spans="1:29">
      <c r="A1742" s="10" t="s">
        <v>604</v>
      </c>
      <c r="B1742" s="10" t="s">
        <v>381</v>
      </c>
      <c r="C1742" s="124">
        <v>46352</v>
      </c>
      <c r="D1742" s="124" t="s">
        <v>492</v>
      </c>
      <c r="E1742" s="21">
        <v>0.94874201999999996</v>
      </c>
      <c r="F1742" s="10"/>
      <c r="G1742" s="14">
        <v>5000300.25</v>
      </c>
      <c r="H1742" s="14">
        <v>4743994.9400000004</v>
      </c>
      <c r="I1742" s="14">
        <v>5000300.25</v>
      </c>
      <c r="J1742" s="14">
        <v>4743994.9400000004</v>
      </c>
      <c r="K1742" s="12">
        <v>365</v>
      </c>
      <c r="L1742" s="10" t="s">
        <v>101</v>
      </c>
      <c r="M1742" s="10" t="s">
        <v>102</v>
      </c>
      <c r="N1742" s="124" t="s">
        <v>326</v>
      </c>
      <c r="O1742" s="124" t="s">
        <v>326</v>
      </c>
      <c r="P1742" s="21">
        <v>34</v>
      </c>
      <c r="Q1742" s="10" t="s">
        <v>54</v>
      </c>
      <c r="R1742" s="10" t="s">
        <v>28</v>
      </c>
      <c r="S1742" s="10"/>
      <c r="T1742" s="10"/>
      <c r="U1742" s="10" t="s">
        <v>954</v>
      </c>
      <c r="V1742" s="10" t="s">
        <v>954</v>
      </c>
      <c r="W1742" s="50">
        <f>+J1742/$W$2</f>
        <v>6.3069367204750875E-5</v>
      </c>
    </row>
    <row r="1743" spans="1:29">
      <c r="A1743" s="10" t="s">
        <v>604</v>
      </c>
      <c r="B1743" s="10" t="s">
        <v>381</v>
      </c>
      <c r="C1743" s="124">
        <v>46352</v>
      </c>
      <c r="D1743" s="124" t="s">
        <v>492</v>
      </c>
      <c r="E1743" s="21">
        <v>0.94874201999999996</v>
      </c>
      <c r="F1743" s="10"/>
      <c r="G1743" s="14">
        <v>5000300.25</v>
      </c>
      <c r="H1743" s="14">
        <v>4743994.9400000004</v>
      </c>
      <c r="I1743" s="14">
        <v>5000300.25</v>
      </c>
      <c r="J1743" s="14">
        <v>4743994.9400000004</v>
      </c>
      <c r="K1743" s="12">
        <v>362</v>
      </c>
      <c r="L1743" s="10" t="s">
        <v>101</v>
      </c>
      <c r="M1743" s="10" t="s">
        <v>102</v>
      </c>
      <c r="N1743" s="124" t="s">
        <v>326</v>
      </c>
      <c r="O1743" s="124" t="s">
        <v>326</v>
      </c>
      <c r="P1743" s="21">
        <v>34</v>
      </c>
      <c r="Q1743" s="10" t="s">
        <v>54</v>
      </c>
      <c r="R1743" s="10" t="s">
        <v>28</v>
      </c>
      <c r="S1743" s="10"/>
      <c r="T1743" s="10"/>
      <c r="U1743" s="10" t="s">
        <v>955</v>
      </c>
      <c r="V1743" s="10" t="s">
        <v>955</v>
      </c>
      <c r="W1743" s="50">
        <f>+J1743/$W$2</f>
        <v>6.3069367204750875E-5</v>
      </c>
    </row>
    <row r="1744" spans="1:29">
      <c r="A1744" s="10" t="s">
        <v>607</v>
      </c>
      <c r="B1744" s="10" t="s">
        <v>381</v>
      </c>
      <c r="C1744" s="124">
        <v>46352</v>
      </c>
      <c r="D1744" s="124" t="s">
        <v>492</v>
      </c>
      <c r="E1744" s="21">
        <v>0.95017465000000001</v>
      </c>
      <c r="F1744" s="10"/>
      <c r="G1744" s="14">
        <v>1500000</v>
      </c>
      <c r="H1744" s="14">
        <v>1425261.98</v>
      </c>
      <c r="I1744" s="14">
        <v>1500000</v>
      </c>
      <c r="J1744" s="14">
        <v>1425261.98</v>
      </c>
      <c r="K1744" s="12">
        <v>585</v>
      </c>
      <c r="L1744" s="10" t="s">
        <v>101</v>
      </c>
      <c r="M1744" s="10" t="s">
        <v>102</v>
      </c>
      <c r="N1744" s="124" t="s">
        <v>434</v>
      </c>
      <c r="O1744" s="124" t="s">
        <v>434</v>
      </c>
      <c r="P1744" s="21">
        <v>33</v>
      </c>
      <c r="Q1744" s="10" t="s">
        <v>54</v>
      </c>
      <c r="R1744" s="10" t="s">
        <v>28</v>
      </c>
      <c r="S1744" s="10"/>
      <c r="T1744" s="10"/>
      <c r="U1744" s="10" t="s">
        <v>2928</v>
      </c>
      <c r="V1744" s="10" t="s">
        <v>2928</v>
      </c>
      <c r="W1744" s="50">
        <f>+J1744/$W$2</f>
        <v>1.8948243477593232E-5</v>
      </c>
    </row>
    <row r="1745" spans="1:29">
      <c r="A1745" s="10" t="s">
        <v>607</v>
      </c>
      <c r="B1745" s="10" t="s">
        <v>381</v>
      </c>
      <c r="C1745" s="124">
        <v>46352</v>
      </c>
      <c r="D1745" s="124" t="s">
        <v>492</v>
      </c>
      <c r="E1745" s="21">
        <v>0.95017465000000001</v>
      </c>
      <c r="F1745" s="10"/>
      <c r="G1745" s="14">
        <v>1500000</v>
      </c>
      <c r="H1745" s="14">
        <v>1425261.98</v>
      </c>
      <c r="I1745" s="14">
        <v>1500000</v>
      </c>
      <c r="J1745" s="14">
        <v>1425261.98</v>
      </c>
      <c r="K1745" s="12">
        <v>586</v>
      </c>
      <c r="L1745" s="10" t="s">
        <v>101</v>
      </c>
      <c r="M1745" s="10" t="s">
        <v>102</v>
      </c>
      <c r="N1745" s="124" t="s">
        <v>434</v>
      </c>
      <c r="O1745" s="124" t="s">
        <v>434</v>
      </c>
      <c r="P1745" s="21">
        <v>33</v>
      </c>
      <c r="Q1745" s="10" t="s">
        <v>54</v>
      </c>
      <c r="R1745" s="10" t="s">
        <v>28</v>
      </c>
      <c r="S1745" s="10"/>
      <c r="T1745" s="10"/>
      <c r="U1745" s="10" t="s">
        <v>2931</v>
      </c>
      <c r="V1745" s="10" t="s">
        <v>2931</v>
      </c>
      <c r="W1745" s="50">
        <f>+J1745/$W$2</f>
        <v>1.8948243477593232E-5</v>
      </c>
    </row>
    <row r="1746" spans="1:29">
      <c r="A1746" s="10" t="s">
        <v>1728</v>
      </c>
      <c r="B1746" s="10" t="s">
        <v>381</v>
      </c>
      <c r="C1746" s="124">
        <v>46352</v>
      </c>
      <c r="D1746" s="124" t="s">
        <v>492</v>
      </c>
      <c r="E1746" s="21">
        <v>0.95017446000000005</v>
      </c>
      <c r="F1746" s="10"/>
      <c r="G1746" s="14">
        <v>20000194</v>
      </c>
      <c r="H1746" s="14">
        <v>19003673.559999999</v>
      </c>
      <c r="I1746" s="14">
        <v>20000194</v>
      </c>
      <c r="J1746" s="14">
        <v>19003673.559999999</v>
      </c>
      <c r="K1746" s="12">
        <v>732</v>
      </c>
      <c r="L1746" s="10" t="s">
        <v>101</v>
      </c>
      <c r="M1746" s="10" t="s">
        <v>102</v>
      </c>
      <c r="N1746" s="124" t="s">
        <v>425</v>
      </c>
      <c r="O1746" s="124" t="s">
        <v>425</v>
      </c>
      <c r="P1746" s="21">
        <v>33</v>
      </c>
      <c r="Q1746" s="10" t="s">
        <v>54</v>
      </c>
      <c r="R1746" s="10" t="s">
        <v>28</v>
      </c>
      <c r="S1746" s="10"/>
      <c r="T1746" s="10"/>
      <c r="U1746" s="10" t="s">
        <v>1717</v>
      </c>
      <c r="V1746" s="10" t="s">
        <v>1717</v>
      </c>
      <c r="W1746" s="50">
        <f>+J1746/$W$2</f>
        <v>2.5264564594895103E-4</v>
      </c>
    </row>
    <row r="1747" spans="1:29">
      <c r="A1747" s="10" t="s">
        <v>741</v>
      </c>
      <c r="B1747" s="10" t="s">
        <v>381</v>
      </c>
      <c r="C1747" s="124">
        <v>46352</v>
      </c>
      <c r="D1747" s="124" t="s">
        <v>492</v>
      </c>
      <c r="E1747" s="21">
        <v>0.96179183999999995</v>
      </c>
      <c r="F1747" s="10"/>
      <c r="G1747" s="14">
        <v>19922304</v>
      </c>
      <c r="H1747" s="14">
        <v>19161109.399999999</v>
      </c>
      <c r="I1747" s="14">
        <v>19922304</v>
      </c>
      <c r="J1747" s="14">
        <v>19161109.399999999</v>
      </c>
      <c r="K1747" s="12">
        <v>67863958</v>
      </c>
      <c r="L1747" s="10" t="s">
        <v>101</v>
      </c>
      <c r="M1747" s="10" t="s">
        <v>102</v>
      </c>
      <c r="N1747" s="124" t="s">
        <v>360</v>
      </c>
      <c r="O1747" s="124" t="s">
        <v>360</v>
      </c>
      <c r="P1747" s="21">
        <v>25</v>
      </c>
      <c r="Q1747" s="10" t="s">
        <v>54</v>
      </c>
      <c r="R1747" s="10" t="s">
        <v>28</v>
      </c>
      <c r="S1747" s="10"/>
      <c r="T1747" s="10"/>
      <c r="U1747" s="10" t="s">
        <v>739</v>
      </c>
      <c r="V1747" s="10" t="s">
        <v>739</v>
      </c>
      <c r="W1747" s="50">
        <f>+J1747/$W$2</f>
        <v>2.5473868755833949E-4</v>
      </c>
    </row>
    <row r="1748" spans="1:29">
      <c r="A1748" s="10" t="s">
        <v>392</v>
      </c>
      <c r="B1748" s="10" t="s">
        <v>381</v>
      </c>
      <c r="C1748" s="124">
        <v>46352</v>
      </c>
      <c r="D1748" s="124" t="s">
        <v>492</v>
      </c>
      <c r="E1748" s="21">
        <v>0.94874203999999995</v>
      </c>
      <c r="F1748" s="10"/>
      <c r="G1748" s="14">
        <v>4000000</v>
      </c>
      <c r="H1748" s="14">
        <v>3794968.16</v>
      </c>
      <c r="I1748" s="14">
        <v>4000000</v>
      </c>
      <c r="J1748" s="14">
        <v>3794968.16</v>
      </c>
      <c r="K1748" s="12">
        <v>90000053</v>
      </c>
      <c r="L1748" s="10" t="s">
        <v>101</v>
      </c>
      <c r="M1748" s="10" t="s">
        <v>102</v>
      </c>
      <c r="N1748" s="124" t="s">
        <v>331</v>
      </c>
      <c r="O1748" s="124" t="s">
        <v>331</v>
      </c>
      <c r="P1748" s="21">
        <v>34</v>
      </c>
      <c r="Q1748" s="10" t="s">
        <v>54</v>
      </c>
      <c r="R1748" s="10" t="s">
        <v>28</v>
      </c>
      <c r="S1748" s="10"/>
      <c r="T1748" s="10"/>
      <c r="U1748" s="10" t="s">
        <v>698</v>
      </c>
      <c r="V1748" s="10" t="s">
        <v>698</v>
      </c>
      <c r="W1748" s="50">
        <f>+J1748/$W$2</f>
        <v>5.0452465367380384E-5</v>
      </c>
    </row>
    <row r="1749" spans="1:29">
      <c r="A1749" s="10" t="s">
        <v>465</v>
      </c>
      <c r="B1749" s="10" t="s">
        <v>381</v>
      </c>
      <c r="C1749" s="124">
        <v>46352</v>
      </c>
      <c r="D1749" s="124" t="s">
        <v>492</v>
      </c>
      <c r="E1749" s="21">
        <v>0.94874199000000004</v>
      </c>
      <c r="F1749" s="10"/>
      <c r="G1749" s="14">
        <v>10000000</v>
      </c>
      <c r="H1749" s="14">
        <v>9487419.8900000006</v>
      </c>
      <c r="I1749" s="14">
        <v>10000000</v>
      </c>
      <c r="J1749" s="14">
        <v>9487419.8900000006</v>
      </c>
      <c r="K1749" s="12">
        <v>14284517</v>
      </c>
      <c r="L1749" s="10" t="s">
        <v>101</v>
      </c>
      <c r="M1749" s="10" t="s">
        <v>102</v>
      </c>
      <c r="N1749" s="124" t="s">
        <v>425</v>
      </c>
      <c r="O1749" s="124" t="s">
        <v>425</v>
      </c>
      <c r="P1749" s="21">
        <v>34</v>
      </c>
      <c r="Q1749" s="10" t="s">
        <v>54</v>
      </c>
      <c r="R1749" s="10" t="s">
        <v>28</v>
      </c>
      <c r="S1749" s="10"/>
      <c r="T1749" s="10"/>
      <c r="U1749" s="10" t="s">
        <v>1695</v>
      </c>
      <c r="V1749" s="10" t="s">
        <v>1695</v>
      </c>
      <c r="W1749" s="50">
        <f>+J1749/$W$2</f>
        <v>1.2613115663822087E-4</v>
      </c>
    </row>
    <row r="1750" spans="1:29">
      <c r="A1750" s="10" t="s">
        <v>465</v>
      </c>
      <c r="B1750" s="10" t="s">
        <v>381</v>
      </c>
      <c r="C1750" s="124">
        <v>46352</v>
      </c>
      <c r="D1750" s="124" t="s">
        <v>492</v>
      </c>
      <c r="E1750" s="21">
        <v>0.95161130999999999</v>
      </c>
      <c r="F1750" s="10"/>
      <c r="G1750" s="14">
        <v>10000000</v>
      </c>
      <c r="H1750" s="14">
        <v>9516113.0600000005</v>
      </c>
      <c r="I1750" s="14">
        <v>10000000</v>
      </c>
      <c r="J1750" s="14">
        <v>9516113.0600000005</v>
      </c>
      <c r="K1750" s="12">
        <v>14422579</v>
      </c>
      <c r="L1750" s="10" t="s">
        <v>101</v>
      </c>
      <c r="M1750" s="10" t="s">
        <v>102</v>
      </c>
      <c r="N1750" s="124" t="s">
        <v>164</v>
      </c>
      <c r="O1750" s="124" t="s">
        <v>164</v>
      </c>
      <c r="P1750" s="21">
        <v>32</v>
      </c>
      <c r="Q1750" s="10" t="s">
        <v>54</v>
      </c>
      <c r="R1750" s="10" t="s">
        <v>28</v>
      </c>
      <c r="S1750" s="10"/>
      <c r="T1750" s="10"/>
      <c r="U1750" s="10" t="s">
        <v>1970</v>
      </c>
      <c r="V1750" s="10" t="s">
        <v>1970</v>
      </c>
      <c r="W1750" s="50">
        <f>+J1750/$W$2</f>
        <v>1.2651261996140861E-4</v>
      </c>
      <c r="AC1750" s="47"/>
    </row>
    <row r="1751" spans="1:29">
      <c r="A1751" s="10" t="s">
        <v>2915</v>
      </c>
      <c r="B1751" s="10" t="s">
        <v>381</v>
      </c>
      <c r="C1751" s="124">
        <v>46352</v>
      </c>
      <c r="D1751" s="124" t="s">
        <v>492</v>
      </c>
      <c r="E1751" s="21">
        <v>0.96032415000000004</v>
      </c>
      <c r="F1751" s="10"/>
      <c r="G1751" s="14">
        <v>8752704.4100000001</v>
      </c>
      <c r="H1751" s="14">
        <v>8405433.3800000008</v>
      </c>
      <c r="I1751" s="14">
        <v>8752704.4100000001</v>
      </c>
      <c r="J1751" s="14">
        <v>8405433.3800000008</v>
      </c>
      <c r="K1751" s="12">
        <v>69934156</v>
      </c>
      <c r="L1751" s="10" t="s">
        <v>101</v>
      </c>
      <c r="M1751" s="10" t="s">
        <v>102</v>
      </c>
      <c r="N1751" s="124" t="s">
        <v>531</v>
      </c>
      <c r="O1751" s="124" t="s">
        <v>531</v>
      </c>
      <c r="P1751" s="21">
        <v>26</v>
      </c>
      <c r="Q1751" s="10" t="s">
        <v>54</v>
      </c>
      <c r="R1751" s="10" t="s">
        <v>28</v>
      </c>
      <c r="S1751" s="10"/>
      <c r="T1751" s="10"/>
      <c r="U1751" s="10" t="s">
        <v>3375</v>
      </c>
      <c r="V1751" s="10" t="s">
        <v>3375</v>
      </c>
      <c r="W1751" s="50">
        <f>+J1751/$W$2</f>
        <v>1.1174661252026764E-4</v>
      </c>
    </row>
    <row r="1752" spans="1:29">
      <c r="A1752" s="10" t="s">
        <v>2915</v>
      </c>
      <c r="B1752" s="10" t="s">
        <v>381</v>
      </c>
      <c r="C1752" s="124">
        <v>46352</v>
      </c>
      <c r="D1752" s="124" t="s">
        <v>492</v>
      </c>
      <c r="E1752" s="21">
        <v>0.96032415000000004</v>
      </c>
      <c r="F1752" s="10"/>
      <c r="G1752" s="14">
        <v>1159427.3899999999</v>
      </c>
      <c r="H1752" s="14">
        <v>1113426.1200000001</v>
      </c>
      <c r="I1752" s="14">
        <v>1159427.3899999999</v>
      </c>
      <c r="J1752" s="14">
        <v>1113426.1200000001</v>
      </c>
      <c r="K1752" s="12">
        <v>14587450</v>
      </c>
      <c r="L1752" s="10" t="s">
        <v>101</v>
      </c>
      <c r="M1752" s="10" t="s">
        <v>102</v>
      </c>
      <c r="N1752" s="124" t="s">
        <v>531</v>
      </c>
      <c r="O1752" s="124" t="s">
        <v>531</v>
      </c>
      <c r="P1752" s="21">
        <v>26</v>
      </c>
      <c r="Q1752" s="10" t="s">
        <v>54</v>
      </c>
      <c r="R1752" s="10" t="s">
        <v>28</v>
      </c>
      <c r="S1752" s="10"/>
      <c r="T1752" s="10"/>
      <c r="U1752" s="10" t="s">
        <v>3377</v>
      </c>
      <c r="V1752" s="10" t="s">
        <v>3377</v>
      </c>
      <c r="W1752" s="50">
        <f>+J1752/$W$2</f>
        <v>1.4802520176727047E-5</v>
      </c>
    </row>
    <row r="1753" spans="1:29">
      <c r="A1753" s="10" t="s">
        <v>426</v>
      </c>
      <c r="B1753" s="10" t="s">
        <v>381</v>
      </c>
      <c r="C1753" s="124">
        <v>46352</v>
      </c>
      <c r="D1753" s="124" t="s">
        <v>492</v>
      </c>
      <c r="E1753" s="21">
        <v>0.95522242999999996</v>
      </c>
      <c r="F1753" s="10"/>
      <c r="G1753" s="14">
        <v>5633315</v>
      </c>
      <c r="H1753" s="14">
        <v>5381068.8399999999</v>
      </c>
      <c r="I1753" s="14">
        <v>5633315</v>
      </c>
      <c r="J1753" s="14">
        <v>5381068.8399999999</v>
      </c>
      <c r="K1753" s="12">
        <v>69874605</v>
      </c>
      <c r="L1753" s="10" t="s">
        <v>101</v>
      </c>
      <c r="M1753" s="10" t="s">
        <v>102</v>
      </c>
      <c r="N1753" s="124" t="s">
        <v>472</v>
      </c>
      <c r="O1753" s="124" t="s">
        <v>472</v>
      </c>
      <c r="P1753" s="21">
        <v>29.5</v>
      </c>
      <c r="Q1753" s="10" t="s">
        <v>54</v>
      </c>
      <c r="R1753" s="10" t="s">
        <v>28</v>
      </c>
      <c r="S1753" s="10"/>
      <c r="T1753" s="10"/>
      <c r="U1753" s="10" t="s">
        <v>3160</v>
      </c>
      <c r="V1753" s="10" t="s">
        <v>3160</v>
      </c>
      <c r="W1753" s="50">
        <f>+J1753/$W$2</f>
        <v>7.1538990010812023E-5</v>
      </c>
    </row>
    <row r="1754" spans="1:29">
      <c r="A1754" s="10" t="s">
        <v>382</v>
      </c>
      <c r="B1754" s="10" t="s">
        <v>381</v>
      </c>
      <c r="C1754" s="124">
        <v>46352</v>
      </c>
      <c r="D1754" s="124" t="s">
        <v>492</v>
      </c>
      <c r="E1754" s="21">
        <v>0.95017457999999999</v>
      </c>
      <c r="F1754" s="10"/>
      <c r="G1754" s="14">
        <v>2500000</v>
      </c>
      <c r="H1754" s="14">
        <v>2375436.44</v>
      </c>
      <c r="I1754" s="14">
        <v>2500000</v>
      </c>
      <c r="J1754" s="14">
        <v>2375436.44</v>
      </c>
      <c r="K1754" s="12">
        <v>1026</v>
      </c>
      <c r="L1754" s="10" t="s">
        <v>101</v>
      </c>
      <c r="M1754" s="10" t="s">
        <v>102</v>
      </c>
      <c r="N1754" s="124" t="s">
        <v>163</v>
      </c>
      <c r="O1754" s="124" t="s">
        <v>163</v>
      </c>
      <c r="P1754" s="21">
        <v>33</v>
      </c>
      <c r="Q1754" s="10" t="s">
        <v>54</v>
      </c>
      <c r="R1754" s="10" t="s">
        <v>28</v>
      </c>
      <c r="S1754" s="10"/>
      <c r="T1754" s="10"/>
      <c r="U1754" s="10" t="s">
        <v>1650</v>
      </c>
      <c r="V1754" s="10" t="s">
        <v>1650</v>
      </c>
      <c r="W1754" s="50">
        <f>+J1754/$W$2</f>
        <v>3.1580403225705415E-5</v>
      </c>
    </row>
    <row r="1755" spans="1:29">
      <c r="A1755" s="10" t="s">
        <v>3454</v>
      </c>
      <c r="B1755" s="10" t="s">
        <v>381</v>
      </c>
      <c r="C1755" s="124">
        <v>46352</v>
      </c>
      <c r="D1755" s="124" t="s">
        <v>492</v>
      </c>
      <c r="E1755" s="21">
        <v>0.95017441999999996</v>
      </c>
      <c r="F1755" s="10"/>
      <c r="G1755" s="14">
        <v>16500000</v>
      </c>
      <c r="H1755" s="14">
        <v>15677877.93</v>
      </c>
      <c r="I1755" s="14">
        <v>16500000</v>
      </c>
      <c r="J1755" s="14">
        <v>15677877.93</v>
      </c>
      <c r="K1755" s="12">
        <v>70007327</v>
      </c>
      <c r="L1755" s="10" t="s">
        <v>101</v>
      </c>
      <c r="M1755" s="10" t="s">
        <v>102</v>
      </c>
      <c r="N1755" s="124" t="s">
        <v>531</v>
      </c>
      <c r="O1755" s="124" t="s">
        <v>531</v>
      </c>
      <c r="P1755" s="21">
        <v>33</v>
      </c>
      <c r="Q1755" s="10" t="s">
        <v>54</v>
      </c>
      <c r="R1755" s="10" t="s">
        <v>28</v>
      </c>
      <c r="S1755" s="10"/>
      <c r="T1755" s="10"/>
      <c r="U1755" s="10" t="s">
        <v>3445</v>
      </c>
      <c r="V1755" s="10" t="s">
        <v>3445</v>
      </c>
      <c r="W1755" s="50">
        <f>+J1755/$W$2</f>
        <v>2.0843062706943558E-4</v>
      </c>
    </row>
    <row r="1756" spans="1:29">
      <c r="A1756" s="10" t="s">
        <v>3577</v>
      </c>
      <c r="B1756" s="10" t="s">
        <v>381</v>
      </c>
      <c r="C1756" s="124">
        <v>46352</v>
      </c>
      <c r="D1756" s="124" t="s">
        <v>492</v>
      </c>
      <c r="E1756" s="21">
        <v>0.95449793999999999</v>
      </c>
      <c r="F1756" s="10"/>
      <c r="G1756" s="14">
        <v>3535037.55</v>
      </c>
      <c r="H1756" s="14">
        <v>3374186.05</v>
      </c>
      <c r="I1756" s="14">
        <v>3535037.55</v>
      </c>
      <c r="J1756" s="14">
        <v>3374186.05</v>
      </c>
      <c r="K1756" s="12">
        <v>3658346</v>
      </c>
      <c r="L1756" s="10" t="s">
        <v>101</v>
      </c>
      <c r="M1756" s="10" t="s">
        <v>102</v>
      </c>
      <c r="N1756" s="124" t="s">
        <v>492</v>
      </c>
      <c r="O1756" s="124" t="s">
        <v>492</v>
      </c>
      <c r="P1756" s="21">
        <v>30</v>
      </c>
      <c r="Q1756" s="10" t="s">
        <v>54</v>
      </c>
      <c r="R1756" s="10" t="s">
        <v>28</v>
      </c>
      <c r="S1756" s="10"/>
      <c r="T1756" s="10"/>
      <c r="U1756" s="10" t="s">
        <v>3550</v>
      </c>
      <c r="V1756" s="10" t="s">
        <v>3550</v>
      </c>
      <c r="W1756" s="50">
        <f>+J1756/$W$2</f>
        <v>4.4858348648364678E-5</v>
      </c>
    </row>
    <row r="1757" spans="1:29">
      <c r="A1757" s="10" t="s">
        <v>477</v>
      </c>
      <c r="B1757" s="10" t="s">
        <v>381</v>
      </c>
      <c r="C1757" s="124">
        <v>46353</v>
      </c>
      <c r="D1757" s="124" t="s">
        <v>492</v>
      </c>
      <c r="E1757" s="21">
        <v>0.95228164999999998</v>
      </c>
      <c r="F1757" s="10"/>
      <c r="G1757" s="14">
        <v>60000000</v>
      </c>
      <c r="H1757" s="14">
        <v>57136898.840000004</v>
      </c>
      <c r="I1757" s="14">
        <v>60000000</v>
      </c>
      <c r="J1757" s="14">
        <v>57136898.840000004</v>
      </c>
      <c r="K1757" s="12">
        <v>80939923</v>
      </c>
      <c r="L1757" s="10" t="s">
        <v>101</v>
      </c>
      <c r="M1757" s="10" t="s">
        <v>102</v>
      </c>
      <c r="N1757" s="124" t="s">
        <v>390</v>
      </c>
      <c r="O1757" s="124" t="s">
        <v>390</v>
      </c>
      <c r="P1757" s="21">
        <v>31</v>
      </c>
      <c r="Q1757" s="10" t="s">
        <v>54</v>
      </c>
      <c r="R1757" s="10" t="s">
        <v>28</v>
      </c>
      <c r="S1757" s="10"/>
      <c r="T1757" s="10"/>
      <c r="U1757" s="10" t="s">
        <v>2025</v>
      </c>
      <c r="V1757" s="10" t="s">
        <v>2025</v>
      </c>
      <c r="W1757" s="50">
        <f>+J1757/$W$2</f>
        <v>7.5961043370772747E-4</v>
      </c>
    </row>
    <row r="1758" spans="1:29">
      <c r="A1758" s="10" t="s">
        <v>477</v>
      </c>
      <c r="B1758" s="10" t="s">
        <v>381</v>
      </c>
      <c r="C1758" s="124">
        <v>46353</v>
      </c>
      <c r="D1758" s="124" t="s">
        <v>492</v>
      </c>
      <c r="E1758" s="21">
        <v>0.95374979000000004</v>
      </c>
      <c r="F1758" s="10"/>
      <c r="G1758" s="14">
        <v>5000000</v>
      </c>
      <c r="H1758" s="14">
        <v>4768748.96</v>
      </c>
      <c r="I1758" s="14">
        <v>5000000</v>
      </c>
      <c r="J1758" s="14">
        <v>4768748.96</v>
      </c>
      <c r="K1758" s="12">
        <v>40810978</v>
      </c>
      <c r="L1758" s="10" t="s">
        <v>101</v>
      </c>
      <c r="M1758" s="10" t="s">
        <v>102</v>
      </c>
      <c r="N1758" s="124" t="s">
        <v>677</v>
      </c>
      <c r="O1758" s="124" t="s">
        <v>677</v>
      </c>
      <c r="P1758" s="21">
        <v>30</v>
      </c>
      <c r="Q1758" s="10" t="s">
        <v>54</v>
      </c>
      <c r="R1758" s="10" t="s">
        <v>28</v>
      </c>
      <c r="S1758" s="10"/>
      <c r="T1758" s="10"/>
      <c r="U1758" s="10" t="s">
        <v>3285</v>
      </c>
      <c r="V1758" s="10" t="s">
        <v>3285</v>
      </c>
      <c r="W1758" s="50">
        <f>+J1758/$W$2</f>
        <v>6.3398461227176994E-5</v>
      </c>
      <c r="AC1758" s="47"/>
    </row>
    <row r="1759" spans="1:29">
      <c r="A1759" s="10" t="s">
        <v>477</v>
      </c>
      <c r="B1759" s="10" t="s">
        <v>381</v>
      </c>
      <c r="C1759" s="124">
        <v>46353</v>
      </c>
      <c r="D1759" s="124" t="s">
        <v>492</v>
      </c>
      <c r="E1759" s="21">
        <v>0.95522249999999997</v>
      </c>
      <c r="F1759" s="10"/>
      <c r="G1759" s="14">
        <v>5000000</v>
      </c>
      <c r="H1759" s="14">
        <v>4776112.5</v>
      </c>
      <c r="I1759" s="14">
        <v>5000000</v>
      </c>
      <c r="J1759" s="14">
        <v>4776112.5</v>
      </c>
      <c r="K1759" s="12">
        <v>11485</v>
      </c>
      <c r="L1759" s="10" t="s">
        <v>101</v>
      </c>
      <c r="M1759" s="10" t="s">
        <v>102</v>
      </c>
      <c r="N1759" s="124" t="s">
        <v>486</v>
      </c>
      <c r="O1759" s="124" t="s">
        <v>486</v>
      </c>
      <c r="P1759" s="21">
        <v>29</v>
      </c>
      <c r="Q1759" s="10" t="s">
        <v>54</v>
      </c>
      <c r="R1759" s="10" t="s">
        <v>28</v>
      </c>
      <c r="S1759" s="10"/>
      <c r="T1759" s="10"/>
      <c r="U1759" s="10" t="s">
        <v>2816</v>
      </c>
      <c r="V1759" s="10" t="s">
        <v>2816</v>
      </c>
      <c r="W1759" s="50">
        <f>+J1759/$W$2</f>
        <v>6.349635631645524E-5</v>
      </c>
      <c r="AC1759" s="47"/>
    </row>
    <row r="1760" spans="1:29">
      <c r="A1760" s="10" t="s">
        <v>477</v>
      </c>
      <c r="B1760" s="10" t="s">
        <v>381</v>
      </c>
      <c r="C1760" s="124">
        <v>46353</v>
      </c>
      <c r="D1760" s="124" t="s">
        <v>492</v>
      </c>
      <c r="E1760" s="21">
        <v>0.95522249999999997</v>
      </c>
      <c r="F1760" s="10"/>
      <c r="G1760" s="14">
        <v>5000000</v>
      </c>
      <c r="H1760" s="14">
        <v>4776112.5</v>
      </c>
      <c r="I1760" s="14">
        <v>5000000</v>
      </c>
      <c r="J1760" s="14">
        <v>4776112.5</v>
      </c>
      <c r="K1760" s="12">
        <v>11486</v>
      </c>
      <c r="L1760" s="10" t="s">
        <v>101</v>
      </c>
      <c r="M1760" s="10" t="s">
        <v>102</v>
      </c>
      <c r="N1760" s="124" t="s">
        <v>486</v>
      </c>
      <c r="O1760" s="124" t="s">
        <v>486</v>
      </c>
      <c r="P1760" s="21">
        <v>29</v>
      </c>
      <c r="Q1760" s="10" t="s">
        <v>54</v>
      </c>
      <c r="R1760" s="10" t="s">
        <v>28</v>
      </c>
      <c r="S1760" s="10"/>
      <c r="T1760" s="10"/>
      <c r="U1760" s="10" t="s">
        <v>2825</v>
      </c>
      <c r="V1760" s="10" t="s">
        <v>2825</v>
      </c>
      <c r="W1760" s="50">
        <f>+J1760/$W$2</f>
        <v>6.349635631645524E-5</v>
      </c>
    </row>
    <row r="1761" spans="1:23">
      <c r="A1761" s="10" t="s">
        <v>477</v>
      </c>
      <c r="B1761" s="10" t="s">
        <v>381</v>
      </c>
      <c r="C1761" s="124">
        <v>46353</v>
      </c>
      <c r="D1761" s="124" t="s">
        <v>492</v>
      </c>
      <c r="E1761" s="21">
        <v>0.95522249999999997</v>
      </c>
      <c r="F1761" s="10"/>
      <c r="G1761" s="14">
        <v>5000000</v>
      </c>
      <c r="H1761" s="14">
        <v>4776112.5</v>
      </c>
      <c r="I1761" s="14">
        <v>5000000</v>
      </c>
      <c r="J1761" s="14">
        <v>4776112.5</v>
      </c>
      <c r="K1761" s="12">
        <v>11484</v>
      </c>
      <c r="L1761" s="10" t="s">
        <v>101</v>
      </c>
      <c r="M1761" s="10" t="s">
        <v>102</v>
      </c>
      <c r="N1761" s="124" t="s">
        <v>486</v>
      </c>
      <c r="O1761" s="124" t="s">
        <v>486</v>
      </c>
      <c r="P1761" s="21">
        <v>29</v>
      </c>
      <c r="Q1761" s="10" t="s">
        <v>54</v>
      </c>
      <c r="R1761" s="10" t="s">
        <v>28</v>
      </c>
      <c r="S1761" s="10"/>
      <c r="T1761" s="10"/>
      <c r="U1761" s="10" t="s">
        <v>2826</v>
      </c>
      <c r="V1761" s="10" t="s">
        <v>2826</v>
      </c>
      <c r="W1761" s="50">
        <f>+J1761/$W$2</f>
        <v>6.349635631645524E-5</v>
      </c>
    </row>
    <row r="1762" spans="1:23">
      <c r="A1762" s="10" t="s">
        <v>477</v>
      </c>
      <c r="B1762" s="10" t="s">
        <v>381</v>
      </c>
      <c r="C1762" s="124">
        <v>46353</v>
      </c>
      <c r="D1762" s="124" t="s">
        <v>492</v>
      </c>
      <c r="E1762" s="21">
        <v>0.95818146999999998</v>
      </c>
      <c r="F1762" s="10"/>
      <c r="G1762" s="14">
        <v>5000000</v>
      </c>
      <c r="H1762" s="14">
        <v>4790907.33</v>
      </c>
      <c r="I1762" s="14">
        <v>5000000</v>
      </c>
      <c r="J1762" s="14">
        <v>4790907.33</v>
      </c>
      <c r="K1762" s="12">
        <v>40740208</v>
      </c>
      <c r="L1762" s="10" t="s">
        <v>101</v>
      </c>
      <c r="M1762" s="10" t="s">
        <v>102</v>
      </c>
      <c r="N1762" s="124" t="s">
        <v>486</v>
      </c>
      <c r="O1762" s="124" t="s">
        <v>486</v>
      </c>
      <c r="P1762" s="21">
        <v>27</v>
      </c>
      <c r="Q1762" s="10" t="s">
        <v>54</v>
      </c>
      <c r="R1762" s="10" t="s">
        <v>28</v>
      </c>
      <c r="S1762" s="10"/>
      <c r="T1762" s="10"/>
      <c r="U1762" s="10" t="s">
        <v>2902</v>
      </c>
      <c r="V1762" s="10" t="s">
        <v>2902</v>
      </c>
      <c r="W1762" s="50">
        <f>+J1762/$W$2</f>
        <v>6.3693047202049196E-5</v>
      </c>
    </row>
    <row r="1763" spans="1:23">
      <c r="A1763" s="10" t="s">
        <v>477</v>
      </c>
      <c r="B1763" s="10" t="s">
        <v>381</v>
      </c>
      <c r="C1763" s="124">
        <v>46353</v>
      </c>
      <c r="D1763" s="124" t="s">
        <v>492</v>
      </c>
      <c r="E1763" s="21">
        <v>0.95818146999999998</v>
      </c>
      <c r="F1763" s="10"/>
      <c r="G1763" s="14">
        <v>5000000</v>
      </c>
      <c r="H1763" s="14">
        <v>4790907.33</v>
      </c>
      <c r="I1763" s="14">
        <v>5000000</v>
      </c>
      <c r="J1763" s="14">
        <v>4790907.33</v>
      </c>
      <c r="K1763" s="12">
        <v>40740201</v>
      </c>
      <c r="L1763" s="10" t="s">
        <v>101</v>
      </c>
      <c r="M1763" s="10" t="s">
        <v>102</v>
      </c>
      <c r="N1763" s="124" t="s">
        <v>486</v>
      </c>
      <c r="O1763" s="124" t="s">
        <v>486</v>
      </c>
      <c r="P1763" s="21">
        <v>27</v>
      </c>
      <c r="Q1763" s="10" t="s">
        <v>54</v>
      </c>
      <c r="R1763" s="10" t="s">
        <v>28</v>
      </c>
      <c r="S1763" s="10"/>
      <c r="T1763" s="10"/>
      <c r="U1763" s="10" t="s">
        <v>2903</v>
      </c>
      <c r="V1763" s="10" t="s">
        <v>2903</v>
      </c>
      <c r="W1763" s="50">
        <f>+J1763/$W$2</f>
        <v>6.3693047202049196E-5</v>
      </c>
    </row>
    <row r="1764" spans="1:23">
      <c r="A1764" s="10" t="s">
        <v>2416</v>
      </c>
      <c r="B1764" s="10" t="s">
        <v>381</v>
      </c>
      <c r="C1764" s="124">
        <v>46353</v>
      </c>
      <c r="D1764" s="124" t="s">
        <v>492</v>
      </c>
      <c r="E1764" s="21">
        <v>0.95374985999999995</v>
      </c>
      <c r="F1764" s="10"/>
      <c r="G1764" s="14">
        <v>5577023.0199999996</v>
      </c>
      <c r="H1764" s="14">
        <v>5319084.9400000004</v>
      </c>
      <c r="I1764" s="14">
        <v>5577023.0199999996</v>
      </c>
      <c r="J1764" s="14">
        <v>5319084.9400000004</v>
      </c>
      <c r="K1764" s="12">
        <v>90017211</v>
      </c>
      <c r="L1764" s="10" t="s">
        <v>101</v>
      </c>
      <c r="M1764" s="10" t="s">
        <v>102</v>
      </c>
      <c r="N1764" s="124" t="s">
        <v>552</v>
      </c>
      <c r="O1764" s="124" t="s">
        <v>552</v>
      </c>
      <c r="P1764" s="21">
        <v>30</v>
      </c>
      <c r="Q1764" s="10" t="s">
        <v>54</v>
      </c>
      <c r="R1764" s="10" t="s">
        <v>28</v>
      </c>
      <c r="S1764" s="10"/>
      <c r="T1764" s="10"/>
      <c r="U1764" s="10" t="s">
        <v>2405</v>
      </c>
      <c r="V1764" s="10" t="s">
        <v>2405</v>
      </c>
      <c r="W1764" s="50">
        <f>+J1764/$W$2</f>
        <v>7.0714940786619033E-5</v>
      </c>
    </row>
    <row r="1765" spans="1:23">
      <c r="A1765" s="10" t="s">
        <v>382</v>
      </c>
      <c r="B1765" s="10" t="s">
        <v>381</v>
      </c>
      <c r="C1765" s="124">
        <v>46353</v>
      </c>
      <c r="D1765" s="124" t="s">
        <v>492</v>
      </c>
      <c r="E1765" s="21">
        <v>0.95081800999999999</v>
      </c>
      <c r="F1765" s="10"/>
      <c r="G1765" s="14">
        <v>3000000</v>
      </c>
      <c r="H1765" s="14">
        <v>2852454.04</v>
      </c>
      <c r="I1765" s="14">
        <v>3000000</v>
      </c>
      <c r="J1765" s="14">
        <v>2852454.04</v>
      </c>
      <c r="K1765" s="12">
        <v>1063</v>
      </c>
      <c r="L1765" s="10" t="s">
        <v>101</v>
      </c>
      <c r="M1765" s="10" t="s">
        <v>102</v>
      </c>
      <c r="N1765" s="124" t="s">
        <v>398</v>
      </c>
      <c r="O1765" s="124" t="s">
        <v>398</v>
      </c>
      <c r="P1765" s="21">
        <v>32</v>
      </c>
      <c r="Q1765" s="10" t="s">
        <v>54</v>
      </c>
      <c r="R1765" s="10" t="s">
        <v>28</v>
      </c>
      <c r="S1765" s="10"/>
      <c r="T1765" s="10"/>
      <c r="U1765" s="10" t="s">
        <v>1760</v>
      </c>
      <c r="V1765" s="10" t="s">
        <v>1760</v>
      </c>
      <c r="W1765" s="50">
        <f>+J1765/$W$2</f>
        <v>3.7922146536571797E-5</v>
      </c>
    </row>
    <row r="1766" spans="1:23">
      <c r="A1766" s="10" t="s">
        <v>763</v>
      </c>
      <c r="B1766" s="10" t="s">
        <v>381</v>
      </c>
      <c r="C1766" s="124">
        <v>46353</v>
      </c>
      <c r="D1766" s="124" t="s">
        <v>492</v>
      </c>
      <c r="E1766" s="21">
        <v>0.95966768999999996</v>
      </c>
      <c r="F1766" s="10"/>
      <c r="G1766" s="14">
        <v>3500000</v>
      </c>
      <c r="H1766" s="14">
        <v>3358836.93</v>
      </c>
      <c r="I1766" s="14">
        <v>3500000</v>
      </c>
      <c r="J1766" s="14">
        <v>3358836.93</v>
      </c>
      <c r="K1766" s="12">
        <v>1734</v>
      </c>
      <c r="L1766" s="10" t="s">
        <v>101</v>
      </c>
      <c r="M1766" s="10" t="s">
        <v>102</v>
      </c>
      <c r="N1766" s="124" t="s">
        <v>164</v>
      </c>
      <c r="O1766" s="124" t="s">
        <v>164</v>
      </c>
      <c r="P1766" s="21">
        <v>26</v>
      </c>
      <c r="Q1766" s="10" t="s">
        <v>54</v>
      </c>
      <c r="R1766" s="10" t="s">
        <v>28</v>
      </c>
      <c r="S1766" s="10"/>
      <c r="T1766" s="10"/>
      <c r="U1766" s="10" t="s">
        <v>1996</v>
      </c>
      <c r="V1766" s="10" t="s">
        <v>1996</v>
      </c>
      <c r="W1766" s="50">
        <f>+J1766/$W$2</f>
        <v>4.465428871622028E-5</v>
      </c>
    </row>
    <row r="1767" spans="1:23">
      <c r="A1767" s="10" t="s">
        <v>3269</v>
      </c>
      <c r="B1767" s="10" t="s">
        <v>381</v>
      </c>
      <c r="C1767" s="124">
        <v>46353</v>
      </c>
      <c r="D1767" s="124" t="s">
        <v>492</v>
      </c>
      <c r="E1767" s="21">
        <v>0.95522249999999997</v>
      </c>
      <c r="F1767" s="10"/>
      <c r="G1767" s="14">
        <v>70000000</v>
      </c>
      <c r="H1767" s="14">
        <v>66865575.079999998</v>
      </c>
      <c r="I1767" s="14">
        <v>70000000</v>
      </c>
      <c r="J1767" s="14">
        <v>66865575.079999998</v>
      </c>
      <c r="K1767" s="12">
        <v>83299237</v>
      </c>
      <c r="L1767" s="10" t="s">
        <v>101</v>
      </c>
      <c r="M1767" s="10" t="s">
        <v>102</v>
      </c>
      <c r="N1767" s="124" t="s">
        <v>531</v>
      </c>
      <c r="O1767" s="124" t="s">
        <v>531</v>
      </c>
      <c r="P1767" s="21">
        <v>29</v>
      </c>
      <c r="Q1767" s="10" t="s">
        <v>54</v>
      </c>
      <c r="R1767" s="10" t="s">
        <v>28</v>
      </c>
      <c r="S1767" s="10"/>
      <c r="T1767" s="10"/>
      <c r="U1767" s="10" t="s">
        <v>3370</v>
      </c>
      <c r="V1767" s="10" t="s">
        <v>3370</v>
      </c>
      <c r="W1767" s="50">
        <f>+J1767/$W$2</f>
        <v>8.889489894939388E-4</v>
      </c>
    </row>
    <row r="1768" spans="1:23">
      <c r="A1768" s="10" t="s">
        <v>353</v>
      </c>
      <c r="B1768" s="10" t="s">
        <v>381</v>
      </c>
      <c r="C1768" s="124">
        <v>46353</v>
      </c>
      <c r="D1768" s="124" t="s">
        <v>492</v>
      </c>
      <c r="E1768" s="21">
        <v>0.94645425000000005</v>
      </c>
      <c r="F1768" s="10"/>
      <c r="G1768" s="14">
        <v>4150625.28</v>
      </c>
      <c r="H1768" s="14">
        <v>3928376.94</v>
      </c>
      <c r="I1768" s="14">
        <v>4150625.28</v>
      </c>
      <c r="J1768" s="14">
        <v>3928376.94</v>
      </c>
      <c r="K1768" s="12">
        <v>3484</v>
      </c>
      <c r="L1768" s="10" t="s">
        <v>101</v>
      </c>
      <c r="M1768" s="10" t="s">
        <v>102</v>
      </c>
      <c r="N1768" s="124" t="s">
        <v>486</v>
      </c>
      <c r="O1768" s="124" t="s">
        <v>486</v>
      </c>
      <c r="P1768" s="21">
        <v>35</v>
      </c>
      <c r="Q1768" s="10" t="s">
        <v>54</v>
      </c>
      <c r="R1768" s="10" t="s">
        <v>28</v>
      </c>
      <c r="S1768" s="10"/>
      <c r="T1768" s="10"/>
      <c r="U1768" s="10" t="s">
        <v>2846</v>
      </c>
      <c r="V1768" s="10" t="s">
        <v>2846</v>
      </c>
      <c r="W1768" s="50">
        <f>+J1768/$W$2</f>
        <v>5.2226077574091083E-5</v>
      </c>
    </row>
    <row r="1769" spans="1:23">
      <c r="A1769" s="10" t="s">
        <v>353</v>
      </c>
      <c r="B1769" s="10" t="s">
        <v>381</v>
      </c>
      <c r="C1769" s="124">
        <v>46353</v>
      </c>
      <c r="D1769" s="124" t="s">
        <v>492</v>
      </c>
      <c r="E1769" s="21">
        <v>0.94645425000000005</v>
      </c>
      <c r="F1769" s="10"/>
      <c r="G1769" s="14">
        <v>3256800.5</v>
      </c>
      <c r="H1769" s="14">
        <v>3082412.69</v>
      </c>
      <c r="I1769" s="14">
        <v>3256800.5</v>
      </c>
      <c r="J1769" s="14">
        <v>3082412.69</v>
      </c>
      <c r="K1769" s="12">
        <v>3596</v>
      </c>
      <c r="L1769" s="10" t="s">
        <v>101</v>
      </c>
      <c r="M1769" s="10" t="s">
        <v>102</v>
      </c>
      <c r="N1769" s="124" t="s">
        <v>486</v>
      </c>
      <c r="O1769" s="124" t="s">
        <v>486</v>
      </c>
      <c r="P1769" s="21">
        <v>35</v>
      </c>
      <c r="Q1769" s="10" t="s">
        <v>54</v>
      </c>
      <c r="R1769" s="10" t="s">
        <v>28</v>
      </c>
      <c r="S1769" s="10"/>
      <c r="T1769" s="10"/>
      <c r="U1769" s="10" t="s">
        <v>2847</v>
      </c>
      <c r="V1769" s="10" t="s">
        <v>2847</v>
      </c>
      <c r="W1769" s="50">
        <f>+J1769/$W$2</f>
        <v>4.097934763442094E-5</v>
      </c>
    </row>
    <row r="1770" spans="1:23">
      <c r="A1770" s="10" t="s">
        <v>353</v>
      </c>
      <c r="B1770" s="10" t="s">
        <v>381</v>
      </c>
      <c r="C1770" s="124">
        <v>46353</v>
      </c>
      <c r="D1770" s="124" t="s">
        <v>492</v>
      </c>
      <c r="E1770" s="21">
        <v>0.94645425000000005</v>
      </c>
      <c r="F1770" s="10"/>
      <c r="G1770" s="14">
        <v>3102456.89</v>
      </c>
      <c r="H1770" s="14">
        <v>2936333.52</v>
      </c>
      <c r="I1770" s="14">
        <v>3102456.89</v>
      </c>
      <c r="J1770" s="14">
        <v>2936333.52</v>
      </c>
      <c r="K1770" s="12">
        <v>3516</v>
      </c>
      <c r="L1770" s="10" t="s">
        <v>101</v>
      </c>
      <c r="M1770" s="10" t="s">
        <v>102</v>
      </c>
      <c r="N1770" s="124" t="s">
        <v>486</v>
      </c>
      <c r="O1770" s="124" t="s">
        <v>486</v>
      </c>
      <c r="P1770" s="21">
        <v>35</v>
      </c>
      <c r="Q1770" s="10" t="s">
        <v>54</v>
      </c>
      <c r="R1770" s="10" t="s">
        <v>28</v>
      </c>
      <c r="S1770" s="10"/>
      <c r="T1770" s="10"/>
      <c r="U1770" s="10" t="s">
        <v>2851</v>
      </c>
      <c r="V1770" s="10" t="s">
        <v>2851</v>
      </c>
      <c r="W1770" s="50">
        <f>+J1770/$W$2</f>
        <v>3.9037288055897188E-5</v>
      </c>
    </row>
    <row r="1771" spans="1:23">
      <c r="A1771" s="10" t="s">
        <v>353</v>
      </c>
      <c r="B1771" s="10" t="s">
        <v>381</v>
      </c>
      <c r="C1771" s="124">
        <v>46353</v>
      </c>
      <c r="D1771" s="124" t="s">
        <v>492</v>
      </c>
      <c r="E1771" s="21">
        <v>0.94645407999999998</v>
      </c>
      <c r="F1771" s="10"/>
      <c r="G1771" s="14">
        <v>3841101.28</v>
      </c>
      <c r="H1771" s="14">
        <v>3635425.98</v>
      </c>
      <c r="I1771" s="14">
        <v>3841101.28</v>
      </c>
      <c r="J1771" s="14">
        <v>3635425.98</v>
      </c>
      <c r="K1771" s="12">
        <v>3363</v>
      </c>
      <c r="L1771" s="10" t="s">
        <v>101</v>
      </c>
      <c r="M1771" s="10" t="s">
        <v>102</v>
      </c>
      <c r="N1771" s="124" t="s">
        <v>164</v>
      </c>
      <c r="O1771" s="124" t="s">
        <v>164</v>
      </c>
      <c r="P1771" s="21">
        <v>35</v>
      </c>
      <c r="Q1771" s="10" t="s">
        <v>54</v>
      </c>
      <c r="R1771" s="10" t="s">
        <v>28</v>
      </c>
      <c r="S1771" s="10"/>
      <c r="T1771" s="10"/>
      <c r="U1771" s="10" t="s">
        <v>1947</v>
      </c>
      <c r="V1771" s="10" t="s">
        <v>1947</v>
      </c>
      <c r="W1771" s="50">
        <f>+J1771/$W$2</f>
        <v>4.8331420875906604E-5</v>
      </c>
    </row>
    <row r="1772" spans="1:23">
      <c r="A1772" s="10" t="s">
        <v>849</v>
      </c>
      <c r="B1772" s="10" t="s">
        <v>381</v>
      </c>
      <c r="C1772" s="124">
        <v>46353</v>
      </c>
      <c r="D1772" s="124" t="s">
        <v>492</v>
      </c>
      <c r="E1772" s="21">
        <v>0.94356713999999997</v>
      </c>
      <c r="F1772" s="10"/>
      <c r="G1772" s="14">
        <v>25000000</v>
      </c>
      <c r="H1772" s="14">
        <v>23589178.510000002</v>
      </c>
      <c r="I1772" s="14">
        <v>25000000</v>
      </c>
      <c r="J1772" s="14">
        <v>23589178.510000002</v>
      </c>
      <c r="K1772" s="12">
        <v>2665</v>
      </c>
      <c r="L1772" s="10" t="s">
        <v>101</v>
      </c>
      <c r="M1772" s="10" t="s">
        <v>102</v>
      </c>
      <c r="N1772" s="124" t="s">
        <v>425</v>
      </c>
      <c r="O1772" s="124" t="s">
        <v>425</v>
      </c>
      <c r="P1772" s="21">
        <v>37</v>
      </c>
      <c r="Q1772" s="10" t="s">
        <v>54</v>
      </c>
      <c r="R1772" s="10" t="s">
        <v>28</v>
      </c>
      <c r="S1772" s="10"/>
      <c r="T1772" s="10"/>
      <c r="U1772" s="10" t="s">
        <v>1708</v>
      </c>
      <c r="V1772" s="10" t="s">
        <v>1708</v>
      </c>
      <c r="W1772" s="50">
        <f>+J1772/$W$2</f>
        <v>3.1360795707459339E-4</v>
      </c>
    </row>
    <row r="1773" spans="1:23">
      <c r="A1773" s="10" t="s">
        <v>2601</v>
      </c>
      <c r="B1773" s="10" t="s">
        <v>381</v>
      </c>
      <c r="C1773" s="124">
        <v>46353</v>
      </c>
      <c r="D1773" s="124" t="s">
        <v>492</v>
      </c>
      <c r="E1773" s="21">
        <v>0.94935884999999998</v>
      </c>
      <c r="F1773" s="10"/>
      <c r="G1773" s="14">
        <v>5561000</v>
      </c>
      <c r="H1773" s="14">
        <v>5279384.59</v>
      </c>
      <c r="I1773" s="14">
        <v>5561000</v>
      </c>
      <c r="J1773" s="14">
        <v>5279384.59</v>
      </c>
      <c r="K1773" s="12">
        <v>14101159</v>
      </c>
      <c r="L1773" s="10" t="s">
        <v>101</v>
      </c>
      <c r="M1773" s="10" t="s">
        <v>102</v>
      </c>
      <c r="N1773" s="124" t="s">
        <v>423</v>
      </c>
      <c r="O1773" s="124" t="s">
        <v>423</v>
      </c>
      <c r="P1773" s="21">
        <v>33</v>
      </c>
      <c r="Q1773" s="10" t="s">
        <v>54</v>
      </c>
      <c r="R1773" s="10" t="s">
        <v>28</v>
      </c>
      <c r="S1773" s="10"/>
      <c r="T1773" s="10"/>
      <c r="U1773" s="10" t="s">
        <v>2497</v>
      </c>
      <c r="V1773" s="10" t="s">
        <v>2497</v>
      </c>
      <c r="W1773" s="50">
        <f>+J1773/$W$2</f>
        <v>7.0187141751422934E-5</v>
      </c>
    </row>
    <row r="1774" spans="1:23">
      <c r="A1774" s="10" t="s">
        <v>208</v>
      </c>
      <c r="B1774" s="10" t="s">
        <v>381</v>
      </c>
      <c r="C1774" s="124">
        <v>46353</v>
      </c>
      <c r="D1774" s="124" t="s">
        <v>492</v>
      </c>
      <c r="E1774" s="21">
        <v>0.94935901</v>
      </c>
      <c r="F1774" s="10"/>
      <c r="G1774" s="14">
        <v>2170000</v>
      </c>
      <c r="H1774" s="14">
        <v>2060109.06</v>
      </c>
      <c r="I1774" s="14">
        <v>2170000</v>
      </c>
      <c r="J1774" s="14">
        <v>2060109.06</v>
      </c>
      <c r="K1774" s="12">
        <v>260739</v>
      </c>
      <c r="L1774" s="10" t="s">
        <v>101</v>
      </c>
      <c r="M1774" s="10" t="s">
        <v>102</v>
      </c>
      <c r="N1774" s="124" t="s">
        <v>533</v>
      </c>
      <c r="O1774" s="124" t="s">
        <v>533</v>
      </c>
      <c r="P1774" s="21">
        <v>33</v>
      </c>
      <c r="Q1774" s="10" t="s">
        <v>54</v>
      </c>
      <c r="R1774" s="10" t="s">
        <v>28</v>
      </c>
      <c r="S1774" s="10"/>
      <c r="T1774" s="10"/>
      <c r="U1774" s="10" t="s">
        <v>1865</v>
      </c>
      <c r="V1774" s="10" t="s">
        <v>1865</v>
      </c>
      <c r="W1774" s="50">
        <f>+J1774/$W$2</f>
        <v>2.7388261671917837E-5</v>
      </c>
    </row>
    <row r="1775" spans="1:23">
      <c r="A1775" s="10" t="s">
        <v>2617</v>
      </c>
      <c r="B1775" s="10" t="s">
        <v>381</v>
      </c>
      <c r="C1775" s="124">
        <v>46353</v>
      </c>
      <c r="D1775" s="124" t="s">
        <v>492</v>
      </c>
      <c r="E1775" s="21">
        <v>0.95081795999999996</v>
      </c>
      <c r="F1775" s="10"/>
      <c r="G1775" s="14">
        <v>1509475</v>
      </c>
      <c r="H1775" s="14">
        <v>1435235.94</v>
      </c>
      <c r="I1775" s="14">
        <v>1509475</v>
      </c>
      <c r="J1775" s="14">
        <v>1435235.94</v>
      </c>
      <c r="K1775" s="12">
        <v>3848025</v>
      </c>
      <c r="L1775" s="10" t="s">
        <v>101</v>
      </c>
      <c r="M1775" s="10" t="s">
        <v>102</v>
      </c>
      <c r="N1775" s="124" t="s">
        <v>423</v>
      </c>
      <c r="O1775" s="124" t="s">
        <v>423</v>
      </c>
      <c r="P1775" s="21">
        <v>32</v>
      </c>
      <c r="Q1775" s="10" t="s">
        <v>54</v>
      </c>
      <c r="R1775" s="10" t="s">
        <v>28</v>
      </c>
      <c r="S1775" s="10"/>
      <c r="T1775" s="10"/>
      <c r="U1775" s="10" t="s">
        <v>2570</v>
      </c>
      <c r="V1775" s="10" t="s">
        <v>2570</v>
      </c>
      <c r="W1775" s="50">
        <f>+J1775/$W$2</f>
        <v>1.9080842975206837E-5</v>
      </c>
    </row>
    <row r="1776" spans="1:23">
      <c r="A1776" s="10" t="s">
        <v>141</v>
      </c>
      <c r="B1776" s="10" t="s">
        <v>381</v>
      </c>
      <c r="C1776" s="124">
        <v>46353</v>
      </c>
      <c r="D1776" s="124" t="s">
        <v>492</v>
      </c>
      <c r="E1776" s="21">
        <v>0.94645409000000003</v>
      </c>
      <c r="F1776" s="10"/>
      <c r="G1776" s="14">
        <v>15000000</v>
      </c>
      <c r="H1776" s="14">
        <v>14196811.32</v>
      </c>
      <c r="I1776" s="14">
        <v>15000000</v>
      </c>
      <c r="J1776" s="14">
        <v>14196811.32</v>
      </c>
      <c r="K1776" s="12">
        <v>188</v>
      </c>
      <c r="L1776" s="10" t="s">
        <v>101</v>
      </c>
      <c r="M1776" s="10" t="s">
        <v>102</v>
      </c>
      <c r="N1776" s="124" t="s">
        <v>398</v>
      </c>
      <c r="O1776" s="124" t="s">
        <v>398</v>
      </c>
      <c r="P1776" s="21">
        <v>35</v>
      </c>
      <c r="Q1776" s="10" t="s">
        <v>54</v>
      </c>
      <c r="R1776" s="10" t="s">
        <v>28</v>
      </c>
      <c r="S1776" s="10"/>
      <c r="T1776" s="10"/>
      <c r="U1776" s="10" t="s">
        <v>1730</v>
      </c>
      <c r="V1776" s="10" t="s">
        <v>1730</v>
      </c>
      <c r="W1776" s="50">
        <f>+J1776/$W$2</f>
        <v>1.8874048509791286E-4</v>
      </c>
    </row>
    <row r="1777" spans="1:23">
      <c r="A1777" s="10" t="s">
        <v>273</v>
      </c>
      <c r="B1777" s="10" t="s">
        <v>381</v>
      </c>
      <c r="C1777" s="124">
        <v>46353</v>
      </c>
      <c r="D1777" s="124" t="s">
        <v>492</v>
      </c>
      <c r="E1777" s="21">
        <v>0.95228159999999995</v>
      </c>
      <c r="F1777" s="10"/>
      <c r="G1777" s="14">
        <v>26000000</v>
      </c>
      <c r="H1777" s="14">
        <v>24759321.57</v>
      </c>
      <c r="I1777" s="14">
        <v>26000000</v>
      </c>
      <c r="J1777" s="14">
        <v>24759321.57</v>
      </c>
      <c r="K1777" s="12">
        <v>34571</v>
      </c>
      <c r="L1777" s="10" t="s">
        <v>101</v>
      </c>
      <c r="M1777" s="10" t="s">
        <v>102</v>
      </c>
      <c r="N1777" s="124" t="s">
        <v>322</v>
      </c>
      <c r="O1777" s="124" t="s">
        <v>322</v>
      </c>
      <c r="P1777" s="21">
        <v>31</v>
      </c>
      <c r="Q1777" s="10" t="s">
        <v>54</v>
      </c>
      <c r="R1777" s="10" t="s">
        <v>28</v>
      </c>
      <c r="S1777" s="10"/>
      <c r="T1777" s="10"/>
      <c r="U1777" s="10" t="s">
        <v>1576</v>
      </c>
      <c r="V1777" s="10" t="s">
        <v>1576</v>
      </c>
      <c r="W1777" s="50">
        <f>+J1777/$W$2</f>
        <v>3.291645045133288E-4</v>
      </c>
    </row>
    <row r="1778" spans="1:23">
      <c r="A1778" s="10" t="s">
        <v>219</v>
      </c>
      <c r="B1778" s="10" t="s">
        <v>381</v>
      </c>
      <c r="C1778" s="124">
        <v>46353</v>
      </c>
      <c r="D1778" s="124" t="s">
        <v>492</v>
      </c>
      <c r="E1778" s="21">
        <v>0.95081821</v>
      </c>
      <c r="F1778" s="10"/>
      <c r="G1778" s="14">
        <v>50000000</v>
      </c>
      <c r="H1778" s="14">
        <v>47540910.259999998</v>
      </c>
      <c r="I1778" s="14">
        <v>50000000</v>
      </c>
      <c r="J1778" s="14">
        <v>47540910.259999998</v>
      </c>
      <c r="K1778" s="12">
        <v>5406</v>
      </c>
      <c r="L1778" s="10" t="s">
        <v>101</v>
      </c>
      <c r="M1778" s="10" t="s">
        <v>102</v>
      </c>
      <c r="N1778" s="124" t="s">
        <v>492</v>
      </c>
      <c r="O1778" s="124" t="s">
        <v>492</v>
      </c>
      <c r="P1778" s="21">
        <v>32</v>
      </c>
      <c r="Q1778" s="10" t="s">
        <v>54</v>
      </c>
      <c r="R1778" s="10" t="s">
        <v>28</v>
      </c>
      <c r="S1778" s="10"/>
      <c r="T1778" s="10"/>
      <c r="U1778" s="10" t="s">
        <v>3547</v>
      </c>
      <c r="V1778" s="10" t="s">
        <v>3547</v>
      </c>
      <c r="W1778" s="50">
        <f>+J1778/$W$2</f>
        <v>6.3203590314876018E-4</v>
      </c>
    </row>
    <row r="1779" spans="1:23">
      <c r="A1779" s="10" t="s">
        <v>401</v>
      </c>
      <c r="B1779" s="10" t="s">
        <v>381</v>
      </c>
      <c r="C1779" s="124">
        <v>46353</v>
      </c>
      <c r="D1779" s="124" t="s">
        <v>492</v>
      </c>
      <c r="E1779" s="21">
        <v>0.94790426999999999</v>
      </c>
      <c r="F1779" s="10"/>
      <c r="G1779" s="14">
        <v>50000000</v>
      </c>
      <c r="H1779" s="14">
        <v>47395213.530000001</v>
      </c>
      <c r="I1779" s="14">
        <v>50000000</v>
      </c>
      <c r="J1779" s="14">
        <v>47395213.530000001</v>
      </c>
      <c r="K1779" s="12">
        <v>2230</v>
      </c>
      <c r="L1779" s="10" t="s">
        <v>101</v>
      </c>
      <c r="M1779" s="10" t="s">
        <v>102</v>
      </c>
      <c r="N1779" s="124" t="s">
        <v>398</v>
      </c>
      <c r="O1779" s="124" t="s">
        <v>398</v>
      </c>
      <c r="P1779" s="21">
        <v>34</v>
      </c>
      <c r="Q1779" s="10" t="s">
        <v>54</v>
      </c>
      <c r="R1779" s="10" t="s">
        <v>28</v>
      </c>
      <c r="S1779" s="10"/>
      <c r="T1779" s="10"/>
      <c r="U1779" s="10" t="s">
        <v>1731</v>
      </c>
      <c r="V1779" s="10" t="s">
        <v>1731</v>
      </c>
      <c r="W1779" s="50">
        <f>+J1779/$W$2</f>
        <v>6.3009892794513539E-4</v>
      </c>
    </row>
    <row r="1780" spans="1:23">
      <c r="A1780" s="10" t="s">
        <v>2242</v>
      </c>
      <c r="B1780" s="10" t="s">
        <v>381</v>
      </c>
      <c r="C1780" s="124">
        <v>46353</v>
      </c>
      <c r="D1780" s="124" t="s">
        <v>492</v>
      </c>
      <c r="E1780" s="21">
        <v>0.95228173999999999</v>
      </c>
      <c r="F1780" s="10"/>
      <c r="G1780" s="14">
        <v>2500000</v>
      </c>
      <c r="H1780" s="14">
        <v>2380704.34</v>
      </c>
      <c r="I1780" s="14">
        <v>2500000</v>
      </c>
      <c r="J1780" s="14">
        <v>2380704.34</v>
      </c>
      <c r="K1780" s="12">
        <v>364</v>
      </c>
      <c r="L1780" s="10" t="s">
        <v>101</v>
      </c>
      <c r="M1780" s="10" t="s">
        <v>102</v>
      </c>
      <c r="N1780" s="124" t="s">
        <v>551</v>
      </c>
      <c r="O1780" s="124" t="s">
        <v>551</v>
      </c>
      <c r="P1780" s="21">
        <v>31</v>
      </c>
      <c r="Q1780" s="10" t="s">
        <v>54</v>
      </c>
      <c r="R1780" s="10" t="s">
        <v>28</v>
      </c>
      <c r="S1780" s="10"/>
      <c r="T1780" s="10"/>
      <c r="U1780" s="10" t="s">
        <v>2195</v>
      </c>
      <c r="V1780" s="10" t="s">
        <v>2195</v>
      </c>
      <c r="W1780" s="50">
        <f>+J1780/$W$2</f>
        <v>3.1650437684784727E-5</v>
      </c>
    </row>
    <row r="1781" spans="1:23">
      <c r="A1781" s="10" t="s">
        <v>719</v>
      </c>
      <c r="B1781" s="10" t="s">
        <v>381</v>
      </c>
      <c r="C1781" s="124">
        <v>46353</v>
      </c>
      <c r="D1781" s="124" t="s">
        <v>492</v>
      </c>
      <c r="E1781" s="21">
        <v>0.95374985999999995</v>
      </c>
      <c r="F1781" s="10"/>
      <c r="G1781" s="14">
        <v>2700000</v>
      </c>
      <c r="H1781" s="14">
        <v>2575124.62</v>
      </c>
      <c r="I1781" s="14">
        <v>2700000</v>
      </c>
      <c r="J1781" s="14">
        <v>2575124.62</v>
      </c>
      <c r="K1781" s="12">
        <v>6915</v>
      </c>
      <c r="L1781" s="10" t="s">
        <v>101</v>
      </c>
      <c r="M1781" s="10" t="s">
        <v>102</v>
      </c>
      <c r="N1781" s="124" t="s">
        <v>552</v>
      </c>
      <c r="O1781" s="124" t="s">
        <v>552</v>
      </c>
      <c r="P1781" s="21">
        <v>30</v>
      </c>
      <c r="Q1781" s="10" t="s">
        <v>54</v>
      </c>
      <c r="R1781" s="10" t="s">
        <v>28</v>
      </c>
      <c r="S1781" s="10"/>
      <c r="T1781" s="10"/>
      <c r="U1781" s="10" t="s">
        <v>2395</v>
      </c>
      <c r="V1781" s="10" t="s">
        <v>2395</v>
      </c>
      <c r="W1781" s="50">
        <f>+J1781/$W$2</f>
        <v>3.4235171476969275E-5</v>
      </c>
    </row>
    <row r="1782" spans="1:23">
      <c r="A1782" s="10" t="s">
        <v>903</v>
      </c>
      <c r="B1782" s="10" t="s">
        <v>381</v>
      </c>
      <c r="C1782" s="124">
        <v>46353</v>
      </c>
      <c r="D1782" s="124" t="s">
        <v>492</v>
      </c>
      <c r="E1782" s="21">
        <v>0.94790423999999995</v>
      </c>
      <c r="F1782" s="10"/>
      <c r="G1782" s="14">
        <v>5400000</v>
      </c>
      <c r="H1782" s="14">
        <v>5118682.87</v>
      </c>
      <c r="I1782" s="14">
        <v>5400000</v>
      </c>
      <c r="J1782" s="14">
        <v>5118682.87</v>
      </c>
      <c r="K1782" s="12">
        <v>162800</v>
      </c>
      <c r="L1782" s="10" t="s">
        <v>101</v>
      </c>
      <c r="M1782" s="10" t="s">
        <v>102</v>
      </c>
      <c r="N1782" s="124" t="s">
        <v>348</v>
      </c>
      <c r="O1782" s="124" t="s">
        <v>348</v>
      </c>
      <c r="P1782" s="21">
        <v>34</v>
      </c>
      <c r="Q1782" s="10" t="s">
        <v>54</v>
      </c>
      <c r="R1782" s="10" t="s">
        <v>28</v>
      </c>
      <c r="S1782" s="10"/>
      <c r="T1782" s="10"/>
      <c r="U1782" s="10" t="s">
        <v>1897</v>
      </c>
      <c r="V1782" s="10" t="s">
        <v>1897</v>
      </c>
      <c r="W1782" s="50">
        <f>+J1782/$W$2</f>
        <v>6.8050681675621279E-5</v>
      </c>
    </row>
    <row r="1783" spans="1:23">
      <c r="A1783" s="10" t="s">
        <v>1189</v>
      </c>
      <c r="B1783" s="10" t="s">
        <v>381</v>
      </c>
      <c r="C1783" s="124">
        <v>46353</v>
      </c>
      <c r="D1783" s="124" t="s">
        <v>492</v>
      </c>
      <c r="E1783" s="21">
        <v>0.94790450000000004</v>
      </c>
      <c r="F1783" s="10"/>
      <c r="G1783" s="14">
        <v>393484.48</v>
      </c>
      <c r="H1783" s="14">
        <v>372985.71</v>
      </c>
      <c r="I1783" s="14">
        <v>393484.48</v>
      </c>
      <c r="J1783" s="14">
        <v>372985.71</v>
      </c>
      <c r="K1783" s="12">
        <v>123113</v>
      </c>
      <c r="L1783" s="10" t="s">
        <v>101</v>
      </c>
      <c r="M1783" s="10" t="s">
        <v>102</v>
      </c>
      <c r="N1783" s="124" t="s">
        <v>532</v>
      </c>
      <c r="O1783" s="124" t="s">
        <v>532</v>
      </c>
      <c r="P1783" s="21">
        <v>34</v>
      </c>
      <c r="Q1783" s="10" t="s">
        <v>54</v>
      </c>
      <c r="R1783" s="10" t="s">
        <v>28</v>
      </c>
      <c r="S1783" s="10"/>
      <c r="T1783" s="10"/>
      <c r="U1783" s="10" t="s">
        <v>3092</v>
      </c>
      <c r="V1783" s="10" t="s">
        <v>3092</v>
      </c>
      <c r="W1783" s="50">
        <f>+J1783/$W$2</f>
        <v>4.9586841899360711E-6</v>
      </c>
    </row>
    <row r="1784" spans="1:23">
      <c r="A1784" s="10" t="s">
        <v>1429</v>
      </c>
      <c r="B1784" s="10" t="s">
        <v>381</v>
      </c>
      <c r="C1784" s="124">
        <v>46353</v>
      </c>
      <c r="D1784" s="124" t="s">
        <v>492</v>
      </c>
      <c r="E1784" s="21">
        <v>0.94935886000000003</v>
      </c>
      <c r="F1784" s="10"/>
      <c r="G1784" s="14">
        <v>50000000</v>
      </c>
      <c r="H1784" s="14">
        <v>47467942.880000003</v>
      </c>
      <c r="I1784" s="14">
        <v>50000000</v>
      </c>
      <c r="J1784" s="14">
        <v>47467942.880000003</v>
      </c>
      <c r="K1784" s="12">
        <v>90003119</v>
      </c>
      <c r="L1784" s="10" t="s">
        <v>101</v>
      </c>
      <c r="M1784" s="10" t="s">
        <v>102</v>
      </c>
      <c r="N1784" s="124" t="s">
        <v>423</v>
      </c>
      <c r="O1784" s="124" t="s">
        <v>423</v>
      </c>
      <c r="P1784" s="21">
        <v>33</v>
      </c>
      <c r="Q1784" s="10" t="s">
        <v>54</v>
      </c>
      <c r="R1784" s="10" t="s">
        <v>28</v>
      </c>
      <c r="S1784" s="10"/>
      <c r="T1784" s="10"/>
      <c r="U1784" s="10" t="s">
        <v>2591</v>
      </c>
      <c r="V1784" s="10" t="s">
        <v>2591</v>
      </c>
      <c r="W1784" s="50">
        <f>+J1784/$W$2</f>
        <v>6.3106583329383984E-4</v>
      </c>
    </row>
    <row r="1785" spans="1:23">
      <c r="A1785" s="10" t="s">
        <v>1431</v>
      </c>
      <c r="B1785" s="10" t="s">
        <v>381</v>
      </c>
      <c r="C1785" s="124">
        <v>46353</v>
      </c>
      <c r="D1785" s="124" t="s">
        <v>492</v>
      </c>
      <c r="E1785" s="21">
        <v>0.95081800000000005</v>
      </c>
      <c r="F1785" s="10"/>
      <c r="G1785" s="14">
        <v>5444206</v>
      </c>
      <c r="H1785" s="14">
        <v>5176449.09</v>
      </c>
      <c r="I1785" s="14">
        <v>5444206</v>
      </c>
      <c r="J1785" s="14">
        <v>5176449.09</v>
      </c>
      <c r="K1785" s="12">
        <v>3447</v>
      </c>
      <c r="L1785" s="10" t="s">
        <v>101</v>
      </c>
      <c r="M1785" s="10" t="s">
        <v>102</v>
      </c>
      <c r="N1785" s="124" t="s">
        <v>398</v>
      </c>
      <c r="O1785" s="124" t="s">
        <v>398</v>
      </c>
      <c r="P1785" s="21">
        <v>32</v>
      </c>
      <c r="Q1785" s="10" t="s">
        <v>54</v>
      </c>
      <c r="R1785" s="10" t="s">
        <v>28</v>
      </c>
      <c r="S1785" s="10"/>
      <c r="T1785" s="10"/>
      <c r="U1785" s="10" t="s">
        <v>1777</v>
      </c>
      <c r="V1785" s="10" t="s">
        <v>1777</v>
      </c>
      <c r="W1785" s="50">
        <f>+J1785/$W$2</f>
        <v>6.8818658662799599E-5</v>
      </c>
    </row>
    <row r="1786" spans="1:23">
      <c r="A1786" s="10" t="s">
        <v>404</v>
      </c>
      <c r="B1786" s="10" t="s">
        <v>381</v>
      </c>
      <c r="C1786" s="124">
        <v>46353</v>
      </c>
      <c r="D1786" s="124" t="s">
        <v>492</v>
      </c>
      <c r="E1786" s="21">
        <v>0.95081800000000005</v>
      </c>
      <c r="F1786" s="10"/>
      <c r="G1786" s="14">
        <v>25000000</v>
      </c>
      <c r="H1786" s="14">
        <v>23770450.050000001</v>
      </c>
      <c r="I1786" s="14">
        <v>25000000</v>
      </c>
      <c r="J1786" s="14">
        <v>23770450.050000001</v>
      </c>
      <c r="K1786" s="12">
        <v>2714</v>
      </c>
      <c r="L1786" s="10" t="s">
        <v>101</v>
      </c>
      <c r="M1786" s="10" t="s">
        <v>102</v>
      </c>
      <c r="N1786" s="124" t="s">
        <v>322</v>
      </c>
      <c r="O1786" s="124" t="s">
        <v>322</v>
      </c>
      <c r="P1786" s="21">
        <v>32</v>
      </c>
      <c r="Q1786" s="10" t="s">
        <v>54</v>
      </c>
      <c r="R1786" s="10" t="s">
        <v>28</v>
      </c>
      <c r="S1786" s="10"/>
      <c r="T1786" s="10"/>
      <c r="U1786" s="10" t="s">
        <v>1552</v>
      </c>
      <c r="V1786" s="10" t="s">
        <v>1552</v>
      </c>
      <c r="W1786" s="50">
        <f>+J1786/$W$2</f>
        <v>3.1601788403797047E-4</v>
      </c>
    </row>
    <row r="1787" spans="1:23">
      <c r="A1787" s="10" t="s">
        <v>404</v>
      </c>
      <c r="B1787" s="10" t="s">
        <v>381</v>
      </c>
      <c r="C1787" s="124">
        <v>46353</v>
      </c>
      <c r="D1787" s="124" t="s">
        <v>492</v>
      </c>
      <c r="E1787" s="21">
        <v>0.95669972999999997</v>
      </c>
      <c r="F1787" s="10"/>
      <c r="G1787" s="14">
        <v>40000000</v>
      </c>
      <c r="H1787" s="14">
        <v>38267989.109999999</v>
      </c>
      <c r="I1787" s="14">
        <v>40000000</v>
      </c>
      <c r="J1787" s="14">
        <v>38267989.109999999</v>
      </c>
      <c r="K1787" s="12">
        <v>42636</v>
      </c>
      <c r="L1787" s="10" t="s">
        <v>101</v>
      </c>
      <c r="M1787" s="10" t="s">
        <v>102</v>
      </c>
      <c r="N1787" s="124" t="s">
        <v>532</v>
      </c>
      <c r="O1787" s="124" t="s">
        <v>532</v>
      </c>
      <c r="P1787" s="21">
        <v>28</v>
      </c>
      <c r="Q1787" s="10" t="s">
        <v>54</v>
      </c>
      <c r="R1787" s="10" t="s">
        <v>28</v>
      </c>
      <c r="S1787" s="10"/>
      <c r="T1787" s="10"/>
      <c r="U1787" s="10" t="s">
        <v>3066</v>
      </c>
      <c r="V1787" s="10" t="s">
        <v>3066</v>
      </c>
      <c r="W1787" s="50">
        <f>+J1787/$W$2</f>
        <v>5.0875641477096461E-4</v>
      </c>
    </row>
    <row r="1788" spans="1:23">
      <c r="A1788" s="10" t="s">
        <v>604</v>
      </c>
      <c r="B1788" s="10" t="s">
        <v>381</v>
      </c>
      <c r="C1788" s="124">
        <v>46353</v>
      </c>
      <c r="D1788" s="124" t="s">
        <v>492</v>
      </c>
      <c r="E1788" s="21">
        <v>0.94790426000000005</v>
      </c>
      <c r="F1788" s="10"/>
      <c r="G1788" s="14">
        <v>5000300.25</v>
      </c>
      <c r="H1788" s="14">
        <v>4739805.92</v>
      </c>
      <c r="I1788" s="14">
        <v>5000300.25</v>
      </c>
      <c r="J1788" s="14">
        <v>4739805.92</v>
      </c>
      <c r="K1788" s="12">
        <v>366</v>
      </c>
      <c r="L1788" s="10" t="s">
        <v>101</v>
      </c>
      <c r="M1788" s="10" t="s">
        <v>102</v>
      </c>
      <c r="N1788" s="124" t="s">
        <v>326</v>
      </c>
      <c r="O1788" s="124" t="s">
        <v>326</v>
      </c>
      <c r="P1788" s="21">
        <v>34</v>
      </c>
      <c r="Q1788" s="10" t="s">
        <v>54</v>
      </c>
      <c r="R1788" s="10" t="s">
        <v>28</v>
      </c>
      <c r="S1788" s="10"/>
      <c r="T1788" s="10"/>
      <c r="U1788" s="10" t="s">
        <v>951</v>
      </c>
      <c r="V1788" s="10" t="s">
        <v>951</v>
      </c>
      <c r="W1788" s="50">
        <f>+J1788/$W$2</f>
        <v>6.3013675990078531E-5</v>
      </c>
    </row>
    <row r="1789" spans="1:23">
      <c r="A1789" s="10" t="s">
        <v>607</v>
      </c>
      <c r="B1789" s="10" t="s">
        <v>381</v>
      </c>
      <c r="C1789" s="124">
        <v>46353</v>
      </c>
      <c r="D1789" s="124" t="s">
        <v>492</v>
      </c>
      <c r="E1789" s="21">
        <v>0.94935904000000004</v>
      </c>
      <c r="F1789" s="10"/>
      <c r="G1789" s="14">
        <v>1500000</v>
      </c>
      <c r="H1789" s="14">
        <v>1424038.56</v>
      </c>
      <c r="I1789" s="14">
        <v>1500000</v>
      </c>
      <c r="J1789" s="14">
        <v>1424038.56</v>
      </c>
      <c r="K1789" s="12">
        <v>587</v>
      </c>
      <c r="L1789" s="10" t="s">
        <v>101</v>
      </c>
      <c r="M1789" s="10" t="s">
        <v>102</v>
      </c>
      <c r="N1789" s="124" t="s">
        <v>434</v>
      </c>
      <c r="O1789" s="124" t="s">
        <v>434</v>
      </c>
      <c r="P1789" s="21">
        <v>33</v>
      </c>
      <c r="Q1789" s="10" t="s">
        <v>54</v>
      </c>
      <c r="R1789" s="10" t="s">
        <v>28</v>
      </c>
      <c r="S1789" s="10"/>
      <c r="T1789" s="10"/>
      <c r="U1789" s="10" t="s">
        <v>2927</v>
      </c>
      <c r="V1789" s="10" t="s">
        <v>2927</v>
      </c>
      <c r="W1789" s="50">
        <f>+J1789/$W$2</f>
        <v>1.8931978636209226E-5</v>
      </c>
    </row>
    <row r="1790" spans="1:23">
      <c r="A1790" s="10" t="s">
        <v>686</v>
      </c>
      <c r="B1790" s="10" t="s">
        <v>381</v>
      </c>
      <c r="C1790" s="124">
        <v>46353</v>
      </c>
      <c r="D1790" s="124" t="s">
        <v>492</v>
      </c>
      <c r="E1790" s="21">
        <v>0.94500839999999997</v>
      </c>
      <c r="F1790" s="10"/>
      <c r="G1790" s="14">
        <v>29362361.710000001</v>
      </c>
      <c r="H1790" s="14">
        <v>27747678.43</v>
      </c>
      <c r="I1790" s="14">
        <v>29362361.710000001</v>
      </c>
      <c r="J1790" s="14">
        <v>27747678.43</v>
      </c>
      <c r="K1790" s="12">
        <v>67998146</v>
      </c>
      <c r="L1790" s="10" t="s">
        <v>101</v>
      </c>
      <c r="M1790" s="10" t="s">
        <v>102</v>
      </c>
      <c r="N1790" s="124" t="s">
        <v>156</v>
      </c>
      <c r="O1790" s="124" t="s">
        <v>156</v>
      </c>
      <c r="P1790" s="21">
        <v>36</v>
      </c>
      <c r="Q1790" s="10" t="s">
        <v>54</v>
      </c>
      <c r="R1790" s="10" t="s">
        <v>28</v>
      </c>
      <c r="S1790" s="10"/>
      <c r="T1790" s="10"/>
      <c r="U1790" s="10" t="s">
        <v>751</v>
      </c>
      <c r="V1790" s="10" t="s">
        <v>751</v>
      </c>
      <c r="W1790" s="50">
        <f>+J1790/$W$2</f>
        <v>3.6889342044302753E-4</v>
      </c>
    </row>
    <row r="1791" spans="1:23">
      <c r="A1791" s="10" t="s">
        <v>465</v>
      </c>
      <c r="B1791" s="10" t="s">
        <v>381</v>
      </c>
      <c r="C1791" s="124">
        <v>46353</v>
      </c>
      <c r="D1791" s="124" t="s">
        <v>492</v>
      </c>
      <c r="E1791" s="21">
        <v>0.95081800000000005</v>
      </c>
      <c r="F1791" s="10"/>
      <c r="G1791" s="14">
        <v>10000000</v>
      </c>
      <c r="H1791" s="14">
        <v>9508179.9600000009</v>
      </c>
      <c r="I1791" s="14">
        <v>10000000</v>
      </c>
      <c r="J1791" s="14">
        <v>9508179.9600000009</v>
      </c>
      <c r="K1791" s="12">
        <v>14422580</v>
      </c>
      <c r="L1791" s="10" t="s">
        <v>101</v>
      </c>
      <c r="M1791" s="10" t="s">
        <v>102</v>
      </c>
      <c r="N1791" s="124" t="s">
        <v>164</v>
      </c>
      <c r="O1791" s="124" t="s">
        <v>164</v>
      </c>
      <c r="P1791" s="21">
        <v>32</v>
      </c>
      <c r="Q1791" s="10" t="s">
        <v>54</v>
      </c>
      <c r="R1791" s="10" t="s">
        <v>28</v>
      </c>
      <c r="S1791" s="10"/>
      <c r="T1791" s="10"/>
      <c r="U1791" s="10" t="s">
        <v>1981</v>
      </c>
      <c r="V1791" s="10" t="s">
        <v>1981</v>
      </c>
      <c r="W1791" s="50">
        <f>+J1791/$W$2</f>
        <v>1.2640715281751408E-4</v>
      </c>
    </row>
    <row r="1792" spans="1:23">
      <c r="A1792" s="10" t="s">
        <v>466</v>
      </c>
      <c r="B1792" s="10" t="s">
        <v>381</v>
      </c>
      <c r="C1792" s="124">
        <v>46353</v>
      </c>
      <c r="D1792" s="124" t="s">
        <v>492</v>
      </c>
      <c r="E1792" s="21">
        <v>0.94935910000000001</v>
      </c>
      <c r="F1792" s="10"/>
      <c r="G1792" s="14">
        <v>2500000</v>
      </c>
      <c r="H1792" s="14">
        <v>2373397.75</v>
      </c>
      <c r="I1792" s="14">
        <v>2500000</v>
      </c>
      <c r="J1792" s="14">
        <v>2373397.75</v>
      </c>
      <c r="K1792" s="12">
        <v>677</v>
      </c>
      <c r="L1792" s="10" t="s">
        <v>101</v>
      </c>
      <c r="M1792" s="10" t="s">
        <v>102</v>
      </c>
      <c r="N1792" s="124" t="s">
        <v>532</v>
      </c>
      <c r="O1792" s="124" t="s">
        <v>532</v>
      </c>
      <c r="P1792" s="21">
        <v>33</v>
      </c>
      <c r="Q1792" s="10" t="s">
        <v>54</v>
      </c>
      <c r="R1792" s="10" t="s">
        <v>28</v>
      </c>
      <c r="S1792" s="10"/>
      <c r="T1792" s="10"/>
      <c r="U1792" s="10" t="s">
        <v>3105</v>
      </c>
      <c r="V1792" s="10" t="s">
        <v>3105</v>
      </c>
      <c r="W1792" s="50">
        <f>+J1792/$W$2</f>
        <v>3.1553299721200693E-5</v>
      </c>
    </row>
    <row r="1793" spans="1:29">
      <c r="A1793" s="10" t="s">
        <v>303</v>
      </c>
      <c r="B1793" s="10" t="s">
        <v>381</v>
      </c>
      <c r="C1793" s="124">
        <v>46353</v>
      </c>
      <c r="D1793" s="124" t="s">
        <v>492</v>
      </c>
      <c r="E1793" s="21">
        <v>0.96868365999999995</v>
      </c>
      <c r="F1793" s="10"/>
      <c r="G1793" s="14">
        <v>8500000</v>
      </c>
      <c r="H1793" s="14">
        <v>8233811.1399999997</v>
      </c>
      <c r="I1793" s="14">
        <v>8500000</v>
      </c>
      <c r="J1793" s="14">
        <v>8233811.1399999997</v>
      </c>
      <c r="K1793" s="12">
        <v>34603</v>
      </c>
      <c r="L1793" s="10" t="s">
        <v>101</v>
      </c>
      <c r="M1793" s="10" t="s">
        <v>102</v>
      </c>
      <c r="N1793" s="124" t="s">
        <v>431</v>
      </c>
      <c r="O1793" s="124" t="s">
        <v>431</v>
      </c>
      <c r="P1793" s="21">
        <v>20</v>
      </c>
      <c r="Q1793" s="10" t="s">
        <v>54</v>
      </c>
      <c r="R1793" s="10" t="s">
        <v>28</v>
      </c>
      <c r="S1793" s="10"/>
      <c r="T1793" s="10"/>
      <c r="U1793" s="10" t="s">
        <v>2248</v>
      </c>
      <c r="V1793" s="10" t="s">
        <v>2248</v>
      </c>
      <c r="W1793" s="50">
        <f>+J1793/$W$2</f>
        <v>1.0946496883979147E-4</v>
      </c>
    </row>
    <row r="1794" spans="1:29">
      <c r="A1794" s="10" t="s">
        <v>382</v>
      </c>
      <c r="B1794" s="10" t="s">
        <v>381</v>
      </c>
      <c r="C1794" s="124">
        <v>46353</v>
      </c>
      <c r="D1794" s="124" t="s">
        <v>492</v>
      </c>
      <c r="E1794" s="21">
        <v>0.94935895999999997</v>
      </c>
      <c r="F1794" s="10"/>
      <c r="G1794" s="14">
        <v>2500000</v>
      </c>
      <c r="H1794" s="14">
        <v>2373397.4</v>
      </c>
      <c r="I1794" s="14">
        <v>2500000</v>
      </c>
      <c r="J1794" s="14">
        <v>2373397.4</v>
      </c>
      <c r="K1794" s="12">
        <v>1027</v>
      </c>
      <c r="L1794" s="10" t="s">
        <v>101</v>
      </c>
      <c r="M1794" s="10" t="s">
        <v>102</v>
      </c>
      <c r="N1794" s="124" t="s">
        <v>163</v>
      </c>
      <c r="O1794" s="124" t="s">
        <v>325</v>
      </c>
      <c r="P1794" s="21">
        <v>33</v>
      </c>
      <c r="Q1794" s="10" t="s">
        <v>54</v>
      </c>
      <c r="R1794" s="10" t="s">
        <v>28</v>
      </c>
      <c r="S1794" s="10"/>
      <c r="T1794" s="10"/>
      <c r="U1794" s="10" t="s">
        <v>1651</v>
      </c>
      <c r="V1794" s="10" t="s">
        <v>1651</v>
      </c>
      <c r="W1794" s="50">
        <f>+J1794/$W$2</f>
        <v>3.1553295068101606E-5</v>
      </c>
    </row>
    <row r="1795" spans="1:29">
      <c r="A1795" s="10" t="s">
        <v>382</v>
      </c>
      <c r="B1795" s="10" t="s">
        <v>381</v>
      </c>
      <c r="C1795" s="124">
        <v>46353</v>
      </c>
      <c r="D1795" s="124" t="s">
        <v>492</v>
      </c>
      <c r="E1795" s="21">
        <v>0.95374968000000004</v>
      </c>
      <c r="F1795" s="10"/>
      <c r="G1795" s="14">
        <v>2500000</v>
      </c>
      <c r="H1795" s="14">
        <v>2384374.19</v>
      </c>
      <c r="I1795" s="14">
        <v>2500000</v>
      </c>
      <c r="J1795" s="14">
        <v>2384374.19</v>
      </c>
      <c r="K1795" s="12">
        <v>900</v>
      </c>
      <c r="L1795" s="10" t="s">
        <v>101</v>
      </c>
      <c r="M1795" s="10" t="s">
        <v>102</v>
      </c>
      <c r="N1795" s="124" t="s">
        <v>435</v>
      </c>
      <c r="O1795" s="124" t="s">
        <v>435</v>
      </c>
      <c r="P1795" s="21">
        <v>30</v>
      </c>
      <c r="Q1795" s="10" t="s">
        <v>54</v>
      </c>
      <c r="R1795" s="10" t="s">
        <v>28</v>
      </c>
      <c r="S1795" s="10"/>
      <c r="T1795" s="10"/>
      <c r="U1795" s="10" t="s">
        <v>1322</v>
      </c>
      <c r="V1795" s="10" t="s">
        <v>1322</v>
      </c>
      <c r="W1795" s="50">
        <f>+J1795/$W$2</f>
        <v>3.1699226758163539E-5</v>
      </c>
    </row>
    <row r="1796" spans="1:29">
      <c r="A1796" s="10" t="s">
        <v>477</v>
      </c>
      <c r="B1796" s="10" t="s">
        <v>381</v>
      </c>
      <c r="C1796" s="124">
        <v>46356</v>
      </c>
      <c r="D1796" s="124" t="s">
        <v>492</v>
      </c>
      <c r="E1796" s="21">
        <v>0.95459791999999999</v>
      </c>
      <c r="F1796" s="10"/>
      <c r="G1796" s="14">
        <v>8000000</v>
      </c>
      <c r="H1796" s="14">
        <v>7636783.3300000001</v>
      </c>
      <c r="I1796" s="14">
        <v>8000000</v>
      </c>
      <c r="J1796" s="14">
        <v>7636783.3300000001</v>
      </c>
      <c r="K1796" s="12">
        <v>6493</v>
      </c>
      <c r="L1796" s="10" t="s">
        <v>101</v>
      </c>
      <c r="M1796" s="10" t="s">
        <v>102</v>
      </c>
      <c r="N1796" s="124" t="s">
        <v>422</v>
      </c>
      <c r="O1796" s="124" t="s">
        <v>422</v>
      </c>
      <c r="P1796" s="21">
        <v>28</v>
      </c>
      <c r="Q1796" s="10" t="s">
        <v>54</v>
      </c>
      <c r="R1796" s="10" t="s">
        <v>28</v>
      </c>
      <c r="S1796" s="10"/>
      <c r="T1796" s="10"/>
      <c r="U1796" s="10" t="s">
        <v>2722</v>
      </c>
      <c r="V1796" s="10" t="s">
        <v>2722</v>
      </c>
      <c r="W1796" s="50">
        <f>+J1796/$W$2</f>
        <v>1.0152774153314974E-4</v>
      </c>
    </row>
    <row r="1797" spans="1:29">
      <c r="A1797" s="10" t="s">
        <v>477</v>
      </c>
      <c r="B1797" s="10" t="s">
        <v>381</v>
      </c>
      <c r="C1797" s="124">
        <v>46356</v>
      </c>
      <c r="D1797" s="124" t="s">
        <v>492</v>
      </c>
      <c r="E1797" s="21">
        <v>0.95614816999999996</v>
      </c>
      <c r="F1797" s="10"/>
      <c r="G1797" s="14">
        <v>5000000</v>
      </c>
      <c r="H1797" s="14">
        <v>4780740.83</v>
      </c>
      <c r="I1797" s="14">
        <v>5000000</v>
      </c>
      <c r="J1797" s="14">
        <v>4780740.83</v>
      </c>
      <c r="K1797" s="12">
        <v>40740211</v>
      </c>
      <c r="L1797" s="10" t="s">
        <v>101</v>
      </c>
      <c r="M1797" s="10" t="s">
        <v>102</v>
      </c>
      <c r="N1797" s="124" t="s">
        <v>486</v>
      </c>
      <c r="O1797" s="124" t="s">
        <v>486</v>
      </c>
      <c r="P1797" s="21">
        <v>27</v>
      </c>
      <c r="Q1797" s="10" t="s">
        <v>54</v>
      </c>
      <c r="R1797" s="10" t="s">
        <v>28</v>
      </c>
      <c r="S1797" s="10"/>
      <c r="T1797" s="10"/>
      <c r="U1797" s="10" t="s">
        <v>2904</v>
      </c>
      <c r="V1797" s="10" t="s">
        <v>2904</v>
      </c>
      <c r="W1797" s="50">
        <f>+J1797/$W$2</f>
        <v>6.3557887968155265E-5</v>
      </c>
    </row>
    <row r="1798" spans="1:29">
      <c r="A1798" s="10" t="s">
        <v>477</v>
      </c>
      <c r="B1798" s="10" t="s">
        <v>381</v>
      </c>
      <c r="C1798" s="124">
        <v>46356</v>
      </c>
      <c r="D1798" s="124" t="s">
        <v>492</v>
      </c>
      <c r="E1798" s="21">
        <v>0.95614816999999996</v>
      </c>
      <c r="F1798" s="10"/>
      <c r="G1798" s="14">
        <v>5000000</v>
      </c>
      <c r="H1798" s="14">
        <v>4780740.83</v>
      </c>
      <c r="I1798" s="14">
        <v>5000000</v>
      </c>
      <c r="J1798" s="14">
        <v>4780740.83</v>
      </c>
      <c r="K1798" s="12">
        <v>40740209</v>
      </c>
      <c r="L1798" s="10" t="s">
        <v>101</v>
      </c>
      <c r="M1798" s="10" t="s">
        <v>102</v>
      </c>
      <c r="N1798" s="124" t="s">
        <v>486</v>
      </c>
      <c r="O1798" s="124" t="s">
        <v>486</v>
      </c>
      <c r="P1798" s="21">
        <v>27</v>
      </c>
      <c r="Q1798" s="10" t="s">
        <v>54</v>
      </c>
      <c r="R1798" s="10" t="s">
        <v>28</v>
      </c>
      <c r="S1798" s="10"/>
      <c r="T1798" s="10"/>
      <c r="U1798" s="10" t="s">
        <v>2905</v>
      </c>
      <c r="V1798" s="10" t="s">
        <v>2905</v>
      </c>
      <c r="W1798" s="50">
        <f>+J1798/$W$2</f>
        <v>6.3557887968155265E-5</v>
      </c>
    </row>
    <row r="1799" spans="1:29">
      <c r="A1799" s="10" t="s">
        <v>382</v>
      </c>
      <c r="B1799" s="10" t="s">
        <v>381</v>
      </c>
      <c r="C1799" s="124">
        <v>46356</v>
      </c>
      <c r="D1799" s="124" t="s">
        <v>492</v>
      </c>
      <c r="E1799" s="21">
        <v>0.94844618999999997</v>
      </c>
      <c r="F1799" s="10"/>
      <c r="G1799" s="14">
        <v>3000000</v>
      </c>
      <c r="H1799" s="14">
        <v>2845338.57</v>
      </c>
      <c r="I1799" s="14">
        <v>3000000</v>
      </c>
      <c r="J1799" s="14">
        <v>2845338.57</v>
      </c>
      <c r="K1799" s="12">
        <v>1064</v>
      </c>
      <c r="L1799" s="10" t="s">
        <v>101</v>
      </c>
      <c r="M1799" s="10" t="s">
        <v>102</v>
      </c>
      <c r="N1799" s="124" t="s">
        <v>398</v>
      </c>
      <c r="O1799" s="124" t="s">
        <v>398</v>
      </c>
      <c r="P1799" s="21">
        <v>32</v>
      </c>
      <c r="Q1799" s="10" t="s">
        <v>54</v>
      </c>
      <c r="R1799" s="10" t="s">
        <v>28</v>
      </c>
      <c r="S1799" s="10"/>
      <c r="T1799" s="10"/>
      <c r="U1799" s="10" t="s">
        <v>1761</v>
      </c>
      <c r="V1799" s="10" t="s">
        <v>1761</v>
      </c>
      <c r="W1799" s="50">
        <f>+J1799/$W$2</f>
        <v>3.7827549430980363E-5</v>
      </c>
    </row>
    <row r="1800" spans="1:29">
      <c r="A1800" s="10" t="s">
        <v>353</v>
      </c>
      <c r="B1800" s="10" t="s">
        <v>381</v>
      </c>
      <c r="C1800" s="124">
        <v>46356</v>
      </c>
      <c r="D1800" s="124" t="s">
        <v>492</v>
      </c>
      <c r="E1800" s="21">
        <v>0.94388413999999998</v>
      </c>
      <c r="F1800" s="10"/>
      <c r="G1800" s="14">
        <v>1250300.6499999999</v>
      </c>
      <c r="H1800" s="14">
        <v>1180138.95</v>
      </c>
      <c r="I1800" s="14">
        <v>1250300.6499999999</v>
      </c>
      <c r="J1800" s="14">
        <v>1180138.95</v>
      </c>
      <c r="K1800" s="12">
        <v>3598</v>
      </c>
      <c r="L1800" s="10" t="s">
        <v>101</v>
      </c>
      <c r="M1800" s="10" t="s">
        <v>102</v>
      </c>
      <c r="N1800" s="124" t="s">
        <v>486</v>
      </c>
      <c r="O1800" s="124" t="s">
        <v>486</v>
      </c>
      <c r="P1800" s="21">
        <v>35</v>
      </c>
      <c r="Q1800" s="10" t="s">
        <v>54</v>
      </c>
      <c r="R1800" s="10" t="s">
        <v>28</v>
      </c>
      <c r="S1800" s="10"/>
      <c r="T1800" s="10"/>
      <c r="U1800" s="10" t="s">
        <v>2843</v>
      </c>
      <c r="V1800" s="10" t="s">
        <v>2843</v>
      </c>
      <c r="W1800" s="50">
        <f>+J1800/$W$2</f>
        <v>1.5689438486243227E-5</v>
      </c>
    </row>
    <row r="1801" spans="1:29">
      <c r="A1801" s="10" t="s">
        <v>353</v>
      </c>
      <c r="B1801" s="10" t="s">
        <v>381</v>
      </c>
      <c r="C1801" s="124">
        <v>46356</v>
      </c>
      <c r="D1801" s="124" t="s">
        <v>492</v>
      </c>
      <c r="E1801" s="21">
        <v>0.94388413999999998</v>
      </c>
      <c r="F1801" s="10"/>
      <c r="G1801" s="14">
        <v>3102456.89</v>
      </c>
      <c r="H1801" s="14">
        <v>2928359.87</v>
      </c>
      <c r="I1801" s="14">
        <v>3102456.89</v>
      </c>
      <c r="J1801" s="14">
        <v>2928359.87</v>
      </c>
      <c r="K1801" s="12">
        <v>3517</v>
      </c>
      <c r="L1801" s="10" t="s">
        <v>101</v>
      </c>
      <c r="M1801" s="10" t="s">
        <v>102</v>
      </c>
      <c r="N1801" s="124" t="s">
        <v>486</v>
      </c>
      <c r="O1801" s="124" t="s">
        <v>486</v>
      </c>
      <c r="P1801" s="21">
        <v>35</v>
      </c>
      <c r="Q1801" s="10" t="s">
        <v>54</v>
      </c>
      <c r="R1801" s="10" t="s">
        <v>28</v>
      </c>
      <c r="S1801" s="10"/>
      <c r="T1801" s="10"/>
      <c r="U1801" s="10" t="s">
        <v>2848</v>
      </c>
      <c r="V1801" s="10" t="s">
        <v>2848</v>
      </c>
      <c r="W1801" s="50">
        <f>+J1801/$W$2</f>
        <v>3.8931281817237045E-5</v>
      </c>
    </row>
    <row r="1802" spans="1:29">
      <c r="A1802" s="10" t="s">
        <v>353</v>
      </c>
      <c r="B1802" s="10" t="s">
        <v>381</v>
      </c>
      <c r="C1802" s="124">
        <v>46356</v>
      </c>
      <c r="D1802" s="124" t="s">
        <v>492</v>
      </c>
      <c r="E1802" s="21">
        <v>0.94388415000000003</v>
      </c>
      <c r="F1802" s="10"/>
      <c r="G1802" s="14">
        <v>1555000.5</v>
      </c>
      <c r="H1802" s="14">
        <v>1467740.33</v>
      </c>
      <c r="I1802" s="14">
        <v>1555000.5</v>
      </c>
      <c r="J1802" s="14">
        <v>1467740.33</v>
      </c>
      <c r="K1802" s="12">
        <v>3597</v>
      </c>
      <c r="L1802" s="10" t="s">
        <v>101</v>
      </c>
      <c r="M1802" s="10" t="s">
        <v>102</v>
      </c>
      <c r="N1802" s="124" t="s">
        <v>486</v>
      </c>
      <c r="O1802" s="124" t="s">
        <v>486</v>
      </c>
      <c r="P1802" s="21">
        <v>35</v>
      </c>
      <c r="Q1802" s="10" t="s">
        <v>54</v>
      </c>
      <c r="R1802" s="10" t="s">
        <v>28</v>
      </c>
      <c r="S1802" s="10"/>
      <c r="T1802" s="10"/>
      <c r="U1802" s="10" t="s">
        <v>2849</v>
      </c>
      <c r="V1802" s="10" t="s">
        <v>2849</v>
      </c>
      <c r="W1802" s="50">
        <f>+J1802/$W$2</f>
        <v>1.9512974824967295E-5</v>
      </c>
      <c r="AC1802" s="47"/>
    </row>
    <row r="1803" spans="1:29">
      <c r="A1803" s="10" t="s">
        <v>353</v>
      </c>
      <c r="B1803" s="10" t="s">
        <v>381</v>
      </c>
      <c r="C1803" s="124">
        <v>46356</v>
      </c>
      <c r="D1803" s="124" t="s">
        <v>492</v>
      </c>
      <c r="E1803" s="21">
        <v>0.94388415000000003</v>
      </c>
      <c r="F1803" s="10"/>
      <c r="G1803" s="14">
        <v>4150625.28</v>
      </c>
      <c r="H1803" s="14">
        <v>3917709.41</v>
      </c>
      <c r="I1803" s="14">
        <v>4150625.28</v>
      </c>
      <c r="J1803" s="14">
        <v>3917709.41</v>
      </c>
      <c r="K1803" s="12">
        <v>3485</v>
      </c>
      <c r="L1803" s="10" t="s">
        <v>101</v>
      </c>
      <c r="M1803" s="10" t="s">
        <v>102</v>
      </c>
      <c r="N1803" s="124" t="s">
        <v>486</v>
      </c>
      <c r="O1803" s="124" t="s">
        <v>486</v>
      </c>
      <c r="P1803" s="21">
        <v>35</v>
      </c>
      <c r="Q1803" s="10" t="s">
        <v>54</v>
      </c>
      <c r="R1803" s="10" t="s">
        <v>28</v>
      </c>
      <c r="S1803" s="10"/>
      <c r="T1803" s="10"/>
      <c r="U1803" s="10" t="s">
        <v>2850</v>
      </c>
      <c r="V1803" s="10" t="s">
        <v>2850</v>
      </c>
      <c r="W1803" s="50">
        <f>+J1803/$W$2</f>
        <v>5.2084257362381987E-5</v>
      </c>
    </row>
    <row r="1804" spans="1:29">
      <c r="A1804" s="10" t="s">
        <v>2602</v>
      </c>
      <c r="B1804" s="10" t="s">
        <v>381</v>
      </c>
      <c r="C1804" s="124">
        <v>46356</v>
      </c>
      <c r="D1804" s="124" t="s">
        <v>492</v>
      </c>
      <c r="E1804" s="21">
        <v>0.94692061000000005</v>
      </c>
      <c r="F1804" s="10"/>
      <c r="G1804" s="14">
        <v>6590432.0999999996</v>
      </c>
      <c r="H1804" s="14">
        <v>6240615.9500000002</v>
      </c>
      <c r="I1804" s="14">
        <v>6590432.0999999996</v>
      </c>
      <c r="J1804" s="14">
        <v>6240615.9500000002</v>
      </c>
      <c r="K1804" s="12">
        <v>14100646</v>
      </c>
      <c r="L1804" s="10" t="s">
        <v>101</v>
      </c>
      <c r="M1804" s="10" t="s">
        <v>102</v>
      </c>
      <c r="N1804" s="124" t="s">
        <v>423</v>
      </c>
      <c r="O1804" s="124" t="s">
        <v>423</v>
      </c>
      <c r="P1804" s="21">
        <v>33</v>
      </c>
      <c r="Q1804" s="10" t="s">
        <v>54</v>
      </c>
      <c r="R1804" s="10" t="s">
        <v>28</v>
      </c>
      <c r="S1804" s="10"/>
      <c r="T1804" s="10"/>
      <c r="U1804" s="10" t="s">
        <v>2504</v>
      </c>
      <c r="V1804" s="10" t="s">
        <v>2504</v>
      </c>
      <c r="W1804" s="50">
        <f>+J1804/$W$2</f>
        <v>8.2966298217505098E-5</v>
      </c>
    </row>
    <row r="1805" spans="1:29">
      <c r="A1805" s="10" t="s">
        <v>208</v>
      </c>
      <c r="B1805" s="10" t="s">
        <v>381</v>
      </c>
      <c r="C1805" s="124">
        <v>46356</v>
      </c>
      <c r="D1805" s="124" t="s">
        <v>492</v>
      </c>
      <c r="E1805" s="21">
        <v>0.94692076000000003</v>
      </c>
      <c r="F1805" s="10"/>
      <c r="G1805" s="14">
        <v>2170000</v>
      </c>
      <c r="H1805" s="14">
        <v>2054818.04</v>
      </c>
      <c r="I1805" s="14">
        <v>2170000</v>
      </c>
      <c r="J1805" s="14">
        <v>2054818.04</v>
      </c>
      <c r="K1805" s="12">
        <v>260740</v>
      </c>
      <c r="L1805" s="10" t="s">
        <v>101</v>
      </c>
      <c r="M1805" s="10" t="s">
        <v>102</v>
      </c>
      <c r="N1805" s="124" t="s">
        <v>533</v>
      </c>
      <c r="O1805" s="124" t="s">
        <v>533</v>
      </c>
      <c r="P1805" s="21">
        <v>33</v>
      </c>
      <c r="Q1805" s="10" t="s">
        <v>54</v>
      </c>
      <c r="R1805" s="10" t="s">
        <v>28</v>
      </c>
      <c r="S1805" s="10"/>
      <c r="T1805" s="10"/>
      <c r="U1805" s="10" t="s">
        <v>1866</v>
      </c>
      <c r="V1805" s="10" t="s">
        <v>1866</v>
      </c>
      <c r="W1805" s="50">
        <f>+J1805/$W$2</f>
        <v>2.7317919842407436E-5</v>
      </c>
    </row>
    <row r="1806" spans="1:29">
      <c r="A1806" s="10" t="s">
        <v>494</v>
      </c>
      <c r="B1806" s="10" t="s">
        <v>381</v>
      </c>
      <c r="C1806" s="124">
        <v>46356</v>
      </c>
      <c r="D1806" s="124" t="s">
        <v>492</v>
      </c>
      <c r="E1806" s="21">
        <v>0.95614816000000002</v>
      </c>
      <c r="F1806" s="10"/>
      <c r="G1806" s="14">
        <v>8000000</v>
      </c>
      <c r="H1806" s="14">
        <v>7649185.3099999996</v>
      </c>
      <c r="I1806" s="14">
        <v>8000000</v>
      </c>
      <c r="J1806" s="14">
        <v>7649185.3099999996</v>
      </c>
      <c r="K1806" s="12">
        <v>69816005</v>
      </c>
      <c r="L1806" s="10" t="s">
        <v>101</v>
      </c>
      <c r="M1806" s="10" t="s">
        <v>102</v>
      </c>
      <c r="N1806" s="124" t="s">
        <v>486</v>
      </c>
      <c r="O1806" s="124" t="s">
        <v>486</v>
      </c>
      <c r="P1806" s="21">
        <v>27</v>
      </c>
      <c r="Q1806" s="10" t="s">
        <v>54</v>
      </c>
      <c r="R1806" s="10" t="s">
        <v>28</v>
      </c>
      <c r="S1806" s="10"/>
      <c r="T1806" s="10"/>
      <c r="U1806" s="10" t="s">
        <v>2856</v>
      </c>
      <c r="V1806" s="10" t="s">
        <v>2856</v>
      </c>
      <c r="W1806" s="50">
        <f>+J1806/$W$2</f>
        <v>1.0169262050974618E-4</v>
      </c>
    </row>
    <row r="1807" spans="1:29">
      <c r="A1807" s="10" t="s">
        <v>273</v>
      </c>
      <c r="B1807" s="10" t="s">
        <v>381</v>
      </c>
      <c r="C1807" s="124">
        <v>46356</v>
      </c>
      <c r="D1807" s="124" t="s">
        <v>492</v>
      </c>
      <c r="E1807" s="21">
        <v>0.95770367999999995</v>
      </c>
      <c r="F1807" s="10"/>
      <c r="G1807" s="14">
        <v>5000000</v>
      </c>
      <c r="H1807" s="14">
        <v>4788518.3899999997</v>
      </c>
      <c r="I1807" s="14">
        <v>5000000</v>
      </c>
      <c r="J1807" s="14">
        <v>4788518.3899999997</v>
      </c>
      <c r="K1807" s="12">
        <v>491506</v>
      </c>
      <c r="L1807" s="10" t="s">
        <v>101</v>
      </c>
      <c r="M1807" s="10" t="s">
        <v>102</v>
      </c>
      <c r="N1807" s="124" t="s">
        <v>361</v>
      </c>
      <c r="O1807" s="124" t="s">
        <v>361</v>
      </c>
      <c r="P1807" s="21">
        <v>26</v>
      </c>
      <c r="Q1807" s="10" t="s">
        <v>54</v>
      </c>
      <c r="R1807" s="10" t="s">
        <v>28</v>
      </c>
      <c r="S1807" s="10"/>
      <c r="T1807" s="10"/>
      <c r="U1807" s="10" t="s">
        <v>1017</v>
      </c>
      <c r="V1807" s="10" t="s">
        <v>1017</v>
      </c>
      <c r="W1807" s="50">
        <f>+J1807/$W$2</f>
        <v>6.3661287274815778E-5</v>
      </c>
    </row>
    <row r="1808" spans="1:29">
      <c r="A1808" s="10" t="s">
        <v>273</v>
      </c>
      <c r="B1808" s="10" t="s">
        <v>381</v>
      </c>
      <c r="C1808" s="124">
        <v>46356</v>
      </c>
      <c r="D1808" s="124" t="s">
        <v>492</v>
      </c>
      <c r="E1808" s="21">
        <v>0.94997664000000004</v>
      </c>
      <c r="F1808" s="10"/>
      <c r="G1808" s="14">
        <v>15000000</v>
      </c>
      <c r="H1808" s="14">
        <v>14249649.630000001</v>
      </c>
      <c r="I1808" s="14">
        <v>15000000</v>
      </c>
      <c r="J1808" s="14">
        <v>14249649.630000001</v>
      </c>
      <c r="K1808" s="12">
        <v>2442</v>
      </c>
      <c r="L1808" s="10" t="s">
        <v>101</v>
      </c>
      <c r="M1808" s="10" t="s">
        <v>102</v>
      </c>
      <c r="N1808" s="124" t="s">
        <v>322</v>
      </c>
      <c r="O1808" s="124" t="s">
        <v>322</v>
      </c>
      <c r="P1808" s="21">
        <v>31</v>
      </c>
      <c r="Q1808" s="10" t="s">
        <v>54</v>
      </c>
      <c r="R1808" s="10" t="s">
        <v>28</v>
      </c>
      <c r="S1808" s="10"/>
      <c r="T1808" s="10"/>
      <c r="U1808" s="10" t="s">
        <v>1566</v>
      </c>
      <c r="V1808" s="10" t="s">
        <v>1566</v>
      </c>
      <c r="W1808" s="50">
        <f>+J1808/$W$2</f>
        <v>1.8944294764646448E-4</v>
      </c>
    </row>
    <row r="1809" spans="1:29">
      <c r="A1809" s="10" t="s">
        <v>2165</v>
      </c>
      <c r="B1809" s="10" t="s">
        <v>381</v>
      </c>
      <c r="C1809" s="124">
        <v>46356</v>
      </c>
      <c r="D1809" s="124" t="s">
        <v>492</v>
      </c>
      <c r="E1809" s="21">
        <v>0.94844614000000005</v>
      </c>
      <c r="F1809" s="10"/>
      <c r="G1809" s="14">
        <v>6535955.1799999997</v>
      </c>
      <c r="H1809" s="14">
        <v>6199001.4699999997</v>
      </c>
      <c r="I1809" s="14">
        <v>6535955.1799999997</v>
      </c>
      <c r="J1809" s="14">
        <v>6199001.4699999997</v>
      </c>
      <c r="K1809" s="12">
        <v>30000339</v>
      </c>
      <c r="L1809" s="10" t="s">
        <v>101</v>
      </c>
      <c r="M1809" s="10" t="s">
        <v>102</v>
      </c>
      <c r="N1809" s="124" t="s">
        <v>416</v>
      </c>
      <c r="O1809" s="124" t="s">
        <v>416</v>
      </c>
      <c r="P1809" s="21">
        <v>32</v>
      </c>
      <c r="Q1809" s="10" t="s">
        <v>54</v>
      </c>
      <c r="R1809" s="10" t="s">
        <v>28</v>
      </c>
      <c r="S1809" s="10"/>
      <c r="T1809" s="10"/>
      <c r="U1809" s="10" t="s">
        <v>2143</v>
      </c>
      <c r="V1809" s="10" t="s">
        <v>2143</v>
      </c>
      <c r="W1809" s="50">
        <f>+J1809/$W$2</f>
        <v>8.2413051649296329E-5</v>
      </c>
    </row>
    <row r="1810" spans="1:29">
      <c r="A1810" s="10" t="s">
        <v>1330</v>
      </c>
      <c r="B1810" s="10" t="s">
        <v>381</v>
      </c>
      <c r="C1810" s="124">
        <v>46356</v>
      </c>
      <c r="D1810" s="124" t="s">
        <v>492</v>
      </c>
      <c r="E1810" s="21">
        <v>0.94692078000000002</v>
      </c>
      <c r="F1810" s="10"/>
      <c r="G1810" s="14">
        <v>5112056</v>
      </c>
      <c r="H1810" s="14">
        <v>4840712.07</v>
      </c>
      <c r="I1810" s="14">
        <v>5112056</v>
      </c>
      <c r="J1810" s="14">
        <v>4840712.07</v>
      </c>
      <c r="K1810" s="12">
        <v>14500667</v>
      </c>
      <c r="L1810" s="10" t="s">
        <v>101</v>
      </c>
      <c r="M1810" s="10" t="s">
        <v>102</v>
      </c>
      <c r="N1810" s="124" t="s">
        <v>483</v>
      </c>
      <c r="O1810" s="124" t="s">
        <v>483</v>
      </c>
      <c r="P1810" s="21">
        <v>33</v>
      </c>
      <c r="Q1810" s="10" t="s">
        <v>54</v>
      </c>
      <c r="R1810" s="10" t="s">
        <v>28</v>
      </c>
      <c r="S1810" s="10"/>
      <c r="T1810" s="10"/>
      <c r="U1810" s="10" t="s">
        <v>2461</v>
      </c>
      <c r="V1810" s="10" t="s">
        <v>2461</v>
      </c>
      <c r="W1810" s="50">
        <f>+J1810/$W$2</f>
        <v>6.4355179745469908E-5</v>
      </c>
    </row>
    <row r="1811" spans="1:29">
      <c r="A1811" s="10" t="s">
        <v>1431</v>
      </c>
      <c r="B1811" s="10" t="s">
        <v>381</v>
      </c>
      <c r="C1811" s="124">
        <v>46356</v>
      </c>
      <c r="D1811" s="124" t="s">
        <v>492</v>
      </c>
      <c r="E1811" s="21">
        <v>0.94844618999999997</v>
      </c>
      <c r="F1811" s="10"/>
      <c r="G1811" s="14">
        <v>5444206</v>
      </c>
      <c r="H1811" s="14">
        <v>5163536.41</v>
      </c>
      <c r="I1811" s="14">
        <v>5444206</v>
      </c>
      <c r="J1811" s="14">
        <v>5163536.41</v>
      </c>
      <c r="K1811" s="12">
        <v>3448</v>
      </c>
      <c r="L1811" s="10" t="s">
        <v>101</v>
      </c>
      <c r="M1811" s="10" t="s">
        <v>102</v>
      </c>
      <c r="N1811" s="124" t="s">
        <v>398</v>
      </c>
      <c r="O1811" s="124" t="s">
        <v>398</v>
      </c>
      <c r="P1811" s="21">
        <v>32</v>
      </c>
      <c r="Q1811" s="10" t="s">
        <v>54</v>
      </c>
      <c r="R1811" s="10" t="s">
        <v>28</v>
      </c>
      <c r="S1811" s="10"/>
      <c r="T1811" s="10"/>
      <c r="U1811" s="10" t="s">
        <v>1784</v>
      </c>
      <c r="V1811" s="10" t="s">
        <v>1784</v>
      </c>
      <c r="W1811" s="50">
        <f>+J1811/$W$2</f>
        <v>6.8646990149907506E-5</v>
      </c>
    </row>
    <row r="1812" spans="1:29">
      <c r="A1812" s="10" t="s">
        <v>471</v>
      </c>
      <c r="B1812" s="10" t="s">
        <v>381</v>
      </c>
      <c r="C1812" s="124">
        <v>46356</v>
      </c>
      <c r="D1812" s="124" t="s">
        <v>492</v>
      </c>
      <c r="E1812" s="21">
        <v>0.95614834000000004</v>
      </c>
      <c r="F1812" s="10"/>
      <c r="G1812" s="14">
        <v>10000000</v>
      </c>
      <c r="H1812" s="14">
        <v>9561483.4399999995</v>
      </c>
      <c r="I1812" s="14">
        <v>10000000</v>
      </c>
      <c r="J1812" s="14">
        <v>9561483.4399999995</v>
      </c>
      <c r="K1812" s="12">
        <v>14199482</v>
      </c>
      <c r="L1812" s="10" t="s">
        <v>101</v>
      </c>
      <c r="M1812" s="10" t="s">
        <v>102</v>
      </c>
      <c r="N1812" s="124" t="s">
        <v>434</v>
      </c>
      <c r="O1812" s="124" t="s">
        <v>434</v>
      </c>
      <c r="P1812" s="21">
        <v>27</v>
      </c>
      <c r="Q1812" s="10" t="s">
        <v>54</v>
      </c>
      <c r="R1812" s="10" t="s">
        <v>28</v>
      </c>
      <c r="S1812" s="10"/>
      <c r="T1812" s="10"/>
      <c r="U1812" s="10" t="s">
        <v>2984</v>
      </c>
      <c r="V1812" s="10" t="s">
        <v>2984</v>
      </c>
      <c r="W1812" s="50">
        <f>+J1812/$W$2</f>
        <v>1.2711579960064301E-4</v>
      </c>
    </row>
    <row r="1813" spans="1:29">
      <c r="A1813" s="10" t="s">
        <v>3144</v>
      </c>
      <c r="B1813" s="10" t="s">
        <v>381</v>
      </c>
      <c r="C1813" s="124">
        <v>46356</v>
      </c>
      <c r="D1813" s="124" t="s">
        <v>492</v>
      </c>
      <c r="E1813" s="21">
        <v>0.94692058999999995</v>
      </c>
      <c r="F1813" s="10"/>
      <c r="G1813" s="14">
        <v>2500000</v>
      </c>
      <c r="H1813" s="14">
        <v>2367301.4700000002</v>
      </c>
      <c r="I1813" s="14">
        <v>2500000</v>
      </c>
      <c r="J1813" s="14">
        <v>2367301.4700000002</v>
      </c>
      <c r="K1813" s="12">
        <v>105</v>
      </c>
      <c r="L1813" s="10" t="s">
        <v>101</v>
      </c>
      <c r="M1813" s="10" t="s">
        <v>102</v>
      </c>
      <c r="N1813" s="124" t="s">
        <v>532</v>
      </c>
      <c r="O1813" s="124" t="s">
        <v>532</v>
      </c>
      <c r="P1813" s="21">
        <v>33</v>
      </c>
      <c r="Q1813" s="10" t="s">
        <v>54</v>
      </c>
      <c r="R1813" s="10" t="s">
        <v>28</v>
      </c>
      <c r="S1813" s="10"/>
      <c r="T1813" s="10"/>
      <c r="U1813" s="10" t="s">
        <v>3110</v>
      </c>
      <c r="V1813" s="10" t="s">
        <v>3110</v>
      </c>
      <c r="W1813" s="50">
        <f>+J1813/$W$2</f>
        <v>3.1472252307203463E-5</v>
      </c>
    </row>
    <row r="1814" spans="1:29">
      <c r="A1814" s="10" t="s">
        <v>2017</v>
      </c>
      <c r="B1814" s="10" t="s">
        <v>381</v>
      </c>
      <c r="C1814" s="124">
        <v>46356</v>
      </c>
      <c r="D1814" s="124" t="s">
        <v>492</v>
      </c>
      <c r="E1814" s="21">
        <v>0.94237331000000002</v>
      </c>
      <c r="F1814" s="10"/>
      <c r="G1814" s="14">
        <v>30000000</v>
      </c>
      <c r="H1814" s="14">
        <v>28271199.210000001</v>
      </c>
      <c r="I1814" s="14">
        <v>30000000</v>
      </c>
      <c r="J1814" s="14">
        <v>28271199.210000001</v>
      </c>
      <c r="K1814" s="12">
        <v>10978204</v>
      </c>
      <c r="L1814" s="10" t="s">
        <v>101</v>
      </c>
      <c r="M1814" s="10" t="s">
        <v>102</v>
      </c>
      <c r="N1814" s="124" t="s">
        <v>164</v>
      </c>
      <c r="O1814" s="124" t="s">
        <v>164</v>
      </c>
      <c r="P1814" s="21">
        <v>36</v>
      </c>
      <c r="Q1814" s="10" t="s">
        <v>54</v>
      </c>
      <c r="R1814" s="10" t="s">
        <v>28</v>
      </c>
      <c r="S1814" s="10"/>
      <c r="T1814" s="10"/>
      <c r="U1814" s="10" t="s">
        <v>2004</v>
      </c>
      <c r="V1814" s="10" t="s">
        <v>2004</v>
      </c>
      <c r="W1814" s="50">
        <f>+J1814/$W$2</f>
        <v>3.7585340348068603E-4</v>
      </c>
    </row>
    <row r="1815" spans="1:29">
      <c r="A1815" s="10" t="s">
        <v>607</v>
      </c>
      <c r="B1815" s="10" t="s">
        <v>381</v>
      </c>
      <c r="C1815" s="124">
        <v>46356</v>
      </c>
      <c r="D1815" s="124" t="s">
        <v>492</v>
      </c>
      <c r="E1815" s="21">
        <v>0.94692078999999996</v>
      </c>
      <c r="F1815" s="10"/>
      <c r="G1815" s="14">
        <v>1500000</v>
      </c>
      <c r="H1815" s="14">
        <v>1420381.18</v>
      </c>
      <c r="I1815" s="14">
        <v>1500000</v>
      </c>
      <c r="J1815" s="14">
        <v>1420381.18</v>
      </c>
      <c r="K1815" s="12">
        <v>588</v>
      </c>
      <c r="L1815" s="10" t="s">
        <v>101</v>
      </c>
      <c r="M1815" s="10" t="s">
        <v>102</v>
      </c>
      <c r="N1815" s="124" t="s">
        <v>434</v>
      </c>
      <c r="O1815" s="124" t="s">
        <v>434</v>
      </c>
      <c r="P1815" s="21">
        <v>33</v>
      </c>
      <c r="Q1815" s="10" t="s">
        <v>54</v>
      </c>
      <c r="R1815" s="10" t="s">
        <v>28</v>
      </c>
      <c r="S1815" s="10"/>
      <c r="T1815" s="10"/>
      <c r="U1815" s="10" t="s">
        <v>2926</v>
      </c>
      <c r="V1815" s="10" t="s">
        <v>2926</v>
      </c>
      <c r="W1815" s="50">
        <f>+J1815/$W$2</f>
        <v>1.8883355346103581E-5</v>
      </c>
    </row>
    <row r="1816" spans="1:29">
      <c r="A1816" s="10" t="s">
        <v>382</v>
      </c>
      <c r="B1816" s="10" t="s">
        <v>381</v>
      </c>
      <c r="C1816" s="124">
        <v>46356</v>
      </c>
      <c r="D1816" s="124" t="s">
        <v>492</v>
      </c>
      <c r="E1816" s="21">
        <v>0.94692069999999995</v>
      </c>
      <c r="F1816" s="10"/>
      <c r="G1816" s="14">
        <v>2500000</v>
      </c>
      <c r="H1816" s="14">
        <v>2367301.7599999998</v>
      </c>
      <c r="I1816" s="14">
        <v>2500000</v>
      </c>
      <c r="J1816" s="14">
        <v>2367301.7599999998</v>
      </c>
      <c r="K1816" s="12">
        <v>1028</v>
      </c>
      <c r="L1816" s="10" t="s">
        <v>101</v>
      </c>
      <c r="M1816" s="10" t="s">
        <v>102</v>
      </c>
      <c r="N1816" s="124" t="s">
        <v>163</v>
      </c>
      <c r="O1816" s="124" t="s">
        <v>325</v>
      </c>
      <c r="P1816" s="21">
        <v>33</v>
      </c>
      <c r="Q1816" s="10" t="s">
        <v>54</v>
      </c>
      <c r="R1816" s="10" t="s">
        <v>28</v>
      </c>
      <c r="S1816" s="10"/>
      <c r="T1816" s="10"/>
      <c r="U1816" s="10" t="s">
        <v>1652</v>
      </c>
      <c r="V1816" s="10" t="s">
        <v>1652</v>
      </c>
      <c r="W1816" s="50">
        <f>+J1816/$W$2</f>
        <v>3.1472256162628415E-5</v>
      </c>
    </row>
    <row r="1817" spans="1:29">
      <c r="A1817" s="10" t="s">
        <v>382</v>
      </c>
      <c r="B1817" s="10" t="s">
        <v>381</v>
      </c>
      <c r="C1817" s="124">
        <v>46356</v>
      </c>
      <c r="D1817" s="124" t="s">
        <v>492</v>
      </c>
      <c r="E1817" s="21">
        <v>0.95151202000000001</v>
      </c>
      <c r="F1817" s="10"/>
      <c r="G1817" s="14">
        <v>2500000</v>
      </c>
      <c r="H1817" s="14">
        <v>2378780.04</v>
      </c>
      <c r="I1817" s="14">
        <v>2500000</v>
      </c>
      <c r="J1817" s="14">
        <v>2378780.04</v>
      </c>
      <c r="K1817" s="12">
        <v>901</v>
      </c>
      <c r="L1817" s="10" t="s">
        <v>101</v>
      </c>
      <c r="M1817" s="10" t="s">
        <v>102</v>
      </c>
      <c r="N1817" s="124" t="s">
        <v>435</v>
      </c>
      <c r="O1817" s="124" t="s">
        <v>435</v>
      </c>
      <c r="P1817" s="21">
        <v>30</v>
      </c>
      <c r="Q1817" s="10" t="s">
        <v>54</v>
      </c>
      <c r="R1817" s="10" t="s">
        <v>28</v>
      </c>
      <c r="S1817" s="10"/>
      <c r="T1817" s="10"/>
      <c r="U1817" s="10" t="s">
        <v>1324</v>
      </c>
      <c r="V1817" s="10" t="s">
        <v>1324</v>
      </c>
      <c r="W1817" s="50">
        <f>+J1817/$W$2</f>
        <v>3.1624854946007165E-5</v>
      </c>
    </row>
    <row r="1818" spans="1:29">
      <c r="A1818" s="10" t="s">
        <v>477</v>
      </c>
      <c r="B1818" s="10" t="s">
        <v>381</v>
      </c>
      <c r="C1818" s="124">
        <v>46357</v>
      </c>
      <c r="D1818" s="124" t="s">
        <v>492</v>
      </c>
      <c r="E1818" s="21">
        <v>0.94921078999999997</v>
      </c>
      <c r="F1818" s="10"/>
      <c r="G1818" s="14">
        <v>60000000</v>
      </c>
      <c r="H1818" s="14">
        <v>56952647.5</v>
      </c>
      <c r="I1818" s="14">
        <v>60000000</v>
      </c>
      <c r="J1818" s="14">
        <v>56952647.5</v>
      </c>
      <c r="K1818" s="12">
        <v>80939925</v>
      </c>
      <c r="L1818" s="10" t="s">
        <v>101</v>
      </c>
      <c r="M1818" s="10" t="s">
        <v>102</v>
      </c>
      <c r="N1818" s="124" t="s">
        <v>390</v>
      </c>
      <c r="O1818" s="124" t="s">
        <v>390</v>
      </c>
      <c r="P1818" s="21">
        <v>31</v>
      </c>
      <c r="Q1818" s="10" t="s">
        <v>54</v>
      </c>
      <c r="R1818" s="10" t="s">
        <v>28</v>
      </c>
      <c r="S1818" s="10"/>
      <c r="T1818" s="10"/>
      <c r="U1818" s="10" t="s">
        <v>2023</v>
      </c>
      <c r="V1818" s="10" t="s">
        <v>2023</v>
      </c>
      <c r="W1818" s="50">
        <f>+J1818/$W$2</f>
        <v>7.5716089158818468E-4</v>
      </c>
      <c r="AC1818" s="47"/>
    </row>
    <row r="1819" spans="1:29">
      <c r="A1819" s="10" t="s">
        <v>477</v>
      </c>
      <c r="B1819" s="10" t="s">
        <v>381</v>
      </c>
      <c r="C1819" s="124">
        <v>46357</v>
      </c>
      <c r="D1819" s="124" t="s">
        <v>492</v>
      </c>
      <c r="E1819" s="21">
        <v>0.95547252000000005</v>
      </c>
      <c r="F1819" s="10"/>
      <c r="G1819" s="14">
        <v>5000000</v>
      </c>
      <c r="H1819" s="14">
        <v>4777362.62</v>
      </c>
      <c r="I1819" s="14">
        <v>5000000</v>
      </c>
      <c r="J1819" s="14">
        <v>4777362.62</v>
      </c>
      <c r="K1819" s="12">
        <v>40740200</v>
      </c>
      <c r="L1819" s="10" t="s">
        <v>101</v>
      </c>
      <c r="M1819" s="10" t="s">
        <v>102</v>
      </c>
      <c r="N1819" s="124" t="s">
        <v>486</v>
      </c>
      <c r="O1819" s="124" t="s">
        <v>486</v>
      </c>
      <c r="P1819" s="21">
        <v>27</v>
      </c>
      <c r="Q1819" s="10" t="s">
        <v>54</v>
      </c>
      <c r="R1819" s="10" t="s">
        <v>28</v>
      </c>
      <c r="S1819" s="10"/>
      <c r="T1819" s="10"/>
      <c r="U1819" s="10" t="s">
        <v>2899</v>
      </c>
      <c r="V1819" s="10" t="s">
        <v>2899</v>
      </c>
      <c r="W1819" s="50">
        <f>+J1819/$W$2</f>
        <v>6.3512976122826704E-5</v>
      </c>
    </row>
    <row r="1820" spans="1:29">
      <c r="A1820" s="10" t="s">
        <v>477</v>
      </c>
      <c r="B1820" s="10" t="s">
        <v>381</v>
      </c>
      <c r="C1820" s="124">
        <v>46357</v>
      </c>
      <c r="D1820" s="124" t="s">
        <v>492</v>
      </c>
      <c r="E1820" s="21">
        <v>0.95547252000000005</v>
      </c>
      <c r="F1820" s="10"/>
      <c r="G1820" s="14">
        <v>5000000</v>
      </c>
      <c r="H1820" s="14">
        <v>4777362.62</v>
      </c>
      <c r="I1820" s="14">
        <v>5000000</v>
      </c>
      <c r="J1820" s="14">
        <v>4777362.62</v>
      </c>
      <c r="K1820" s="12">
        <v>40740203</v>
      </c>
      <c r="L1820" s="10" t="s">
        <v>101</v>
      </c>
      <c r="M1820" s="10" t="s">
        <v>102</v>
      </c>
      <c r="N1820" s="124" t="s">
        <v>486</v>
      </c>
      <c r="O1820" s="124" t="s">
        <v>486</v>
      </c>
      <c r="P1820" s="21">
        <v>27</v>
      </c>
      <c r="Q1820" s="10" t="s">
        <v>54</v>
      </c>
      <c r="R1820" s="10" t="s">
        <v>28</v>
      </c>
      <c r="S1820" s="10"/>
      <c r="T1820" s="10"/>
      <c r="U1820" s="10" t="s">
        <v>2906</v>
      </c>
      <c r="V1820" s="10" t="s">
        <v>2906</v>
      </c>
      <c r="W1820" s="50">
        <f>+J1820/$W$2</f>
        <v>6.3512976122826704E-5</v>
      </c>
    </row>
    <row r="1821" spans="1:29">
      <c r="A1821" s="10" t="s">
        <v>2774</v>
      </c>
      <c r="B1821" s="10" t="s">
        <v>381</v>
      </c>
      <c r="C1821" s="124">
        <v>46357</v>
      </c>
      <c r="D1821" s="124" t="s">
        <v>492</v>
      </c>
      <c r="E1821" s="21">
        <v>0.95389924999999998</v>
      </c>
      <c r="F1821" s="10"/>
      <c r="G1821" s="14">
        <v>70000000</v>
      </c>
      <c r="H1821" s="14">
        <v>66772947.390000001</v>
      </c>
      <c r="I1821" s="14">
        <v>70000000</v>
      </c>
      <c r="J1821" s="14">
        <v>66772947.390000001</v>
      </c>
      <c r="K1821" s="12">
        <v>11169841</v>
      </c>
      <c r="L1821" s="10" t="s">
        <v>101</v>
      </c>
      <c r="M1821" s="10" t="s">
        <v>102</v>
      </c>
      <c r="N1821" s="124" t="s">
        <v>472</v>
      </c>
      <c r="O1821" s="124" t="s">
        <v>472</v>
      </c>
      <c r="P1821" s="21">
        <v>28</v>
      </c>
      <c r="Q1821" s="10" t="s">
        <v>54</v>
      </c>
      <c r="R1821" s="10" t="s">
        <v>28</v>
      </c>
      <c r="S1821" s="10"/>
      <c r="T1821" s="10"/>
      <c r="U1821" s="10" t="s">
        <v>3186</v>
      </c>
      <c r="V1821" s="10" t="s">
        <v>3186</v>
      </c>
      <c r="W1821" s="50">
        <f>+J1821/$W$2</f>
        <v>8.8771754429472919E-4</v>
      </c>
    </row>
    <row r="1822" spans="1:29">
      <c r="A1822" s="10" t="s">
        <v>353</v>
      </c>
      <c r="B1822" s="10" t="s">
        <v>381</v>
      </c>
      <c r="C1822" s="124">
        <v>46357</v>
      </c>
      <c r="D1822" s="124" t="s">
        <v>492</v>
      </c>
      <c r="E1822" s="21">
        <v>0.94149826999999997</v>
      </c>
      <c r="F1822" s="10"/>
      <c r="G1822" s="14">
        <v>3105640.28</v>
      </c>
      <c r="H1822" s="14">
        <v>2923954.95</v>
      </c>
      <c r="I1822" s="14">
        <v>3105640.28</v>
      </c>
      <c r="J1822" s="14">
        <v>2923954.95</v>
      </c>
      <c r="K1822" s="12">
        <v>3387</v>
      </c>
      <c r="L1822" s="10" t="s">
        <v>101</v>
      </c>
      <c r="M1822" s="10" t="s">
        <v>102</v>
      </c>
      <c r="N1822" s="124" t="s">
        <v>475</v>
      </c>
      <c r="O1822" s="124" t="s">
        <v>475</v>
      </c>
      <c r="P1822" s="21">
        <v>36</v>
      </c>
      <c r="Q1822" s="10" t="s">
        <v>54</v>
      </c>
      <c r="R1822" s="10" t="s">
        <v>28</v>
      </c>
      <c r="S1822" s="10"/>
      <c r="T1822" s="10"/>
      <c r="U1822" s="10" t="s">
        <v>2327</v>
      </c>
      <c r="V1822" s="10" t="s">
        <v>2327</v>
      </c>
      <c r="W1822" s="50">
        <f>+J1822/$W$2</f>
        <v>3.8872720305156771E-5</v>
      </c>
    </row>
    <row r="1823" spans="1:29">
      <c r="A1823" s="10" t="s">
        <v>353</v>
      </c>
      <c r="B1823" s="10" t="s">
        <v>381</v>
      </c>
      <c r="C1823" s="124">
        <v>46357</v>
      </c>
      <c r="D1823" s="124" t="s">
        <v>492</v>
      </c>
      <c r="E1823" s="21">
        <v>0.94303079999999995</v>
      </c>
      <c r="F1823" s="10"/>
      <c r="G1823" s="14">
        <v>3256800.5</v>
      </c>
      <c r="H1823" s="14">
        <v>3071263.19</v>
      </c>
      <c r="I1823" s="14">
        <v>3256800.5</v>
      </c>
      <c r="J1823" s="14">
        <v>3071263.19</v>
      </c>
      <c r="K1823" s="12">
        <v>3599</v>
      </c>
      <c r="L1823" s="10" t="s">
        <v>101</v>
      </c>
      <c r="M1823" s="10" t="s">
        <v>102</v>
      </c>
      <c r="N1823" s="124" t="s">
        <v>531</v>
      </c>
      <c r="O1823" s="124" t="s">
        <v>531</v>
      </c>
      <c r="P1823" s="21">
        <v>35</v>
      </c>
      <c r="Q1823" s="10" t="s">
        <v>54</v>
      </c>
      <c r="R1823" s="10" t="s">
        <v>28</v>
      </c>
      <c r="S1823" s="10"/>
      <c r="T1823" s="10"/>
      <c r="U1823" s="10" t="s">
        <v>3412</v>
      </c>
      <c r="V1823" s="10" t="s">
        <v>3412</v>
      </c>
      <c r="W1823" s="50">
        <f>+J1823/$W$2</f>
        <v>4.0831119839378359E-5</v>
      </c>
    </row>
    <row r="1824" spans="1:29">
      <c r="A1824" s="10" t="s">
        <v>2465</v>
      </c>
      <c r="B1824" s="10" t="s">
        <v>381</v>
      </c>
      <c r="C1824" s="124">
        <v>46357</v>
      </c>
      <c r="D1824" s="124" t="s">
        <v>492</v>
      </c>
      <c r="E1824" s="21">
        <v>0.94765825999999997</v>
      </c>
      <c r="F1824" s="10"/>
      <c r="G1824" s="14">
        <v>4000000</v>
      </c>
      <c r="H1824" s="14">
        <v>3790633.04</v>
      </c>
      <c r="I1824" s="14">
        <v>4000000</v>
      </c>
      <c r="J1824" s="14">
        <v>3790633.04</v>
      </c>
      <c r="K1824" s="12">
        <v>724</v>
      </c>
      <c r="L1824" s="10" t="s">
        <v>101</v>
      </c>
      <c r="M1824" s="10" t="s">
        <v>102</v>
      </c>
      <c r="N1824" s="124" t="s">
        <v>483</v>
      </c>
      <c r="O1824" s="124" t="s">
        <v>483</v>
      </c>
      <c r="P1824" s="21">
        <v>32</v>
      </c>
      <c r="Q1824" s="10" t="s">
        <v>54</v>
      </c>
      <c r="R1824" s="10" t="s">
        <v>28</v>
      </c>
      <c r="S1824" s="10"/>
      <c r="T1824" s="10"/>
      <c r="U1824" s="10" t="s">
        <v>2450</v>
      </c>
      <c r="V1824" s="10" t="s">
        <v>2450</v>
      </c>
      <c r="W1824" s="50">
        <f>+J1824/$W$2</f>
        <v>5.0394831816203644E-5</v>
      </c>
    </row>
    <row r="1825" spans="1:29">
      <c r="A1825" s="10" t="s">
        <v>208</v>
      </c>
      <c r="B1825" s="10" t="s">
        <v>381</v>
      </c>
      <c r="C1825" s="124">
        <v>46357</v>
      </c>
      <c r="D1825" s="124" t="s">
        <v>492</v>
      </c>
      <c r="E1825" s="21">
        <v>0.94611071000000002</v>
      </c>
      <c r="F1825" s="10"/>
      <c r="G1825" s="14">
        <v>2170000</v>
      </c>
      <c r="H1825" s="14">
        <v>2053060.24</v>
      </c>
      <c r="I1825" s="14">
        <v>2170000</v>
      </c>
      <c r="J1825" s="14">
        <v>2053060.24</v>
      </c>
      <c r="K1825" s="12">
        <v>260741</v>
      </c>
      <c r="L1825" s="10" t="s">
        <v>101</v>
      </c>
      <c r="M1825" s="10" t="s">
        <v>102</v>
      </c>
      <c r="N1825" s="124" t="s">
        <v>533</v>
      </c>
      <c r="O1825" s="124" t="s">
        <v>533</v>
      </c>
      <c r="P1825" s="21">
        <v>33</v>
      </c>
      <c r="Q1825" s="10" t="s">
        <v>54</v>
      </c>
      <c r="R1825" s="10" t="s">
        <v>28</v>
      </c>
      <c r="S1825" s="10"/>
      <c r="T1825" s="10"/>
      <c r="U1825" s="10" t="s">
        <v>1867</v>
      </c>
      <c r="V1825" s="10" t="s">
        <v>1867</v>
      </c>
      <c r="W1825" s="50">
        <f>+J1825/$W$2</f>
        <v>2.7294550649338162E-5</v>
      </c>
    </row>
    <row r="1826" spans="1:29">
      <c r="A1826" s="10" t="s">
        <v>494</v>
      </c>
      <c r="B1826" s="10" t="s">
        <v>381</v>
      </c>
      <c r="C1826" s="124">
        <v>46357</v>
      </c>
      <c r="D1826" s="124" t="s">
        <v>492</v>
      </c>
      <c r="E1826" s="21">
        <v>0.95389941</v>
      </c>
      <c r="F1826" s="10"/>
      <c r="G1826" s="14">
        <v>25000000</v>
      </c>
      <c r="H1826" s="14">
        <v>23847485.370000001</v>
      </c>
      <c r="I1826" s="14">
        <v>25000000</v>
      </c>
      <c r="J1826" s="14">
        <v>23847485.370000001</v>
      </c>
      <c r="K1826" s="12">
        <v>69933187</v>
      </c>
      <c r="L1826" s="10" t="s">
        <v>101</v>
      </c>
      <c r="M1826" s="10" t="s">
        <v>102</v>
      </c>
      <c r="N1826" s="124" t="s">
        <v>532</v>
      </c>
      <c r="O1826" s="124" t="s">
        <v>532</v>
      </c>
      <c r="P1826" s="21">
        <v>28</v>
      </c>
      <c r="Q1826" s="10" t="s">
        <v>54</v>
      </c>
      <c r="R1826" s="10" t="s">
        <v>28</v>
      </c>
      <c r="S1826" s="10"/>
      <c r="T1826" s="10"/>
      <c r="U1826" s="10" t="s">
        <v>3136</v>
      </c>
      <c r="V1826" s="10" t="s">
        <v>3136</v>
      </c>
      <c r="W1826" s="50">
        <f>+J1826/$W$2</f>
        <v>3.1704203540117062E-4</v>
      </c>
      <c r="AC1826" s="47"/>
    </row>
    <row r="1827" spans="1:29">
      <c r="A1827" s="10" t="s">
        <v>141</v>
      </c>
      <c r="B1827" s="10" t="s">
        <v>381</v>
      </c>
      <c r="C1827" s="124">
        <v>46357</v>
      </c>
      <c r="D1827" s="124" t="s">
        <v>492</v>
      </c>
      <c r="E1827" s="21">
        <v>0.94456823000000001</v>
      </c>
      <c r="F1827" s="10"/>
      <c r="G1827" s="14">
        <v>15000000</v>
      </c>
      <c r="H1827" s="14">
        <v>14168523.380000001</v>
      </c>
      <c r="I1827" s="14">
        <v>15000000</v>
      </c>
      <c r="J1827" s="14">
        <v>14168523.380000001</v>
      </c>
      <c r="K1827" s="12">
        <v>199</v>
      </c>
      <c r="L1827" s="10" t="s">
        <v>101</v>
      </c>
      <c r="M1827" s="10" t="s">
        <v>102</v>
      </c>
      <c r="N1827" s="124" t="s">
        <v>533</v>
      </c>
      <c r="O1827" s="124" t="s">
        <v>533</v>
      </c>
      <c r="P1827" s="21">
        <v>34</v>
      </c>
      <c r="Q1827" s="10" t="s">
        <v>54</v>
      </c>
      <c r="R1827" s="10" t="s">
        <v>28</v>
      </c>
      <c r="S1827" s="10"/>
      <c r="T1827" s="10"/>
      <c r="U1827" s="10" t="s">
        <v>1842</v>
      </c>
      <c r="V1827" s="10" t="s">
        <v>1842</v>
      </c>
      <c r="W1827" s="50">
        <f>+J1827/$W$2</f>
        <v>1.8836440913284745E-4</v>
      </c>
    </row>
    <row r="1828" spans="1:29">
      <c r="A1828" s="10" t="s">
        <v>1504</v>
      </c>
      <c r="B1828" s="10" t="s">
        <v>381</v>
      </c>
      <c r="C1828" s="124">
        <v>46357</v>
      </c>
      <c r="D1828" s="124" t="s">
        <v>492</v>
      </c>
      <c r="E1828" s="21">
        <v>0.95389930999999994</v>
      </c>
      <c r="F1828" s="10"/>
      <c r="G1828" s="14">
        <v>150000000</v>
      </c>
      <c r="H1828" s="14">
        <v>143084896.68000001</v>
      </c>
      <c r="I1828" s="14">
        <v>150000000</v>
      </c>
      <c r="J1828" s="14">
        <v>143084896.68000001</v>
      </c>
      <c r="K1828" s="12">
        <v>77</v>
      </c>
      <c r="L1828" s="10" t="s">
        <v>101</v>
      </c>
      <c r="M1828" s="10" t="s">
        <v>102</v>
      </c>
      <c r="N1828" s="124" t="s">
        <v>414</v>
      </c>
      <c r="O1828" s="124" t="s">
        <v>414</v>
      </c>
      <c r="P1828" s="21">
        <v>28</v>
      </c>
      <c r="Q1828" s="10" t="s">
        <v>54</v>
      </c>
      <c r="R1828" s="10" t="s">
        <v>28</v>
      </c>
      <c r="S1828" s="10"/>
      <c r="T1828" s="10"/>
      <c r="U1828" s="10" t="s">
        <v>1494</v>
      </c>
      <c r="V1828" s="10" t="s">
        <v>1494</v>
      </c>
      <c r="W1828" s="50">
        <f>+J1828/$W$2</f>
        <v>1.9022520058094242E-3</v>
      </c>
    </row>
    <row r="1829" spans="1:29">
      <c r="A1829" s="10" t="s">
        <v>3512</v>
      </c>
      <c r="B1829" s="10" t="s">
        <v>381</v>
      </c>
      <c r="C1829" s="124">
        <v>46357</v>
      </c>
      <c r="D1829" s="124" t="s">
        <v>492</v>
      </c>
      <c r="E1829" s="21">
        <v>0.94611071000000002</v>
      </c>
      <c r="F1829" s="10"/>
      <c r="G1829" s="14">
        <v>80000000</v>
      </c>
      <c r="H1829" s="14">
        <v>75688857.140000001</v>
      </c>
      <c r="I1829" s="14">
        <v>80000000</v>
      </c>
      <c r="J1829" s="14">
        <v>75688857.140000001</v>
      </c>
      <c r="K1829" s="12">
        <v>3035</v>
      </c>
      <c r="L1829" s="10" t="s">
        <v>101</v>
      </c>
      <c r="M1829" s="10" t="s">
        <v>102</v>
      </c>
      <c r="N1829" s="124" t="s">
        <v>678</v>
      </c>
      <c r="O1829" s="124" t="s">
        <v>678</v>
      </c>
      <c r="P1829" s="21">
        <v>33</v>
      </c>
      <c r="Q1829" s="10" t="s">
        <v>54</v>
      </c>
      <c r="R1829" s="10" t="s">
        <v>28</v>
      </c>
      <c r="S1829" s="10"/>
      <c r="T1829" s="10"/>
      <c r="U1829" s="10" t="s">
        <v>3501</v>
      </c>
      <c r="V1829" s="10" t="s">
        <v>3501</v>
      </c>
      <c r="W1829" s="50">
        <f>+J1829/$W$2</f>
        <v>1.0062507200462127E-3</v>
      </c>
    </row>
    <row r="1830" spans="1:29">
      <c r="A1830" s="10" t="s">
        <v>267</v>
      </c>
      <c r="B1830" s="10" t="s">
        <v>381</v>
      </c>
      <c r="C1830" s="124">
        <v>46357</v>
      </c>
      <c r="D1830" s="124" t="s">
        <v>492</v>
      </c>
      <c r="E1830" s="21">
        <v>0.95389928999999996</v>
      </c>
      <c r="F1830" s="10"/>
      <c r="G1830" s="14">
        <v>50000000</v>
      </c>
      <c r="H1830" s="14">
        <v>47694964.390000001</v>
      </c>
      <c r="I1830" s="14">
        <v>50000000</v>
      </c>
      <c r="J1830" s="14">
        <v>47694964.390000001</v>
      </c>
      <c r="K1830" s="12">
        <v>29757438</v>
      </c>
      <c r="L1830" s="10" t="s">
        <v>101</v>
      </c>
      <c r="M1830" s="10" t="s">
        <v>102</v>
      </c>
      <c r="N1830" s="124" t="s">
        <v>366</v>
      </c>
      <c r="O1830" s="124" t="s">
        <v>366</v>
      </c>
      <c r="P1830" s="21">
        <v>28</v>
      </c>
      <c r="Q1830" s="10" t="s">
        <v>54</v>
      </c>
      <c r="R1830" s="10" t="s">
        <v>28</v>
      </c>
      <c r="S1830" s="10"/>
      <c r="T1830" s="10"/>
      <c r="U1830" s="10" t="s">
        <v>1164</v>
      </c>
      <c r="V1830" s="10" t="s">
        <v>1164</v>
      </c>
      <c r="W1830" s="50">
        <f>+J1830/$W$2</f>
        <v>6.3408398638182921E-4</v>
      </c>
    </row>
    <row r="1831" spans="1:29">
      <c r="A1831" s="10" t="s">
        <v>273</v>
      </c>
      <c r="B1831" s="10" t="s">
        <v>381</v>
      </c>
      <c r="C1831" s="124">
        <v>46357</v>
      </c>
      <c r="D1831" s="124" t="s">
        <v>492</v>
      </c>
      <c r="E1831" s="21">
        <v>0.95076844999999999</v>
      </c>
      <c r="F1831" s="10"/>
      <c r="G1831" s="14">
        <v>25000000</v>
      </c>
      <c r="H1831" s="14">
        <v>23769211.280000001</v>
      </c>
      <c r="I1831" s="14">
        <v>25000000</v>
      </c>
      <c r="J1831" s="14">
        <v>23769211.280000001</v>
      </c>
      <c r="K1831" s="12">
        <v>12742281</v>
      </c>
      <c r="L1831" s="10" t="s">
        <v>101</v>
      </c>
      <c r="M1831" s="10" t="s">
        <v>102</v>
      </c>
      <c r="N1831" s="124" t="s">
        <v>322</v>
      </c>
      <c r="O1831" s="124" t="s">
        <v>322</v>
      </c>
      <c r="P1831" s="21">
        <v>30</v>
      </c>
      <c r="Q1831" s="10" t="s">
        <v>54</v>
      </c>
      <c r="R1831" s="10" t="s">
        <v>28</v>
      </c>
      <c r="S1831" s="10"/>
      <c r="T1831" s="10"/>
      <c r="U1831" s="10" t="s">
        <v>1575</v>
      </c>
      <c r="V1831" s="10" t="s">
        <v>1575</v>
      </c>
      <c r="W1831" s="50">
        <f>+J1831/$W$2</f>
        <v>3.1600141512495513E-4</v>
      </c>
    </row>
    <row r="1832" spans="1:29">
      <c r="A1832" s="10" t="s">
        <v>1506</v>
      </c>
      <c r="B1832" s="10" t="s">
        <v>381</v>
      </c>
      <c r="C1832" s="124">
        <v>46357</v>
      </c>
      <c r="D1832" s="124" t="s">
        <v>492</v>
      </c>
      <c r="E1832" s="21">
        <v>0.95233133999999997</v>
      </c>
      <c r="F1832" s="10"/>
      <c r="G1832" s="14">
        <v>40000000</v>
      </c>
      <c r="H1832" s="14">
        <v>38093253.700000003</v>
      </c>
      <c r="I1832" s="14">
        <v>40000000</v>
      </c>
      <c r="J1832" s="14">
        <v>38093253.700000003</v>
      </c>
      <c r="K1832" s="12">
        <v>2886</v>
      </c>
      <c r="L1832" s="10" t="s">
        <v>101</v>
      </c>
      <c r="M1832" s="10" t="s">
        <v>102</v>
      </c>
      <c r="N1832" s="124" t="s">
        <v>414</v>
      </c>
      <c r="O1832" s="124" t="s">
        <v>414</v>
      </c>
      <c r="P1832" s="21">
        <v>29</v>
      </c>
      <c r="Q1832" s="10" t="s">
        <v>54</v>
      </c>
      <c r="R1832" s="10" t="s">
        <v>28</v>
      </c>
      <c r="S1832" s="10"/>
      <c r="T1832" s="10"/>
      <c r="U1832" s="10" t="s">
        <v>1487</v>
      </c>
      <c r="V1832" s="10" t="s">
        <v>1487</v>
      </c>
      <c r="W1832" s="50">
        <f>+J1832/$W$2</f>
        <v>5.0643338283767967E-4</v>
      </c>
    </row>
    <row r="1833" spans="1:29">
      <c r="A1833" s="10" t="s">
        <v>2085</v>
      </c>
      <c r="B1833" s="10" t="s">
        <v>381</v>
      </c>
      <c r="C1833" s="124">
        <v>46357</v>
      </c>
      <c r="D1833" s="124" t="s">
        <v>492</v>
      </c>
      <c r="E1833" s="21">
        <v>0.94921080999999996</v>
      </c>
      <c r="F1833" s="10"/>
      <c r="G1833" s="14">
        <v>985744</v>
      </c>
      <c r="H1833" s="14">
        <v>935678.86</v>
      </c>
      <c r="I1833" s="14">
        <v>985744</v>
      </c>
      <c r="J1833" s="14">
        <v>935678.86</v>
      </c>
      <c r="K1833" s="12">
        <v>10332467</v>
      </c>
      <c r="L1833" s="10" t="s">
        <v>101</v>
      </c>
      <c r="M1833" s="10" t="s">
        <v>102</v>
      </c>
      <c r="N1833" s="124" t="s">
        <v>390</v>
      </c>
      <c r="O1833" s="124" t="s">
        <v>390</v>
      </c>
      <c r="P1833" s="21">
        <v>31</v>
      </c>
      <c r="Q1833" s="10" t="s">
        <v>54</v>
      </c>
      <c r="R1833" s="10" t="s">
        <v>28</v>
      </c>
      <c r="S1833" s="10"/>
      <c r="T1833" s="10"/>
      <c r="U1833" s="10" t="s">
        <v>2066</v>
      </c>
      <c r="V1833" s="10" t="s">
        <v>2066</v>
      </c>
      <c r="W1833" s="50">
        <f>+J1833/$W$2</f>
        <v>1.2439446996345802E-5</v>
      </c>
    </row>
    <row r="1834" spans="1:29">
      <c r="A1834" s="10" t="s">
        <v>273</v>
      </c>
      <c r="B1834" s="10" t="s">
        <v>381</v>
      </c>
      <c r="C1834" s="124">
        <v>46357</v>
      </c>
      <c r="D1834" s="124" t="s">
        <v>492</v>
      </c>
      <c r="E1834" s="21">
        <v>0.94765827000000002</v>
      </c>
      <c r="F1834" s="10"/>
      <c r="G1834" s="14">
        <v>10000000</v>
      </c>
      <c r="H1834" s="14">
        <v>9476582.6799999997</v>
      </c>
      <c r="I1834" s="14">
        <v>10000000</v>
      </c>
      <c r="J1834" s="14">
        <v>9476582.6799999997</v>
      </c>
      <c r="K1834" s="12">
        <v>2200</v>
      </c>
      <c r="L1834" s="10" t="s">
        <v>101</v>
      </c>
      <c r="M1834" s="10" t="s">
        <v>102</v>
      </c>
      <c r="N1834" s="124" t="s">
        <v>551</v>
      </c>
      <c r="O1834" s="124" t="s">
        <v>551</v>
      </c>
      <c r="P1834" s="21">
        <v>32</v>
      </c>
      <c r="Q1834" s="10" t="s">
        <v>54</v>
      </c>
      <c r="R1834" s="10" t="s">
        <v>28</v>
      </c>
      <c r="S1834" s="10"/>
      <c r="T1834" s="10"/>
      <c r="U1834" s="10" t="s">
        <v>2172</v>
      </c>
      <c r="V1834" s="10" t="s">
        <v>2172</v>
      </c>
      <c r="W1834" s="50">
        <f>+J1834/$W$2</f>
        <v>1.2598708060407461E-4</v>
      </c>
    </row>
    <row r="1835" spans="1:29">
      <c r="A1835" s="10" t="s">
        <v>273</v>
      </c>
      <c r="B1835" s="10" t="s">
        <v>381</v>
      </c>
      <c r="C1835" s="124">
        <v>46357</v>
      </c>
      <c r="D1835" s="124" t="s">
        <v>492</v>
      </c>
      <c r="E1835" s="21">
        <v>0.95705088000000005</v>
      </c>
      <c r="F1835" s="10"/>
      <c r="G1835" s="14">
        <v>4000000</v>
      </c>
      <c r="H1835" s="14">
        <v>3828203.54</v>
      </c>
      <c r="I1835" s="14">
        <v>4000000</v>
      </c>
      <c r="J1835" s="14">
        <v>3828203.54</v>
      </c>
      <c r="K1835" s="12">
        <v>90002231</v>
      </c>
      <c r="L1835" s="10" t="s">
        <v>101</v>
      </c>
      <c r="M1835" s="10" t="s">
        <v>102</v>
      </c>
      <c r="N1835" s="124" t="s">
        <v>532</v>
      </c>
      <c r="O1835" s="124" t="s">
        <v>532</v>
      </c>
      <c r="P1835" s="21">
        <v>26</v>
      </c>
      <c r="Q1835" s="10" t="s">
        <v>54</v>
      </c>
      <c r="R1835" s="10" t="s">
        <v>28</v>
      </c>
      <c r="S1835" s="10"/>
      <c r="T1835" s="10"/>
      <c r="U1835" s="10" t="s">
        <v>3032</v>
      </c>
      <c r="V1835" s="10" t="s">
        <v>3032</v>
      </c>
      <c r="W1835" s="50">
        <f>+J1835/$W$2</f>
        <v>5.0894315414001515E-5</v>
      </c>
    </row>
    <row r="1836" spans="1:29">
      <c r="A1836" s="10" t="s">
        <v>1169</v>
      </c>
      <c r="B1836" s="10" t="s">
        <v>381</v>
      </c>
      <c r="C1836" s="124">
        <v>46357</v>
      </c>
      <c r="D1836" s="124" t="s">
        <v>492</v>
      </c>
      <c r="E1836" s="21">
        <v>0.94611062999999995</v>
      </c>
      <c r="F1836" s="10"/>
      <c r="G1836" s="14">
        <v>1392835</v>
      </c>
      <c r="H1836" s="14">
        <v>1317776</v>
      </c>
      <c r="I1836" s="14">
        <v>1392835</v>
      </c>
      <c r="J1836" s="14">
        <v>1317776</v>
      </c>
      <c r="K1836" s="12">
        <v>111459</v>
      </c>
      <c r="L1836" s="10" t="s">
        <v>101</v>
      </c>
      <c r="M1836" s="10" t="s">
        <v>102</v>
      </c>
      <c r="N1836" s="124" t="s">
        <v>366</v>
      </c>
      <c r="O1836" s="124" t="s">
        <v>366</v>
      </c>
      <c r="P1836" s="21">
        <v>33</v>
      </c>
      <c r="Q1836" s="10" t="s">
        <v>54</v>
      </c>
      <c r="R1836" s="10" t="s">
        <v>28</v>
      </c>
      <c r="S1836" s="10"/>
      <c r="T1836" s="10"/>
      <c r="U1836" s="10" t="s">
        <v>1160</v>
      </c>
      <c r="V1836" s="10" t="s">
        <v>1160</v>
      </c>
      <c r="W1836" s="50">
        <f>+J1836/$W$2</f>
        <v>1.7519263719452403E-5</v>
      </c>
    </row>
    <row r="1837" spans="1:29">
      <c r="A1837" s="10" t="s">
        <v>1431</v>
      </c>
      <c r="B1837" s="10" t="s">
        <v>381</v>
      </c>
      <c r="C1837" s="124">
        <v>46357</v>
      </c>
      <c r="D1837" s="124" t="s">
        <v>492</v>
      </c>
      <c r="E1837" s="21">
        <v>0.94765814000000004</v>
      </c>
      <c r="F1837" s="10"/>
      <c r="G1837" s="14">
        <v>5444206</v>
      </c>
      <c r="H1837" s="14">
        <v>5159246.1500000004</v>
      </c>
      <c r="I1837" s="14">
        <v>5444206</v>
      </c>
      <c r="J1837" s="14">
        <v>5159246.1500000004</v>
      </c>
      <c r="K1837" s="12">
        <v>3449</v>
      </c>
      <c r="L1837" s="10" t="s">
        <v>101</v>
      </c>
      <c r="M1837" s="10" t="s">
        <v>102</v>
      </c>
      <c r="N1837" s="124" t="s">
        <v>398</v>
      </c>
      <c r="O1837" s="124" t="s">
        <v>398</v>
      </c>
      <c r="P1837" s="21">
        <v>32</v>
      </c>
      <c r="Q1837" s="10" t="s">
        <v>54</v>
      </c>
      <c r="R1837" s="10" t="s">
        <v>28</v>
      </c>
      <c r="S1837" s="10"/>
      <c r="T1837" s="10"/>
      <c r="U1837" s="10" t="s">
        <v>1786</v>
      </c>
      <c r="V1837" s="10" t="s">
        <v>1786</v>
      </c>
      <c r="W1837" s="50">
        <f>+J1837/$W$2</f>
        <v>6.8589952993087984E-5</v>
      </c>
    </row>
    <row r="1838" spans="1:29">
      <c r="A1838" s="10" t="s">
        <v>607</v>
      </c>
      <c r="B1838" s="10" t="s">
        <v>381</v>
      </c>
      <c r="C1838" s="124">
        <v>46357</v>
      </c>
      <c r="D1838" s="124" t="s">
        <v>492</v>
      </c>
      <c r="E1838" s="21">
        <v>0.94611073000000001</v>
      </c>
      <c r="F1838" s="10"/>
      <c r="G1838" s="14">
        <v>1500000</v>
      </c>
      <c r="H1838" s="14">
        <v>1419166.09</v>
      </c>
      <c r="I1838" s="14">
        <v>1500000</v>
      </c>
      <c r="J1838" s="14">
        <v>1419166.09</v>
      </c>
      <c r="K1838" s="12">
        <v>589</v>
      </c>
      <c r="L1838" s="10" t="s">
        <v>101</v>
      </c>
      <c r="M1838" s="10" t="s">
        <v>102</v>
      </c>
      <c r="N1838" s="124" t="s">
        <v>434</v>
      </c>
      <c r="O1838" s="124" t="s">
        <v>434</v>
      </c>
      <c r="P1838" s="21">
        <v>33</v>
      </c>
      <c r="Q1838" s="10" t="s">
        <v>54</v>
      </c>
      <c r="R1838" s="10" t="s">
        <v>28</v>
      </c>
      <c r="S1838" s="10"/>
      <c r="T1838" s="10"/>
      <c r="U1838" s="10" t="s">
        <v>2925</v>
      </c>
      <c r="V1838" s="10" t="s">
        <v>2925</v>
      </c>
      <c r="W1838" s="50">
        <f>+J1838/$W$2</f>
        <v>1.8867201248477834E-5</v>
      </c>
    </row>
    <row r="1839" spans="1:29">
      <c r="A1839" s="10" t="s">
        <v>3452</v>
      </c>
      <c r="B1839" s="10" t="s">
        <v>381</v>
      </c>
      <c r="C1839" s="124">
        <v>46357</v>
      </c>
      <c r="D1839" s="124" t="s">
        <v>492</v>
      </c>
      <c r="E1839" s="21">
        <v>0.95076859999999996</v>
      </c>
      <c r="F1839" s="10"/>
      <c r="G1839" s="14">
        <v>2500000</v>
      </c>
      <c r="H1839" s="14">
        <v>2376921.4900000002</v>
      </c>
      <c r="I1839" s="14">
        <v>2500000</v>
      </c>
      <c r="J1839" s="14">
        <v>2376921.4900000002</v>
      </c>
      <c r="K1839" s="12">
        <v>363</v>
      </c>
      <c r="L1839" s="10" t="s">
        <v>101</v>
      </c>
      <c r="M1839" s="10" t="s">
        <v>102</v>
      </c>
      <c r="N1839" s="124" t="s">
        <v>531</v>
      </c>
      <c r="O1839" s="124" t="s">
        <v>531</v>
      </c>
      <c r="P1839" s="21">
        <v>30</v>
      </c>
      <c r="Q1839" s="10" t="s">
        <v>54</v>
      </c>
      <c r="R1839" s="10" t="s">
        <v>28</v>
      </c>
      <c r="S1839" s="10"/>
      <c r="T1839" s="10"/>
      <c r="U1839" s="10" t="s">
        <v>3429</v>
      </c>
      <c r="V1839" s="10" t="s">
        <v>3429</v>
      </c>
      <c r="W1839" s="50">
        <f>+J1839/$W$2</f>
        <v>3.1600146325129424E-5</v>
      </c>
    </row>
    <row r="1840" spans="1:29">
      <c r="A1840" s="10" t="s">
        <v>303</v>
      </c>
      <c r="B1840" s="10" t="s">
        <v>381</v>
      </c>
      <c r="C1840" s="124">
        <v>46357</v>
      </c>
      <c r="D1840" s="124" t="s">
        <v>492</v>
      </c>
      <c r="E1840" s="21">
        <v>0.96663149000000004</v>
      </c>
      <c r="F1840" s="10"/>
      <c r="G1840" s="14">
        <v>8500000</v>
      </c>
      <c r="H1840" s="14">
        <v>8216367.7000000002</v>
      </c>
      <c r="I1840" s="14">
        <v>8500000</v>
      </c>
      <c r="J1840" s="14">
        <v>8216367.7000000002</v>
      </c>
      <c r="K1840" s="12">
        <v>34604</v>
      </c>
      <c r="L1840" s="10" t="s">
        <v>101</v>
      </c>
      <c r="M1840" s="10" t="s">
        <v>102</v>
      </c>
      <c r="N1840" s="124" t="s">
        <v>431</v>
      </c>
      <c r="O1840" s="124" t="s">
        <v>431</v>
      </c>
      <c r="P1840" s="21">
        <v>20</v>
      </c>
      <c r="Q1840" s="10" t="s">
        <v>54</v>
      </c>
      <c r="R1840" s="10" t="s">
        <v>28</v>
      </c>
      <c r="S1840" s="10"/>
      <c r="T1840" s="10"/>
      <c r="U1840" s="10" t="s">
        <v>2249</v>
      </c>
      <c r="V1840" s="10" t="s">
        <v>2249</v>
      </c>
      <c r="W1840" s="50">
        <f>+J1840/$W$2</f>
        <v>1.0923306582627897E-4</v>
      </c>
    </row>
    <row r="1841" spans="1:29">
      <c r="A1841" s="10" t="s">
        <v>465</v>
      </c>
      <c r="B1841" s="10" t="s">
        <v>381</v>
      </c>
      <c r="C1841" s="124">
        <v>46357</v>
      </c>
      <c r="D1841" s="124" t="s">
        <v>492</v>
      </c>
      <c r="E1841" s="21">
        <v>0.94611065000000005</v>
      </c>
      <c r="F1841" s="10"/>
      <c r="G1841" s="14">
        <v>25000000</v>
      </c>
      <c r="H1841" s="14">
        <v>23652766.239999998</v>
      </c>
      <c r="I1841" s="14">
        <v>25000000</v>
      </c>
      <c r="J1841" s="14">
        <v>23652766.239999998</v>
      </c>
      <c r="K1841" s="12">
        <v>14422596</v>
      </c>
      <c r="L1841" s="10" t="s">
        <v>101</v>
      </c>
      <c r="M1841" s="10" t="s">
        <v>102</v>
      </c>
      <c r="N1841" s="124" t="s">
        <v>390</v>
      </c>
      <c r="O1841" s="124" t="s">
        <v>390</v>
      </c>
      <c r="P1841" s="21">
        <v>33</v>
      </c>
      <c r="Q1841" s="10" t="s">
        <v>54</v>
      </c>
      <c r="R1841" s="10" t="s">
        <v>28</v>
      </c>
      <c r="S1841" s="10"/>
      <c r="T1841" s="10"/>
      <c r="U1841" s="10" t="s">
        <v>2053</v>
      </c>
      <c r="V1841" s="10" t="s">
        <v>2053</v>
      </c>
      <c r="W1841" s="50">
        <f>+J1841/$W$2</f>
        <v>3.144533285270946E-4</v>
      </c>
    </row>
    <row r="1842" spans="1:29">
      <c r="A1842" s="10" t="s">
        <v>466</v>
      </c>
      <c r="B1842" s="10" t="s">
        <v>381</v>
      </c>
      <c r="C1842" s="124">
        <v>46357</v>
      </c>
      <c r="D1842" s="124" t="s">
        <v>492</v>
      </c>
      <c r="E1842" s="21">
        <v>0.94611080000000003</v>
      </c>
      <c r="F1842" s="10"/>
      <c r="G1842" s="14">
        <v>2500000</v>
      </c>
      <c r="H1842" s="14">
        <v>2365276.9900000002</v>
      </c>
      <c r="I1842" s="14">
        <v>2500000</v>
      </c>
      <c r="J1842" s="14">
        <v>2365276.9900000002</v>
      </c>
      <c r="K1842" s="12">
        <v>678</v>
      </c>
      <c r="L1842" s="10" t="s">
        <v>101</v>
      </c>
      <c r="M1842" s="10" t="s">
        <v>102</v>
      </c>
      <c r="N1842" s="124" t="s">
        <v>532</v>
      </c>
      <c r="O1842" s="124" t="s">
        <v>532</v>
      </c>
      <c r="P1842" s="21">
        <v>33</v>
      </c>
      <c r="Q1842" s="10" t="s">
        <v>54</v>
      </c>
      <c r="R1842" s="10" t="s">
        <v>28</v>
      </c>
      <c r="S1842" s="10"/>
      <c r="T1842" s="10"/>
      <c r="U1842" s="10" t="s">
        <v>3101</v>
      </c>
      <c r="V1842" s="10" t="s">
        <v>3101</v>
      </c>
      <c r="W1842" s="50">
        <f>+J1842/$W$2</f>
        <v>3.1445337718521654E-5</v>
      </c>
    </row>
    <row r="1843" spans="1:29">
      <c r="A1843" s="10" t="s">
        <v>382</v>
      </c>
      <c r="B1843" s="10" t="s">
        <v>381</v>
      </c>
      <c r="C1843" s="124">
        <v>46357</v>
      </c>
      <c r="D1843" s="124" t="s">
        <v>492</v>
      </c>
      <c r="E1843" s="21">
        <v>0.94765814000000004</v>
      </c>
      <c r="F1843" s="10"/>
      <c r="G1843" s="14">
        <v>3500000</v>
      </c>
      <c r="H1843" s="14">
        <v>3316803.49</v>
      </c>
      <c r="I1843" s="14">
        <v>3500000</v>
      </c>
      <c r="J1843" s="14">
        <v>3316803.49</v>
      </c>
      <c r="K1843" s="12">
        <v>1065</v>
      </c>
      <c r="L1843" s="10" t="s">
        <v>101</v>
      </c>
      <c r="M1843" s="10" t="s">
        <v>102</v>
      </c>
      <c r="N1843" s="124" t="s">
        <v>398</v>
      </c>
      <c r="O1843" s="124" t="s">
        <v>398</v>
      </c>
      <c r="P1843" s="21">
        <v>32</v>
      </c>
      <c r="Q1843" s="10" t="s">
        <v>54</v>
      </c>
      <c r="R1843" s="10" t="s">
        <v>28</v>
      </c>
      <c r="S1843" s="10"/>
      <c r="T1843" s="10"/>
      <c r="U1843" s="10" t="s">
        <v>1762</v>
      </c>
      <c r="V1843" s="10" t="s">
        <v>1762</v>
      </c>
      <c r="W1843" s="50">
        <f>+J1843/$W$2</f>
        <v>4.4095472255459291E-5</v>
      </c>
    </row>
    <row r="1844" spans="1:29">
      <c r="A1844" s="10" t="s">
        <v>382</v>
      </c>
      <c r="B1844" s="10" t="s">
        <v>381</v>
      </c>
      <c r="C1844" s="124">
        <v>46357</v>
      </c>
      <c r="D1844" s="124" t="s">
        <v>492</v>
      </c>
      <c r="E1844" s="21">
        <v>0.94611067000000004</v>
      </c>
      <c r="F1844" s="10"/>
      <c r="G1844" s="14">
        <v>2500000</v>
      </c>
      <c r="H1844" s="14">
        <v>2365276.6800000002</v>
      </c>
      <c r="I1844" s="14">
        <v>2500000</v>
      </c>
      <c r="J1844" s="14">
        <v>2365276.6800000002</v>
      </c>
      <c r="K1844" s="12">
        <v>1029</v>
      </c>
      <c r="L1844" s="10" t="s">
        <v>101</v>
      </c>
      <c r="M1844" s="10" t="s">
        <v>102</v>
      </c>
      <c r="N1844" s="124" t="s">
        <v>163</v>
      </c>
      <c r="O1844" s="124" t="s">
        <v>325</v>
      </c>
      <c r="P1844" s="21">
        <v>33</v>
      </c>
      <c r="Q1844" s="10" t="s">
        <v>54</v>
      </c>
      <c r="R1844" s="10" t="s">
        <v>28</v>
      </c>
      <c r="S1844" s="10"/>
      <c r="T1844" s="10"/>
      <c r="U1844" s="10" t="s">
        <v>1653</v>
      </c>
      <c r="V1844" s="10" t="s">
        <v>1653</v>
      </c>
      <c r="W1844" s="50">
        <f>+J1844/$W$2</f>
        <v>3.1445333597205322E-5</v>
      </c>
    </row>
    <row r="1845" spans="1:29">
      <c r="A1845" s="10" t="s">
        <v>3511</v>
      </c>
      <c r="B1845" s="10" t="s">
        <v>381</v>
      </c>
      <c r="C1845" s="124">
        <v>46357</v>
      </c>
      <c r="D1845" s="124" t="s">
        <v>492</v>
      </c>
      <c r="E1845" s="21">
        <v>0.94611071000000002</v>
      </c>
      <c r="F1845" s="10"/>
      <c r="G1845" s="14">
        <v>100000000</v>
      </c>
      <c r="H1845" s="14">
        <v>94611071.430000007</v>
      </c>
      <c r="I1845" s="14">
        <v>100000000</v>
      </c>
      <c r="J1845" s="14">
        <v>94611071.430000007</v>
      </c>
      <c r="K1845" s="12">
        <v>20868</v>
      </c>
      <c r="L1845" s="10" t="s">
        <v>101</v>
      </c>
      <c r="M1845" s="10" t="s">
        <v>102</v>
      </c>
      <c r="N1845" s="124" t="s">
        <v>678</v>
      </c>
      <c r="O1845" s="124" t="s">
        <v>678</v>
      </c>
      <c r="P1845" s="21">
        <v>33</v>
      </c>
      <c r="Q1845" s="10" t="s">
        <v>54</v>
      </c>
      <c r="R1845" s="10" t="s">
        <v>28</v>
      </c>
      <c r="S1845" s="10"/>
      <c r="T1845" s="10"/>
      <c r="U1845" s="10" t="s">
        <v>3496</v>
      </c>
      <c r="V1845" s="10" t="s">
        <v>3496</v>
      </c>
      <c r="W1845" s="50">
        <f>+J1845/$W$2</f>
        <v>1.2578134001242388E-3</v>
      </c>
    </row>
    <row r="1846" spans="1:29">
      <c r="A1846" s="10" t="s">
        <v>3511</v>
      </c>
      <c r="B1846" s="10" t="s">
        <v>381</v>
      </c>
      <c r="C1846" s="124">
        <v>46357</v>
      </c>
      <c r="D1846" s="124" t="s">
        <v>492</v>
      </c>
      <c r="E1846" s="21">
        <v>0.94611071000000002</v>
      </c>
      <c r="F1846" s="10"/>
      <c r="G1846" s="14">
        <v>60000000</v>
      </c>
      <c r="H1846" s="14">
        <v>56766642.859999999</v>
      </c>
      <c r="I1846" s="14">
        <v>60000000</v>
      </c>
      <c r="J1846" s="14">
        <v>56766642.859999999</v>
      </c>
      <c r="K1846" s="12">
        <v>20867</v>
      </c>
      <c r="L1846" s="10" t="s">
        <v>101</v>
      </c>
      <c r="M1846" s="10" t="s">
        <v>102</v>
      </c>
      <c r="N1846" s="124" t="s">
        <v>678</v>
      </c>
      <c r="O1846" s="124" t="s">
        <v>678</v>
      </c>
      <c r="P1846" s="21">
        <v>33</v>
      </c>
      <c r="Q1846" s="10" t="s">
        <v>54</v>
      </c>
      <c r="R1846" s="10" t="s">
        <v>28</v>
      </c>
      <c r="S1846" s="10"/>
      <c r="T1846" s="10"/>
      <c r="U1846" s="10" t="s">
        <v>3497</v>
      </c>
      <c r="V1846" s="10" t="s">
        <v>3497</v>
      </c>
      <c r="W1846" s="50">
        <f>+J1846/$W$2</f>
        <v>7.5468804010113237E-4</v>
      </c>
    </row>
    <row r="1847" spans="1:29">
      <c r="A1847" s="10" t="s">
        <v>3576</v>
      </c>
      <c r="B1847" s="10" t="s">
        <v>381</v>
      </c>
      <c r="C1847" s="124">
        <v>46357</v>
      </c>
      <c r="D1847" s="124" t="s">
        <v>492</v>
      </c>
      <c r="E1847" s="21">
        <v>0.94765832999999999</v>
      </c>
      <c r="F1847" s="10"/>
      <c r="G1847" s="14">
        <v>11145337.859999999</v>
      </c>
      <c r="H1847" s="14">
        <v>10561972.25</v>
      </c>
      <c r="I1847" s="14">
        <v>11145337.859999999</v>
      </c>
      <c r="J1847" s="14">
        <v>10561972.25</v>
      </c>
      <c r="K1847" s="12">
        <v>16</v>
      </c>
      <c r="L1847" s="10" t="s">
        <v>101</v>
      </c>
      <c r="M1847" s="10" t="s">
        <v>102</v>
      </c>
      <c r="N1847" s="124" t="s">
        <v>492</v>
      </c>
      <c r="O1847" s="124" t="s">
        <v>492</v>
      </c>
      <c r="P1847" s="21">
        <v>32</v>
      </c>
      <c r="Q1847" s="10" t="s">
        <v>54</v>
      </c>
      <c r="R1847" s="10" t="s">
        <v>28</v>
      </c>
      <c r="S1847" s="10"/>
      <c r="T1847" s="10"/>
      <c r="U1847" s="10" t="s">
        <v>3543</v>
      </c>
      <c r="V1847" s="10" t="s">
        <v>3543</v>
      </c>
      <c r="W1847" s="50">
        <f>+J1847/$W$2</f>
        <v>1.4041686693739154E-4</v>
      </c>
    </row>
    <row r="1848" spans="1:29">
      <c r="A1848" s="10" t="s">
        <v>3580</v>
      </c>
      <c r="B1848" s="10" t="s">
        <v>381</v>
      </c>
      <c r="C1848" s="124">
        <v>46357</v>
      </c>
      <c r="D1848" s="124" t="s">
        <v>492</v>
      </c>
      <c r="E1848" s="21">
        <v>0.95076863</v>
      </c>
      <c r="F1848" s="10"/>
      <c r="G1848" s="14">
        <v>5910000</v>
      </c>
      <c r="H1848" s="14">
        <v>5619042.5999999996</v>
      </c>
      <c r="I1848" s="14">
        <v>5910000</v>
      </c>
      <c r="J1848" s="14">
        <v>5619042.5999999996</v>
      </c>
      <c r="K1848" s="12">
        <v>1027</v>
      </c>
      <c r="L1848" s="10" t="s">
        <v>101</v>
      </c>
      <c r="M1848" s="10" t="s">
        <v>102</v>
      </c>
      <c r="N1848" s="124" t="s">
        <v>492</v>
      </c>
      <c r="O1848" s="124" t="s">
        <v>492</v>
      </c>
      <c r="P1848" s="21">
        <v>30</v>
      </c>
      <c r="Q1848" s="10" t="s">
        <v>54</v>
      </c>
      <c r="R1848" s="10" t="s">
        <v>28</v>
      </c>
      <c r="S1848" s="10"/>
      <c r="T1848" s="10"/>
      <c r="U1848" s="10" t="s">
        <v>3561</v>
      </c>
      <c r="V1848" s="10" t="s">
        <v>3561</v>
      </c>
      <c r="W1848" s="50">
        <f>+J1848/$W$2</f>
        <v>7.4702748540144532E-5</v>
      </c>
    </row>
    <row r="1849" spans="1:29">
      <c r="A1849" s="10" t="s">
        <v>477</v>
      </c>
      <c r="B1849" s="10" t="s">
        <v>381</v>
      </c>
      <c r="C1849" s="124">
        <v>46358</v>
      </c>
      <c r="D1849" s="124" t="s">
        <v>492</v>
      </c>
      <c r="E1849" s="21">
        <v>0.95320190000000005</v>
      </c>
      <c r="F1849" s="10"/>
      <c r="G1849" s="14">
        <v>32500000</v>
      </c>
      <c r="H1849" s="14">
        <v>30979061.890000001</v>
      </c>
      <c r="I1849" s="14">
        <v>32500000</v>
      </c>
      <c r="J1849" s="14">
        <v>30979061.890000001</v>
      </c>
      <c r="K1849" s="12">
        <v>1367872</v>
      </c>
      <c r="L1849" s="10" t="s">
        <v>101</v>
      </c>
      <c r="M1849" s="10" t="s">
        <v>102</v>
      </c>
      <c r="N1849" s="124" t="s">
        <v>472</v>
      </c>
      <c r="O1849" s="124" t="s">
        <v>472</v>
      </c>
      <c r="P1849" s="21">
        <v>28</v>
      </c>
      <c r="Q1849" s="10" t="s">
        <v>54</v>
      </c>
      <c r="R1849" s="10" t="s">
        <v>28</v>
      </c>
      <c r="S1849" s="10"/>
      <c r="T1849" s="10"/>
      <c r="U1849" s="10" t="s">
        <v>3171</v>
      </c>
      <c r="V1849" s="10" t="s">
        <v>3171</v>
      </c>
      <c r="W1849" s="50">
        <f>+J1849/$W$2</f>
        <v>4.1185327023116801E-4</v>
      </c>
    </row>
    <row r="1850" spans="1:29">
      <c r="A1850" s="10" t="s">
        <v>477</v>
      </c>
      <c r="B1850" s="10" t="s">
        <v>381</v>
      </c>
      <c r="C1850" s="124">
        <v>46358</v>
      </c>
      <c r="D1850" s="124" t="s">
        <v>492</v>
      </c>
      <c r="E1850" s="21">
        <v>0.95320174999999996</v>
      </c>
      <c r="F1850" s="10"/>
      <c r="G1850" s="14">
        <v>8000000</v>
      </c>
      <c r="H1850" s="14">
        <v>7625614.0099999998</v>
      </c>
      <c r="I1850" s="14">
        <v>8000000</v>
      </c>
      <c r="J1850" s="14">
        <v>7625614.0099999998</v>
      </c>
      <c r="K1850" s="12">
        <v>6494</v>
      </c>
      <c r="L1850" s="10" t="s">
        <v>101</v>
      </c>
      <c r="M1850" s="10" t="s">
        <v>102</v>
      </c>
      <c r="N1850" s="124" t="s">
        <v>422</v>
      </c>
      <c r="O1850" s="124" t="s">
        <v>422</v>
      </c>
      <c r="P1850" s="21">
        <v>28</v>
      </c>
      <c r="Q1850" s="10" t="s">
        <v>54</v>
      </c>
      <c r="R1850" s="10" t="s">
        <v>28</v>
      </c>
      <c r="S1850" s="10"/>
      <c r="T1850" s="10"/>
      <c r="U1850" s="10" t="s">
        <v>2721</v>
      </c>
      <c r="V1850" s="10" t="s">
        <v>2721</v>
      </c>
      <c r="W1850" s="50">
        <f>+J1850/$W$2</f>
        <v>1.0137925023975316E-4</v>
      </c>
    </row>
    <row r="1851" spans="1:29">
      <c r="A1851" s="10" t="s">
        <v>477</v>
      </c>
      <c r="B1851" s="10" t="s">
        <v>381</v>
      </c>
      <c r="C1851" s="124">
        <v>46358</v>
      </c>
      <c r="D1851" s="124" t="s">
        <v>492</v>
      </c>
      <c r="E1851" s="21">
        <v>0.95479762000000001</v>
      </c>
      <c r="F1851" s="10"/>
      <c r="G1851" s="14">
        <v>5000000</v>
      </c>
      <c r="H1851" s="14">
        <v>4773988.12</v>
      </c>
      <c r="I1851" s="14">
        <v>5000000</v>
      </c>
      <c r="J1851" s="14">
        <v>4773988.12</v>
      </c>
      <c r="K1851" s="12">
        <v>40740206</v>
      </c>
      <c r="L1851" s="10" t="s">
        <v>101</v>
      </c>
      <c r="M1851" s="10" t="s">
        <v>102</v>
      </c>
      <c r="N1851" s="124" t="s">
        <v>486</v>
      </c>
      <c r="O1851" s="124" t="s">
        <v>486</v>
      </c>
      <c r="P1851" s="21">
        <v>27</v>
      </c>
      <c r="Q1851" s="10" t="s">
        <v>54</v>
      </c>
      <c r="R1851" s="10" t="s">
        <v>28</v>
      </c>
      <c r="S1851" s="10"/>
      <c r="T1851" s="10"/>
      <c r="U1851" s="10" t="s">
        <v>2907</v>
      </c>
      <c r="V1851" s="10" t="s">
        <v>2907</v>
      </c>
      <c r="W1851" s="50">
        <f>+J1851/$W$2</f>
        <v>6.3468113600348457E-5</v>
      </c>
      <c r="AC1851" s="47"/>
    </row>
    <row r="1852" spans="1:29">
      <c r="A1852" s="10" t="s">
        <v>477</v>
      </c>
      <c r="B1852" s="10" t="s">
        <v>381</v>
      </c>
      <c r="C1852" s="124">
        <v>46358</v>
      </c>
      <c r="D1852" s="124" t="s">
        <v>492</v>
      </c>
      <c r="E1852" s="21">
        <v>0.95479762000000001</v>
      </c>
      <c r="F1852" s="10"/>
      <c r="G1852" s="14">
        <v>5000000</v>
      </c>
      <c r="H1852" s="14">
        <v>4773988.12</v>
      </c>
      <c r="I1852" s="14">
        <v>5000000</v>
      </c>
      <c r="J1852" s="14">
        <v>4773988.12</v>
      </c>
      <c r="K1852" s="12">
        <v>40740207</v>
      </c>
      <c r="L1852" s="10" t="s">
        <v>101</v>
      </c>
      <c r="M1852" s="10" t="s">
        <v>102</v>
      </c>
      <c r="N1852" s="124" t="s">
        <v>486</v>
      </c>
      <c r="O1852" s="124" t="s">
        <v>486</v>
      </c>
      <c r="P1852" s="21">
        <v>27</v>
      </c>
      <c r="Q1852" s="10" t="s">
        <v>54</v>
      </c>
      <c r="R1852" s="10" t="s">
        <v>28</v>
      </c>
      <c r="S1852" s="10"/>
      <c r="T1852" s="10"/>
      <c r="U1852" s="10" t="s">
        <v>2908</v>
      </c>
      <c r="V1852" s="10" t="s">
        <v>2908</v>
      </c>
      <c r="W1852" s="50">
        <f>+J1852/$W$2</f>
        <v>6.3468113600348457E-5</v>
      </c>
    </row>
    <row r="1853" spans="1:29">
      <c r="A1853" s="10" t="s">
        <v>477</v>
      </c>
      <c r="B1853" s="10" t="s">
        <v>381</v>
      </c>
      <c r="C1853" s="124">
        <v>46358</v>
      </c>
      <c r="D1853" s="124" t="s">
        <v>492</v>
      </c>
      <c r="E1853" s="21">
        <v>0.95320176000000001</v>
      </c>
      <c r="F1853" s="10"/>
      <c r="G1853" s="14">
        <v>30000000</v>
      </c>
      <c r="H1853" s="14">
        <v>28596052.879999999</v>
      </c>
      <c r="I1853" s="14">
        <v>30000000</v>
      </c>
      <c r="J1853" s="14">
        <v>28596052.879999999</v>
      </c>
      <c r="K1853" s="12">
        <v>29600860</v>
      </c>
      <c r="L1853" s="10" t="s">
        <v>101</v>
      </c>
      <c r="M1853" s="10" t="s">
        <v>102</v>
      </c>
      <c r="N1853" s="124" t="s">
        <v>395</v>
      </c>
      <c r="O1853" s="124" t="s">
        <v>395</v>
      </c>
      <c r="P1853" s="21">
        <v>28</v>
      </c>
      <c r="Q1853" s="10" t="s">
        <v>54</v>
      </c>
      <c r="R1853" s="10" t="s">
        <v>28</v>
      </c>
      <c r="S1853" s="10"/>
      <c r="T1853" s="10"/>
      <c r="U1853" s="10" t="s">
        <v>818</v>
      </c>
      <c r="V1853" s="10" t="s">
        <v>818</v>
      </c>
      <c r="W1853" s="50">
        <f>+J1853/$W$2</f>
        <v>3.8017219295246419E-4</v>
      </c>
    </row>
    <row r="1854" spans="1:29">
      <c r="A1854" s="10" t="s">
        <v>382</v>
      </c>
      <c r="B1854" s="10" t="s">
        <v>381</v>
      </c>
      <c r="C1854" s="124">
        <v>46358</v>
      </c>
      <c r="D1854" s="124" t="s">
        <v>492</v>
      </c>
      <c r="E1854" s="21">
        <v>0.94687160000000004</v>
      </c>
      <c r="F1854" s="10"/>
      <c r="G1854" s="14">
        <v>3500000</v>
      </c>
      <c r="H1854" s="14">
        <v>3314050.59</v>
      </c>
      <c r="I1854" s="14">
        <v>3500000</v>
      </c>
      <c r="J1854" s="14">
        <v>3314050.59</v>
      </c>
      <c r="K1854" s="12">
        <v>1066</v>
      </c>
      <c r="L1854" s="10" t="s">
        <v>101</v>
      </c>
      <c r="M1854" s="10" t="s">
        <v>102</v>
      </c>
      <c r="N1854" s="124" t="s">
        <v>398</v>
      </c>
      <c r="O1854" s="124" t="s">
        <v>398</v>
      </c>
      <c r="P1854" s="21">
        <v>32</v>
      </c>
      <c r="Q1854" s="10" t="s">
        <v>54</v>
      </c>
      <c r="R1854" s="10" t="s">
        <v>28</v>
      </c>
      <c r="S1854" s="10"/>
      <c r="T1854" s="10"/>
      <c r="U1854" s="10" t="s">
        <v>1746</v>
      </c>
      <c r="V1854" s="10" t="s">
        <v>1746</v>
      </c>
      <c r="W1854" s="50">
        <f>+J1854/$W$2</f>
        <v>4.4058873636958658E-5</v>
      </c>
    </row>
    <row r="1855" spans="1:29">
      <c r="A1855" s="10" t="s">
        <v>3146</v>
      </c>
      <c r="B1855" s="10" t="s">
        <v>381</v>
      </c>
      <c r="C1855" s="124">
        <v>46358</v>
      </c>
      <c r="D1855" s="124" t="s">
        <v>492</v>
      </c>
      <c r="E1855" s="21">
        <v>0.94530212000000002</v>
      </c>
      <c r="F1855" s="10"/>
      <c r="G1855" s="14">
        <v>16643128.32</v>
      </c>
      <c r="H1855" s="14">
        <v>15732784.560000001</v>
      </c>
      <c r="I1855" s="14">
        <v>16643128.32</v>
      </c>
      <c r="J1855" s="14">
        <v>15732784.560000001</v>
      </c>
      <c r="K1855" s="12">
        <v>70406277</v>
      </c>
      <c r="L1855" s="10" t="s">
        <v>101</v>
      </c>
      <c r="M1855" s="10" t="s">
        <v>102</v>
      </c>
      <c r="N1855" s="124" t="s">
        <v>532</v>
      </c>
      <c r="O1855" s="124" t="s">
        <v>532</v>
      </c>
      <c r="P1855" s="21">
        <v>33</v>
      </c>
      <c r="Q1855" s="10" t="s">
        <v>54</v>
      </c>
      <c r="R1855" s="10" t="s">
        <v>28</v>
      </c>
      <c r="S1855" s="10"/>
      <c r="T1855" s="10"/>
      <c r="U1855" s="10" t="s">
        <v>3117</v>
      </c>
      <c r="V1855" s="10" t="s">
        <v>3117</v>
      </c>
      <c r="W1855" s="50">
        <f>+J1855/$W$2</f>
        <v>2.0916058704056604E-4</v>
      </c>
    </row>
    <row r="1856" spans="1:29">
      <c r="A1856" s="10" t="s">
        <v>3149</v>
      </c>
      <c r="B1856" s="10" t="s">
        <v>381</v>
      </c>
      <c r="C1856" s="124">
        <v>46358</v>
      </c>
      <c r="D1856" s="124" t="s">
        <v>492</v>
      </c>
      <c r="E1856" s="21">
        <v>0.94530212000000002</v>
      </c>
      <c r="F1856" s="10"/>
      <c r="G1856" s="14">
        <v>27362969</v>
      </c>
      <c r="H1856" s="14">
        <v>25866272.73</v>
      </c>
      <c r="I1856" s="14">
        <v>27362969</v>
      </c>
      <c r="J1856" s="14">
        <v>25866272.73</v>
      </c>
      <c r="K1856" s="12">
        <v>90004137</v>
      </c>
      <c r="L1856" s="10" t="s">
        <v>101</v>
      </c>
      <c r="M1856" s="10" t="s">
        <v>102</v>
      </c>
      <c r="N1856" s="124" t="s">
        <v>532</v>
      </c>
      <c r="O1856" s="124" t="s">
        <v>532</v>
      </c>
      <c r="P1856" s="21">
        <v>33</v>
      </c>
      <c r="Q1856" s="10" t="s">
        <v>54</v>
      </c>
      <c r="R1856" s="10" t="s">
        <v>28</v>
      </c>
      <c r="S1856" s="10"/>
      <c r="T1856" s="10"/>
      <c r="U1856" s="10" t="s">
        <v>3121</v>
      </c>
      <c r="V1856" s="10" t="s">
        <v>3121</v>
      </c>
      <c r="W1856" s="50">
        <f>+J1856/$W$2</f>
        <v>3.4388094288873835E-4</v>
      </c>
    </row>
    <row r="1857" spans="1:29">
      <c r="A1857" s="10" t="s">
        <v>3150</v>
      </c>
      <c r="B1857" s="10" t="s">
        <v>381</v>
      </c>
      <c r="C1857" s="124">
        <v>46358</v>
      </c>
      <c r="D1857" s="124" t="s">
        <v>492</v>
      </c>
      <c r="E1857" s="21">
        <v>0.94530210999999997</v>
      </c>
      <c r="F1857" s="10"/>
      <c r="G1857" s="14">
        <v>526947.42000000004</v>
      </c>
      <c r="H1857" s="14">
        <v>498124.51</v>
      </c>
      <c r="I1857" s="14">
        <v>526947.42000000004</v>
      </c>
      <c r="J1857" s="14">
        <v>498124.51</v>
      </c>
      <c r="K1857" s="12">
        <v>352926</v>
      </c>
      <c r="L1857" s="10" t="s">
        <v>101</v>
      </c>
      <c r="M1857" s="10" t="s">
        <v>102</v>
      </c>
      <c r="N1857" s="124" t="s">
        <v>532</v>
      </c>
      <c r="O1857" s="124" t="s">
        <v>532</v>
      </c>
      <c r="P1857" s="21">
        <v>33</v>
      </c>
      <c r="Q1857" s="10" t="s">
        <v>54</v>
      </c>
      <c r="R1857" s="10" t="s">
        <v>28</v>
      </c>
      <c r="S1857" s="10"/>
      <c r="T1857" s="10"/>
      <c r="U1857" s="10" t="s">
        <v>3124</v>
      </c>
      <c r="V1857" s="10" t="s">
        <v>3124</v>
      </c>
      <c r="W1857" s="50">
        <f>+J1857/$W$2</f>
        <v>6.6223505784086269E-6</v>
      </c>
      <c r="AC1857" s="47"/>
    </row>
    <row r="1858" spans="1:29">
      <c r="A1858" s="10" t="s">
        <v>3260</v>
      </c>
      <c r="B1858" s="10" t="s">
        <v>381</v>
      </c>
      <c r="C1858" s="124">
        <v>46358</v>
      </c>
      <c r="D1858" s="124" t="s">
        <v>492</v>
      </c>
      <c r="E1858" s="21">
        <v>0.94687164999999995</v>
      </c>
      <c r="F1858" s="10"/>
      <c r="G1858" s="14">
        <v>50000000</v>
      </c>
      <c r="H1858" s="14">
        <v>47343582.420000002</v>
      </c>
      <c r="I1858" s="14">
        <v>50000000</v>
      </c>
      <c r="J1858" s="14">
        <v>47343582.420000002</v>
      </c>
      <c r="K1858" s="12">
        <v>4630</v>
      </c>
      <c r="L1858" s="10" t="s">
        <v>101</v>
      </c>
      <c r="M1858" s="10" t="s">
        <v>102</v>
      </c>
      <c r="N1858" s="124" t="s">
        <v>472</v>
      </c>
      <c r="O1858" s="124" t="s">
        <v>472</v>
      </c>
      <c r="P1858" s="21">
        <v>32</v>
      </c>
      <c r="Q1858" s="10" t="s">
        <v>54</v>
      </c>
      <c r="R1858" s="10" t="s">
        <v>28</v>
      </c>
      <c r="S1858" s="10"/>
      <c r="T1858" s="10"/>
      <c r="U1858" s="10" t="s">
        <v>3192</v>
      </c>
      <c r="V1858" s="10" t="s">
        <v>3192</v>
      </c>
      <c r="W1858" s="50">
        <f>+J1858/$W$2</f>
        <v>6.2941251460006155E-4</v>
      </c>
    </row>
    <row r="1859" spans="1:29">
      <c r="A1859" s="10" t="s">
        <v>3265</v>
      </c>
      <c r="B1859" s="10" t="s">
        <v>381</v>
      </c>
      <c r="C1859" s="124">
        <v>46358</v>
      </c>
      <c r="D1859" s="124" t="s">
        <v>492</v>
      </c>
      <c r="E1859" s="21">
        <v>0.94844631000000001</v>
      </c>
      <c r="F1859" s="10"/>
      <c r="G1859" s="14">
        <v>1112906.01</v>
      </c>
      <c r="H1859" s="14">
        <v>1055531.6000000001</v>
      </c>
      <c r="I1859" s="14">
        <v>1112906.01</v>
      </c>
      <c r="J1859" s="14">
        <v>1055531.6000000001</v>
      </c>
      <c r="K1859" s="12">
        <v>876</v>
      </c>
      <c r="L1859" s="10" t="s">
        <v>101</v>
      </c>
      <c r="M1859" s="10" t="s">
        <v>102</v>
      </c>
      <c r="N1859" s="124" t="s">
        <v>472</v>
      </c>
      <c r="O1859" s="124" t="s">
        <v>472</v>
      </c>
      <c r="P1859" s="21">
        <v>31</v>
      </c>
      <c r="Q1859" s="10" t="s">
        <v>54</v>
      </c>
      <c r="R1859" s="10" t="s">
        <v>28</v>
      </c>
      <c r="S1859" s="10"/>
      <c r="T1859" s="10"/>
      <c r="U1859" s="10" t="s">
        <v>3198</v>
      </c>
      <c r="V1859" s="10" t="s">
        <v>3198</v>
      </c>
      <c r="W1859" s="50">
        <f>+J1859/$W$2</f>
        <v>1.4032837496369298E-5</v>
      </c>
    </row>
    <row r="1860" spans="1:29">
      <c r="A1860" s="10" t="s">
        <v>3461</v>
      </c>
      <c r="B1860" s="10" t="s">
        <v>381</v>
      </c>
      <c r="C1860" s="124">
        <v>46358</v>
      </c>
      <c r="D1860" s="124" t="s">
        <v>492</v>
      </c>
      <c r="E1860" s="21">
        <v>0.95002611999999997</v>
      </c>
      <c r="F1860" s="10"/>
      <c r="G1860" s="14">
        <v>650000</v>
      </c>
      <c r="H1860" s="14">
        <v>617516.98</v>
      </c>
      <c r="I1860" s="14">
        <v>650000</v>
      </c>
      <c r="J1860" s="14">
        <v>617516.98</v>
      </c>
      <c r="K1860" s="12">
        <v>69995873</v>
      </c>
      <c r="L1860" s="10" t="s">
        <v>101</v>
      </c>
      <c r="M1860" s="10" t="s">
        <v>102</v>
      </c>
      <c r="N1860" s="124" t="s">
        <v>531</v>
      </c>
      <c r="O1860" s="124" t="s">
        <v>531</v>
      </c>
      <c r="P1860" s="21">
        <v>30</v>
      </c>
      <c r="Q1860" s="10" t="s">
        <v>54</v>
      </c>
      <c r="R1860" s="10" t="s">
        <v>28</v>
      </c>
      <c r="S1860" s="10"/>
      <c r="T1860" s="10"/>
      <c r="U1860" s="10" t="s">
        <v>3438</v>
      </c>
      <c r="V1860" s="10" t="s">
        <v>3438</v>
      </c>
      <c r="W1860" s="50">
        <f>+J1860/$W$2</f>
        <v>8.2096219872420019E-6</v>
      </c>
    </row>
    <row r="1861" spans="1:29">
      <c r="A1861" s="10" t="s">
        <v>576</v>
      </c>
      <c r="B1861" s="10" t="s">
        <v>381</v>
      </c>
      <c r="C1861" s="124">
        <v>46358</v>
      </c>
      <c r="D1861" s="124" t="s">
        <v>492</v>
      </c>
      <c r="E1861" s="21">
        <v>0.95002613000000002</v>
      </c>
      <c r="F1861" s="10"/>
      <c r="G1861" s="14">
        <v>50000000</v>
      </c>
      <c r="H1861" s="14">
        <v>47501306.630000003</v>
      </c>
      <c r="I1861" s="14">
        <v>50000000</v>
      </c>
      <c r="J1861" s="14">
        <v>47501306.630000003</v>
      </c>
      <c r="K1861" s="12">
        <v>68074</v>
      </c>
      <c r="L1861" s="10" t="s">
        <v>101</v>
      </c>
      <c r="M1861" s="10" t="s">
        <v>102</v>
      </c>
      <c r="N1861" s="124" t="s">
        <v>486</v>
      </c>
      <c r="O1861" s="124" t="s">
        <v>486</v>
      </c>
      <c r="P1861" s="21">
        <v>30</v>
      </c>
      <c r="Q1861" s="10" t="s">
        <v>54</v>
      </c>
      <c r="R1861" s="10" t="s">
        <v>28</v>
      </c>
      <c r="S1861" s="10"/>
      <c r="T1861" s="10"/>
      <c r="U1861" s="10" t="s">
        <v>2833</v>
      </c>
      <c r="V1861" s="10" t="s">
        <v>2833</v>
      </c>
      <c r="W1861" s="50">
        <f>+J1861/$W$2</f>
        <v>6.3150938996426025E-4</v>
      </c>
    </row>
    <row r="1862" spans="1:29">
      <c r="A1862" s="10" t="s">
        <v>763</v>
      </c>
      <c r="B1862" s="10" t="s">
        <v>381</v>
      </c>
      <c r="C1862" s="124">
        <v>46358</v>
      </c>
      <c r="D1862" s="124" t="s">
        <v>492</v>
      </c>
      <c r="E1862" s="21">
        <v>0.95639883000000003</v>
      </c>
      <c r="F1862" s="10"/>
      <c r="G1862" s="14">
        <v>7000000</v>
      </c>
      <c r="H1862" s="14">
        <v>6694791.8200000003</v>
      </c>
      <c r="I1862" s="14">
        <v>7000000</v>
      </c>
      <c r="J1862" s="14">
        <v>6694791.8200000003</v>
      </c>
      <c r="K1862" s="12">
        <v>1740</v>
      </c>
      <c r="L1862" s="10" t="s">
        <v>101</v>
      </c>
      <c r="M1862" s="10" t="s">
        <v>102</v>
      </c>
      <c r="N1862" s="124" t="s">
        <v>164</v>
      </c>
      <c r="O1862" s="124" t="s">
        <v>164</v>
      </c>
      <c r="P1862" s="21">
        <v>26</v>
      </c>
      <c r="Q1862" s="10" t="s">
        <v>54</v>
      </c>
      <c r="R1862" s="10" t="s">
        <v>28</v>
      </c>
      <c r="S1862" s="10"/>
      <c r="T1862" s="10"/>
      <c r="U1862" s="10" t="s">
        <v>1992</v>
      </c>
      <c r="V1862" s="10" t="s">
        <v>1992</v>
      </c>
      <c r="W1862" s="50">
        <f>+J1862/$W$2</f>
        <v>8.9004370576951426E-5</v>
      </c>
      <c r="AC1862" s="47"/>
    </row>
    <row r="1863" spans="1:29">
      <c r="A1863" s="10" t="s">
        <v>763</v>
      </c>
      <c r="B1863" s="10" t="s">
        <v>381</v>
      </c>
      <c r="C1863" s="124">
        <v>46358</v>
      </c>
      <c r="D1863" s="124" t="s">
        <v>492</v>
      </c>
      <c r="E1863" s="21">
        <v>0.95639883000000003</v>
      </c>
      <c r="F1863" s="10"/>
      <c r="G1863" s="14">
        <v>7000000</v>
      </c>
      <c r="H1863" s="14">
        <v>6694791.8200000003</v>
      </c>
      <c r="I1863" s="14">
        <v>7000000</v>
      </c>
      <c r="J1863" s="14">
        <v>6694791.8200000003</v>
      </c>
      <c r="K1863" s="12">
        <v>1738</v>
      </c>
      <c r="L1863" s="10" t="s">
        <v>101</v>
      </c>
      <c r="M1863" s="10" t="s">
        <v>102</v>
      </c>
      <c r="N1863" s="124" t="s">
        <v>164</v>
      </c>
      <c r="O1863" s="124" t="s">
        <v>164</v>
      </c>
      <c r="P1863" s="21">
        <v>26</v>
      </c>
      <c r="Q1863" s="10" t="s">
        <v>54</v>
      </c>
      <c r="R1863" s="10" t="s">
        <v>28</v>
      </c>
      <c r="S1863" s="10"/>
      <c r="T1863" s="10"/>
      <c r="U1863" s="10" t="s">
        <v>1993</v>
      </c>
      <c r="V1863" s="10" t="s">
        <v>1993</v>
      </c>
      <c r="W1863" s="50">
        <f>+J1863/$W$2</f>
        <v>8.9004370576951426E-5</v>
      </c>
    </row>
    <row r="1864" spans="1:29">
      <c r="A1864" s="10" t="s">
        <v>763</v>
      </c>
      <c r="B1864" s="10" t="s">
        <v>381</v>
      </c>
      <c r="C1864" s="124">
        <v>46358</v>
      </c>
      <c r="D1864" s="124" t="s">
        <v>492</v>
      </c>
      <c r="E1864" s="21">
        <v>0.95639883000000003</v>
      </c>
      <c r="F1864" s="10"/>
      <c r="G1864" s="14">
        <v>7000000</v>
      </c>
      <c r="H1864" s="14">
        <v>6694791.8200000003</v>
      </c>
      <c r="I1864" s="14">
        <v>7000000</v>
      </c>
      <c r="J1864" s="14">
        <v>6694791.8200000003</v>
      </c>
      <c r="K1864" s="12">
        <v>1739</v>
      </c>
      <c r="L1864" s="10" t="s">
        <v>101</v>
      </c>
      <c r="M1864" s="10" t="s">
        <v>102</v>
      </c>
      <c r="N1864" s="124" t="s">
        <v>164</v>
      </c>
      <c r="O1864" s="124" t="s">
        <v>164</v>
      </c>
      <c r="P1864" s="21">
        <v>26</v>
      </c>
      <c r="Q1864" s="10" t="s">
        <v>54</v>
      </c>
      <c r="R1864" s="10" t="s">
        <v>28</v>
      </c>
      <c r="S1864" s="10"/>
      <c r="T1864" s="10"/>
      <c r="U1864" s="10" t="s">
        <v>1994</v>
      </c>
      <c r="V1864" s="10" t="s">
        <v>1994</v>
      </c>
      <c r="W1864" s="50">
        <f>+J1864/$W$2</f>
        <v>8.9004370576951426E-5</v>
      </c>
    </row>
    <row r="1865" spans="1:29">
      <c r="A1865" s="10" t="s">
        <v>353</v>
      </c>
      <c r="B1865" s="10" t="s">
        <v>381</v>
      </c>
      <c r="C1865" s="124">
        <v>46358</v>
      </c>
      <c r="D1865" s="124" t="s">
        <v>492</v>
      </c>
      <c r="E1865" s="21">
        <v>0.94217874000000001</v>
      </c>
      <c r="F1865" s="10"/>
      <c r="G1865" s="14">
        <v>3256800.5</v>
      </c>
      <c r="H1865" s="14">
        <v>3068488.18</v>
      </c>
      <c r="I1865" s="14">
        <v>3256800.5</v>
      </c>
      <c r="J1865" s="14">
        <v>3068488.18</v>
      </c>
      <c r="K1865" s="12">
        <v>3600</v>
      </c>
      <c r="L1865" s="10" t="s">
        <v>101</v>
      </c>
      <c r="M1865" s="10" t="s">
        <v>102</v>
      </c>
      <c r="N1865" s="124" t="s">
        <v>531</v>
      </c>
      <c r="O1865" s="124" t="s">
        <v>531</v>
      </c>
      <c r="P1865" s="21">
        <v>35</v>
      </c>
      <c r="Q1865" s="10" t="s">
        <v>54</v>
      </c>
      <c r="R1865" s="10" t="s">
        <v>28</v>
      </c>
      <c r="S1865" s="10"/>
      <c r="T1865" s="10"/>
      <c r="U1865" s="10" t="s">
        <v>3414</v>
      </c>
      <c r="V1865" s="10" t="s">
        <v>3414</v>
      </c>
      <c r="W1865" s="50">
        <f>+J1865/$W$2</f>
        <v>4.0794227277961157E-5</v>
      </c>
    </row>
    <row r="1866" spans="1:29">
      <c r="A1866" s="10" t="s">
        <v>2420</v>
      </c>
      <c r="B1866" s="10" t="s">
        <v>381</v>
      </c>
      <c r="C1866" s="124">
        <v>46358</v>
      </c>
      <c r="D1866" s="124" t="s">
        <v>492</v>
      </c>
      <c r="E1866" s="21">
        <v>0.94530210999999997</v>
      </c>
      <c r="F1866" s="10"/>
      <c r="G1866" s="14">
        <v>5000000</v>
      </c>
      <c r="H1866" s="14">
        <v>4726510.53</v>
      </c>
      <c r="I1866" s="14">
        <v>5000000</v>
      </c>
      <c r="J1866" s="14">
        <v>4726510.53</v>
      </c>
      <c r="K1866" s="12">
        <v>2874</v>
      </c>
      <c r="L1866" s="10" t="s">
        <v>101</v>
      </c>
      <c r="M1866" s="10" t="s">
        <v>102</v>
      </c>
      <c r="N1866" s="124" t="s">
        <v>552</v>
      </c>
      <c r="O1866" s="124" t="s">
        <v>552</v>
      </c>
      <c r="P1866" s="21">
        <v>33</v>
      </c>
      <c r="Q1866" s="10" t="s">
        <v>54</v>
      </c>
      <c r="R1866" s="10" t="s">
        <v>28</v>
      </c>
      <c r="S1866" s="10"/>
      <c r="T1866" s="10"/>
      <c r="U1866" s="10" t="s">
        <v>2350</v>
      </c>
      <c r="V1866" s="10" t="s">
        <v>2350</v>
      </c>
      <c r="W1866" s="50">
        <f>+J1866/$W$2</f>
        <v>6.2836919512753882E-5</v>
      </c>
    </row>
    <row r="1867" spans="1:29">
      <c r="A1867" s="10" t="s">
        <v>2427</v>
      </c>
      <c r="B1867" s="10" t="s">
        <v>381</v>
      </c>
      <c r="C1867" s="124">
        <v>46358</v>
      </c>
      <c r="D1867" s="124" t="s">
        <v>492</v>
      </c>
      <c r="E1867" s="21">
        <v>0.95002613999999996</v>
      </c>
      <c r="F1867" s="10"/>
      <c r="G1867" s="14">
        <v>1852533.42</v>
      </c>
      <c r="H1867" s="14">
        <v>1759955.18</v>
      </c>
      <c r="I1867" s="14">
        <v>1852533.42</v>
      </c>
      <c r="J1867" s="14">
        <v>1759955.18</v>
      </c>
      <c r="K1867" s="12">
        <v>20521667</v>
      </c>
      <c r="L1867" s="10" t="s">
        <v>101</v>
      </c>
      <c r="M1867" s="10" t="s">
        <v>102</v>
      </c>
      <c r="N1867" s="124" t="s">
        <v>552</v>
      </c>
      <c r="O1867" s="124" t="s">
        <v>552</v>
      </c>
      <c r="P1867" s="21">
        <v>30</v>
      </c>
      <c r="Q1867" s="10" t="s">
        <v>54</v>
      </c>
      <c r="R1867" s="10" t="s">
        <v>28</v>
      </c>
      <c r="S1867" s="10"/>
      <c r="T1867" s="10"/>
      <c r="U1867" s="10" t="s">
        <v>2411</v>
      </c>
      <c r="V1867" s="10" t="s">
        <v>2411</v>
      </c>
      <c r="W1867" s="50">
        <f>+J1867/$W$2</f>
        <v>2.339784525809874E-5</v>
      </c>
    </row>
    <row r="1868" spans="1:29">
      <c r="A1868" s="10" t="s">
        <v>2467</v>
      </c>
      <c r="B1868" s="10" t="s">
        <v>381</v>
      </c>
      <c r="C1868" s="124">
        <v>46358</v>
      </c>
      <c r="D1868" s="124" t="s">
        <v>492</v>
      </c>
      <c r="E1868" s="21">
        <v>0.94530206000000006</v>
      </c>
      <c r="F1868" s="10"/>
      <c r="G1868" s="14">
        <v>4883046.87</v>
      </c>
      <c r="H1868" s="14">
        <v>4615954.29</v>
      </c>
      <c r="I1868" s="14">
        <v>4883046.87</v>
      </c>
      <c r="J1868" s="14">
        <v>4615954.29</v>
      </c>
      <c r="K1868" s="12">
        <v>90001644</v>
      </c>
      <c r="L1868" s="10" t="s">
        <v>101</v>
      </c>
      <c r="M1868" s="10" t="s">
        <v>102</v>
      </c>
      <c r="N1868" s="124" t="s">
        <v>483</v>
      </c>
      <c r="O1868" s="124" t="s">
        <v>483</v>
      </c>
      <c r="P1868" s="21">
        <v>33</v>
      </c>
      <c r="Q1868" s="10" t="s">
        <v>54</v>
      </c>
      <c r="R1868" s="10" t="s">
        <v>28</v>
      </c>
      <c r="S1868" s="10"/>
      <c r="T1868" s="10"/>
      <c r="U1868" s="10" t="s">
        <v>2453</v>
      </c>
      <c r="V1868" s="10" t="s">
        <v>2453</v>
      </c>
      <c r="W1868" s="50">
        <f>+J1868/$W$2</f>
        <v>6.1367121971752167E-5</v>
      </c>
    </row>
    <row r="1869" spans="1:29">
      <c r="A1869" s="10" t="s">
        <v>2612</v>
      </c>
      <c r="B1869" s="10" t="s">
        <v>381</v>
      </c>
      <c r="C1869" s="124">
        <v>46358</v>
      </c>
      <c r="D1869" s="124" t="s">
        <v>492</v>
      </c>
      <c r="E1869" s="21">
        <v>0.94687158000000005</v>
      </c>
      <c r="F1869" s="10"/>
      <c r="G1869" s="14">
        <v>851519.2</v>
      </c>
      <c r="H1869" s="14">
        <v>806279.33</v>
      </c>
      <c r="I1869" s="14">
        <v>851519.2</v>
      </c>
      <c r="J1869" s="14">
        <v>806279.33</v>
      </c>
      <c r="K1869" s="12">
        <v>2000</v>
      </c>
      <c r="L1869" s="10" t="s">
        <v>101</v>
      </c>
      <c r="M1869" s="10" t="s">
        <v>102</v>
      </c>
      <c r="N1869" s="124" t="s">
        <v>423</v>
      </c>
      <c r="O1869" s="124" t="s">
        <v>423</v>
      </c>
      <c r="P1869" s="21">
        <v>32</v>
      </c>
      <c r="Q1869" s="10" t="s">
        <v>54</v>
      </c>
      <c r="R1869" s="10" t="s">
        <v>28</v>
      </c>
      <c r="S1869" s="10"/>
      <c r="T1869" s="10"/>
      <c r="U1869" s="10" t="s">
        <v>2545</v>
      </c>
      <c r="V1869" s="10" t="s">
        <v>2545</v>
      </c>
      <c r="W1869" s="50">
        <f>+J1869/$W$2</f>
        <v>1.0719136039670924E-5</v>
      </c>
    </row>
    <row r="1870" spans="1:29">
      <c r="A1870" s="10" t="s">
        <v>141</v>
      </c>
      <c r="B1870" s="10" t="s">
        <v>381</v>
      </c>
      <c r="C1870" s="124">
        <v>46358</v>
      </c>
      <c r="D1870" s="124" t="s">
        <v>492</v>
      </c>
      <c r="E1870" s="21">
        <v>0.94217879999999998</v>
      </c>
      <c r="F1870" s="10"/>
      <c r="G1870" s="14">
        <v>20000000</v>
      </c>
      <c r="H1870" s="14">
        <v>18843575.960000001</v>
      </c>
      <c r="I1870" s="14">
        <v>20000000</v>
      </c>
      <c r="J1870" s="14">
        <v>18843575.960000001</v>
      </c>
      <c r="K1870" s="12">
        <v>224</v>
      </c>
      <c r="L1870" s="10" t="s">
        <v>101</v>
      </c>
      <c r="M1870" s="10" t="s">
        <v>102</v>
      </c>
      <c r="N1870" s="124" t="s">
        <v>164</v>
      </c>
      <c r="O1870" s="124" t="s">
        <v>164</v>
      </c>
      <c r="P1870" s="21">
        <v>35</v>
      </c>
      <c r="Q1870" s="10" t="s">
        <v>54</v>
      </c>
      <c r="R1870" s="10" t="s">
        <v>28</v>
      </c>
      <c r="S1870" s="10"/>
      <c r="T1870" s="10"/>
      <c r="U1870" s="10" t="s">
        <v>1953</v>
      </c>
      <c r="V1870" s="10" t="s">
        <v>1953</v>
      </c>
      <c r="W1870" s="50">
        <f>+J1870/$W$2</f>
        <v>2.5051721738806405E-4</v>
      </c>
    </row>
    <row r="1871" spans="1:29">
      <c r="A1871" s="10" t="s">
        <v>676</v>
      </c>
      <c r="B1871" s="10" t="s">
        <v>381</v>
      </c>
      <c r="C1871" s="124">
        <v>46358</v>
      </c>
      <c r="D1871" s="124" t="s">
        <v>492</v>
      </c>
      <c r="E1871" s="21">
        <v>0.94530212000000002</v>
      </c>
      <c r="F1871" s="10"/>
      <c r="G1871" s="14">
        <v>5800000</v>
      </c>
      <c r="H1871" s="14">
        <v>5482752.2999999998</v>
      </c>
      <c r="I1871" s="14">
        <v>5800000</v>
      </c>
      <c r="J1871" s="14">
        <v>5482752.2999999998</v>
      </c>
      <c r="K1871" s="12">
        <v>6580</v>
      </c>
      <c r="L1871" s="10" t="s">
        <v>101</v>
      </c>
      <c r="M1871" s="10" t="s">
        <v>102</v>
      </c>
      <c r="N1871" s="124" t="s">
        <v>417</v>
      </c>
      <c r="O1871" s="124" t="s">
        <v>417</v>
      </c>
      <c r="P1871" s="21">
        <v>33</v>
      </c>
      <c r="Q1871" s="10" t="s">
        <v>54</v>
      </c>
      <c r="R1871" s="10" t="s">
        <v>28</v>
      </c>
      <c r="S1871" s="10"/>
      <c r="T1871" s="10"/>
      <c r="U1871" s="10" t="s">
        <v>1681</v>
      </c>
      <c r="V1871" s="10" t="s">
        <v>1681</v>
      </c>
      <c r="W1871" s="50">
        <f>+J1871/$W$2</f>
        <v>7.289082776749176E-5</v>
      </c>
      <c r="AC1871" s="47"/>
    </row>
    <row r="1872" spans="1:29">
      <c r="A1872" s="10" t="s">
        <v>273</v>
      </c>
      <c r="B1872" s="10" t="s">
        <v>381</v>
      </c>
      <c r="C1872" s="124">
        <v>46358</v>
      </c>
      <c r="D1872" s="124" t="s">
        <v>492</v>
      </c>
      <c r="E1872" s="21">
        <v>0.95639870000000005</v>
      </c>
      <c r="F1872" s="10"/>
      <c r="G1872" s="14">
        <v>5000000</v>
      </c>
      <c r="H1872" s="14">
        <v>4781993.5199999996</v>
      </c>
      <c r="I1872" s="14">
        <v>5000000</v>
      </c>
      <c r="J1872" s="14">
        <v>4781993.5199999996</v>
      </c>
      <c r="K1872" s="12">
        <v>491507</v>
      </c>
      <c r="L1872" s="10" t="s">
        <v>101</v>
      </c>
      <c r="M1872" s="10" t="s">
        <v>102</v>
      </c>
      <c r="N1872" s="124" t="s">
        <v>361</v>
      </c>
      <c r="O1872" s="124" t="s">
        <v>361</v>
      </c>
      <c r="P1872" s="21">
        <v>26</v>
      </c>
      <c r="Q1872" s="10" t="s">
        <v>54</v>
      </c>
      <c r="R1872" s="10" t="s">
        <v>28</v>
      </c>
      <c r="S1872" s="10"/>
      <c r="T1872" s="10"/>
      <c r="U1872" s="10" t="s">
        <v>1022</v>
      </c>
      <c r="V1872" s="10" t="s">
        <v>1022</v>
      </c>
      <c r="W1872" s="50">
        <f>+J1872/$W$2</f>
        <v>6.3574541941568592E-5</v>
      </c>
    </row>
    <row r="1873" spans="1:29">
      <c r="A1873" s="10" t="s">
        <v>1814</v>
      </c>
      <c r="B1873" s="10" t="s">
        <v>381</v>
      </c>
      <c r="C1873" s="124">
        <v>46358</v>
      </c>
      <c r="D1873" s="124" t="s">
        <v>492</v>
      </c>
      <c r="E1873" s="21">
        <v>0.94373788999999997</v>
      </c>
      <c r="F1873" s="10"/>
      <c r="G1873" s="14">
        <v>13000000</v>
      </c>
      <c r="H1873" s="14">
        <v>12268592.57</v>
      </c>
      <c r="I1873" s="14">
        <v>13000000</v>
      </c>
      <c r="J1873" s="14">
        <v>12268592.57</v>
      </c>
      <c r="K1873" s="12">
        <v>14330929</v>
      </c>
      <c r="L1873" s="10" t="s">
        <v>101</v>
      </c>
      <c r="M1873" s="10" t="s">
        <v>102</v>
      </c>
      <c r="N1873" s="124" t="s">
        <v>398</v>
      </c>
      <c r="O1873" s="124" t="s">
        <v>398</v>
      </c>
      <c r="P1873" s="21">
        <v>34</v>
      </c>
      <c r="Q1873" s="10" t="s">
        <v>54</v>
      </c>
      <c r="R1873" s="10" t="s">
        <v>28</v>
      </c>
      <c r="S1873" s="10"/>
      <c r="T1873" s="10"/>
      <c r="U1873" s="10" t="s">
        <v>1776</v>
      </c>
      <c r="V1873" s="10" t="s">
        <v>1776</v>
      </c>
      <c r="W1873" s="50">
        <f>+J1873/$W$2</f>
        <v>1.631056482287918E-4</v>
      </c>
    </row>
    <row r="1874" spans="1:29">
      <c r="A1874" s="10" t="s">
        <v>2018</v>
      </c>
      <c r="B1874" s="10" t="s">
        <v>381</v>
      </c>
      <c r="C1874" s="124">
        <v>46358</v>
      </c>
      <c r="D1874" s="124" t="s">
        <v>492</v>
      </c>
      <c r="E1874" s="21">
        <v>0.94687158999999999</v>
      </c>
      <c r="F1874" s="10"/>
      <c r="G1874" s="14">
        <v>1217387.51</v>
      </c>
      <c r="H1874" s="14">
        <v>1152709.6499999999</v>
      </c>
      <c r="I1874" s="14">
        <v>1217387.51</v>
      </c>
      <c r="J1874" s="14">
        <v>1152709.6499999999</v>
      </c>
      <c r="K1874" s="12">
        <v>1809</v>
      </c>
      <c r="L1874" s="10" t="s">
        <v>101</v>
      </c>
      <c r="M1874" s="10" t="s">
        <v>102</v>
      </c>
      <c r="N1874" s="124" t="s">
        <v>164</v>
      </c>
      <c r="O1874" s="124" t="s">
        <v>164</v>
      </c>
      <c r="P1874" s="21">
        <v>32</v>
      </c>
      <c r="Q1874" s="10" t="s">
        <v>54</v>
      </c>
      <c r="R1874" s="10" t="s">
        <v>28</v>
      </c>
      <c r="S1874" s="10"/>
      <c r="T1874" s="10"/>
      <c r="U1874" s="10" t="s">
        <v>1986</v>
      </c>
      <c r="V1874" s="10" t="s">
        <v>1986</v>
      </c>
      <c r="W1874" s="50">
        <f>+J1874/$W$2</f>
        <v>1.532477776974818E-5</v>
      </c>
    </row>
    <row r="1875" spans="1:29">
      <c r="A1875" s="10" t="s">
        <v>2243</v>
      </c>
      <c r="B1875" s="10" t="s">
        <v>381</v>
      </c>
      <c r="C1875" s="124">
        <v>46358</v>
      </c>
      <c r="D1875" s="124" t="s">
        <v>492</v>
      </c>
      <c r="E1875" s="21">
        <v>0.94844620000000002</v>
      </c>
      <c r="F1875" s="10"/>
      <c r="G1875" s="14">
        <v>5000000</v>
      </c>
      <c r="H1875" s="14">
        <v>4742231</v>
      </c>
      <c r="I1875" s="14">
        <v>5000000</v>
      </c>
      <c r="J1875" s="14">
        <v>4742231</v>
      </c>
      <c r="K1875" s="12">
        <v>90000450</v>
      </c>
      <c r="L1875" s="10" t="s">
        <v>101</v>
      </c>
      <c r="M1875" s="10" t="s">
        <v>102</v>
      </c>
      <c r="N1875" s="124" t="s">
        <v>551</v>
      </c>
      <c r="O1875" s="124" t="s">
        <v>551</v>
      </c>
      <c r="P1875" s="21">
        <v>31</v>
      </c>
      <c r="Q1875" s="10" t="s">
        <v>54</v>
      </c>
      <c r="R1875" s="10" t="s">
        <v>28</v>
      </c>
      <c r="S1875" s="10"/>
      <c r="T1875" s="10"/>
      <c r="U1875" s="10" t="s">
        <v>2198</v>
      </c>
      <c r="V1875" s="10" t="s">
        <v>2198</v>
      </c>
      <c r="W1875" s="50">
        <f>+J1875/$W$2</f>
        <v>6.304591638302906E-5</v>
      </c>
      <c r="AC1875" s="47"/>
    </row>
    <row r="1876" spans="1:29">
      <c r="A1876" s="10" t="s">
        <v>719</v>
      </c>
      <c r="B1876" s="10" t="s">
        <v>381</v>
      </c>
      <c r="C1876" s="124">
        <v>46358</v>
      </c>
      <c r="D1876" s="124" t="s">
        <v>492</v>
      </c>
      <c r="E1876" s="21">
        <v>0.95002613999999996</v>
      </c>
      <c r="F1876" s="10"/>
      <c r="G1876" s="14">
        <v>2934952.58</v>
      </c>
      <c r="H1876" s="14">
        <v>2788281.68</v>
      </c>
      <c r="I1876" s="14">
        <v>2934952.58</v>
      </c>
      <c r="J1876" s="14">
        <v>2788281.68</v>
      </c>
      <c r="K1876" s="12">
        <v>6916</v>
      </c>
      <c r="L1876" s="10" t="s">
        <v>101</v>
      </c>
      <c r="M1876" s="10" t="s">
        <v>102</v>
      </c>
      <c r="N1876" s="124" t="s">
        <v>552</v>
      </c>
      <c r="O1876" s="124" t="s">
        <v>552</v>
      </c>
      <c r="P1876" s="21">
        <v>30</v>
      </c>
      <c r="Q1876" s="10" t="s">
        <v>54</v>
      </c>
      <c r="R1876" s="10" t="s">
        <v>28</v>
      </c>
      <c r="S1876" s="10"/>
      <c r="T1876" s="10"/>
      <c r="U1876" s="10" t="s">
        <v>2396</v>
      </c>
      <c r="V1876" s="10" t="s">
        <v>2396</v>
      </c>
      <c r="W1876" s="50">
        <f>+J1876/$W$2</f>
        <v>3.7069002680302114E-5</v>
      </c>
    </row>
    <row r="1877" spans="1:29">
      <c r="A1877" s="10" t="s">
        <v>272</v>
      </c>
      <c r="B1877" s="10" t="s">
        <v>381</v>
      </c>
      <c r="C1877" s="124">
        <v>46358</v>
      </c>
      <c r="D1877" s="124" t="s">
        <v>492</v>
      </c>
      <c r="E1877" s="21">
        <v>0.95161125999999996</v>
      </c>
      <c r="F1877" s="10"/>
      <c r="G1877" s="14">
        <v>4103981.39</v>
      </c>
      <c r="H1877" s="14">
        <v>3905394.92</v>
      </c>
      <c r="I1877" s="14">
        <v>4103981.39</v>
      </c>
      <c r="J1877" s="14">
        <v>3905394.92</v>
      </c>
      <c r="K1877" s="12">
        <v>90000123</v>
      </c>
      <c r="L1877" s="10" t="s">
        <v>101</v>
      </c>
      <c r="M1877" s="10" t="s">
        <v>102</v>
      </c>
      <c r="N1877" s="124" t="s">
        <v>352</v>
      </c>
      <c r="O1877" s="124" t="s">
        <v>352</v>
      </c>
      <c r="P1877" s="21">
        <v>29</v>
      </c>
      <c r="Q1877" s="10" t="s">
        <v>54</v>
      </c>
      <c r="R1877" s="10" t="s">
        <v>28</v>
      </c>
      <c r="S1877" s="10"/>
      <c r="T1877" s="10"/>
      <c r="U1877" s="10" t="s">
        <v>792</v>
      </c>
      <c r="V1877" s="10" t="s">
        <v>792</v>
      </c>
      <c r="W1877" s="50">
        <f>+J1877/$W$2</f>
        <v>5.192054152761146E-5</v>
      </c>
      <c r="AC1877" s="47"/>
    </row>
    <row r="1878" spans="1:29">
      <c r="A1878" s="10" t="s">
        <v>273</v>
      </c>
      <c r="B1878" s="10" t="s">
        <v>381</v>
      </c>
      <c r="C1878" s="124">
        <v>46358</v>
      </c>
      <c r="D1878" s="124" t="s">
        <v>492</v>
      </c>
      <c r="E1878" s="21">
        <v>0.95320176000000001</v>
      </c>
      <c r="F1878" s="10"/>
      <c r="G1878" s="14">
        <v>7000000</v>
      </c>
      <c r="H1878" s="14">
        <v>6672412.3399999999</v>
      </c>
      <c r="I1878" s="14">
        <v>7000000</v>
      </c>
      <c r="J1878" s="14">
        <v>6672412.3399999999</v>
      </c>
      <c r="K1878" s="12">
        <v>67768339</v>
      </c>
      <c r="L1878" s="10" t="s">
        <v>101</v>
      </c>
      <c r="M1878" s="10" t="s">
        <v>102</v>
      </c>
      <c r="N1878" s="124" t="s">
        <v>395</v>
      </c>
      <c r="O1878" s="124" t="s">
        <v>395</v>
      </c>
      <c r="P1878" s="21">
        <v>28</v>
      </c>
      <c r="Q1878" s="10" t="s">
        <v>54</v>
      </c>
      <c r="R1878" s="10" t="s">
        <v>28</v>
      </c>
      <c r="S1878" s="10"/>
      <c r="T1878" s="10"/>
      <c r="U1878" s="10" t="s">
        <v>824</v>
      </c>
      <c r="V1878" s="10" t="s">
        <v>824</v>
      </c>
      <c r="W1878" s="50">
        <f>+J1878/$W$2</f>
        <v>8.870684503996773E-5</v>
      </c>
    </row>
    <row r="1879" spans="1:29">
      <c r="A1879" s="10" t="s">
        <v>273</v>
      </c>
      <c r="B1879" s="10" t="s">
        <v>381</v>
      </c>
      <c r="C1879" s="124">
        <v>46358</v>
      </c>
      <c r="D1879" s="124" t="s">
        <v>492</v>
      </c>
      <c r="E1879" s="21">
        <v>0.94844620000000002</v>
      </c>
      <c r="F1879" s="10"/>
      <c r="G1879" s="14">
        <v>5000000</v>
      </c>
      <c r="H1879" s="14">
        <v>4742231</v>
      </c>
      <c r="I1879" s="14">
        <v>5000000</v>
      </c>
      <c r="J1879" s="14">
        <v>4742231</v>
      </c>
      <c r="K1879" s="12">
        <v>8808</v>
      </c>
      <c r="L1879" s="10" t="s">
        <v>101</v>
      </c>
      <c r="M1879" s="10" t="s">
        <v>102</v>
      </c>
      <c r="N1879" s="124" t="s">
        <v>551</v>
      </c>
      <c r="O1879" s="124" t="s">
        <v>551</v>
      </c>
      <c r="P1879" s="21">
        <v>31</v>
      </c>
      <c r="Q1879" s="10" t="s">
        <v>54</v>
      </c>
      <c r="R1879" s="10" t="s">
        <v>28</v>
      </c>
      <c r="S1879" s="10"/>
      <c r="T1879" s="10"/>
      <c r="U1879" s="10" t="s">
        <v>2180</v>
      </c>
      <c r="V1879" s="10" t="s">
        <v>2180</v>
      </c>
      <c r="W1879" s="50">
        <f>+J1879/$W$2</f>
        <v>6.304591638302906E-5</v>
      </c>
    </row>
    <row r="1880" spans="1:29">
      <c r="A1880" s="10" t="s">
        <v>1168</v>
      </c>
      <c r="B1880" s="10" t="s">
        <v>381</v>
      </c>
      <c r="C1880" s="124">
        <v>46358</v>
      </c>
      <c r="D1880" s="124" t="s">
        <v>492</v>
      </c>
      <c r="E1880" s="21">
        <v>0.94530201999999997</v>
      </c>
      <c r="F1880" s="10"/>
      <c r="G1880" s="14">
        <v>3320250</v>
      </c>
      <c r="H1880" s="14">
        <v>3138639.02</v>
      </c>
      <c r="I1880" s="14">
        <v>3320250</v>
      </c>
      <c r="J1880" s="14">
        <v>3138639.02</v>
      </c>
      <c r="K1880" s="12">
        <v>10539964</v>
      </c>
      <c r="L1880" s="10" t="s">
        <v>101</v>
      </c>
      <c r="M1880" s="10" t="s">
        <v>102</v>
      </c>
      <c r="N1880" s="124" t="s">
        <v>366</v>
      </c>
      <c r="O1880" s="124" t="s">
        <v>366</v>
      </c>
      <c r="P1880" s="21">
        <v>33</v>
      </c>
      <c r="Q1880" s="10" t="s">
        <v>54</v>
      </c>
      <c r="R1880" s="10" t="s">
        <v>28</v>
      </c>
      <c r="S1880" s="10"/>
      <c r="T1880" s="10"/>
      <c r="U1880" s="10" t="s">
        <v>1159</v>
      </c>
      <c r="V1880" s="10" t="s">
        <v>1159</v>
      </c>
      <c r="W1880" s="50">
        <f>+J1880/$W$2</f>
        <v>4.1726852448021249E-5</v>
      </c>
    </row>
    <row r="1881" spans="1:29">
      <c r="A1881" s="10" t="s">
        <v>1431</v>
      </c>
      <c r="B1881" s="10" t="s">
        <v>381</v>
      </c>
      <c r="C1881" s="124">
        <v>46358</v>
      </c>
      <c r="D1881" s="124" t="s">
        <v>492</v>
      </c>
      <c r="E1881" s="21">
        <v>0.94687158999999999</v>
      </c>
      <c r="F1881" s="10"/>
      <c r="G1881" s="14">
        <v>5444208</v>
      </c>
      <c r="H1881" s="14">
        <v>5154965.9000000004</v>
      </c>
      <c r="I1881" s="14">
        <v>5444208</v>
      </c>
      <c r="J1881" s="14">
        <v>5154965.9000000004</v>
      </c>
      <c r="K1881" s="12">
        <v>3450</v>
      </c>
      <c r="L1881" s="10" t="s">
        <v>101</v>
      </c>
      <c r="M1881" s="10" t="s">
        <v>102</v>
      </c>
      <c r="N1881" s="124" t="s">
        <v>398</v>
      </c>
      <c r="O1881" s="124" t="s">
        <v>398</v>
      </c>
      <c r="P1881" s="21">
        <v>32</v>
      </c>
      <c r="Q1881" s="10" t="s">
        <v>54</v>
      </c>
      <c r="R1881" s="10" t="s">
        <v>28</v>
      </c>
      <c r="S1881" s="10"/>
      <c r="T1881" s="10"/>
      <c r="U1881" s="10" t="s">
        <v>1788</v>
      </c>
      <c r="V1881" s="10" t="s">
        <v>1788</v>
      </c>
      <c r="W1881" s="50">
        <f>+J1881/$W$2</f>
        <v>6.8533048914902323E-5</v>
      </c>
    </row>
    <row r="1882" spans="1:29">
      <c r="A1882" s="10" t="s">
        <v>404</v>
      </c>
      <c r="B1882" s="10" t="s">
        <v>381</v>
      </c>
      <c r="C1882" s="124">
        <v>46358</v>
      </c>
      <c r="D1882" s="124" t="s">
        <v>492</v>
      </c>
      <c r="E1882" s="21">
        <v>0.95320181000000004</v>
      </c>
      <c r="F1882" s="10"/>
      <c r="G1882" s="14">
        <v>13500000</v>
      </c>
      <c r="H1882" s="14">
        <v>12868224.460000001</v>
      </c>
      <c r="I1882" s="14">
        <v>13500000</v>
      </c>
      <c r="J1882" s="14">
        <v>12868224.460000001</v>
      </c>
      <c r="K1882" s="12">
        <v>168</v>
      </c>
      <c r="L1882" s="10" t="s">
        <v>101</v>
      </c>
      <c r="M1882" s="10" t="s">
        <v>102</v>
      </c>
      <c r="N1882" s="124" t="s">
        <v>486</v>
      </c>
      <c r="O1882" s="124" t="s">
        <v>486</v>
      </c>
      <c r="P1882" s="21">
        <v>28</v>
      </c>
      <c r="Q1882" s="10" t="s">
        <v>54</v>
      </c>
      <c r="R1882" s="10" t="s">
        <v>28</v>
      </c>
      <c r="S1882" s="10"/>
      <c r="T1882" s="10"/>
      <c r="U1882" s="10" t="s">
        <v>2828</v>
      </c>
      <c r="V1882" s="10" t="s">
        <v>2828</v>
      </c>
      <c r="W1882" s="50">
        <f>+J1882/$W$2</f>
        <v>1.7107749565620258E-4</v>
      </c>
    </row>
    <row r="1883" spans="1:29">
      <c r="A1883" s="10" t="s">
        <v>3144</v>
      </c>
      <c r="B1883" s="10" t="s">
        <v>381</v>
      </c>
      <c r="C1883" s="124">
        <v>46358</v>
      </c>
      <c r="D1883" s="124" t="s">
        <v>492</v>
      </c>
      <c r="E1883" s="21">
        <v>0.94530212000000002</v>
      </c>
      <c r="F1883" s="10"/>
      <c r="G1883" s="14">
        <v>2500000</v>
      </c>
      <c r="H1883" s="14">
        <v>2363255.31</v>
      </c>
      <c r="I1883" s="14">
        <v>2500000</v>
      </c>
      <c r="J1883" s="14">
        <v>2363255.31</v>
      </c>
      <c r="K1883" s="12">
        <v>102</v>
      </c>
      <c r="L1883" s="10" t="s">
        <v>101</v>
      </c>
      <c r="M1883" s="10" t="s">
        <v>102</v>
      </c>
      <c r="N1883" s="124" t="s">
        <v>532</v>
      </c>
      <c r="O1883" s="124" t="s">
        <v>532</v>
      </c>
      <c r="P1883" s="21">
        <v>33</v>
      </c>
      <c r="Q1883" s="10" t="s">
        <v>54</v>
      </c>
      <c r="R1883" s="10" t="s">
        <v>28</v>
      </c>
      <c r="S1883" s="10"/>
      <c r="T1883" s="10"/>
      <c r="U1883" s="10" t="s">
        <v>3109</v>
      </c>
      <c r="V1883" s="10" t="s">
        <v>3109</v>
      </c>
      <c r="W1883" s="50">
        <f>+J1883/$W$2</f>
        <v>3.1418460354632537E-5</v>
      </c>
    </row>
    <row r="1884" spans="1:29">
      <c r="A1884" s="10" t="s">
        <v>607</v>
      </c>
      <c r="B1884" s="10" t="s">
        <v>381</v>
      </c>
      <c r="C1884" s="124">
        <v>46358</v>
      </c>
      <c r="D1884" s="124" t="s">
        <v>492</v>
      </c>
      <c r="E1884" s="21">
        <v>0.94530205</v>
      </c>
      <c r="F1884" s="10"/>
      <c r="G1884" s="14">
        <v>1500000</v>
      </c>
      <c r="H1884" s="14">
        <v>1417953.07</v>
      </c>
      <c r="I1884" s="14">
        <v>1500000</v>
      </c>
      <c r="J1884" s="14">
        <v>1417953.07</v>
      </c>
      <c r="K1884" s="12">
        <v>591</v>
      </c>
      <c r="L1884" s="10" t="s">
        <v>101</v>
      </c>
      <c r="M1884" s="10" t="s">
        <v>102</v>
      </c>
      <c r="N1884" s="124" t="s">
        <v>434</v>
      </c>
      <c r="O1884" s="124" t="s">
        <v>434</v>
      </c>
      <c r="P1884" s="21">
        <v>33</v>
      </c>
      <c r="Q1884" s="10" t="s">
        <v>54</v>
      </c>
      <c r="R1884" s="10" t="s">
        <v>28</v>
      </c>
      <c r="S1884" s="10"/>
      <c r="T1884" s="10"/>
      <c r="U1884" s="10" t="s">
        <v>2924</v>
      </c>
      <c r="V1884" s="10" t="s">
        <v>2924</v>
      </c>
      <c r="W1884" s="50">
        <f>+J1884/$W$2</f>
        <v>1.8851074670609539E-5</v>
      </c>
    </row>
    <row r="1885" spans="1:29">
      <c r="A1885" s="10" t="s">
        <v>607</v>
      </c>
      <c r="B1885" s="10" t="s">
        <v>381</v>
      </c>
      <c r="C1885" s="124">
        <v>46358</v>
      </c>
      <c r="D1885" s="124" t="s">
        <v>492</v>
      </c>
      <c r="E1885" s="21">
        <v>0.94530205</v>
      </c>
      <c r="F1885" s="10"/>
      <c r="G1885" s="14">
        <v>1500000</v>
      </c>
      <c r="H1885" s="14">
        <v>1417953.07</v>
      </c>
      <c r="I1885" s="14">
        <v>1500000</v>
      </c>
      <c r="J1885" s="14">
        <v>1417953.07</v>
      </c>
      <c r="K1885" s="12">
        <v>592</v>
      </c>
      <c r="L1885" s="10" t="s">
        <v>101</v>
      </c>
      <c r="M1885" s="10" t="s">
        <v>102</v>
      </c>
      <c r="N1885" s="124" t="s">
        <v>434</v>
      </c>
      <c r="O1885" s="124" t="s">
        <v>434</v>
      </c>
      <c r="P1885" s="21">
        <v>33</v>
      </c>
      <c r="Q1885" s="10" t="s">
        <v>54</v>
      </c>
      <c r="R1885" s="10" t="s">
        <v>28</v>
      </c>
      <c r="S1885" s="10"/>
      <c r="T1885" s="10"/>
      <c r="U1885" s="10" t="s">
        <v>2929</v>
      </c>
      <c r="V1885" s="10" t="s">
        <v>2929</v>
      </c>
      <c r="W1885" s="50">
        <f>+J1885/$W$2</f>
        <v>1.8851074670609539E-5</v>
      </c>
    </row>
    <row r="1886" spans="1:29">
      <c r="A1886" s="10" t="s">
        <v>607</v>
      </c>
      <c r="B1886" s="10" t="s">
        <v>381</v>
      </c>
      <c r="C1886" s="124">
        <v>46358</v>
      </c>
      <c r="D1886" s="124" t="s">
        <v>492</v>
      </c>
      <c r="E1886" s="21">
        <v>0.94530205</v>
      </c>
      <c r="F1886" s="10"/>
      <c r="G1886" s="14">
        <v>1500000</v>
      </c>
      <c r="H1886" s="14">
        <v>1417953.07</v>
      </c>
      <c r="I1886" s="14">
        <v>1500000</v>
      </c>
      <c r="J1886" s="14">
        <v>1417953.07</v>
      </c>
      <c r="K1886" s="12">
        <v>590</v>
      </c>
      <c r="L1886" s="10" t="s">
        <v>101</v>
      </c>
      <c r="M1886" s="10" t="s">
        <v>102</v>
      </c>
      <c r="N1886" s="124" t="s">
        <v>434</v>
      </c>
      <c r="O1886" s="124" t="s">
        <v>434</v>
      </c>
      <c r="P1886" s="21">
        <v>33</v>
      </c>
      <c r="Q1886" s="10" t="s">
        <v>54</v>
      </c>
      <c r="R1886" s="10" t="s">
        <v>28</v>
      </c>
      <c r="S1886" s="10"/>
      <c r="T1886" s="10"/>
      <c r="U1886" s="10" t="s">
        <v>2930</v>
      </c>
      <c r="V1886" s="10" t="s">
        <v>2930</v>
      </c>
      <c r="W1886" s="50">
        <f>+J1886/$W$2</f>
        <v>1.8851074670609539E-5</v>
      </c>
    </row>
    <row r="1887" spans="1:29">
      <c r="A1887" s="10" t="s">
        <v>2131</v>
      </c>
      <c r="B1887" s="10" t="s">
        <v>381</v>
      </c>
      <c r="C1887" s="124">
        <v>46358</v>
      </c>
      <c r="D1887" s="124" t="s">
        <v>492</v>
      </c>
      <c r="E1887" s="21">
        <v>0.94844618000000003</v>
      </c>
      <c r="F1887" s="10"/>
      <c r="G1887" s="14">
        <v>50000000</v>
      </c>
      <c r="H1887" s="14">
        <v>47422308.770000003</v>
      </c>
      <c r="I1887" s="14">
        <v>50000000</v>
      </c>
      <c r="J1887" s="14">
        <v>47422308.770000003</v>
      </c>
      <c r="K1887" s="12">
        <v>5791</v>
      </c>
      <c r="L1887" s="10" t="s">
        <v>101</v>
      </c>
      <c r="M1887" s="10" t="s">
        <v>102</v>
      </c>
      <c r="N1887" s="124" t="s">
        <v>421</v>
      </c>
      <c r="O1887" s="124" t="s">
        <v>421</v>
      </c>
      <c r="P1887" s="21">
        <v>31</v>
      </c>
      <c r="Q1887" s="10" t="s">
        <v>54</v>
      </c>
      <c r="R1887" s="10" t="s">
        <v>28</v>
      </c>
      <c r="S1887" s="10"/>
      <c r="T1887" s="10"/>
      <c r="U1887" s="10" t="s">
        <v>2092</v>
      </c>
      <c r="V1887" s="10" t="s">
        <v>2092</v>
      </c>
      <c r="W1887" s="50">
        <f>+J1887/$W$2</f>
        <v>6.3045914747797091E-4</v>
      </c>
    </row>
    <row r="1888" spans="1:29">
      <c r="A1888" s="10" t="s">
        <v>2131</v>
      </c>
      <c r="B1888" s="10" t="s">
        <v>381</v>
      </c>
      <c r="C1888" s="124">
        <v>46358</v>
      </c>
      <c r="D1888" s="124" t="s">
        <v>492</v>
      </c>
      <c r="E1888" s="21">
        <v>0.94844618000000003</v>
      </c>
      <c r="F1888" s="10"/>
      <c r="G1888" s="14">
        <v>50000000</v>
      </c>
      <c r="H1888" s="14">
        <v>47422308.770000003</v>
      </c>
      <c r="I1888" s="14">
        <v>50000000</v>
      </c>
      <c r="J1888" s="14">
        <v>47422308.770000003</v>
      </c>
      <c r="K1888" s="12">
        <v>5792</v>
      </c>
      <c r="L1888" s="10" t="s">
        <v>101</v>
      </c>
      <c r="M1888" s="10" t="s">
        <v>102</v>
      </c>
      <c r="N1888" s="124" t="s">
        <v>421</v>
      </c>
      <c r="O1888" s="124" t="s">
        <v>421</v>
      </c>
      <c r="P1888" s="21">
        <v>31</v>
      </c>
      <c r="Q1888" s="10" t="s">
        <v>54</v>
      </c>
      <c r="R1888" s="10" t="s">
        <v>28</v>
      </c>
      <c r="S1888" s="10"/>
      <c r="T1888" s="10"/>
      <c r="U1888" s="10" t="s">
        <v>2093</v>
      </c>
      <c r="V1888" s="10" t="s">
        <v>2093</v>
      </c>
      <c r="W1888" s="50">
        <f>+J1888/$W$2</f>
        <v>6.3045914747797091E-4</v>
      </c>
    </row>
    <row r="1889" spans="1:29">
      <c r="A1889" s="10" t="s">
        <v>666</v>
      </c>
      <c r="B1889" s="10" t="s">
        <v>381</v>
      </c>
      <c r="C1889" s="124">
        <v>46358</v>
      </c>
      <c r="D1889" s="124" t="s">
        <v>492</v>
      </c>
      <c r="E1889" s="21">
        <v>0.94530208999999998</v>
      </c>
      <c r="F1889" s="10"/>
      <c r="G1889" s="14">
        <v>6512309.3700000001</v>
      </c>
      <c r="H1889" s="14">
        <v>6156099.6399999997</v>
      </c>
      <c r="I1889" s="14">
        <v>6512309.3700000001</v>
      </c>
      <c r="J1889" s="14">
        <v>6156099.6399999997</v>
      </c>
      <c r="K1889" s="12">
        <v>90001933</v>
      </c>
      <c r="L1889" s="10" t="s">
        <v>101</v>
      </c>
      <c r="M1889" s="10" t="s">
        <v>102</v>
      </c>
      <c r="N1889" s="124" t="s">
        <v>435</v>
      </c>
      <c r="O1889" s="124" t="s">
        <v>435</v>
      </c>
      <c r="P1889" s="21">
        <v>33</v>
      </c>
      <c r="Q1889" s="10" t="s">
        <v>54</v>
      </c>
      <c r="R1889" s="10" t="s">
        <v>28</v>
      </c>
      <c r="S1889" s="10"/>
      <c r="T1889" s="10"/>
      <c r="U1889" s="10" t="s">
        <v>1304</v>
      </c>
      <c r="V1889" s="10" t="s">
        <v>1304</v>
      </c>
      <c r="W1889" s="50">
        <f>+J1889/$W$2</f>
        <v>8.1842690317918978E-5</v>
      </c>
    </row>
    <row r="1890" spans="1:29">
      <c r="A1890" s="10" t="s">
        <v>303</v>
      </c>
      <c r="B1890" s="10" t="s">
        <v>381</v>
      </c>
      <c r="C1890" s="124">
        <v>46358</v>
      </c>
      <c r="D1890" s="124" t="s">
        <v>492</v>
      </c>
      <c r="E1890" s="21">
        <v>0.96611974</v>
      </c>
      <c r="F1890" s="10"/>
      <c r="G1890" s="14">
        <v>8500000</v>
      </c>
      <c r="H1890" s="14">
        <v>8212017.79</v>
      </c>
      <c r="I1890" s="14">
        <v>8500000</v>
      </c>
      <c r="J1890" s="14">
        <v>8212017.79</v>
      </c>
      <c r="K1890" s="12">
        <v>34605</v>
      </c>
      <c r="L1890" s="10" t="s">
        <v>101</v>
      </c>
      <c r="M1890" s="10" t="s">
        <v>102</v>
      </c>
      <c r="N1890" s="124" t="s">
        <v>431</v>
      </c>
      <c r="O1890" s="124" t="s">
        <v>431</v>
      </c>
      <c r="P1890" s="21">
        <v>20</v>
      </c>
      <c r="Q1890" s="10" t="s">
        <v>54</v>
      </c>
      <c r="R1890" s="10" t="s">
        <v>28</v>
      </c>
      <c r="S1890" s="10"/>
      <c r="T1890" s="10"/>
      <c r="U1890" s="10" t="s">
        <v>2250</v>
      </c>
      <c r="V1890" s="10" t="s">
        <v>2250</v>
      </c>
      <c r="W1890" s="50">
        <f>+J1890/$W$2</f>
        <v>1.0917523564842941E-4</v>
      </c>
    </row>
    <row r="1891" spans="1:29">
      <c r="A1891" s="10" t="s">
        <v>392</v>
      </c>
      <c r="B1891" s="10" t="s">
        <v>381</v>
      </c>
      <c r="C1891" s="124">
        <v>46358</v>
      </c>
      <c r="D1891" s="124" t="s">
        <v>492</v>
      </c>
      <c r="E1891" s="21">
        <v>0.94687153999999996</v>
      </c>
      <c r="F1891" s="10"/>
      <c r="G1891" s="14">
        <v>2833000</v>
      </c>
      <c r="H1891" s="14">
        <v>2682487.06</v>
      </c>
      <c r="I1891" s="14">
        <v>2833000</v>
      </c>
      <c r="J1891" s="14">
        <v>2682487.06</v>
      </c>
      <c r="K1891" s="12">
        <v>90000056</v>
      </c>
      <c r="L1891" s="10" t="s">
        <v>101</v>
      </c>
      <c r="M1891" s="10" t="s">
        <v>102</v>
      </c>
      <c r="N1891" s="124" t="s">
        <v>531</v>
      </c>
      <c r="O1891" s="124" t="s">
        <v>531</v>
      </c>
      <c r="P1891" s="21">
        <v>32</v>
      </c>
      <c r="Q1891" s="10" t="s">
        <v>54</v>
      </c>
      <c r="R1891" s="10" t="s">
        <v>28</v>
      </c>
      <c r="S1891" s="10"/>
      <c r="T1891" s="10"/>
      <c r="U1891" s="10" t="s">
        <v>3402</v>
      </c>
      <c r="V1891" s="10" t="s">
        <v>3402</v>
      </c>
      <c r="W1891" s="50">
        <f>+J1891/$W$2</f>
        <v>3.5662508824078254E-5</v>
      </c>
    </row>
    <row r="1892" spans="1:29">
      <c r="A1892" s="10" t="s">
        <v>465</v>
      </c>
      <c r="B1892" s="10" t="s">
        <v>381</v>
      </c>
      <c r="C1892" s="124">
        <v>46358</v>
      </c>
      <c r="D1892" s="124" t="s">
        <v>492</v>
      </c>
      <c r="E1892" s="21">
        <v>0.94530205</v>
      </c>
      <c r="F1892" s="10"/>
      <c r="G1892" s="14">
        <v>25000000</v>
      </c>
      <c r="H1892" s="14">
        <v>23632551.27</v>
      </c>
      <c r="I1892" s="14">
        <v>25000000</v>
      </c>
      <c r="J1892" s="14">
        <v>23632551.27</v>
      </c>
      <c r="K1892" s="12">
        <v>14422657</v>
      </c>
      <c r="L1892" s="10" t="s">
        <v>101</v>
      </c>
      <c r="M1892" s="10" t="s">
        <v>102</v>
      </c>
      <c r="N1892" s="124" t="s">
        <v>421</v>
      </c>
      <c r="O1892" s="124" t="s">
        <v>421</v>
      </c>
      <c r="P1892" s="21">
        <v>33</v>
      </c>
      <c r="Q1892" s="10" t="s">
        <v>54</v>
      </c>
      <c r="R1892" s="10" t="s">
        <v>28</v>
      </c>
      <c r="S1892" s="10"/>
      <c r="T1892" s="10"/>
      <c r="U1892" s="10" t="s">
        <v>2105</v>
      </c>
      <c r="V1892" s="10" t="s">
        <v>2105</v>
      </c>
      <c r="W1892" s="50">
        <f>+J1892/$W$2</f>
        <v>3.1418457921726444E-4</v>
      </c>
    </row>
    <row r="1893" spans="1:29">
      <c r="A1893" s="10" t="s">
        <v>2915</v>
      </c>
      <c r="B1893" s="10" t="s">
        <v>381</v>
      </c>
      <c r="C1893" s="124">
        <v>46358</v>
      </c>
      <c r="D1893" s="124" t="s">
        <v>492</v>
      </c>
      <c r="E1893" s="21">
        <v>0.95320178</v>
      </c>
      <c r="F1893" s="10"/>
      <c r="G1893" s="14">
        <v>5000000</v>
      </c>
      <c r="H1893" s="14">
        <v>4766008.88</v>
      </c>
      <c r="I1893" s="14">
        <v>5000000</v>
      </c>
      <c r="J1893" s="14">
        <v>4766008.88</v>
      </c>
      <c r="K1893" s="12">
        <v>12</v>
      </c>
      <c r="L1893" s="10" t="s">
        <v>101</v>
      </c>
      <c r="M1893" s="10" t="s">
        <v>102</v>
      </c>
      <c r="N1893" s="124" t="s">
        <v>434</v>
      </c>
      <c r="O1893" s="124" t="s">
        <v>434</v>
      </c>
      <c r="P1893" s="21">
        <v>28</v>
      </c>
      <c r="Q1893" s="10" t="s">
        <v>54</v>
      </c>
      <c r="R1893" s="10" t="s">
        <v>28</v>
      </c>
      <c r="S1893" s="10"/>
      <c r="T1893" s="10"/>
      <c r="U1893" s="10" t="s">
        <v>2982</v>
      </c>
      <c r="V1893" s="10" t="s">
        <v>2982</v>
      </c>
      <c r="W1893" s="50">
        <f>+J1893/$W$2</f>
        <v>6.3362033045048612E-5</v>
      </c>
    </row>
    <row r="1894" spans="1:29">
      <c r="A1894" s="10" t="s">
        <v>470</v>
      </c>
      <c r="B1894" s="10" t="s">
        <v>381</v>
      </c>
      <c r="C1894" s="124">
        <v>46358</v>
      </c>
      <c r="D1894" s="124" t="s">
        <v>492</v>
      </c>
      <c r="E1894" s="21">
        <v>0.94530208999999998</v>
      </c>
      <c r="F1894" s="10"/>
      <c r="G1894" s="14">
        <v>2600411.64</v>
      </c>
      <c r="H1894" s="14">
        <v>2458174.5699999998</v>
      </c>
      <c r="I1894" s="14">
        <v>2600411.64</v>
      </c>
      <c r="J1894" s="14">
        <v>2458174.5699999998</v>
      </c>
      <c r="K1894" s="12">
        <v>90000275</v>
      </c>
      <c r="L1894" s="10" t="s">
        <v>101</v>
      </c>
      <c r="M1894" s="10" t="s">
        <v>102</v>
      </c>
      <c r="N1894" s="124" t="s">
        <v>435</v>
      </c>
      <c r="O1894" s="124" t="s">
        <v>435</v>
      </c>
      <c r="P1894" s="21">
        <v>33</v>
      </c>
      <c r="Q1894" s="10" t="s">
        <v>54</v>
      </c>
      <c r="R1894" s="10" t="s">
        <v>28</v>
      </c>
      <c r="S1894" s="10"/>
      <c r="T1894" s="10"/>
      <c r="U1894" s="10" t="s">
        <v>1297</v>
      </c>
      <c r="V1894" s="10" t="s">
        <v>1297</v>
      </c>
      <c r="W1894" s="50">
        <f>+J1894/$W$2</f>
        <v>3.268037098890973E-5</v>
      </c>
    </row>
    <row r="1895" spans="1:29">
      <c r="A1895" s="10" t="s">
        <v>427</v>
      </c>
      <c r="B1895" s="10" t="s">
        <v>381</v>
      </c>
      <c r="C1895" s="124">
        <v>46358</v>
      </c>
      <c r="D1895" s="124" t="s">
        <v>492</v>
      </c>
      <c r="E1895" s="21">
        <v>0.95320181000000004</v>
      </c>
      <c r="F1895" s="10"/>
      <c r="G1895" s="14">
        <v>5000000</v>
      </c>
      <c r="H1895" s="14">
        <v>4766009.0599999996</v>
      </c>
      <c r="I1895" s="14">
        <v>5000000</v>
      </c>
      <c r="J1895" s="14">
        <v>4766009.0599999996</v>
      </c>
      <c r="K1895" s="12">
        <v>14315891</v>
      </c>
      <c r="L1895" s="10" t="s">
        <v>101</v>
      </c>
      <c r="M1895" s="10" t="s">
        <v>102</v>
      </c>
      <c r="N1895" s="124" t="s">
        <v>486</v>
      </c>
      <c r="O1895" s="124" t="s">
        <v>486</v>
      </c>
      <c r="P1895" s="21">
        <v>28</v>
      </c>
      <c r="Q1895" s="10" t="s">
        <v>54</v>
      </c>
      <c r="R1895" s="10" t="s">
        <v>28</v>
      </c>
      <c r="S1895" s="10"/>
      <c r="T1895" s="10"/>
      <c r="U1895" s="10" t="s">
        <v>2779</v>
      </c>
      <c r="V1895" s="10" t="s">
        <v>2779</v>
      </c>
      <c r="W1895" s="50">
        <f>+J1895/$W$2</f>
        <v>6.3362035438070997E-5</v>
      </c>
    </row>
    <row r="1896" spans="1:29">
      <c r="A1896" s="10" t="s">
        <v>382</v>
      </c>
      <c r="B1896" s="10" t="s">
        <v>381</v>
      </c>
      <c r="C1896" s="124">
        <v>46358</v>
      </c>
      <c r="D1896" s="124" t="s">
        <v>492</v>
      </c>
      <c r="E1896" s="21">
        <v>0.94530201999999997</v>
      </c>
      <c r="F1896" s="10"/>
      <c r="G1896" s="14">
        <v>2500000</v>
      </c>
      <c r="H1896" s="14">
        <v>2363255.04</v>
      </c>
      <c r="I1896" s="14">
        <v>2500000</v>
      </c>
      <c r="J1896" s="14">
        <v>2363255.04</v>
      </c>
      <c r="K1896" s="12">
        <v>1030</v>
      </c>
      <c r="L1896" s="10" t="s">
        <v>101</v>
      </c>
      <c r="M1896" s="10" t="s">
        <v>102</v>
      </c>
      <c r="N1896" s="124" t="s">
        <v>163</v>
      </c>
      <c r="O1896" s="124" t="s">
        <v>163</v>
      </c>
      <c r="P1896" s="21">
        <v>33</v>
      </c>
      <c r="Q1896" s="10" t="s">
        <v>54</v>
      </c>
      <c r="R1896" s="10" t="s">
        <v>28</v>
      </c>
      <c r="S1896" s="10"/>
      <c r="T1896" s="10"/>
      <c r="U1896" s="10" t="s">
        <v>1654</v>
      </c>
      <c r="V1896" s="10" t="s">
        <v>1654</v>
      </c>
      <c r="W1896" s="50">
        <f>+J1896/$W$2</f>
        <v>3.1418456765098953E-5</v>
      </c>
    </row>
    <row r="1897" spans="1:29">
      <c r="A1897" s="10" t="s">
        <v>386</v>
      </c>
      <c r="B1897" s="10" t="s">
        <v>381</v>
      </c>
      <c r="C1897" s="124">
        <v>46358</v>
      </c>
      <c r="D1897" s="124" t="s">
        <v>492</v>
      </c>
      <c r="E1897" s="21">
        <v>0.93753226000000001</v>
      </c>
      <c r="F1897" s="10"/>
      <c r="G1897" s="14">
        <v>100000000</v>
      </c>
      <c r="H1897" s="14">
        <v>93753226.290000007</v>
      </c>
      <c r="I1897" s="14">
        <v>100000000</v>
      </c>
      <c r="J1897" s="14">
        <v>93753226.290000007</v>
      </c>
      <c r="K1897" s="12">
        <v>70219574</v>
      </c>
      <c r="L1897" s="10" t="s">
        <v>101</v>
      </c>
      <c r="M1897" s="10" t="s">
        <v>102</v>
      </c>
      <c r="N1897" s="124" t="s">
        <v>492</v>
      </c>
      <c r="O1897" s="124" t="s">
        <v>492</v>
      </c>
      <c r="P1897" s="21">
        <v>38</v>
      </c>
      <c r="Q1897" s="10" t="s">
        <v>54</v>
      </c>
      <c r="R1897" s="10" t="s">
        <v>28</v>
      </c>
      <c r="S1897" s="10"/>
      <c r="T1897" s="10"/>
      <c r="U1897" s="10" t="s">
        <v>3528</v>
      </c>
      <c r="V1897" s="10" t="s">
        <v>3528</v>
      </c>
      <c r="W1897" s="50">
        <f>+J1897/$W$2</f>
        <v>1.246408718874838E-3</v>
      </c>
    </row>
    <row r="1898" spans="1:29">
      <c r="A1898" s="10" t="s">
        <v>3575</v>
      </c>
      <c r="B1898" s="10" t="s">
        <v>381</v>
      </c>
      <c r="C1898" s="124">
        <v>46358</v>
      </c>
      <c r="D1898" s="124" t="s">
        <v>492</v>
      </c>
      <c r="E1898" s="21">
        <v>0.94687157</v>
      </c>
      <c r="F1898" s="10"/>
      <c r="G1898" s="14">
        <v>10386286.039999999</v>
      </c>
      <c r="H1898" s="14">
        <v>9834478.9299999997</v>
      </c>
      <c r="I1898" s="14">
        <v>10386286.039999999</v>
      </c>
      <c r="J1898" s="14">
        <v>9834478.9299999997</v>
      </c>
      <c r="K1898" s="12">
        <v>54595090</v>
      </c>
      <c r="L1898" s="10" t="s">
        <v>101</v>
      </c>
      <c r="M1898" s="10" t="s">
        <v>102</v>
      </c>
      <c r="N1898" s="124" t="s">
        <v>492</v>
      </c>
      <c r="O1898" s="124" t="s">
        <v>492</v>
      </c>
      <c r="P1898" s="21">
        <v>32</v>
      </c>
      <c r="Q1898" s="10" t="s">
        <v>54</v>
      </c>
      <c r="R1898" s="10" t="s">
        <v>28</v>
      </c>
      <c r="S1898" s="10"/>
      <c r="T1898" s="10"/>
      <c r="U1898" s="10" t="s">
        <v>3541</v>
      </c>
      <c r="V1898" s="10" t="s">
        <v>3541</v>
      </c>
      <c r="W1898" s="50">
        <f>+J1898/$W$2</f>
        <v>1.3074515692960571E-4</v>
      </c>
    </row>
    <row r="1899" spans="1:29">
      <c r="A1899" s="10" t="s">
        <v>477</v>
      </c>
      <c r="B1899" s="10" t="s">
        <v>381</v>
      </c>
      <c r="C1899" s="124">
        <v>46359</v>
      </c>
      <c r="D1899" s="124" t="s">
        <v>492</v>
      </c>
      <c r="E1899" s="21">
        <v>0.95412368000000003</v>
      </c>
      <c r="F1899" s="10"/>
      <c r="G1899" s="14">
        <v>10000000</v>
      </c>
      <c r="H1899" s="14">
        <v>9541236.8100000005</v>
      </c>
      <c r="I1899" s="14">
        <v>10000000</v>
      </c>
      <c r="J1899" s="14">
        <v>9541236.8100000005</v>
      </c>
      <c r="K1899" s="12">
        <v>40740199</v>
      </c>
      <c r="L1899" s="10" t="s">
        <v>101</v>
      </c>
      <c r="M1899" s="10" t="s">
        <v>102</v>
      </c>
      <c r="N1899" s="124" t="s">
        <v>486</v>
      </c>
      <c r="O1899" s="124" t="s">
        <v>486</v>
      </c>
      <c r="P1899" s="21">
        <v>27</v>
      </c>
      <c r="Q1899" s="10" t="s">
        <v>54</v>
      </c>
      <c r="R1899" s="10" t="s">
        <v>28</v>
      </c>
      <c r="S1899" s="10"/>
      <c r="T1899" s="10"/>
      <c r="U1899" s="10" t="s">
        <v>2896</v>
      </c>
      <c r="V1899" s="10" t="s">
        <v>2896</v>
      </c>
      <c r="W1899" s="50">
        <f>+J1899/$W$2</f>
        <v>1.2684662938476402E-4</v>
      </c>
      <c r="AC1899" s="47"/>
    </row>
    <row r="1900" spans="1:29">
      <c r="A1900" s="10" t="s">
        <v>477</v>
      </c>
      <c r="B1900" s="10" t="s">
        <v>381</v>
      </c>
      <c r="C1900" s="124">
        <v>46359</v>
      </c>
      <c r="D1900" s="124" t="s">
        <v>492</v>
      </c>
      <c r="E1900" s="21">
        <v>0.95412368000000003</v>
      </c>
      <c r="F1900" s="10"/>
      <c r="G1900" s="14">
        <v>10000000</v>
      </c>
      <c r="H1900" s="14">
        <v>9541236.8100000005</v>
      </c>
      <c r="I1900" s="14">
        <v>10000000</v>
      </c>
      <c r="J1900" s="14">
        <v>9541236.8100000005</v>
      </c>
      <c r="K1900" s="12">
        <v>40740210</v>
      </c>
      <c r="L1900" s="10" t="s">
        <v>101</v>
      </c>
      <c r="M1900" s="10" t="s">
        <v>102</v>
      </c>
      <c r="N1900" s="124" t="s">
        <v>486</v>
      </c>
      <c r="O1900" s="124" t="s">
        <v>486</v>
      </c>
      <c r="P1900" s="21">
        <v>27</v>
      </c>
      <c r="Q1900" s="10" t="s">
        <v>54</v>
      </c>
      <c r="R1900" s="10" t="s">
        <v>28</v>
      </c>
      <c r="S1900" s="10"/>
      <c r="T1900" s="10"/>
      <c r="U1900" s="10" t="s">
        <v>2900</v>
      </c>
      <c r="V1900" s="10" t="s">
        <v>2900</v>
      </c>
      <c r="W1900" s="50">
        <f>+J1900/$W$2</f>
        <v>1.2684662938476402E-4</v>
      </c>
    </row>
    <row r="1901" spans="1:29">
      <c r="A1901" s="10" t="s">
        <v>382</v>
      </c>
      <c r="B1901" s="10" t="s">
        <v>125</v>
      </c>
      <c r="C1901" s="124">
        <v>46359</v>
      </c>
      <c r="D1901" s="124" t="s">
        <v>492</v>
      </c>
      <c r="E1901" s="21">
        <v>0.98595352999999997</v>
      </c>
      <c r="F1901" s="10" t="s">
        <v>3573</v>
      </c>
      <c r="G1901" s="14">
        <v>150000</v>
      </c>
      <c r="H1901" s="14">
        <v>147893.03</v>
      </c>
      <c r="I1901" s="14">
        <v>228595463.75</v>
      </c>
      <c r="J1901" s="14">
        <v>225384505.19</v>
      </c>
      <c r="K1901" s="12">
        <v>164929</v>
      </c>
      <c r="L1901" s="10" t="s">
        <v>101</v>
      </c>
      <c r="M1901" s="10" t="s">
        <v>102</v>
      </c>
      <c r="N1901" s="124" t="s">
        <v>483</v>
      </c>
      <c r="O1901" s="124" t="s">
        <v>483</v>
      </c>
      <c r="P1901" s="21">
        <v>8</v>
      </c>
      <c r="Q1901" s="10" t="s">
        <v>54</v>
      </c>
      <c r="R1901" s="10" t="s">
        <v>28</v>
      </c>
      <c r="S1901" s="10"/>
      <c r="T1901" s="10"/>
      <c r="U1901" s="10" t="s">
        <v>2464</v>
      </c>
      <c r="V1901" s="10" t="s">
        <v>2464</v>
      </c>
      <c r="W1901" s="50">
        <f>+J1901/$W$2</f>
        <v>2.9963898148865202E-3</v>
      </c>
    </row>
    <row r="1902" spans="1:29">
      <c r="A1902" s="10" t="s">
        <v>382</v>
      </c>
      <c r="B1902" s="10" t="s">
        <v>125</v>
      </c>
      <c r="C1902" s="124">
        <v>46359</v>
      </c>
      <c r="D1902" s="124" t="s">
        <v>492</v>
      </c>
      <c r="E1902" s="21">
        <v>0.98595356000000001</v>
      </c>
      <c r="F1902" s="10" t="s">
        <v>3573</v>
      </c>
      <c r="G1902" s="14">
        <v>450000</v>
      </c>
      <c r="H1902" s="14">
        <v>443679.1</v>
      </c>
      <c r="I1902" s="14">
        <v>685786391.25</v>
      </c>
      <c r="J1902" s="14">
        <v>676153530.80999994</v>
      </c>
      <c r="K1902" s="12">
        <v>165877</v>
      </c>
      <c r="L1902" s="10" t="s">
        <v>101</v>
      </c>
      <c r="M1902" s="10" t="s">
        <v>102</v>
      </c>
      <c r="N1902" s="124" t="s">
        <v>434</v>
      </c>
      <c r="O1902" s="124" t="s">
        <v>434</v>
      </c>
      <c r="P1902" s="21">
        <v>8</v>
      </c>
      <c r="Q1902" s="10" t="s">
        <v>54</v>
      </c>
      <c r="R1902" s="10" t="s">
        <v>28</v>
      </c>
      <c r="S1902" s="10"/>
      <c r="T1902" s="10"/>
      <c r="U1902" s="10" t="s">
        <v>2990</v>
      </c>
      <c r="V1902" s="10" t="s">
        <v>2990</v>
      </c>
      <c r="W1902" s="50">
        <f>+J1902/$W$2</f>
        <v>8.9891696472687889E-3</v>
      </c>
    </row>
    <row r="1903" spans="1:29">
      <c r="A1903" s="10" t="s">
        <v>763</v>
      </c>
      <c r="B1903" s="10" t="s">
        <v>381</v>
      </c>
      <c r="C1903" s="124">
        <v>46359</v>
      </c>
      <c r="D1903" s="124" t="s">
        <v>492</v>
      </c>
      <c r="E1903" s="21">
        <v>0.95574766</v>
      </c>
      <c r="F1903" s="10"/>
      <c r="G1903" s="14">
        <v>7000000</v>
      </c>
      <c r="H1903" s="14">
        <v>6690233.6500000004</v>
      </c>
      <c r="I1903" s="14">
        <v>7000000</v>
      </c>
      <c r="J1903" s="14">
        <v>6690233.6500000004</v>
      </c>
      <c r="K1903" s="12">
        <v>1741</v>
      </c>
      <c r="L1903" s="10" t="s">
        <v>101</v>
      </c>
      <c r="M1903" s="10" t="s">
        <v>102</v>
      </c>
      <c r="N1903" s="124" t="s">
        <v>164</v>
      </c>
      <c r="O1903" s="124" t="s">
        <v>164</v>
      </c>
      <c r="P1903" s="21">
        <v>26</v>
      </c>
      <c r="Q1903" s="10" t="s">
        <v>54</v>
      </c>
      <c r="R1903" s="10" t="s">
        <v>28</v>
      </c>
      <c r="S1903" s="10"/>
      <c r="T1903" s="10"/>
      <c r="U1903" s="10" t="s">
        <v>1995</v>
      </c>
      <c r="V1903" s="10" t="s">
        <v>1995</v>
      </c>
      <c r="W1903" s="50">
        <f>+J1903/$W$2</f>
        <v>8.894377167219971E-5</v>
      </c>
    </row>
    <row r="1904" spans="1:29">
      <c r="A1904" s="10" t="s">
        <v>415</v>
      </c>
      <c r="B1904" s="10" t="s">
        <v>381</v>
      </c>
      <c r="C1904" s="124">
        <v>46359</v>
      </c>
      <c r="D1904" s="124" t="s">
        <v>492</v>
      </c>
      <c r="E1904" s="21">
        <v>0.95574758999999998</v>
      </c>
      <c r="F1904" s="10"/>
      <c r="G1904" s="14">
        <v>1633163.58</v>
      </c>
      <c r="H1904" s="14">
        <v>1560892.16</v>
      </c>
      <c r="I1904" s="14">
        <v>1633163.58</v>
      </c>
      <c r="J1904" s="14">
        <v>1560892.16</v>
      </c>
      <c r="K1904" s="12">
        <v>40015662</v>
      </c>
      <c r="L1904" s="10" t="s">
        <v>101</v>
      </c>
      <c r="M1904" s="10" t="s">
        <v>102</v>
      </c>
      <c r="N1904" s="124" t="s">
        <v>531</v>
      </c>
      <c r="O1904" s="124" t="s">
        <v>531</v>
      </c>
      <c r="P1904" s="21">
        <v>26</v>
      </c>
      <c r="Q1904" s="10" t="s">
        <v>54</v>
      </c>
      <c r="R1904" s="10" t="s">
        <v>28</v>
      </c>
      <c r="S1904" s="10"/>
      <c r="T1904" s="10"/>
      <c r="U1904" s="10" t="s">
        <v>3448</v>
      </c>
      <c r="V1904" s="10" t="s">
        <v>3448</v>
      </c>
      <c r="W1904" s="50">
        <f>+J1904/$W$2</f>
        <v>2.0751388239477495E-5</v>
      </c>
    </row>
    <row r="1905" spans="1:29">
      <c r="A1905" s="10" t="s">
        <v>353</v>
      </c>
      <c r="B1905" s="10" t="s">
        <v>381</v>
      </c>
      <c r="C1905" s="124">
        <v>46359</v>
      </c>
      <c r="D1905" s="124" t="s">
        <v>492</v>
      </c>
      <c r="E1905" s="21">
        <v>0.93975306999999997</v>
      </c>
      <c r="F1905" s="10"/>
      <c r="G1905" s="14">
        <v>2105640.2799999998</v>
      </c>
      <c r="H1905" s="14">
        <v>1978781.92</v>
      </c>
      <c r="I1905" s="14">
        <v>2105640.2799999998</v>
      </c>
      <c r="J1905" s="14">
        <v>1978781.92</v>
      </c>
      <c r="K1905" s="12">
        <v>3414</v>
      </c>
      <c r="L1905" s="10" t="s">
        <v>101</v>
      </c>
      <c r="M1905" s="10" t="s">
        <v>102</v>
      </c>
      <c r="N1905" s="124" t="s">
        <v>475</v>
      </c>
      <c r="O1905" s="124" t="s">
        <v>475</v>
      </c>
      <c r="P1905" s="21">
        <v>36</v>
      </c>
      <c r="Q1905" s="10" t="s">
        <v>54</v>
      </c>
      <c r="R1905" s="10" t="s">
        <v>28</v>
      </c>
      <c r="S1905" s="10"/>
      <c r="T1905" s="10"/>
      <c r="U1905" s="10" t="s">
        <v>2323</v>
      </c>
      <c r="V1905" s="10" t="s">
        <v>2323</v>
      </c>
      <c r="W1905" s="50">
        <f>+J1905/$W$2</f>
        <v>2.6307052412370821E-5</v>
      </c>
    </row>
    <row r="1906" spans="1:29">
      <c r="A1906" s="10" t="s">
        <v>353</v>
      </c>
      <c r="B1906" s="10" t="s">
        <v>381</v>
      </c>
      <c r="C1906" s="124">
        <v>46359</v>
      </c>
      <c r="D1906" s="124" t="s">
        <v>492</v>
      </c>
      <c r="E1906" s="21">
        <v>0.93975308000000002</v>
      </c>
      <c r="F1906" s="10"/>
      <c r="G1906" s="14">
        <v>3105640.28</v>
      </c>
      <c r="H1906" s="14">
        <v>2918535.02</v>
      </c>
      <c r="I1906" s="14">
        <v>3105640.28</v>
      </c>
      <c r="J1906" s="14">
        <v>2918535.02</v>
      </c>
      <c r="K1906" s="12">
        <v>3388</v>
      </c>
      <c r="L1906" s="10" t="s">
        <v>101</v>
      </c>
      <c r="M1906" s="10" t="s">
        <v>102</v>
      </c>
      <c r="N1906" s="124" t="s">
        <v>475</v>
      </c>
      <c r="O1906" s="124" t="s">
        <v>475</v>
      </c>
      <c r="P1906" s="21">
        <v>36</v>
      </c>
      <c r="Q1906" s="10" t="s">
        <v>54</v>
      </c>
      <c r="R1906" s="10" t="s">
        <v>28</v>
      </c>
      <c r="S1906" s="10"/>
      <c r="T1906" s="10"/>
      <c r="U1906" s="10" t="s">
        <v>2329</v>
      </c>
      <c r="V1906" s="10" t="s">
        <v>2329</v>
      </c>
      <c r="W1906" s="50">
        <f>+J1906/$W$2</f>
        <v>3.8800664672779972E-5</v>
      </c>
    </row>
    <row r="1907" spans="1:29">
      <c r="A1907" s="10" t="s">
        <v>353</v>
      </c>
      <c r="B1907" s="10" t="s">
        <v>381</v>
      </c>
      <c r="C1907" s="124">
        <v>46359</v>
      </c>
      <c r="D1907" s="124" t="s">
        <v>492</v>
      </c>
      <c r="E1907" s="21">
        <v>0.93975306999999997</v>
      </c>
      <c r="F1907" s="10"/>
      <c r="G1907" s="14">
        <v>2874176.47</v>
      </c>
      <c r="H1907" s="14">
        <v>2701016.17</v>
      </c>
      <c r="I1907" s="14">
        <v>2874176.47</v>
      </c>
      <c r="J1907" s="14">
        <v>2701016.17</v>
      </c>
      <c r="K1907" s="12">
        <v>3436</v>
      </c>
      <c r="L1907" s="10" t="s">
        <v>101</v>
      </c>
      <c r="M1907" s="10" t="s">
        <v>102</v>
      </c>
      <c r="N1907" s="124" t="s">
        <v>475</v>
      </c>
      <c r="O1907" s="124" t="s">
        <v>475</v>
      </c>
      <c r="P1907" s="21">
        <v>36</v>
      </c>
      <c r="Q1907" s="10" t="s">
        <v>54</v>
      </c>
      <c r="R1907" s="10" t="s">
        <v>28</v>
      </c>
      <c r="S1907" s="10"/>
      <c r="T1907" s="10"/>
      <c r="U1907" s="10" t="s">
        <v>2330</v>
      </c>
      <c r="V1907" s="10" t="s">
        <v>2330</v>
      </c>
      <c r="W1907" s="50">
        <f>+J1907/$W$2</f>
        <v>3.5908845352119999E-5</v>
      </c>
    </row>
    <row r="1908" spans="1:29">
      <c r="A1908" s="10" t="s">
        <v>353</v>
      </c>
      <c r="B1908" s="10" t="s">
        <v>381</v>
      </c>
      <c r="C1908" s="124">
        <v>46359</v>
      </c>
      <c r="D1908" s="124" t="s">
        <v>492</v>
      </c>
      <c r="E1908" s="21">
        <v>0.93975308000000002</v>
      </c>
      <c r="F1908" s="10"/>
      <c r="G1908" s="14">
        <v>3841101.28</v>
      </c>
      <c r="H1908" s="14">
        <v>3609686.75</v>
      </c>
      <c r="I1908" s="14">
        <v>3841101.28</v>
      </c>
      <c r="J1908" s="14">
        <v>3609686.75</v>
      </c>
      <c r="K1908" s="12">
        <v>3366</v>
      </c>
      <c r="L1908" s="10" t="s">
        <v>101</v>
      </c>
      <c r="M1908" s="10" t="s">
        <v>102</v>
      </c>
      <c r="N1908" s="124" t="s">
        <v>475</v>
      </c>
      <c r="O1908" s="124" t="s">
        <v>475</v>
      </c>
      <c r="P1908" s="21">
        <v>36</v>
      </c>
      <c r="Q1908" s="10" t="s">
        <v>54</v>
      </c>
      <c r="R1908" s="10" t="s">
        <v>28</v>
      </c>
      <c r="S1908" s="10"/>
      <c r="T1908" s="10"/>
      <c r="U1908" s="10" t="s">
        <v>2331</v>
      </c>
      <c r="V1908" s="10" t="s">
        <v>2331</v>
      </c>
      <c r="W1908" s="50">
        <f>+J1908/$W$2</f>
        <v>4.798922891133475E-5</v>
      </c>
    </row>
    <row r="1909" spans="1:29">
      <c r="A1909" s="10" t="s">
        <v>353</v>
      </c>
      <c r="B1909" s="10" t="s">
        <v>381</v>
      </c>
      <c r="C1909" s="124">
        <v>46359</v>
      </c>
      <c r="D1909" s="124" t="s">
        <v>492</v>
      </c>
      <c r="E1909" s="21">
        <v>0.94132821</v>
      </c>
      <c r="F1909" s="10"/>
      <c r="G1909" s="14">
        <v>1555000.5</v>
      </c>
      <c r="H1909" s="14">
        <v>1463765.83</v>
      </c>
      <c r="I1909" s="14">
        <v>1555000.5</v>
      </c>
      <c r="J1909" s="14">
        <v>1463765.83</v>
      </c>
      <c r="K1909" s="12">
        <v>3601</v>
      </c>
      <c r="L1909" s="10" t="s">
        <v>101</v>
      </c>
      <c r="M1909" s="10" t="s">
        <v>102</v>
      </c>
      <c r="N1909" s="124" t="s">
        <v>531</v>
      </c>
      <c r="O1909" s="124" t="s">
        <v>531</v>
      </c>
      <c r="P1909" s="21">
        <v>35</v>
      </c>
      <c r="Q1909" s="10" t="s">
        <v>54</v>
      </c>
      <c r="R1909" s="10" t="s">
        <v>28</v>
      </c>
      <c r="S1909" s="10"/>
      <c r="T1909" s="10"/>
      <c r="U1909" s="10" t="s">
        <v>3411</v>
      </c>
      <c r="V1909" s="10" t="s">
        <v>3411</v>
      </c>
      <c r="W1909" s="50">
        <f>+J1909/$W$2</f>
        <v>1.9460135561197911E-5</v>
      </c>
    </row>
    <row r="1910" spans="1:29">
      <c r="A1910" s="10" t="s">
        <v>208</v>
      </c>
      <c r="B1910" s="10" t="s">
        <v>381</v>
      </c>
      <c r="C1910" s="124">
        <v>46359</v>
      </c>
      <c r="D1910" s="124" t="s">
        <v>492</v>
      </c>
      <c r="E1910" s="21">
        <v>0.94449479000000003</v>
      </c>
      <c r="F1910" s="10"/>
      <c r="G1910" s="14">
        <v>2170000</v>
      </c>
      <c r="H1910" s="14">
        <v>2049553.69</v>
      </c>
      <c r="I1910" s="14">
        <v>2170000</v>
      </c>
      <c r="J1910" s="14">
        <v>2049553.69</v>
      </c>
      <c r="K1910" s="12">
        <v>260742</v>
      </c>
      <c r="L1910" s="10" t="s">
        <v>101</v>
      </c>
      <c r="M1910" s="10" t="s">
        <v>102</v>
      </c>
      <c r="N1910" s="124" t="s">
        <v>533</v>
      </c>
      <c r="O1910" s="124" t="s">
        <v>533</v>
      </c>
      <c r="P1910" s="21">
        <v>33</v>
      </c>
      <c r="Q1910" s="10" t="s">
        <v>54</v>
      </c>
      <c r="R1910" s="10" t="s">
        <v>28</v>
      </c>
      <c r="S1910" s="10"/>
      <c r="T1910" s="10"/>
      <c r="U1910" s="10" t="s">
        <v>1871</v>
      </c>
      <c r="V1910" s="10" t="s">
        <v>1871</v>
      </c>
      <c r="W1910" s="50">
        <f>+J1910/$W$2</f>
        <v>2.7247932579047425E-5</v>
      </c>
    </row>
    <row r="1911" spans="1:29">
      <c r="A1911" s="10" t="s">
        <v>494</v>
      </c>
      <c r="B1911" s="10" t="s">
        <v>381</v>
      </c>
      <c r="C1911" s="124">
        <v>46359</v>
      </c>
      <c r="D1911" s="124" t="s">
        <v>492</v>
      </c>
      <c r="E1911" s="21">
        <v>0.95412374</v>
      </c>
      <c r="F1911" s="10"/>
      <c r="G1911" s="14">
        <v>25000000</v>
      </c>
      <c r="H1911" s="14">
        <v>23853093.41</v>
      </c>
      <c r="I1911" s="14">
        <v>25000000</v>
      </c>
      <c r="J1911" s="14">
        <v>23853093.41</v>
      </c>
      <c r="K1911" s="12">
        <v>9508924</v>
      </c>
      <c r="L1911" s="10" t="s">
        <v>101</v>
      </c>
      <c r="M1911" s="10" t="s">
        <v>102</v>
      </c>
      <c r="N1911" s="124" t="s">
        <v>530</v>
      </c>
      <c r="O1911" s="124" t="s">
        <v>530</v>
      </c>
      <c r="P1911" s="21">
        <v>27</v>
      </c>
      <c r="Q1911" s="10" t="s">
        <v>54</v>
      </c>
      <c r="R1911" s="10" t="s">
        <v>28</v>
      </c>
      <c r="S1911" s="10"/>
      <c r="T1911" s="10"/>
      <c r="U1911" s="10" t="s">
        <v>853</v>
      </c>
      <c r="V1911" s="10" t="s">
        <v>853</v>
      </c>
      <c r="W1911" s="50">
        <f>+J1911/$W$2</f>
        <v>3.1711659187488785E-4</v>
      </c>
      <c r="AC1911" s="47"/>
    </row>
    <row r="1912" spans="1:29">
      <c r="A1912" s="10" t="s">
        <v>219</v>
      </c>
      <c r="B1912" s="10" t="s">
        <v>381</v>
      </c>
      <c r="C1912" s="124">
        <v>46359</v>
      </c>
      <c r="D1912" s="124" t="s">
        <v>492</v>
      </c>
      <c r="E1912" s="21">
        <v>0.94608614999999996</v>
      </c>
      <c r="F1912" s="10"/>
      <c r="G1912" s="14">
        <v>50000000</v>
      </c>
      <c r="H1912" s="14">
        <v>47304307.530000001</v>
      </c>
      <c r="I1912" s="14">
        <v>50000000</v>
      </c>
      <c r="J1912" s="14">
        <v>47304307.530000001</v>
      </c>
      <c r="K1912" s="12">
        <v>5292</v>
      </c>
      <c r="L1912" s="10" t="s">
        <v>101</v>
      </c>
      <c r="M1912" s="10" t="s">
        <v>102</v>
      </c>
      <c r="N1912" s="124" t="s">
        <v>431</v>
      </c>
      <c r="O1912" s="124" t="s">
        <v>431</v>
      </c>
      <c r="P1912" s="21">
        <v>32</v>
      </c>
      <c r="Q1912" s="10" t="s">
        <v>54</v>
      </c>
      <c r="R1912" s="10" t="s">
        <v>28</v>
      </c>
      <c r="S1912" s="10"/>
      <c r="T1912" s="10"/>
      <c r="U1912" s="10" t="s">
        <v>2272</v>
      </c>
      <c r="V1912" s="10" t="s">
        <v>2272</v>
      </c>
      <c r="W1912" s="50">
        <f>+J1912/$W$2</f>
        <v>6.2889037187211503E-4</v>
      </c>
    </row>
    <row r="1913" spans="1:29">
      <c r="A1913" s="10" t="s">
        <v>127</v>
      </c>
      <c r="B1913" s="10" t="s">
        <v>125</v>
      </c>
      <c r="C1913" s="124">
        <v>46359</v>
      </c>
      <c r="D1913" s="124" t="s">
        <v>492</v>
      </c>
      <c r="E1913" s="21">
        <v>0.98595359999999999</v>
      </c>
      <c r="F1913" s="10" t="s">
        <v>3573</v>
      </c>
      <c r="G1913" s="14">
        <v>50000</v>
      </c>
      <c r="H1913" s="14">
        <v>49297.68</v>
      </c>
      <c r="I1913" s="14">
        <v>76198487.920000002</v>
      </c>
      <c r="J1913" s="14">
        <v>75128173.480000004</v>
      </c>
      <c r="K1913" s="12">
        <v>158027</v>
      </c>
      <c r="L1913" s="10" t="s">
        <v>101</v>
      </c>
      <c r="M1913" s="10" t="s">
        <v>102</v>
      </c>
      <c r="N1913" s="124" t="s">
        <v>433</v>
      </c>
      <c r="O1913" s="124" t="s">
        <v>433</v>
      </c>
      <c r="P1913" s="21">
        <v>8</v>
      </c>
      <c r="Q1913" s="10" t="s">
        <v>54</v>
      </c>
      <c r="R1913" s="10" t="s">
        <v>28</v>
      </c>
      <c r="S1913" s="10"/>
      <c r="T1913" s="10"/>
      <c r="U1913" s="10" t="s">
        <v>1100</v>
      </c>
      <c r="V1913" s="10" t="s">
        <v>1100</v>
      </c>
      <c r="W1913" s="50">
        <f>+J1913/$W$2</f>
        <v>9.9879667254289825E-4</v>
      </c>
    </row>
    <row r="1914" spans="1:29">
      <c r="A1914" s="10" t="s">
        <v>273</v>
      </c>
      <c r="B1914" s="10" t="s">
        <v>381</v>
      </c>
      <c r="C1914" s="124">
        <v>46359</v>
      </c>
      <c r="D1914" s="124" t="s">
        <v>492</v>
      </c>
      <c r="E1914" s="21">
        <v>0.94768275999999996</v>
      </c>
      <c r="F1914" s="10"/>
      <c r="G1914" s="14">
        <v>6000000</v>
      </c>
      <c r="H1914" s="14">
        <v>5686096.54</v>
      </c>
      <c r="I1914" s="14">
        <v>6000000</v>
      </c>
      <c r="J1914" s="14">
        <v>5686096.54</v>
      </c>
      <c r="K1914" s="12">
        <v>12299307</v>
      </c>
      <c r="L1914" s="10" t="s">
        <v>101</v>
      </c>
      <c r="M1914" s="10" t="s">
        <v>102</v>
      </c>
      <c r="N1914" s="124" t="s">
        <v>551</v>
      </c>
      <c r="O1914" s="124" t="s">
        <v>551</v>
      </c>
      <c r="P1914" s="21">
        <v>31</v>
      </c>
      <c r="Q1914" s="10" t="s">
        <v>54</v>
      </c>
      <c r="R1914" s="10" t="s">
        <v>28</v>
      </c>
      <c r="S1914" s="10"/>
      <c r="T1914" s="10"/>
      <c r="U1914" s="10" t="s">
        <v>2178</v>
      </c>
      <c r="V1914" s="10" t="s">
        <v>2178</v>
      </c>
      <c r="W1914" s="50">
        <f>+J1914/$W$2</f>
        <v>7.5594201760030417E-5</v>
      </c>
    </row>
    <row r="1915" spans="1:29">
      <c r="A1915" s="10" t="s">
        <v>385</v>
      </c>
      <c r="B1915" s="10" t="s">
        <v>381</v>
      </c>
      <c r="C1915" s="124">
        <v>46359</v>
      </c>
      <c r="D1915" s="124" t="s">
        <v>492</v>
      </c>
      <c r="E1915" s="21">
        <v>0.94449490999999997</v>
      </c>
      <c r="F1915" s="10"/>
      <c r="G1915" s="14">
        <v>25000000</v>
      </c>
      <c r="H1915" s="14">
        <v>23612372.690000001</v>
      </c>
      <c r="I1915" s="14">
        <v>25000000</v>
      </c>
      <c r="J1915" s="14">
        <v>23612372.690000001</v>
      </c>
      <c r="K1915" s="12">
        <v>4292</v>
      </c>
      <c r="L1915" s="10" t="s">
        <v>101</v>
      </c>
      <c r="M1915" s="10" t="s">
        <v>102</v>
      </c>
      <c r="N1915" s="124" t="s">
        <v>472</v>
      </c>
      <c r="O1915" s="124" t="s">
        <v>472</v>
      </c>
      <c r="P1915" s="21">
        <v>33</v>
      </c>
      <c r="Q1915" s="10" t="s">
        <v>54</v>
      </c>
      <c r="R1915" s="10" t="s">
        <v>28</v>
      </c>
      <c r="S1915" s="10"/>
      <c r="T1915" s="10"/>
      <c r="U1915" s="10" t="s">
        <v>3223</v>
      </c>
      <c r="V1915" s="10" t="s">
        <v>3223</v>
      </c>
      <c r="W1915" s="50">
        <f>+J1915/$W$2</f>
        <v>3.1391631369679355E-4</v>
      </c>
    </row>
    <row r="1916" spans="1:29">
      <c r="A1916" s="10" t="s">
        <v>688</v>
      </c>
      <c r="B1916" s="10" t="s">
        <v>381</v>
      </c>
      <c r="C1916" s="124">
        <v>46359</v>
      </c>
      <c r="D1916" s="124" t="s">
        <v>492</v>
      </c>
      <c r="E1916" s="21">
        <v>0.93661797999999996</v>
      </c>
      <c r="F1916" s="10"/>
      <c r="G1916" s="14">
        <v>1082000000</v>
      </c>
      <c r="H1916" s="14">
        <v>1013420649.27</v>
      </c>
      <c r="I1916" s="14">
        <v>1082000000</v>
      </c>
      <c r="J1916" s="14">
        <v>1013420649.27</v>
      </c>
      <c r="K1916" s="12">
        <v>70393079</v>
      </c>
      <c r="L1916" s="10" t="s">
        <v>101</v>
      </c>
      <c r="M1916" s="10" t="s">
        <v>102</v>
      </c>
      <c r="N1916" s="124" t="s">
        <v>492</v>
      </c>
      <c r="O1916" s="124" t="s">
        <v>492</v>
      </c>
      <c r="P1916" s="21">
        <v>38</v>
      </c>
      <c r="Q1916" s="10" t="s">
        <v>54</v>
      </c>
      <c r="R1916" s="10" t="s">
        <v>28</v>
      </c>
      <c r="S1916" s="10"/>
      <c r="T1916" s="10"/>
      <c r="U1916" s="10" t="s">
        <v>3526</v>
      </c>
      <c r="V1916" s="10" t="s">
        <v>3526</v>
      </c>
      <c r="W1916" s="50">
        <f>+J1916/$W$2</f>
        <v>1.3472990563874141E-2</v>
      </c>
    </row>
    <row r="1917" spans="1:29">
      <c r="A1917" s="10" t="s">
        <v>688</v>
      </c>
      <c r="B1917" s="10" t="s">
        <v>381</v>
      </c>
      <c r="C1917" s="124">
        <v>46359</v>
      </c>
      <c r="D1917" s="124" t="s">
        <v>492</v>
      </c>
      <c r="E1917" s="21">
        <v>0.93661797999999996</v>
      </c>
      <c r="F1917" s="10"/>
      <c r="G1917" s="14">
        <v>100000000</v>
      </c>
      <c r="H1917" s="14">
        <v>93661797.530000001</v>
      </c>
      <c r="I1917" s="14">
        <v>100000000</v>
      </c>
      <c r="J1917" s="14">
        <v>93661797.530000001</v>
      </c>
      <c r="K1917" s="12">
        <v>70393080</v>
      </c>
      <c r="L1917" s="10" t="s">
        <v>101</v>
      </c>
      <c r="M1917" s="10" t="s">
        <v>102</v>
      </c>
      <c r="N1917" s="124" t="s">
        <v>492</v>
      </c>
      <c r="O1917" s="124" t="s">
        <v>492</v>
      </c>
      <c r="P1917" s="21">
        <v>38</v>
      </c>
      <c r="Q1917" s="10" t="s">
        <v>54</v>
      </c>
      <c r="R1917" s="10" t="s">
        <v>28</v>
      </c>
      <c r="S1917" s="10"/>
      <c r="T1917" s="10"/>
      <c r="U1917" s="10" t="s">
        <v>3527</v>
      </c>
      <c r="V1917" s="10" t="s">
        <v>3527</v>
      </c>
      <c r="W1917" s="50">
        <f>+J1917/$W$2</f>
        <v>1.2451932129330218E-3</v>
      </c>
    </row>
    <row r="1918" spans="1:29">
      <c r="A1918" s="10" t="s">
        <v>465</v>
      </c>
      <c r="B1918" s="10" t="s">
        <v>381</v>
      </c>
      <c r="C1918" s="124">
        <v>46359</v>
      </c>
      <c r="D1918" s="124" t="s">
        <v>492</v>
      </c>
      <c r="E1918" s="21">
        <v>0.94608616000000001</v>
      </c>
      <c r="F1918" s="10"/>
      <c r="G1918" s="14">
        <v>10000000</v>
      </c>
      <c r="H1918" s="14">
        <v>9460861.5899999999</v>
      </c>
      <c r="I1918" s="14">
        <v>10000000</v>
      </c>
      <c r="J1918" s="14">
        <v>9460861.5899999999</v>
      </c>
      <c r="K1918" s="12">
        <v>14422582</v>
      </c>
      <c r="L1918" s="10" t="s">
        <v>101</v>
      </c>
      <c r="M1918" s="10" t="s">
        <v>102</v>
      </c>
      <c r="N1918" s="124" t="s">
        <v>164</v>
      </c>
      <c r="O1918" s="124" t="s">
        <v>164</v>
      </c>
      <c r="P1918" s="21">
        <v>32</v>
      </c>
      <c r="Q1918" s="10" t="s">
        <v>54</v>
      </c>
      <c r="R1918" s="10" t="s">
        <v>28</v>
      </c>
      <c r="S1918" s="10"/>
      <c r="T1918" s="10"/>
      <c r="U1918" s="10" t="s">
        <v>1960</v>
      </c>
      <c r="V1918" s="10" t="s">
        <v>1960</v>
      </c>
      <c r="W1918" s="50">
        <f>+J1918/$W$2</f>
        <v>1.2577807549116679E-4</v>
      </c>
    </row>
    <row r="1919" spans="1:29">
      <c r="A1919" s="10" t="s">
        <v>466</v>
      </c>
      <c r="B1919" s="10" t="s">
        <v>381</v>
      </c>
      <c r="C1919" s="124">
        <v>46359</v>
      </c>
      <c r="D1919" s="124" t="s">
        <v>492</v>
      </c>
      <c r="E1919" s="21">
        <v>0.94449483000000001</v>
      </c>
      <c r="F1919" s="10"/>
      <c r="G1919" s="14">
        <v>2500000</v>
      </c>
      <c r="H1919" s="14">
        <v>2361237.08</v>
      </c>
      <c r="I1919" s="14">
        <v>2500000</v>
      </c>
      <c r="J1919" s="14">
        <v>2361237.08</v>
      </c>
      <c r="K1919" s="12">
        <v>679</v>
      </c>
      <c r="L1919" s="10" t="s">
        <v>101</v>
      </c>
      <c r="M1919" s="10" t="s">
        <v>102</v>
      </c>
      <c r="N1919" s="124" t="s">
        <v>532</v>
      </c>
      <c r="O1919" s="124" t="s">
        <v>532</v>
      </c>
      <c r="P1919" s="21">
        <v>33</v>
      </c>
      <c r="Q1919" s="10" t="s">
        <v>54</v>
      </c>
      <c r="R1919" s="10" t="s">
        <v>28</v>
      </c>
      <c r="S1919" s="10"/>
      <c r="T1919" s="10"/>
      <c r="U1919" s="10" t="s">
        <v>3104</v>
      </c>
      <c r="V1919" s="10" t="s">
        <v>3104</v>
      </c>
      <c r="W1919" s="50">
        <f>+J1919/$W$2</f>
        <v>3.1391628857005848E-5</v>
      </c>
    </row>
    <row r="1920" spans="1:29">
      <c r="A1920" s="10" t="s">
        <v>124</v>
      </c>
      <c r="B1920" s="10" t="s">
        <v>125</v>
      </c>
      <c r="C1920" s="124">
        <v>46359</v>
      </c>
      <c r="D1920" s="124" t="s">
        <v>492</v>
      </c>
      <c r="E1920" s="21">
        <v>0.98422520000000002</v>
      </c>
      <c r="F1920" s="10" t="s">
        <v>3573</v>
      </c>
      <c r="G1920" s="14">
        <v>100000</v>
      </c>
      <c r="H1920" s="14">
        <v>98422.52</v>
      </c>
      <c r="I1920" s="14">
        <v>152396975.83000001</v>
      </c>
      <c r="J1920" s="14">
        <v>149992944.02000001</v>
      </c>
      <c r="K1920" s="12">
        <v>159253</v>
      </c>
      <c r="L1920" s="10" t="s">
        <v>101</v>
      </c>
      <c r="M1920" s="10" t="s">
        <v>102</v>
      </c>
      <c r="N1920" s="124" t="s">
        <v>403</v>
      </c>
      <c r="O1920" s="124" t="s">
        <v>403</v>
      </c>
      <c r="P1920" s="21">
        <v>9</v>
      </c>
      <c r="Q1920" s="10" t="s">
        <v>54</v>
      </c>
      <c r="R1920" s="10" t="s">
        <v>28</v>
      </c>
      <c r="S1920" s="10"/>
      <c r="T1920" s="10"/>
      <c r="U1920" s="10" t="s">
        <v>1256</v>
      </c>
      <c r="V1920" s="10" t="s">
        <v>1256</v>
      </c>
      <c r="W1920" s="50">
        <f>+J1920/$W$2</f>
        <v>1.9940915165729545E-3</v>
      </c>
    </row>
    <row r="1921" spans="1:29">
      <c r="A1921" s="10" t="s">
        <v>426</v>
      </c>
      <c r="B1921" s="10" t="s">
        <v>381</v>
      </c>
      <c r="C1921" s="124">
        <v>46359</v>
      </c>
      <c r="D1921" s="124" t="s">
        <v>492</v>
      </c>
      <c r="E1921" s="21">
        <v>0.94928482999999997</v>
      </c>
      <c r="F1921" s="10"/>
      <c r="G1921" s="14">
        <v>5580000</v>
      </c>
      <c r="H1921" s="14">
        <v>5297009.34</v>
      </c>
      <c r="I1921" s="14">
        <v>5580000</v>
      </c>
      <c r="J1921" s="14">
        <v>5297009.34</v>
      </c>
      <c r="K1921" s="12">
        <v>11415149</v>
      </c>
      <c r="L1921" s="10" t="s">
        <v>101</v>
      </c>
      <c r="M1921" s="10" t="s">
        <v>102</v>
      </c>
      <c r="N1921" s="124" t="s">
        <v>486</v>
      </c>
      <c r="O1921" s="124" t="s">
        <v>486</v>
      </c>
      <c r="P1921" s="21">
        <v>30</v>
      </c>
      <c r="Q1921" s="10" t="s">
        <v>54</v>
      </c>
      <c r="R1921" s="10" t="s">
        <v>28</v>
      </c>
      <c r="S1921" s="10"/>
      <c r="T1921" s="10"/>
      <c r="U1921" s="10" t="s">
        <v>2800</v>
      </c>
      <c r="V1921" s="10" t="s">
        <v>2800</v>
      </c>
      <c r="W1921" s="50">
        <f>+J1921/$W$2</f>
        <v>7.0421455203207927E-5</v>
      </c>
    </row>
    <row r="1922" spans="1:29">
      <c r="A1922" s="10" t="s">
        <v>477</v>
      </c>
      <c r="B1922" s="10" t="s">
        <v>381</v>
      </c>
      <c r="C1922" s="124">
        <v>46360</v>
      </c>
      <c r="D1922" s="124" t="s">
        <v>492</v>
      </c>
      <c r="E1922" s="21">
        <v>0.95345089999999999</v>
      </c>
      <c r="F1922" s="10"/>
      <c r="G1922" s="14">
        <v>10000000</v>
      </c>
      <c r="H1922" s="14">
        <v>9534508.9900000002</v>
      </c>
      <c r="I1922" s="14">
        <v>10000000</v>
      </c>
      <c r="J1922" s="14">
        <v>9534508.9900000002</v>
      </c>
      <c r="K1922" s="12">
        <v>40740202</v>
      </c>
      <c r="L1922" s="10" t="s">
        <v>101</v>
      </c>
      <c r="M1922" s="10" t="s">
        <v>102</v>
      </c>
      <c r="N1922" s="124" t="s">
        <v>486</v>
      </c>
      <c r="O1922" s="124" t="s">
        <v>486</v>
      </c>
      <c r="P1922" s="21">
        <v>27</v>
      </c>
      <c r="Q1922" s="10" t="s">
        <v>54</v>
      </c>
      <c r="R1922" s="10" t="s">
        <v>28</v>
      </c>
      <c r="S1922" s="10"/>
      <c r="T1922" s="10"/>
      <c r="U1922" s="10" t="s">
        <v>2897</v>
      </c>
      <c r="V1922" s="10" t="s">
        <v>2897</v>
      </c>
      <c r="W1922" s="50">
        <f>+J1922/$W$2</f>
        <v>1.2675718591877511E-4</v>
      </c>
    </row>
    <row r="1923" spans="1:29">
      <c r="A1923" s="10" t="s">
        <v>477</v>
      </c>
      <c r="B1923" s="10" t="s">
        <v>381</v>
      </c>
      <c r="C1923" s="124">
        <v>46360</v>
      </c>
      <c r="D1923" s="124" t="s">
        <v>492</v>
      </c>
      <c r="E1923" s="21">
        <v>0.95345089999999999</v>
      </c>
      <c r="F1923" s="10"/>
      <c r="G1923" s="14">
        <v>10000000</v>
      </c>
      <c r="H1923" s="14">
        <v>9534508.9900000002</v>
      </c>
      <c r="I1923" s="14">
        <v>10000000</v>
      </c>
      <c r="J1923" s="14">
        <v>9534508.9900000002</v>
      </c>
      <c r="K1923" s="12">
        <v>40740198</v>
      </c>
      <c r="L1923" s="10" t="s">
        <v>101</v>
      </c>
      <c r="M1923" s="10" t="s">
        <v>102</v>
      </c>
      <c r="N1923" s="124" t="s">
        <v>486</v>
      </c>
      <c r="O1923" s="124" t="s">
        <v>486</v>
      </c>
      <c r="P1923" s="21">
        <v>27</v>
      </c>
      <c r="Q1923" s="10" t="s">
        <v>54</v>
      </c>
      <c r="R1923" s="10" t="s">
        <v>28</v>
      </c>
      <c r="S1923" s="10"/>
      <c r="T1923" s="10"/>
      <c r="U1923" s="10" t="s">
        <v>2901</v>
      </c>
      <c r="V1923" s="10" t="s">
        <v>2901</v>
      </c>
      <c r="W1923" s="50">
        <f>+J1923/$W$2</f>
        <v>1.2675718591877511E-4</v>
      </c>
    </row>
    <row r="1924" spans="1:29">
      <c r="A1924" s="10" t="s">
        <v>3154</v>
      </c>
      <c r="B1924" s="10" t="s">
        <v>381</v>
      </c>
      <c r="C1924" s="124">
        <v>46360</v>
      </c>
      <c r="D1924" s="124" t="s">
        <v>492</v>
      </c>
      <c r="E1924" s="21">
        <v>0.94368892000000004</v>
      </c>
      <c r="F1924" s="10"/>
      <c r="G1924" s="14">
        <v>436692</v>
      </c>
      <c r="H1924" s="14">
        <v>412101.4</v>
      </c>
      <c r="I1924" s="14">
        <v>436692</v>
      </c>
      <c r="J1924" s="14">
        <v>412101.4</v>
      </c>
      <c r="K1924" s="12">
        <v>507731</v>
      </c>
      <c r="L1924" s="10" t="s">
        <v>101</v>
      </c>
      <c r="M1924" s="10" t="s">
        <v>102</v>
      </c>
      <c r="N1924" s="124" t="s">
        <v>532</v>
      </c>
      <c r="O1924" s="124" t="s">
        <v>532</v>
      </c>
      <c r="P1924" s="21">
        <v>33</v>
      </c>
      <c r="Q1924" s="10" t="s">
        <v>54</v>
      </c>
      <c r="R1924" s="10" t="s">
        <v>28</v>
      </c>
      <c r="S1924" s="10"/>
      <c r="T1924" s="10"/>
      <c r="U1924" s="10" t="s">
        <v>3130</v>
      </c>
      <c r="V1924" s="10" t="s">
        <v>3130</v>
      </c>
      <c r="W1924" s="50">
        <f>+J1924/$W$2</f>
        <v>5.4787104225266991E-6</v>
      </c>
    </row>
    <row r="1925" spans="1:29">
      <c r="A1925" s="10" t="s">
        <v>353</v>
      </c>
      <c r="B1925" s="10" t="s">
        <v>381</v>
      </c>
      <c r="C1925" s="124">
        <v>46360</v>
      </c>
      <c r="D1925" s="124" t="s">
        <v>492</v>
      </c>
      <c r="E1925" s="21">
        <v>0.93888276999999998</v>
      </c>
      <c r="F1925" s="10"/>
      <c r="G1925" s="14">
        <v>2874176.47</v>
      </c>
      <c r="H1925" s="14">
        <v>2698514.78</v>
      </c>
      <c r="I1925" s="14">
        <v>2874176.47</v>
      </c>
      <c r="J1925" s="14">
        <v>2698514.78</v>
      </c>
      <c r="K1925" s="12">
        <v>3437</v>
      </c>
      <c r="L1925" s="10" t="s">
        <v>101</v>
      </c>
      <c r="M1925" s="10" t="s">
        <v>102</v>
      </c>
      <c r="N1925" s="124" t="s">
        <v>475</v>
      </c>
      <c r="O1925" s="124" t="s">
        <v>475</v>
      </c>
      <c r="P1925" s="21">
        <v>36</v>
      </c>
      <c r="Q1925" s="10" t="s">
        <v>54</v>
      </c>
      <c r="R1925" s="10" t="s">
        <v>28</v>
      </c>
      <c r="S1925" s="10"/>
      <c r="T1925" s="10"/>
      <c r="U1925" s="10" t="s">
        <v>2324</v>
      </c>
      <c r="V1925" s="10" t="s">
        <v>2324</v>
      </c>
      <c r="W1925" s="50">
        <f>+J1925/$W$2</f>
        <v>3.5875590450622929E-5</v>
      </c>
    </row>
    <row r="1926" spans="1:29">
      <c r="A1926" s="10" t="s">
        <v>353</v>
      </c>
      <c r="B1926" s="10" t="s">
        <v>381</v>
      </c>
      <c r="C1926" s="124">
        <v>46360</v>
      </c>
      <c r="D1926" s="124" t="s">
        <v>492</v>
      </c>
      <c r="E1926" s="21">
        <v>0.93888276999999998</v>
      </c>
      <c r="F1926" s="10"/>
      <c r="G1926" s="14">
        <v>3841101.28</v>
      </c>
      <c r="H1926" s="14">
        <v>3606343.83</v>
      </c>
      <c r="I1926" s="14">
        <v>3841101.28</v>
      </c>
      <c r="J1926" s="14">
        <v>3606343.83</v>
      </c>
      <c r="K1926" s="12">
        <v>3367</v>
      </c>
      <c r="L1926" s="10" t="s">
        <v>101</v>
      </c>
      <c r="M1926" s="10" t="s">
        <v>102</v>
      </c>
      <c r="N1926" s="124" t="s">
        <v>475</v>
      </c>
      <c r="O1926" s="124" t="s">
        <v>475</v>
      </c>
      <c r="P1926" s="21">
        <v>36</v>
      </c>
      <c r="Q1926" s="10" t="s">
        <v>54</v>
      </c>
      <c r="R1926" s="10" t="s">
        <v>28</v>
      </c>
      <c r="S1926" s="10"/>
      <c r="T1926" s="10"/>
      <c r="U1926" s="10" t="s">
        <v>2325</v>
      </c>
      <c r="V1926" s="10" t="s">
        <v>2325</v>
      </c>
      <c r="W1926" s="50">
        <f>+J1926/$W$2</f>
        <v>4.7944786231339793E-5</v>
      </c>
      <c r="AC1926" s="47"/>
    </row>
    <row r="1927" spans="1:29">
      <c r="A1927" s="10" t="s">
        <v>353</v>
      </c>
      <c r="B1927" s="10" t="s">
        <v>381</v>
      </c>
      <c r="C1927" s="124">
        <v>46360</v>
      </c>
      <c r="D1927" s="124" t="s">
        <v>492</v>
      </c>
      <c r="E1927" s="21">
        <v>0.93888276999999998</v>
      </c>
      <c r="F1927" s="10"/>
      <c r="G1927" s="14">
        <v>3105640.28</v>
      </c>
      <c r="H1927" s="14">
        <v>2915832.16</v>
      </c>
      <c r="I1927" s="14">
        <v>3105640.28</v>
      </c>
      <c r="J1927" s="14">
        <v>2915832.16</v>
      </c>
      <c r="K1927" s="12">
        <v>3389</v>
      </c>
      <c r="L1927" s="10" t="s">
        <v>101</v>
      </c>
      <c r="M1927" s="10" t="s">
        <v>102</v>
      </c>
      <c r="N1927" s="124" t="s">
        <v>475</v>
      </c>
      <c r="O1927" s="124" t="s">
        <v>475</v>
      </c>
      <c r="P1927" s="21">
        <v>36</v>
      </c>
      <c r="Q1927" s="10" t="s">
        <v>54</v>
      </c>
      <c r="R1927" s="10" t="s">
        <v>28</v>
      </c>
      <c r="S1927" s="10"/>
      <c r="T1927" s="10"/>
      <c r="U1927" s="10" t="s">
        <v>2326</v>
      </c>
      <c r="V1927" s="10" t="s">
        <v>2326</v>
      </c>
      <c r="W1927" s="50">
        <f>+J1927/$W$2</f>
        <v>3.8764731314503025E-5</v>
      </c>
    </row>
    <row r="1928" spans="1:29">
      <c r="A1928" s="10" t="s">
        <v>353</v>
      </c>
      <c r="B1928" s="10" t="s">
        <v>381</v>
      </c>
      <c r="C1928" s="124">
        <v>46360</v>
      </c>
      <c r="D1928" s="124" t="s">
        <v>492</v>
      </c>
      <c r="E1928" s="21">
        <v>0.93888276999999998</v>
      </c>
      <c r="F1928" s="10"/>
      <c r="G1928" s="14">
        <v>2105640.2799999998</v>
      </c>
      <c r="H1928" s="14">
        <v>1976949.38</v>
      </c>
      <c r="I1928" s="14">
        <v>2105640.2799999998</v>
      </c>
      <c r="J1928" s="14">
        <v>1976949.38</v>
      </c>
      <c r="K1928" s="12">
        <v>3415</v>
      </c>
      <c r="L1928" s="10" t="s">
        <v>101</v>
      </c>
      <c r="M1928" s="10" t="s">
        <v>102</v>
      </c>
      <c r="N1928" s="124" t="s">
        <v>475</v>
      </c>
      <c r="O1928" s="124" t="s">
        <v>475</v>
      </c>
      <c r="P1928" s="21">
        <v>36</v>
      </c>
      <c r="Q1928" s="10" t="s">
        <v>54</v>
      </c>
      <c r="R1928" s="10" t="s">
        <v>28</v>
      </c>
      <c r="S1928" s="10"/>
      <c r="T1928" s="10"/>
      <c r="U1928" s="10" t="s">
        <v>2328</v>
      </c>
      <c r="V1928" s="10" t="s">
        <v>2328</v>
      </c>
      <c r="W1928" s="50">
        <f>+J1928/$W$2</f>
        <v>2.6282689583228047E-5</v>
      </c>
    </row>
    <row r="1929" spans="1:29">
      <c r="A1929" s="10" t="s">
        <v>2420</v>
      </c>
      <c r="B1929" s="10" t="s">
        <v>381</v>
      </c>
      <c r="C1929" s="124">
        <v>46360</v>
      </c>
      <c r="D1929" s="124" t="s">
        <v>492</v>
      </c>
      <c r="E1929" s="21">
        <v>0.94368914999999998</v>
      </c>
      <c r="F1929" s="10"/>
      <c r="G1929" s="14">
        <v>5000000</v>
      </c>
      <c r="H1929" s="14">
        <v>4718445.74</v>
      </c>
      <c r="I1929" s="14">
        <v>5000000</v>
      </c>
      <c r="J1929" s="14">
        <v>4718445.74</v>
      </c>
      <c r="K1929" s="12">
        <v>2875</v>
      </c>
      <c r="L1929" s="10" t="s">
        <v>101</v>
      </c>
      <c r="M1929" s="10" t="s">
        <v>102</v>
      </c>
      <c r="N1929" s="124" t="s">
        <v>552</v>
      </c>
      <c r="O1929" s="124" t="s">
        <v>552</v>
      </c>
      <c r="P1929" s="21">
        <v>33</v>
      </c>
      <c r="Q1929" s="10" t="s">
        <v>54</v>
      </c>
      <c r="R1929" s="10" t="s">
        <v>28</v>
      </c>
      <c r="S1929" s="10"/>
      <c r="T1929" s="10"/>
      <c r="U1929" s="10" t="s">
        <v>2348</v>
      </c>
      <c r="V1929" s="10" t="s">
        <v>2348</v>
      </c>
      <c r="W1929" s="50">
        <f>+J1929/$W$2</f>
        <v>6.2729701607091613E-5</v>
      </c>
    </row>
    <row r="1930" spans="1:29">
      <c r="A1930" s="10" t="s">
        <v>2423</v>
      </c>
      <c r="B1930" s="10" t="s">
        <v>381</v>
      </c>
      <c r="C1930" s="124">
        <v>46360</v>
      </c>
      <c r="D1930" s="124" t="s">
        <v>492</v>
      </c>
      <c r="E1930" s="21">
        <v>0.94854490999999996</v>
      </c>
      <c r="F1930" s="10"/>
      <c r="G1930" s="14">
        <v>6150126.3399999999</v>
      </c>
      <c r="H1930" s="14">
        <v>5833671.0300000003</v>
      </c>
      <c r="I1930" s="14">
        <v>6150126.3399999999</v>
      </c>
      <c r="J1930" s="14">
        <v>5833671.0300000003</v>
      </c>
      <c r="K1930" s="12">
        <v>59</v>
      </c>
      <c r="L1930" s="10" t="s">
        <v>101</v>
      </c>
      <c r="M1930" s="10" t="s">
        <v>102</v>
      </c>
      <c r="N1930" s="124" t="s">
        <v>552</v>
      </c>
      <c r="O1930" s="124" t="s">
        <v>552</v>
      </c>
      <c r="P1930" s="21">
        <v>30</v>
      </c>
      <c r="Q1930" s="10" t="s">
        <v>54</v>
      </c>
      <c r="R1930" s="10" t="s">
        <v>28</v>
      </c>
      <c r="S1930" s="10"/>
      <c r="T1930" s="10"/>
      <c r="U1930" s="10" t="s">
        <v>2381</v>
      </c>
      <c r="V1930" s="10" t="s">
        <v>2381</v>
      </c>
      <c r="W1930" s="50">
        <f>+J1930/$W$2</f>
        <v>7.7556140973199952E-5</v>
      </c>
    </row>
    <row r="1931" spans="1:29">
      <c r="A1931" s="10" t="s">
        <v>208</v>
      </c>
      <c r="B1931" s="10" t="s">
        <v>381</v>
      </c>
      <c r="C1931" s="124">
        <v>46360</v>
      </c>
      <c r="D1931" s="124" t="s">
        <v>492</v>
      </c>
      <c r="E1931" s="21">
        <v>0.94368909000000001</v>
      </c>
      <c r="F1931" s="10"/>
      <c r="G1931" s="14">
        <v>2170000</v>
      </c>
      <c r="H1931" s="14">
        <v>2047805.32</v>
      </c>
      <c r="I1931" s="14">
        <v>2170000</v>
      </c>
      <c r="J1931" s="14">
        <v>2047805.32</v>
      </c>
      <c r="K1931" s="12">
        <v>260743</v>
      </c>
      <c r="L1931" s="10" t="s">
        <v>101</v>
      </c>
      <c r="M1931" s="10" t="s">
        <v>102</v>
      </c>
      <c r="N1931" s="124" t="s">
        <v>533</v>
      </c>
      <c r="O1931" s="124" t="s">
        <v>533</v>
      </c>
      <c r="P1931" s="21">
        <v>33</v>
      </c>
      <c r="Q1931" s="10" t="s">
        <v>54</v>
      </c>
      <c r="R1931" s="10" t="s">
        <v>28</v>
      </c>
      <c r="S1931" s="10"/>
      <c r="T1931" s="10"/>
      <c r="U1931" s="10" t="s">
        <v>1857</v>
      </c>
      <c r="V1931" s="10" t="s">
        <v>1857</v>
      </c>
      <c r="W1931" s="50">
        <f>+J1931/$W$2</f>
        <v>2.7224688753762112E-5</v>
      </c>
    </row>
    <row r="1932" spans="1:29">
      <c r="A1932" s="10" t="s">
        <v>141</v>
      </c>
      <c r="B1932" s="10" t="s">
        <v>381</v>
      </c>
      <c r="C1932" s="124">
        <v>46360</v>
      </c>
      <c r="D1932" s="124" t="s">
        <v>492</v>
      </c>
      <c r="E1932" s="21">
        <v>0.94208152999999994</v>
      </c>
      <c r="F1932" s="10"/>
      <c r="G1932" s="14">
        <v>20000000</v>
      </c>
      <c r="H1932" s="14">
        <v>18841630.52</v>
      </c>
      <c r="I1932" s="14">
        <v>20000000</v>
      </c>
      <c r="J1932" s="14">
        <v>18841630.52</v>
      </c>
      <c r="K1932" s="12">
        <v>253</v>
      </c>
      <c r="L1932" s="10" t="s">
        <v>101</v>
      </c>
      <c r="M1932" s="10" t="s">
        <v>102</v>
      </c>
      <c r="N1932" s="124" t="s">
        <v>421</v>
      </c>
      <c r="O1932" s="124" t="s">
        <v>421</v>
      </c>
      <c r="P1932" s="21">
        <v>34</v>
      </c>
      <c r="Q1932" s="10" t="s">
        <v>54</v>
      </c>
      <c r="R1932" s="10" t="s">
        <v>28</v>
      </c>
      <c r="S1932" s="10"/>
      <c r="T1932" s="10"/>
      <c r="U1932" s="10" t="s">
        <v>2091</v>
      </c>
      <c r="V1932" s="10" t="s">
        <v>2091</v>
      </c>
      <c r="W1932" s="50">
        <f>+J1932/$W$2</f>
        <v>2.5049135360210168E-4</v>
      </c>
    </row>
    <row r="1933" spans="1:29">
      <c r="A1933" s="10" t="s">
        <v>2087</v>
      </c>
      <c r="B1933" s="10" t="s">
        <v>381</v>
      </c>
      <c r="C1933" s="124">
        <v>46360</v>
      </c>
      <c r="D1933" s="124" t="s">
        <v>492</v>
      </c>
      <c r="E1933" s="21">
        <v>0.94692065999999997</v>
      </c>
      <c r="F1933" s="10"/>
      <c r="G1933" s="14">
        <v>8523310</v>
      </c>
      <c r="H1933" s="14">
        <v>8070898.3700000001</v>
      </c>
      <c r="I1933" s="14">
        <v>8523310</v>
      </c>
      <c r="J1933" s="14">
        <v>8070898.3700000001</v>
      </c>
      <c r="K1933" s="12">
        <v>13680134</v>
      </c>
      <c r="L1933" s="10" t="s">
        <v>101</v>
      </c>
      <c r="M1933" s="10" t="s">
        <v>102</v>
      </c>
      <c r="N1933" s="124" t="s">
        <v>390</v>
      </c>
      <c r="O1933" s="124" t="s">
        <v>390</v>
      </c>
      <c r="P1933" s="21">
        <v>31</v>
      </c>
      <c r="Q1933" s="10" t="s">
        <v>54</v>
      </c>
      <c r="R1933" s="10" t="s">
        <v>28</v>
      </c>
      <c r="S1933" s="10"/>
      <c r="T1933" s="10"/>
      <c r="U1933" s="10" t="s">
        <v>2073</v>
      </c>
      <c r="V1933" s="10" t="s">
        <v>2073</v>
      </c>
      <c r="W1933" s="50">
        <f>+J1933/$W$2</f>
        <v>1.0729911380760354E-4</v>
      </c>
    </row>
    <row r="1934" spans="1:29">
      <c r="A1934" s="10" t="s">
        <v>785</v>
      </c>
      <c r="B1934" s="10" t="s">
        <v>381</v>
      </c>
      <c r="C1934" s="124">
        <v>46360</v>
      </c>
      <c r="D1934" s="124" t="s">
        <v>492</v>
      </c>
      <c r="E1934" s="21">
        <v>0.94854475999999999</v>
      </c>
      <c r="F1934" s="10"/>
      <c r="G1934" s="14">
        <v>18700000</v>
      </c>
      <c r="H1934" s="14">
        <v>17737787.02</v>
      </c>
      <c r="I1934" s="14">
        <v>18700000</v>
      </c>
      <c r="J1934" s="14">
        <v>17737787.02</v>
      </c>
      <c r="K1934" s="12">
        <v>238</v>
      </c>
      <c r="L1934" s="10" t="s">
        <v>101</v>
      </c>
      <c r="M1934" s="10" t="s">
        <v>102</v>
      </c>
      <c r="N1934" s="124" t="s">
        <v>333</v>
      </c>
      <c r="O1934" s="124" t="s">
        <v>333</v>
      </c>
      <c r="P1934" s="21">
        <v>30</v>
      </c>
      <c r="Q1934" s="10" t="s">
        <v>54</v>
      </c>
      <c r="R1934" s="10" t="s">
        <v>28</v>
      </c>
      <c r="S1934" s="10"/>
      <c r="T1934" s="10"/>
      <c r="U1934" s="10" t="s">
        <v>775</v>
      </c>
      <c r="V1934" s="10" t="s">
        <v>775</v>
      </c>
      <c r="W1934" s="50">
        <f>+J1934/$W$2</f>
        <v>2.3581623022642678E-4</v>
      </c>
    </row>
    <row r="1935" spans="1:29">
      <c r="A1935" s="10" t="s">
        <v>1189</v>
      </c>
      <c r="B1935" s="10" t="s">
        <v>381</v>
      </c>
      <c r="C1935" s="124">
        <v>46360</v>
      </c>
      <c r="D1935" s="124" t="s">
        <v>492</v>
      </c>
      <c r="E1935" s="21">
        <v>0.94368918000000002</v>
      </c>
      <c r="F1935" s="10"/>
      <c r="G1935" s="14">
        <v>382772.09</v>
      </c>
      <c r="H1935" s="14">
        <v>361217.88</v>
      </c>
      <c r="I1935" s="14">
        <v>382772.09</v>
      </c>
      <c r="J1935" s="14">
        <v>361217.88</v>
      </c>
      <c r="K1935" s="12">
        <v>30103022</v>
      </c>
      <c r="L1935" s="10" t="s">
        <v>101</v>
      </c>
      <c r="M1935" s="10" t="s">
        <v>102</v>
      </c>
      <c r="N1935" s="124" t="s">
        <v>492</v>
      </c>
      <c r="O1935" s="124" t="s">
        <v>492</v>
      </c>
      <c r="P1935" s="21">
        <v>33</v>
      </c>
      <c r="Q1935" s="10" t="s">
        <v>54</v>
      </c>
      <c r="R1935" s="10" t="s">
        <v>28</v>
      </c>
      <c r="S1935" s="10"/>
      <c r="T1935" s="10"/>
      <c r="U1935" s="10" t="s">
        <v>3536</v>
      </c>
      <c r="V1935" s="10" t="s">
        <v>3536</v>
      </c>
      <c r="W1935" s="50">
        <f>+J1935/$W$2</f>
        <v>4.8022359641559057E-6</v>
      </c>
    </row>
    <row r="1936" spans="1:29">
      <c r="A1936" s="10" t="s">
        <v>3144</v>
      </c>
      <c r="B1936" s="10" t="s">
        <v>381</v>
      </c>
      <c r="C1936" s="124">
        <v>46360</v>
      </c>
      <c r="D1936" s="124" t="s">
        <v>492</v>
      </c>
      <c r="E1936" s="21">
        <v>0.94368892000000004</v>
      </c>
      <c r="F1936" s="10"/>
      <c r="G1936" s="14">
        <v>2500000</v>
      </c>
      <c r="H1936" s="14">
        <v>2359222.29</v>
      </c>
      <c r="I1936" s="14">
        <v>2500000</v>
      </c>
      <c r="J1936" s="14">
        <v>2359222.29</v>
      </c>
      <c r="K1936" s="12">
        <v>100</v>
      </c>
      <c r="L1936" s="10" t="s">
        <v>101</v>
      </c>
      <c r="M1936" s="10" t="s">
        <v>102</v>
      </c>
      <c r="N1936" s="124" t="s">
        <v>532</v>
      </c>
      <c r="O1936" s="124" t="s">
        <v>532</v>
      </c>
      <c r="P1936" s="21">
        <v>33</v>
      </c>
      <c r="Q1936" s="10" t="s">
        <v>54</v>
      </c>
      <c r="R1936" s="10" t="s">
        <v>28</v>
      </c>
      <c r="S1936" s="10"/>
      <c r="T1936" s="10"/>
      <c r="U1936" s="10" t="s">
        <v>3106</v>
      </c>
      <c r="V1936" s="10" t="s">
        <v>3106</v>
      </c>
      <c r="W1936" s="50">
        <f>+J1936/$W$2</f>
        <v>3.136484309269589E-5</v>
      </c>
    </row>
    <row r="1937" spans="1:35">
      <c r="A1937" s="10" t="s">
        <v>477</v>
      </c>
      <c r="B1937" s="10" t="s">
        <v>381</v>
      </c>
      <c r="C1937" s="124">
        <v>46365</v>
      </c>
      <c r="D1937" s="124" t="s">
        <v>492</v>
      </c>
      <c r="E1937" s="21">
        <v>0.94834759000000002</v>
      </c>
      <c r="F1937" s="10"/>
      <c r="G1937" s="14">
        <v>8000000</v>
      </c>
      <c r="H1937" s="14">
        <v>7586780.7400000002</v>
      </c>
      <c r="I1937" s="14">
        <v>8000000</v>
      </c>
      <c r="J1937" s="14">
        <v>7586780.7400000002</v>
      </c>
      <c r="K1937" s="12">
        <v>6495</v>
      </c>
      <c r="L1937" s="10" t="s">
        <v>101</v>
      </c>
      <c r="M1937" s="10" t="s">
        <v>102</v>
      </c>
      <c r="N1937" s="124" t="s">
        <v>422</v>
      </c>
      <c r="O1937" s="124" t="s">
        <v>422</v>
      </c>
      <c r="P1937" s="21">
        <v>28</v>
      </c>
      <c r="Q1937" s="10" t="s">
        <v>54</v>
      </c>
      <c r="R1937" s="10" t="s">
        <v>28</v>
      </c>
      <c r="S1937" s="10"/>
      <c r="T1937" s="10"/>
      <c r="U1937" s="10" t="s">
        <v>2717</v>
      </c>
      <c r="V1937" s="10" t="s">
        <v>2717</v>
      </c>
      <c r="W1937" s="50">
        <f>+J1937/$W$2</f>
        <v>1.0086297865928828E-4</v>
      </c>
      <c r="AC1937" s="47"/>
      <c r="AE1937" s="13"/>
      <c r="AF1937" s="21"/>
      <c r="AG1937" s="10"/>
      <c r="AH1937" s="14"/>
      <c r="AI1937" s="14"/>
    </row>
    <row r="1938" spans="1:35">
      <c r="A1938" s="10" t="s">
        <v>477</v>
      </c>
      <c r="B1938" s="10" t="s">
        <v>381</v>
      </c>
      <c r="C1938" s="124">
        <v>46365</v>
      </c>
      <c r="D1938" s="124" t="s">
        <v>492</v>
      </c>
      <c r="E1938" s="21">
        <v>0.95010033000000005</v>
      </c>
      <c r="F1938" s="10"/>
      <c r="G1938" s="14">
        <v>10000000</v>
      </c>
      <c r="H1938" s="14">
        <v>9501003.2799999993</v>
      </c>
      <c r="I1938" s="14">
        <v>10000000</v>
      </c>
      <c r="J1938" s="14">
        <v>9501003.2799999993</v>
      </c>
      <c r="K1938" s="12">
        <v>40740205</v>
      </c>
      <c r="L1938" s="10" t="s">
        <v>101</v>
      </c>
      <c r="M1938" s="10" t="s">
        <v>102</v>
      </c>
      <c r="N1938" s="124" t="s">
        <v>486</v>
      </c>
      <c r="O1938" s="124" t="s">
        <v>486</v>
      </c>
      <c r="P1938" s="21">
        <v>27</v>
      </c>
      <c r="Q1938" s="10" t="s">
        <v>54</v>
      </c>
      <c r="R1938" s="10" t="s">
        <v>28</v>
      </c>
      <c r="S1938" s="10"/>
      <c r="T1938" s="10"/>
      <c r="U1938" s="10" t="s">
        <v>2898</v>
      </c>
      <c r="V1938" s="10" t="s">
        <v>2898</v>
      </c>
      <c r="W1938" s="50">
        <f>+J1938/$W$2</f>
        <v>1.2631174195136525E-4</v>
      </c>
    </row>
    <row r="1939" spans="1:35">
      <c r="A1939" s="10" t="s">
        <v>2919</v>
      </c>
      <c r="B1939" s="10" t="s">
        <v>381</v>
      </c>
      <c r="C1939" s="124">
        <v>46365</v>
      </c>
      <c r="D1939" s="124" t="s">
        <v>492</v>
      </c>
      <c r="E1939" s="21">
        <v>0.93625767999999998</v>
      </c>
      <c r="F1939" s="10"/>
      <c r="G1939" s="14">
        <v>25000000</v>
      </c>
      <c r="H1939" s="14">
        <v>23406441.91</v>
      </c>
      <c r="I1939" s="14">
        <v>25000000</v>
      </c>
      <c r="J1939" s="14">
        <v>23406441.91</v>
      </c>
      <c r="K1939" s="12">
        <v>10685424</v>
      </c>
      <c r="L1939" s="10" t="s">
        <v>101</v>
      </c>
      <c r="M1939" s="10" t="s">
        <v>102</v>
      </c>
      <c r="N1939" s="124" t="s">
        <v>486</v>
      </c>
      <c r="O1939" s="124" t="s">
        <v>486</v>
      </c>
      <c r="P1939" s="21">
        <v>35</v>
      </c>
      <c r="Q1939" s="10" t="s">
        <v>54</v>
      </c>
      <c r="R1939" s="10" t="s">
        <v>28</v>
      </c>
      <c r="S1939" s="10"/>
      <c r="T1939" s="10"/>
      <c r="U1939" s="10" t="s">
        <v>2873</v>
      </c>
      <c r="V1939" s="10" t="s">
        <v>2873</v>
      </c>
      <c r="W1939" s="50">
        <f>+J1939/$W$2</f>
        <v>3.1117855277022289E-4</v>
      </c>
    </row>
    <row r="1940" spans="1:35">
      <c r="A1940" s="10" t="s">
        <v>353</v>
      </c>
      <c r="B1940" s="10" t="s">
        <v>381</v>
      </c>
      <c r="C1940" s="124">
        <v>46365</v>
      </c>
      <c r="D1940" s="124" t="s">
        <v>492</v>
      </c>
      <c r="E1940" s="21">
        <v>0.93455558999999999</v>
      </c>
      <c r="F1940" s="10"/>
      <c r="G1940" s="14">
        <v>2874176.47</v>
      </c>
      <c r="H1940" s="14">
        <v>2686077.69</v>
      </c>
      <c r="I1940" s="14">
        <v>2874176.47</v>
      </c>
      <c r="J1940" s="14">
        <v>2686077.69</v>
      </c>
      <c r="K1940" s="12">
        <v>3438</v>
      </c>
      <c r="L1940" s="10" t="s">
        <v>101</v>
      </c>
      <c r="M1940" s="10" t="s">
        <v>102</v>
      </c>
      <c r="N1940" s="124" t="s">
        <v>475</v>
      </c>
      <c r="O1940" s="124" t="s">
        <v>475</v>
      </c>
      <c r="P1940" s="21">
        <v>36</v>
      </c>
      <c r="Q1940" s="10" t="s">
        <v>54</v>
      </c>
      <c r="R1940" s="10" t="s">
        <v>28</v>
      </c>
      <c r="S1940" s="10"/>
      <c r="T1940" s="10"/>
      <c r="U1940" s="10" t="s">
        <v>2332</v>
      </c>
      <c r="V1940" s="10" t="s">
        <v>2332</v>
      </c>
      <c r="W1940" s="50">
        <f>+J1940/$W$2</f>
        <v>3.5710244701715253E-5</v>
      </c>
    </row>
    <row r="1941" spans="1:35">
      <c r="A1941" s="10" t="s">
        <v>353</v>
      </c>
      <c r="B1941" s="10" t="s">
        <v>381</v>
      </c>
      <c r="C1941" s="124">
        <v>46365</v>
      </c>
      <c r="D1941" s="124" t="s">
        <v>492</v>
      </c>
      <c r="E1941" s="21">
        <v>0.93455566999999995</v>
      </c>
      <c r="F1941" s="10"/>
      <c r="G1941" s="14">
        <v>3105640.28</v>
      </c>
      <c r="H1941" s="14">
        <v>2902393.72</v>
      </c>
      <c r="I1941" s="14">
        <v>3105640.28</v>
      </c>
      <c r="J1941" s="14">
        <v>2902393.72</v>
      </c>
      <c r="K1941" s="12">
        <v>3390</v>
      </c>
      <c r="L1941" s="10" t="s">
        <v>101</v>
      </c>
      <c r="M1941" s="10" t="s">
        <v>102</v>
      </c>
      <c r="N1941" s="124" t="s">
        <v>552</v>
      </c>
      <c r="O1941" s="124" t="s">
        <v>552</v>
      </c>
      <c r="P1941" s="21">
        <v>36</v>
      </c>
      <c r="Q1941" s="10" t="s">
        <v>54</v>
      </c>
      <c r="R1941" s="10" t="s">
        <v>28</v>
      </c>
      <c r="S1941" s="10"/>
      <c r="T1941" s="10"/>
      <c r="U1941" s="10" t="s">
        <v>2359</v>
      </c>
      <c r="V1941" s="10" t="s">
        <v>2359</v>
      </c>
      <c r="W1941" s="50">
        <f>+J1941/$W$2</f>
        <v>3.8586073049108882E-5</v>
      </c>
    </row>
    <row r="1942" spans="1:35">
      <c r="A1942" s="10" t="s">
        <v>353</v>
      </c>
      <c r="B1942" s="10" t="s">
        <v>381</v>
      </c>
      <c r="C1942" s="124">
        <v>46365</v>
      </c>
      <c r="D1942" s="124" t="s">
        <v>492</v>
      </c>
      <c r="E1942" s="21">
        <v>0.93455566000000001</v>
      </c>
      <c r="F1942" s="10"/>
      <c r="G1942" s="14">
        <v>3841101.28</v>
      </c>
      <c r="H1942" s="14">
        <v>3589722.95</v>
      </c>
      <c r="I1942" s="14">
        <v>3841101.28</v>
      </c>
      <c r="J1942" s="14">
        <v>3589722.95</v>
      </c>
      <c r="K1942" s="12">
        <v>3368</v>
      </c>
      <c r="L1942" s="10" t="s">
        <v>101</v>
      </c>
      <c r="M1942" s="10" t="s">
        <v>102</v>
      </c>
      <c r="N1942" s="124" t="s">
        <v>552</v>
      </c>
      <c r="O1942" s="124" t="s">
        <v>552</v>
      </c>
      <c r="P1942" s="21">
        <v>36</v>
      </c>
      <c r="Q1942" s="10" t="s">
        <v>54</v>
      </c>
      <c r="R1942" s="10" t="s">
        <v>28</v>
      </c>
      <c r="S1942" s="10"/>
      <c r="T1942" s="10"/>
      <c r="U1942" s="10" t="s">
        <v>2360</v>
      </c>
      <c r="V1942" s="10" t="s">
        <v>2360</v>
      </c>
      <c r="W1942" s="50">
        <f>+J1942/$W$2</f>
        <v>4.7723818798354697E-5</v>
      </c>
    </row>
    <row r="1943" spans="1:35">
      <c r="A1943" s="10" t="s">
        <v>2319</v>
      </c>
      <c r="B1943" s="10" t="s">
        <v>381</v>
      </c>
      <c r="C1943" s="124">
        <v>46365</v>
      </c>
      <c r="D1943" s="124" t="s">
        <v>492</v>
      </c>
      <c r="E1943" s="21">
        <v>0.94312810000000002</v>
      </c>
      <c r="F1943" s="10"/>
      <c r="G1943" s="14">
        <v>11820000</v>
      </c>
      <c r="H1943" s="14">
        <v>11147774.119999999</v>
      </c>
      <c r="I1943" s="14">
        <v>11820000</v>
      </c>
      <c r="J1943" s="14">
        <v>11147774.119999999</v>
      </c>
      <c r="K1943" s="12">
        <v>14310295</v>
      </c>
      <c r="L1943" s="10" t="s">
        <v>101</v>
      </c>
      <c r="M1943" s="10" t="s">
        <v>102</v>
      </c>
      <c r="N1943" s="124" t="s">
        <v>536</v>
      </c>
      <c r="O1943" s="124" t="s">
        <v>536</v>
      </c>
      <c r="P1943" s="21">
        <v>31</v>
      </c>
      <c r="Q1943" s="10" t="s">
        <v>54</v>
      </c>
      <c r="R1943" s="10" t="s">
        <v>28</v>
      </c>
      <c r="S1943" s="10"/>
      <c r="T1943" s="10"/>
      <c r="U1943" s="10" t="s">
        <v>2307</v>
      </c>
      <c r="V1943" s="10" t="s">
        <v>2307</v>
      </c>
      <c r="W1943" s="50">
        <f>+J1943/$W$2</f>
        <v>1.482048502121502E-4</v>
      </c>
    </row>
    <row r="1944" spans="1:35">
      <c r="A1944" s="10" t="s">
        <v>208</v>
      </c>
      <c r="B1944" s="10" t="s">
        <v>381</v>
      </c>
      <c r="C1944" s="124">
        <v>46365</v>
      </c>
      <c r="D1944" s="124" t="s">
        <v>492</v>
      </c>
      <c r="E1944" s="21">
        <v>0.93968035000000005</v>
      </c>
      <c r="F1944" s="10"/>
      <c r="G1944" s="14">
        <v>2170000</v>
      </c>
      <c r="H1944" s="14">
        <v>2039106.36</v>
      </c>
      <c r="I1944" s="14">
        <v>2170000</v>
      </c>
      <c r="J1944" s="14">
        <v>2039106.36</v>
      </c>
      <c r="K1944" s="12">
        <v>260744</v>
      </c>
      <c r="L1944" s="10" t="s">
        <v>101</v>
      </c>
      <c r="M1944" s="10" t="s">
        <v>102</v>
      </c>
      <c r="N1944" s="124" t="s">
        <v>533</v>
      </c>
      <c r="O1944" s="124" t="s">
        <v>533</v>
      </c>
      <c r="P1944" s="21">
        <v>33</v>
      </c>
      <c r="Q1944" s="10" t="s">
        <v>54</v>
      </c>
      <c r="R1944" s="10" t="s">
        <v>28</v>
      </c>
      <c r="S1944" s="10"/>
      <c r="T1944" s="10"/>
      <c r="U1944" s="10" t="s">
        <v>1858</v>
      </c>
      <c r="V1944" s="10" t="s">
        <v>1858</v>
      </c>
      <c r="W1944" s="50">
        <f>+J1944/$W$2</f>
        <v>2.7109039831392176E-5</v>
      </c>
    </row>
    <row r="1945" spans="1:35">
      <c r="A1945" s="10" t="s">
        <v>2086</v>
      </c>
      <c r="B1945" s="10" t="s">
        <v>381</v>
      </c>
      <c r="C1945" s="124">
        <v>46365</v>
      </c>
      <c r="D1945" s="124" t="s">
        <v>492</v>
      </c>
      <c r="E1945" s="21">
        <v>0.94312812000000001</v>
      </c>
      <c r="F1945" s="10"/>
      <c r="G1945" s="14">
        <v>1598248</v>
      </c>
      <c r="H1945" s="14">
        <v>1507352.63</v>
      </c>
      <c r="I1945" s="14">
        <v>1598248</v>
      </c>
      <c r="J1945" s="14">
        <v>1507352.63</v>
      </c>
      <c r="K1945" s="12">
        <v>11999347</v>
      </c>
      <c r="L1945" s="10" t="s">
        <v>101</v>
      </c>
      <c r="M1945" s="10" t="s">
        <v>102</v>
      </c>
      <c r="N1945" s="124" t="s">
        <v>390</v>
      </c>
      <c r="O1945" s="124" t="s">
        <v>390</v>
      </c>
      <c r="P1945" s="21">
        <v>31</v>
      </c>
      <c r="Q1945" s="10" t="s">
        <v>54</v>
      </c>
      <c r="R1945" s="10" t="s">
        <v>28</v>
      </c>
      <c r="S1945" s="10"/>
      <c r="T1945" s="10"/>
      <c r="U1945" s="10" t="s">
        <v>2068</v>
      </c>
      <c r="V1945" s="10" t="s">
        <v>2068</v>
      </c>
      <c r="W1945" s="50">
        <f>+J1945/$W$2</f>
        <v>2.0039603273378906E-5</v>
      </c>
    </row>
    <row r="1946" spans="1:35">
      <c r="A1946" s="10" t="s">
        <v>272</v>
      </c>
      <c r="B1946" s="10" t="s">
        <v>381</v>
      </c>
      <c r="C1946" s="124">
        <v>46365</v>
      </c>
      <c r="D1946" s="124" t="s">
        <v>492</v>
      </c>
      <c r="E1946" s="21">
        <v>0.94660135999999995</v>
      </c>
      <c r="F1946" s="10"/>
      <c r="G1946" s="14">
        <v>8106418.25</v>
      </c>
      <c r="H1946" s="14">
        <v>7673546.5599999996</v>
      </c>
      <c r="I1946" s="14">
        <v>8106418.25</v>
      </c>
      <c r="J1946" s="14">
        <v>7673546.5599999996</v>
      </c>
      <c r="K1946" s="12">
        <v>90000807</v>
      </c>
      <c r="L1946" s="10" t="s">
        <v>101</v>
      </c>
      <c r="M1946" s="10" t="s">
        <v>102</v>
      </c>
      <c r="N1946" s="124" t="s">
        <v>352</v>
      </c>
      <c r="O1946" s="124" t="s">
        <v>352</v>
      </c>
      <c r="P1946" s="21">
        <v>29</v>
      </c>
      <c r="Q1946" s="10" t="s">
        <v>54</v>
      </c>
      <c r="R1946" s="10" t="s">
        <v>28</v>
      </c>
      <c r="S1946" s="10"/>
      <c r="T1946" s="10"/>
      <c r="U1946" s="10" t="s">
        <v>794</v>
      </c>
      <c r="V1946" s="10" t="s">
        <v>794</v>
      </c>
      <c r="W1946" s="50">
        <f>+J1946/$W$2</f>
        <v>1.0201649282437744E-4</v>
      </c>
    </row>
    <row r="1947" spans="1:35">
      <c r="A1947" s="10" t="s">
        <v>385</v>
      </c>
      <c r="B1947" s="10" t="s">
        <v>381</v>
      </c>
      <c r="C1947" s="124">
        <v>46365</v>
      </c>
      <c r="D1947" s="124" t="s">
        <v>492</v>
      </c>
      <c r="E1947" s="21">
        <v>0.93968048999999998</v>
      </c>
      <c r="F1947" s="10"/>
      <c r="G1947" s="14">
        <v>25000000</v>
      </c>
      <c r="H1947" s="14">
        <v>23492012.34</v>
      </c>
      <c r="I1947" s="14">
        <v>25000000</v>
      </c>
      <c r="J1947" s="14">
        <v>23492012.34</v>
      </c>
      <c r="K1947" s="12">
        <v>4293</v>
      </c>
      <c r="L1947" s="10" t="s">
        <v>101</v>
      </c>
      <c r="M1947" s="10" t="s">
        <v>102</v>
      </c>
      <c r="N1947" s="124" t="s">
        <v>472</v>
      </c>
      <c r="O1947" s="124" t="s">
        <v>472</v>
      </c>
      <c r="P1947" s="21">
        <v>33</v>
      </c>
      <c r="Q1947" s="10" t="s">
        <v>54</v>
      </c>
      <c r="R1947" s="10" t="s">
        <v>28</v>
      </c>
      <c r="S1947" s="10"/>
      <c r="T1947" s="10"/>
      <c r="U1947" s="10" t="s">
        <v>3222</v>
      </c>
      <c r="V1947" s="10" t="s">
        <v>3222</v>
      </c>
      <c r="W1947" s="50">
        <f>+J1947/$W$2</f>
        <v>3.12316174740692E-4</v>
      </c>
    </row>
    <row r="1948" spans="1:35">
      <c r="A1948" s="10" t="s">
        <v>666</v>
      </c>
      <c r="B1948" s="10" t="s">
        <v>381</v>
      </c>
      <c r="C1948" s="124">
        <v>46365</v>
      </c>
      <c r="D1948" s="124" t="s">
        <v>492</v>
      </c>
      <c r="E1948" s="21">
        <v>0.93968035999999999</v>
      </c>
      <c r="F1948" s="10"/>
      <c r="G1948" s="14">
        <v>10051717.33</v>
      </c>
      <c r="H1948" s="14">
        <v>9445401.3200000003</v>
      </c>
      <c r="I1948" s="14">
        <v>10051717.33</v>
      </c>
      <c r="J1948" s="14">
        <v>9445401.3200000003</v>
      </c>
      <c r="K1948" s="12">
        <v>90002284</v>
      </c>
      <c r="L1948" s="10" t="s">
        <v>101</v>
      </c>
      <c r="M1948" s="10" t="s">
        <v>102</v>
      </c>
      <c r="N1948" s="124" t="s">
        <v>483</v>
      </c>
      <c r="O1948" s="124" t="s">
        <v>483</v>
      </c>
      <c r="P1948" s="21">
        <v>33</v>
      </c>
      <c r="Q1948" s="10" t="s">
        <v>54</v>
      </c>
      <c r="R1948" s="10" t="s">
        <v>28</v>
      </c>
      <c r="S1948" s="10"/>
      <c r="T1948" s="10"/>
      <c r="U1948" s="10" t="s">
        <v>2462</v>
      </c>
      <c r="V1948" s="10" t="s">
        <v>2462</v>
      </c>
      <c r="W1948" s="50">
        <f>+J1948/$W$2</f>
        <v>1.255725378676982E-4</v>
      </c>
    </row>
    <row r="1949" spans="1:35">
      <c r="A1949" s="10" t="s">
        <v>686</v>
      </c>
      <c r="B1949" s="10" t="s">
        <v>381</v>
      </c>
      <c r="C1949" s="124">
        <v>46365</v>
      </c>
      <c r="D1949" s="124" t="s">
        <v>492</v>
      </c>
      <c r="E1949" s="21">
        <v>0.93455564999999996</v>
      </c>
      <c r="F1949" s="10"/>
      <c r="G1949" s="14">
        <v>11500000</v>
      </c>
      <c r="H1949" s="14">
        <v>10747389.99</v>
      </c>
      <c r="I1949" s="14">
        <v>11500000</v>
      </c>
      <c r="J1949" s="14">
        <v>10747389.99</v>
      </c>
      <c r="K1949" s="12">
        <v>10468665</v>
      </c>
      <c r="L1949" s="10" t="s">
        <v>101</v>
      </c>
      <c r="M1949" s="10" t="s">
        <v>102</v>
      </c>
      <c r="N1949" s="124" t="s">
        <v>279</v>
      </c>
      <c r="O1949" s="124" t="s">
        <v>279</v>
      </c>
      <c r="P1949" s="21">
        <v>36</v>
      </c>
      <c r="Q1949" s="10" t="s">
        <v>54</v>
      </c>
      <c r="R1949" s="10" t="s">
        <v>28</v>
      </c>
      <c r="S1949" s="10"/>
      <c r="T1949" s="10"/>
      <c r="U1949" s="10" t="s">
        <v>1196</v>
      </c>
      <c r="V1949" s="10" t="s">
        <v>1196</v>
      </c>
      <c r="W1949" s="50">
        <f>+J1949/$W$2</f>
        <v>1.4288191584200421E-4</v>
      </c>
    </row>
    <row r="1950" spans="1:35">
      <c r="A1950" s="10" t="s">
        <v>222</v>
      </c>
      <c r="B1950" s="10" t="s">
        <v>381</v>
      </c>
      <c r="C1950" s="124">
        <v>46365</v>
      </c>
      <c r="D1950" s="124" t="s">
        <v>492</v>
      </c>
      <c r="E1950" s="21">
        <v>0.93968026000000004</v>
      </c>
      <c r="F1950" s="10"/>
      <c r="G1950" s="14">
        <v>25000000</v>
      </c>
      <c r="H1950" s="14">
        <v>23492006.41</v>
      </c>
      <c r="I1950" s="14">
        <v>25000000</v>
      </c>
      <c r="J1950" s="14">
        <v>23492006.41</v>
      </c>
      <c r="K1950" s="12">
        <v>475886</v>
      </c>
      <c r="L1950" s="10" t="s">
        <v>101</v>
      </c>
      <c r="M1950" s="10" t="s">
        <v>102</v>
      </c>
      <c r="N1950" s="124" t="s">
        <v>349</v>
      </c>
      <c r="O1950" s="124" t="s">
        <v>349</v>
      </c>
      <c r="P1950" s="21">
        <v>33</v>
      </c>
      <c r="Q1950" s="10" t="s">
        <v>54</v>
      </c>
      <c r="R1950" s="10" t="s">
        <v>28</v>
      </c>
      <c r="S1950" s="10"/>
      <c r="T1950" s="10"/>
      <c r="U1950" s="10" t="s">
        <v>1358</v>
      </c>
      <c r="V1950" s="10" t="s">
        <v>1358</v>
      </c>
      <c r="W1950" s="50">
        <f>+J1950/$W$2</f>
        <v>3.1231609590389895E-4</v>
      </c>
    </row>
    <row r="1951" spans="1:35">
      <c r="A1951" s="10" t="s">
        <v>466</v>
      </c>
      <c r="B1951" s="10" t="s">
        <v>381</v>
      </c>
      <c r="C1951" s="124">
        <v>46365</v>
      </c>
      <c r="D1951" s="124" t="s">
        <v>492</v>
      </c>
      <c r="E1951" s="21">
        <v>0.93968041999999996</v>
      </c>
      <c r="F1951" s="10"/>
      <c r="G1951" s="14">
        <v>2500000</v>
      </c>
      <c r="H1951" s="14">
        <v>2349201.04</v>
      </c>
      <c r="I1951" s="14">
        <v>2500000</v>
      </c>
      <c r="J1951" s="14">
        <v>2349201.04</v>
      </c>
      <c r="K1951" s="12">
        <v>680</v>
      </c>
      <c r="L1951" s="10" t="s">
        <v>101</v>
      </c>
      <c r="M1951" s="10" t="s">
        <v>102</v>
      </c>
      <c r="N1951" s="124" t="s">
        <v>532</v>
      </c>
      <c r="O1951" s="124" t="s">
        <v>532</v>
      </c>
      <c r="P1951" s="21">
        <v>33</v>
      </c>
      <c r="Q1951" s="10" t="s">
        <v>54</v>
      </c>
      <c r="R1951" s="10" t="s">
        <v>28</v>
      </c>
      <c r="S1951" s="10"/>
      <c r="T1951" s="10"/>
      <c r="U1951" s="10" t="s">
        <v>3103</v>
      </c>
      <c r="V1951" s="10" t="s">
        <v>3103</v>
      </c>
      <c r="W1951" s="50">
        <f>+J1951/$W$2</f>
        <v>3.1231614894922854E-5</v>
      </c>
    </row>
    <row r="1952" spans="1:35">
      <c r="A1952" s="10" t="s">
        <v>478</v>
      </c>
      <c r="B1952" s="10" t="s">
        <v>381</v>
      </c>
      <c r="C1952" s="124">
        <v>46365</v>
      </c>
      <c r="D1952" s="124" t="s">
        <v>492</v>
      </c>
      <c r="E1952" s="21">
        <v>0.93285978000000003</v>
      </c>
      <c r="F1952" s="10"/>
      <c r="G1952" s="14">
        <v>15000000</v>
      </c>
      <c r="H1952" s="14">
        <v>13992896.630000001</v>
      </c>
      <c r="I1952" s="14">
        <v>15000000</v>
      </c>
      <c r="J1952" s="14">
        <v>13992896.630000001</v>
      </c>
      <c r="K1952" s="12">
        <v>90023082</v>
      </c>
      <c r="L1952" s="10" t="s">
        <v>101</v>
      </c>
      <c r="M1952" s="10" t="s">
        <v>102</v>
      </c>
      <c r="N1952" s="124" t="s">
        <v>157</v>
      </c>
      <c r="O1952" s="124" t="s">
        <v>157</v>
      </c>
      <c r="P1952" s="21">
        <v>37</v>
      </c>
      <c r="Q1952" s="10" t="s">
        <v>54</v>
      </c>
      <c r="R1952" s="10" t="s">
        <v>28</v>
      </c>
      <c r="S1952" s="10"/>
      <c r="T1952" s="10"/>
      <c r="U1952" s="10" t="s">
        <v>646</v>
      </c>
      <c r="V1952" s="10" t="s">
        <v>646</v>
      </c>
      <c r="W1952" s="50">
        <f>+J1952/$W$2</f>
        <v>1.8602952721859164E-4</v>
      </c>
    </row>
    <row r="1953" spans="1:29">
      <c r="A1953" s="10" t="s">
        <v>478</v>
      </c>
      <c r="B1953" s="10" t="s">
        <v>381</v>
      </c>
      <c r="C1953" s="124">
        <v>46365</v>
      </c>
      <c r="D1953" s="124" t="s">
        <v>492</v>
      </c>
      <c r="E1953" s="21">
        <v>0.93285978000000003</v>
      </c>
      <c r="F1953" s="10"/>
      <c r="G1953" s="14">
        <v>15000000</v>
      </c>
      <c r="H1953" s="14">
        <v>13992896.630000001</v>
      </c>
      <c r="I1953" s="14">
        <v>15000000</v>
      </c>
      <c r="J1953" s="14">
        <v>13992896.630000001</v>
      </c>
      <c r="K1953" s="12">
        <v>90023081</v>
      </c>
      <c r="L1953" s="10" t="s">
        <v>101</v>
      </c>
      <c r="M1953" s="10" t="s">
        <v>102</v>
      </c>
      <c r="N1953" s="124" t="s">
        <v>157</v>
      </c>
      <c r="O1953" s="124" t="s">
        <v>157</v>
      </c>
      <c r="P1953" s="21">
        <v>37</v>
      </c>
      <c r="Q1953" s="10" t="s">
        <v>54</v>
      </c>
      <c r="R1953" s="10" t="s">
        <v>28</v>
      </c>
      <c r="S1953" s="10"/>
      <c r="T1953" s="10"/>
      <c r="U1953" s="10" t="s">
        <v>648</v>
      </c>
      <c r="V1953" s="10" t="s">
        <v>648</v>
      </c>
      <c r="W1953" s="50">
        <f>+J1953/$W$2</f>
        <v>1.8602952721859164E-4</v>
      </c>
    </row>
    <row r="1954" spans="1:29">
      <c r="A1954" s="10" t="s">
        <v>353</v>
      </c>
      <c r="B1954" s="10" t="s">
        <v>381</v>
      </c>
      <c r="C1954" s="124">
        <v>46366</v>
      </c>
      <c r="D1954" s="124" t="s">
        <v>492</v>
      </c>
      <c r="E1954" s="21">
        <v>0.93369493999999997</v>
      </c>
      <c r="F1954" s="10"/>
      <c r="G1954" s="14">
        <v>3105640.28</v>
      </c>
      <c r="H1954" s="14">
        <v>2899720.6</v>
      </c>
      <c r="I1954" s="14">
        <v>3105640.28</v>
      </c>
      <c r="J1954" s="14">
        <v>2899720.6</v>
      </c>
      <c r="K1954" s="12">
        <v>3391</v>
      </c>
      <c r="L1954" s="10" t="s">
        <v>101</v>
      </c>
      <c r="M1954" s="10" t="s">
        <v>102</v>
      </c>
      <c r="N1954" s="124" t="s">
        <v>551</v>
      </c>
      <c r="O1954" s="124" t="s">
        <v>551</v>
      </c>
      <c r="P1954" s="21">
        <v>36</v>
      </c>
      <c r="Q1954" s="10" t="s">
        <v>54</v>
      </c>
      <c r="R1954" s="10" t="s">
        <v>28</v>
      </c>
      <c r="S1954" s="10"/>
      <c r="T1954" s="10"/>
      <c r="U1954" s="10" t="s">
        <v>2226</v>
      </c>
      <c r="V1954" s="10" t="s">
        <v>2226</v>
      </c>
      <c r="W1954" s="50">
        <f>+J1954/$W$2</f>
        <v>3.8550535071308599E-5</v>
      </c>
    </row>
    <row r="1955" spans="1:29">
      <c r="A1955" s="10" t="s">
        <v>353</v>
      </c>
      <c r="B1955" s="10" t="s">
        <v>381</v>
      </c>
      <c r="C1955" s="124">
        <v>46366</v>
      </c>
      <c r="D1955" s="124" t="s">
        <v>492</v>
      </c>
      <c r="E1955" s="21">
        <v>0.93369495999999996</v>
      </c>
      <c r="F1955" s="10"/>
      <c r="G1955" s="14">
        <v>2874176.47</v>
      </c>
      <c r="H1955" s="14">
        <v>2683604.08</v>
      </c>
      <c r="I1955" s="14">
        <v>2874176.47</v>
      </c>
      <c r="J1955" s="14">
        <v>2683604.08</v>
      </c>
      <c r="K1955" s="12">
        <v>3439</v>
      </c>
      <c r="L1955" s="10" t="s">
        <v>101</v>
      </c>
      <c r="M1955" s="10" t="s">
        <v>102</v>
      </c>
      <c r="N1955" s="124" t="s">
        <v>552</v>
      </c>
      <c r="O1955" s="124" t="s">
        <v>552</v>
      </c>
      <c r="P1955" s="21">
        <v>36</v>
      </c>
      <c r="Q1955" s="10" t="s">
        <v>54</v>
      </c>
      <c r="R1955" s="10" t="s">
        <v>28</v>
      </c>
      <c r="S1955" s="10"/>
      <c r="T1955" s="10"/>
      <c r="U1955" s="10" t="s">
        <v>2365</v>
      </c>
      <c r="V1955" s="10" t="s">
        <v>2365</v>
      </c>
      <c r="W1955" s="50">
        <f>+J1955/$W$2</f>
        <v>3.567735912333997E-5</v>
      </c>
    </row>
    <row r="1956" spans="1:29">
      <c r="A1956" s="10" t="s">
        <v>353</v>
      </c>
      <c r="B1956" s="10" t="s">
        <v>381</v>
      </c>
      <c r="C1956" s="124">
        <v>46366</v>
      </c>
      <c r="D1956" s="124" t="s">
        <v>492</v>
      </c>
      <c r="E1956" s="21">
        <v>0.93369495999999996</v>
      </c>
      <c r="F1956" s="10"/>
      <c r="G1956" s="14">
        <v>3841101.28</v>
      </c>
      <c r="H1956" s="14">
        <v>3586416.89</v>
      </c>
      <c r="I1956" s="14">
        <v>3841101.28</v>
      </c>
      <c r="J1956" s="14">
        <v>3586416.89</v>
      </c>
      <c r="K1956" s="12">
        <v>3369</v>
      </c>
      <c r="L1956" s="10" t="s">
        <v>101</v>
      </c>
      <c r="M1956" s="10" t="s">
        <v>102</v>
      </c>
      <c r="N1956" s="124" t="s">
        <v>552</v>
      </c>
      <c r="O1956" s="124" t="s">
        <v>552</v>
      </c>
      <c r="P1956" s="21">
        <v>36</v>
      </c>
      <c r="Q1956" s="10" t="s">
        <v>54</v>
      </c>
      <c r="R1956" s="10" t="s">
        <v>28</v>
      </c>
      <c r="S1956" s="10"/>
      <c r="T1956" s="10"/>
      <c r="U1956" s="10" t="s">
        <v>2366</v>
      </c>
      <c r="V1956" s="10" t="s">
        <v>2366</v>
      </c>
      <c r="W1956" s="50">
        <f>+J1956/$W$2</f>
        <v>4.7679866156166391E-5</v>
      </c>
    </row>
    <row r="1957" spans="1:29">
      <c r="A1957" s="10" t="s">
        <v>2420</v>
      </c>
      <c r="B1957" s="10" t="s">
        <v>381</v>
      </c>
      <c r="C1957" s="124">
        <v>46366</v>
      </c>
      <c r="D1957" s="124" t="s">
        <v>492</v>
      </c>
      <c r="E1957" s="21">
        <v>0.93888267999999997</v>
      </c>
      <c r="F1957" s="10"/>
      <c r="G1957" s="14">
        <v>5000000</v>
      </c>
      <c r="H1957" s="14">
        <v>4694413.41</v>
      </c>
      <c r="I1957" s="14">
        <v>5000000</v>
      </c>
      <c r="J1957" s="14">
        <v>4694413.41</v>
      </c>
      <c r="K1957" s="12">
        <v>2876</v>
      </c>
      <c r="L1957" s="10" t="s">
        <v>101</v>
      </c>
      <c r="M1957" s="10" t="s">
        <v>102</v>
      </c>
      <c r="N1957" s="124" t="s">
        <v>552</v>
      </c>
      <c r="O1957" s="124" t="s">
        <v>552</v>
      </c>
      <c r="P1957" s="21">
        <v>33</v>
      </c>
      <c r="Q1957" s="10" t="s">
        <v>54</v>
      </c>
      <c r="R1957" s="10" t="s">
        <v>28</v>
      </c>
      <c r="S1957" s="10"/>
      <c r="T1957" s="10"/>
      <c r="U1957" s="10" t="s">
        <v>2351</v>
      </c>
      <c r="V1957" s="10" t="s">
        <v>2351</v>
      </c>
      <c r="W1957" s="50">
        <f>+J1957/$W$2</f>
        <v>6.2410202142036163E-5</v>
      </c>
      <c r="AC1957" s="47"/>
    </row>
    <row r="1958" spans="1:29">
      <c r="A1958" s="10" t="s">
        <v>762</v>
      </c>
      <c r="B1958" s="10" t="s">
        <v>381</v>
      </c>
      <c r="C1958" s="124">
        <v>46366</v>
      </c>
      <c r="D1958" s="124" t="s">
        <v>492</v>
      </c>
      <c r="E1958" s="21">
        <v>0.94943314999999995</v>
      </c>
      <c r="F1958" s="10"/>
      <c r="G1958" s="14">
        <v>33250000</v>
      </c>
      <c r="H1958" s="14">
        <v>31568652.16</v>
      </c>
      <c r="I1958" s="14">
        <v>33250000</v>
      </c>
      <c r="J1958" s="14">
        <v>31568652.16</v>
      </c>
      <c r="K1958" s="12">
        <v>32242</v>
      </c>
      <c r="L1958" s="10" t="s">
        <v>101</v>
      </c>
      <c r="M1958" s="10" t="s">
        <v>102</v>
      </c>
      <c r="N1958" s="124" t="s">
        <v>422</v>
      </c>
      <c r="O1958" s="124" t="s">
        <v>422</v>
      </c>
      <c r="P1958" s="21">
        <v>27</v>
      </c>
      <c r="Q1958" s="10" t="s">
        <v>54</v>
      </c>
      <c r="R1958" s="10" t="s">
        <v>28</v>
      </c>
      <c r="S1958" s="10"/>
      <c r="T1958" s="10"/>
      <c r="U1958" s="10" t="s">
        <v>2731</v>
      </c>
      <c r="V1958" s="10" t="s">
        <v>2731</v>
      </c>
      <c r="W1958" s="50">
        <f>+J1958/$W$2</f>
        <v>4.1969161865043891E-4</v>
      </c>
    </row>
    <row r="1959" spans="1:29">
      <c r="A1959" s="10" t="s">
        <v>2164</v>
      </c>
      <c r="B1959" s="10" t="s">
        <v>381</v>
      </c>
      <c r="C1959" s="124">
        <v>46366</v>
      </c>
      <c r="D1959" s="124" t="s">
        <v>492</v>
      </c>
      <c r="E1959" s="21">
        <v>0.94062477</v>
      </c>
      <c r="F1959" s="10"/>
      <c r="G1959" s="14">
        <v>13000000</v>
      </c>
      <c r="H1959" s="14">
        <v>12228121.970000001</v>
      </c>
      <c r="I1959" s="14">
        <v>13000000</v>
      </c>
      <c r="J1959" s="14">
        <v>12228121.970000001</v>
      </c>
      <c r="K1959" s="12">
        <v>1307</v>
      </c>
      <c r="L1959" s="10" t="s">
        <v>101</v>
      </c>
      <c r="M1959" s="10" t="s">
        <v>102</v>
      </c>
      <c r="N1959" s="124" t="s">
        <v>416</v>
      </c>
      <c r="O1959" s="124" t="s">
        <v>416</v>
      </c>
      <c r="P1959" s="21">
        <v>32</v>
      </c>
      <c r="Q1959" s="10" t="s">
        <v>54</v>
      </c>
      <c r="R1959" s="10" t="s">
        <v>28</v>
      </c>
      <c r="S1959" s="10"/>
      <c r="T1959" s="10"/>
      <c r="U1959" s="10" t="s">
        <v>2139</v>
      </c>
      <c r="V1959" s="10" t="s">
        <v>2139</v>
      </c>
      <c r="W1959" s="50">
        <f>+J1959/$W$2</f>
        <v>1.625676090519632E-4</v>
      </c>
    </row>
    <row r="1960" spans="1:29">
      <c r="A1960" s="10" t="s">
        <v>273</v>
      </c>
      <c r="B1960" s="10" t="s">
        <v>381</v>
      </c>
      <c r="C1960" s="124">
        <v>46366</v>
      </c>
      <c r="D1960" s="124" t="s">
        <v>492</v>
      </c>
      <c r="E1960" s="21">
        <v>0.94943295999999999</v>
      </c>
      <c r="F1960" s="10"/>
      <c r="G1960" s="14">
        <v>25000000</v>
      </c>
      <c r="H1960" s="14">
        <v>23735823.98</v>
      </c>
      <c r="I1960" s="14">
        <v>25000000</v>
      </c>
      <c r="J1960" s="14">
        <v>23735823.98</v>
      </c>
      <c r="K1960" s="12">
        <v>12742293</v>
      </c>
      <c r="L1960" s="10" t="s">
        <v>101</v>
      </c>
      <c r="M1960" s="10" t="s">
        <v>102</v>
      </c>
      <c r="N1960" s="124" t="s">
        <v>434</v>
      </c>
      <c r="O1960" s="124" t="s">
        <v>434</v>
      </c>
      <c r="P1960" s="21">
        <v>27</v>
      </c>
      <c r="Q1960" s="10" t="s">
        <v>54</v>
      </c>
      <c r="R1960" s="10" t="s">
        <v>28</v>
      </c>
      <c r="S1960" s="10"/>
      <c r="T1960" s="10"/>
      <c r="U1960" s="10" t="s">
        <v>2989</v>
      </c>
      <c r="V1960" s="10" t="s">
        <v>2989</v>
      </c>
      <c r="W1960" s="50">
        <f>+J1960/$W$2</f>
        <v>3.1555754536743904E-4</v>
      </c>
    </row>
    <row r="1961" spans="1:29">
      <c r="A1961" s="10" t="s">
        <v>1434</v>
      </c>
      <c r="B1961" s="10" t="s">
        <v>381</v>
      </c>
      <c r="C1961" s="124">
        <v>46366</v>
      </c>
      <c r="D1961" s="124" t="s">
        <v>492</v>
      </c>
      <c r="E1961" s="21">
        <v>0.94765820000000001</v>
      </c>
      <c r="F1961" s="10"/>
      <c r="G1961" s="14">
        <v>15000000</v>
      </c>
      <c r="H1961" s="14">
        <v>14214873.02</v>
      </c>
      <c r="I1961" s="14">
        <v>15000000</v>
      </c>
      <c r="J1961" s="14">
        <v>14214873.02</v>
      </c>
      <c r="K1961" s="12">
        <v>2285661</v>
      </c>
      <c r="L1961" s="10" t="s">
        <v>101</v>
      </c>
      <c r="M1961" s="10" t="s">
        <v>102</v>
      </c>
      <c r="N1961" s="124" t="s">
        <v>548</v>
      </c>
      <c r="O1961" s="124" t="s">
        <v>548</v>
      </c>
      <c r="P1961" s="21">
        <v>28</v>
      </c>
      <c r="Q1961" s="10" t="s">
        <v>54</v>
      </c>
      <c r="R1961" s="10" t="s">
        <v>28</v>
      </c>
      <c r="S1961" s="10"/>
      <c r="T1961" s="10"/>
      <c r="U1961" s="10" t="s">
        <v>1421</v>
      </c>
      <c r="V1961" s="10" t="s">
        <v>1421</v>
      </c>
      <c r="W1961" s="50">
        <f>+J1961/$W$2</f>
        <v>1.8898060761154311E-4</v>
      </c>
    </row>
    <row r="1962" spans="1:29">
      <c r="A1962" s="10" t="s">
        <v>686</v>
      </c>
      <c r="B1962" s="10" t="s">
        <v>381</v>
      </c>
      <c r="C1962" s="124">
        <v>46366</v>
      </c>
      <c r="D1962" s="124" t="s">
        <v>492</v>
      </c>
      <c r="E1962" s="21">
        <v>0.93369497000000001</v>
      </c>
      <c r="F1962" s="10"/>
      <c r="G1962" s="14">
        <v>11500000</v>
      </c>
      <c r="H1962" s="14">
        <v>10737492.15</v>
      </c>
      <c r="I1962" s="14">
        <v>11500000</v>
      </c>
      <c r="J1962" s="14">
        <v>10737492.15</v>
      </c>
      <c r="K1962" s="12">
        <v>10468668</v>
      </c>
      <c r="L1962" s="10" t="s">
        <v>101</v>
      </c>
      <c r="M1962" s="10" t="s">
        <v>102</v>
      </c>
      <c r="N1962" s="124" t="s">
        <v>279</v>
      </c>
      <c r="O1962" s="124" t="s">
        <v>279</v>
      </c>
      <c r="P1962" s="21">
        <v>36</v>
      </c>
      <c r="Q1962" s="10" t="s">
        <v>54</v>
      </c>
      <c r="R1962" s="10" t="s">
        <v>28</v>
      </c>
      <c r="S1962" s="10"/>
      <c r="T1962" s="10"/>
      <c r="U1962" s="10" t="s">
        <v>1195</v>
      </c>
      <c r="V1962" s="10" t="s">
        <v>1195</v>
      </c>
      <c r="W1962" s="50">
        <f>+J1962/$W$2</f>
        <v>1.4275032832696907E-4</v>
      </c>
    </row>
    <row r="1963" spans="1:29">
      <c r="A1963" s="10" t="s">
        <v>478</v>
      </c>
      <c r="B1963" s="10" t="s">
        <v>381</v>
      </c>
      <c r="C1963" s="124">
        <v>46366</v>
      </c>
      <c r="D1963" s="124" t="s">
        <v>492</v>
      </c>
      <c r="E1963" s="21">
        <v>0.93197843000000002</v>
      </c>
      <c r="F1963" s="10"/>
      <c r="G1963" s="14">
        <v>15000000</v>
      </c>
      <c r="H1963" s="14">
        <v>13979676.42</v>
      </c>
      <c r="I1963" s="14">
        <v>15000000</v>
      </c>
      <c r="J1963" s="14">
        <v>13979676.42</v>
      </c>
      <c r="K1963" s="12">
        <v>90023083</v>
      </c>
      <c r="L1963" s="10" t="s">
        <v>101</v>
      </c>
      <c r="M1963" s="10" t="s">
        <v>102</v>
      </c>
      <c r="N1963" s="124" t="s">
        <v>157</v>
      </c>
      <c r="O1963" s="124" t="s">
        <v>157</v>
      </c>
      <c r="P1963" s="21">
        <v>37</v>
      </c>
      <c r="Q1963" s="10" t="s">
        <v>54</v>
      </c>
      <c r="R1963" s="10" t="s">
        <v>28</v>
      </c>
      <c r="S1963" s="10"/>
      <c r="T1963" s="10"/>
      <c r="U1963" s="10" t="s">
        <v>649</v>
      </c>
      <c r="V1963" s="10" t="s">
        <v>649</v>
      </c>
      <c r="W1963" s="50">
        <f>+J1963/$W$2</f>
        <v>1.8585377022695075E-4</v>
      </c>
    </row>
    <row r="1964" spans="1:29">
      <c r="A1964" s="10" t="s">
        <v>427</v>
      </c>
      <c r="B1964" s="10" t="s">
        <v>381</v>
      </c>
      <c r="C1964" s="124">
        <v>46366</v>
      </c>
      <c r="D1964" s="124" t="s">
        <v>492</v>
      </c>
      <c r="E1964" s="21">
        <v>0.94765814000000004</v>
      </c>
      <c r="F1964" s="10"/>
      <c r="G1964" s="14">
        <v>8400000</v>
      </c>
      <c r="H1964" s="14">
        <v>7960328.3399999999</v>
      </c>
      <c r="I1964" s="14">
        <v>8400000</v>
      </c>
      <c r="J1964" s="14">
        <v>7960328.3399999999</v>
      </c>
      <c r="K1964" s="12">
        <v>2453</v>
      </c>
      <c r="L1964" s="10" t="s">
        <v>101</v>
      </c>
      <c r="M1964" s="10" t="s">
        <v>102</v>
      </c>
      <c r="N1964" s="124" t="s">
        <v>434</v>
      </c>
      <c r="O1964" s="124" t="s">
        <v>434</v>
      </c>
      <c r="P1964" s="21">
        <v>28</v>
      </c>
      <c r="Q1964" s="10" t="s">
        <v>54</v>
      </c>
      <c r="R1964" s="10" t="s">
        <v>28</v>
      </c>
      <c r="S1964" s="10"/>
      <c r="T1964" s="10"/>
      <c r="U1964" s="10" t="s">
        <v>2967</v>
      </c>
      <c r="V1964" s="10" t="s">
        <v>2967</v>
      </c>
      <c r="W1964" s="50">
        <f>+J1964/$W$2</f>
        <v>1.0582913293449781E-4</v>
      </c>
    </row>
    <row r="1965" spans="1:29">
      <c r="A1965" s="10" t="s">
        <v>477</v>
      </c>
      <c r="B1965" s="10" t="s">
        <v>381</v>
      </c>
      <c r="C1965" s="124">
        <v>46367</v>
      </c>
      <c r="D1965" s="124" t="s">
        <v>492</v>
      </c>
      <c r="E1965" s="21">
        <v>0.94161965000000003</v>
      </c>
      <c r="F1965" s="10"/>
      <c r="G1965" s="14">
        <v>10000000</v>
      </c>
      <c r="H1965" s="14">
        <v>9416196.5099999998</v>
      </c>
      <c r="I1965" s="14">
        <v>10000000</v>
      </c>
      <c r="J1965" s="14">
        <v>9416196.5099999998</v>
      </c>
      <c r="K1965" s="12">
        <v>179</v>
      </c>
      <c r="L1965" s="10" t="s">
        <v>101</v>
      </c>
      <c r="M1965" s="10" t="s">
        <v>102</v>
      </c>
      <c r="N1965" s="124" t="s">
        <v>164</v>
      </c>
      <c r="O1965" s="124" t="s">
        <v>164</v>
      </c>
      <c r="P1965" s="21">
        <v>31</v>
      </c>
      <c r="Q1965" s="10" t="s">
        <v>54</v>
      </c>
      <c r="R1965" s="10" t="s">
        <v>28</v>
      </c>
      <c r="S1965" s="10"/>
      <c r="T1965" s="10"/>
      <c r="U1965" s="10" t="s">
        <v>1942</v>
      </c>
      <c r="V1965" s="10" t="s">
        <v>1942</v>
      </c>
      <c r="W1965" s="50">
        <f>+J1965/$W$2</f>
        <v>1.251842725113201E-4</v>
      </c>
    </row>
    <row r="1966" spans="1:29">
      <c r="A1966" s="10" t="s">
        <v>477</v>
      </c>
      <c r="B1966" s="10" t="s">
        <v>381</v>
      </c>
      <c r="C1966" s="124">
        <v>46367</v>
      </c>
      <c r="D1966" s="124" t="s">
        <v>492</v>
      </c>
      <c r="E1966" s="21">
        <v>0.94696977999999998</v>
      </c>
      <c r="F1966" s="10"/>
      <c r="G1966" s="14">
        <v>32500000</v>
      </c>
      <c r="H1966" s="14">
        <v>30776517.829999998</v>
      </c>
      <c r="I1966" s="14">
        <v>32500000</v>
      </c>
      <c r="J1966" s="14">
        <v>30776517.829999998</v>
      </c>
      <c r="K1966" s="12">
        <v>1367871</v>
      </c>
      <c r="L1966" s="10" t="s">
        <v>101</v>
      </c>
      <c r="M1966" s="10" t="s">
        <v>102</v>
      </c>
      <c r="N1966" s="124" t="s">
        <v>472</v>
      </c>
      <c r="O1966" s="124" t="s">
        <v>472</v>
      </c>
      <c r="P1966" s="21">
        <v>28</v>
      </c>
      <c r="Q1966" s="10" t="s">
        <v>54</v>
      </c>
      <c r="R1966" s="10" t="s">
        <v>28</v>
      </c>
      <c r="S1966" s="10"/>
      <c r="T1966" s="10"/>
      <c r="U1966" s="10" t="s">
        <v>3173</v>
      </c>
      <c r="V1966" s="10" t="s">
        <v>3173</v>
      </c>
      <c r="W1966" s="50">
        <f>+J1966/$W$2</f>
        <v>4.0916053428670656E-4</v>
      </c>
    </row>
    <row r="1967" spans="1:29">
      <c r="A1967" s="10" t="s">
        <v>477</v>
      </c>
      <c r="B1967" s="10" t="s">
        <v>381</v>
      </c>
      <c r="C1967" s="124">
        <v>46367</v>
      </c>
      <c r="D1967" s="124" t="s">
        <v>492</v>
      </c>
      <c r="E1967" s="21">
        <v>0.94339638999999997</v>
      </c>
      <c r="F1967" s="10"/>
      <c r="G1967" s="14">
        <v>30000000</v>
      </c>
      <c r="H1967" s="14">
        <v>28301891.710000001</v>
      </c>
      <c r="I1967" s="14">
        <v>30000000</v>
      </c>
      <c r="J1967" s="14">
        <v>28301891.710000001</v>
      </c>
      <c r="K1967" s="12">
        <v>705</v>
      </c>
      <c r="L1967" s="10" t="s">
        <v>101</v>
      </c>
      <c r="M1967" s="10" t="s">
        <v>102</v>
      </c>
      <c r="N1967" s="124" t="s">
        <v>422</v>
      </c>
      <c r="O1967" s="124" t="s">
        <v>422</v>
      </c>
      <c r="P1967" s="21">
        <v>30</v>
      </c>
      <c r="Q1967" s="10" t="s">
        <v>54</v>
      </c>
      <c r="R1967" s="10" t="s">
        <v>28</v>
      </c>
      <c r="S1967" s="10"/>
      <c r="T1967" s="10"/>
      <c r="U1967" s="10" t="s">
        <v>2713</v>
      </c>
      <c r="V1967" s="10" t="s">
        <v>2713</v>
      </c>
      <c r="W1967" s="50">
        <f>+J1967/$W$2</f>
        <v>3.7626144703414979E-4</v>
      </c>
    </row>
    <row r="1968" spans="1:29">
      <c r="A1968" s="10" t="s">
        <v>477</v>
      </c>
      <c r="B1968" s="10" t="s">
        <v>381</v>
      </c>
      <c r="C1968" s="124">
        <v>46367</v>
      </c>
      <c r="D1968" s="124" t="s">
        <v>492</v>
      </c>
      <c r="E1968" s="21">
        <v>0.94696985</v>
      </c>
      <c r="F1968" s="10"/>
      <c r="G1968" s="14">
        <v>8000000</v>
      </c>
      <c r="H1968" s="14">
        <v>7575758.8099999996</v>
      </c>
      <c r="I1968" s="14">
        <v>8000000</v>
      </c>
      <c r="J1968" s="14">
        <v>7575758.8099999996</v>
      </c>
      <c r="K1968" s="12">
        <v>6497</v>
      </c>
      <c r="L1968" s="10" t="s">
        <v>101</v>
      </c>
      <c r="M1968" s="10" t="s">
        <v>102</v>
      </c>
      <c r="N1968" s="124" t="s">
        <v>422</v>
      </c>
      <c r="O1968" s="124" t="s">
        <v>422</v>
      </c>
      <c r="P1968" s="21">
        <v>28</v>
      </c>
      <c r="Q1968" s="10" t="s">
        <v>54</v>
      </c>
      <c r="R1968" s="10" t="s">
        <v>28</v>
      </c>
      <c r="S1968" s="10"/>
      <c r="T1968" s="10"/>
      <c r="U1968" s="10" t="s">
        <v>2727</v>
      </c>
      <c r="V1968" s="10" t="s">
        <v>2727</v>
      </c>
      <c r="W1968" s="50">
        <f>+J1968/$W$2</f>
        <v>1.0071644685238986E-4</v>
      </c>
    </row>
    <row r="1969" spans="1:23">
      <c r="A1969" s="10" t="s">
        <v>477</v>
      </c>
      <c r="B1969" s="10" t="s">
        <v>381</v>
      </c>
      <c r="C1969" s="124">
        <v>46367</v>
      </c>
      <c r="D1969" s="124" t="s">
        <v>492</v>
      </c>
      <c r="E1969" s="21">
        <v>0.94696985</v>
      </c>
      <c r="F1969" s="10"/>
      <c r="G1969" s="14">
        <v>8000000</v>
      </c>
      <c r="H1969" s="14">
        <v>7575758.8099999996</v>
      </c>
      <c r="I1969" s="14">
        <v>8000000</v>
      </c>
      <c r="J1969" s="14">
        <v>7575758.8099999996</v>
      </c>
      <c r="K1969" s="12">
        <v>6496</v>
      </c>
      <c r="L1969" s="10" t="s">
        <v>101</v>
      </c>
      <c r="M1969" s="10" t="s">
        <v>102</v>
      </c>
      <c r="N1969" s="124" t="s">
        <v>422</v>
      </c>
      <c r="O1969" s="124" t="s">
        <v>422</v>
      </c>
      <c r="P1969" s="21">
        <v>28</v>
      </c>
      <c r="Q1969" s="10" t="s">
        <v>54</v>
      </c>
      <c r="R1969" s="10" t="s">
        <v>28</v>
      </c>
      <c r="S1969" s="10"/>
      <c r="T1969" s="10"/>
      <c r="U1969" s="10" t="s">
        <v>2729</v>
      </c>
      <c r="V1969" s="10" t="s">
        <v>2729</v>
      </c>
      <c r="W1969" s="50">
        <f>+J1969/$W$2</f>
        <v>1.0071644685238986E-4</v>
      </c>
    </row>
    <row r="1970" spans="1:23">
      <c r="A1970" s="10" t="s">
        <v>2705</v>
      </c>
      <c r="B1970" s="10" t="s">
        <v>381</v>
      </c>
      <c r="C1970" s="124">
        <v>46367</v>
      </c>
      <c r="D1970" s="124" t="s">
        <v>492</v>
      </c>
      <c r="E1970" s="21">
        <v>0.93984973000000005</v>
      </c>
      <c r="F1970" s="10"/>
      <c r="G1970" s="14">
        <v>8000000</v>
      </c>
      <c r="H1970" s="14">
        <v>7518797.8300000001</v>
      </c>
      <c r="I1970" s="14">
        <v>8000000</v>
      </c>
      <c r="J1970" s="14">
        <v>7518797.8300000001</v>
      </c>
      <c r="K1970" s="12">
        <v>1786</v>
      </c>
      <c r="L1970" s="10" t="s">
        <v>101</v>
      </c>
      <c r="M1970" s="10" t="s">
        <v>102</v>
      </c>
      <c r="N1970" s="124" t="s">
        <v>420</v>
      </c>
      <c r="O1970" s="124" t="s">
        <v>420</v>
      </c>
      <c r="P1970" s="21">
        <v>32</v>
      </c>
      <c r="Q1970" s="10" t="s">
        <v>54</v>
      </c>
      <c r="R1970" s="10" t="s">
        <v>28</v>
      </c>
      <c r="S1970" s="10"/>
      <c r="T1970" s="10"/>
      <c r="U1970" s="10" t="s">
        <v>2684</v>
      </c>
      <c r="V1970" s="10" t="s">
        <v>2684</v>
      </c>
      <c r="W1970" s="50">
        <f>+J1970/$W$2</f>
        <v>9.9959175183807005E-5</v>
      </c>
    </row>
    <row r="1971" spans="1:23">
      <c r="A1971" s="10" t="s">
        <v>2705</v>
      </c>
      <c r="B1971" s="10" t="s">
        <v>381</v>
      </c>
      <c r="C1971" s="124">
        <v>46367</v>
      </c>
      <c r="D1971" s="124" t="s">
        <v>492</v>
      </c>
      <c r="E1971" s="21">
        <v>0.93984973000000005</v>
      </c>
      <c r="F1971" s="10"/>
      <c r="G1971" s="14">
        <v>8000000</v>
      </c>
      <c r="H1971" s="14">
        <v>7518797.8300000001</v>
      </c>
      <c r="I1971" s="14">
        <v>8000000</v>
      </c>
      <c r="J1971" s="14">
        <v>7518797.8300000001</v>
      </c>
      <c r="K1971" s="12">
        <v>1790</v>
      </c>
      <c r="L1971" s="10" t="s">
        <v>101</v>
      </c>
      <c r="M1971" s="10" t="s">
        <v>102</v>
      </c>
      <c r="N1971" s="124" t="s">
        <v>420</v>
      </c>
      <c r="O1971" s="124" t="s">
        <v>420</v>
      </c>
      <c r="P1971" s="21">
        <v>32</v>
      </c>
      <c r="Q1971" s="10" t="s">
        <v>54</v>
      </c>
      <c r="R1971" s="10" t="s">
        <v>28</v>
      </c>
      <c r="S1971" s="10"/>
      <c r="T1971" s="10"/>
      <c r="U1971" s="10" t="s">
        <v>2685</v>
      </c>
      <c r="V1971" s="10" t="s">
        <v>2685</v>
      </c>
      <c r="W1971" s="50">
        <f>+J1971/$W$2</f>
        <v>9.9959175183807005E-5</v>
      </c>
    </row>
    <row r="1972" spans="1:23">
      <c r="A1972" s="10" t="s">
        <v>2705</v>
      </c>
      <c r="B1972" s="10" t="s">
        <v>381</v>
      </c>
      <c r="C1972" s="124">
        <v>46367</v>
      </c>
      <c r="D1972" s="124" t="s">
        <v>492</v>
      </c>
      <c r="E1972" s="21">
        <v>0.93984973000000005</v>
      </c>
      <c r="F1972" s="10"/>
      <c r="G1972" s="14">
        <v>8000000</v>
      </c>
      <c r="H1972" s="14">
        <v>7518797.8300000001</v>
      </c>
      <c r="I1972" s="14">
        <v>8000000</v>
      </c>
      <c r="J1972" s="14">
        <v>7518797.8300000001</v>
      </c>
      <c r="K1972" s="12">
        <v>1789</v>
      </c>
      <c r="L1972" s="10" t="s">
        <v>101</v>
      </c>
      <c r="M1972" s="10" t="s">
        <v>102</v>
      </c>
      <c r="N1972" s="124" t="s">
        <v>420</v>
      </c>
      <c r="O1972" s="124" t="s">
        <v>420</v>
      </c>
      <c r="P1972" s="21">
        <v>32</v>
      </c>
      <c r="Q1972" s="10" t="s">
        <v>54</v>
      </c>
      <c r="R1972" s="10" t="s">
        <v>28</v>
      </c>
      <c r="S1972" s="10"/>
      <c r="T1972" s="10"/>
      <c r="U1972" s="10" t="s">
        <v>2686</v>
      </c>
      <c r="V1972" s="10" t="s">
        <v>2686</v>
      </c>
      <c r="W1972" s="50">
        <f>+J1972/$W$2</f>
        <v>9.9959175183807005E-5</v>
      </c>
    </row>
    <row r="1973" spans="1:23">
      <c r="A1973" s="10" t="s">
        <v>2705</v>
      </c>
      <c r="B1973" s="10" t="s">
        <v>381</v>
      </c>
      <c r="C1973" s="124">
        <v>46367</v>
      </c>
      <c r="D1973" s="124" t="s">
        <v>492</v>
      </c>
      <c r="E1973" s="21">
        <v>0.93984973000000005</v>
      </c>
      <c r="F1973" s="10"/>
      <c r="G1973" s="14">
        <v>8000000</v>
      </c>
      <c r="H1973" s="14">
        <v>7518797.8300000001</v>
      </c>
      <c r="I1973" s="14">
        <v>8000000</v>
      </c>
      <c r="J1973" s="14">
        <v>7518797.8300000001</v>
      </c>
      <c r="K1973" s="12">
        <v>1788</v>
      </c>
      <c r="L1973" s="10" t="s">
        <v>101</v>
      </c>
      <c r="M1973" s="10" t="s">
        <v>102</v>
      </c>
      <c r="N1973" s="124" t="s">
        <v>420</v>
      </c>
      <c r="O1973" s="124" t="s">
        <v>420</v>
      </c>
      <c r="P1973" s="21">
        <v>32</v>
      </c>
      <c r="Q1973" s="10" t="s">
        <v>54</v>
      </c>
      <c r="R1973" s="10" t="s">
        <v>28</v>
      </c>
      <c r="S1973" s="10"/>
      <c r="T1973" s="10"/>
      <c r="U1973" s="10" t="s">
        <v>2687</v>
      </c>
      <c r="V1973" s="10" t="s">
        <v>2687</v>
      </c>
      <c r="W1973" s="50">
        <f>+J1973/$W$2</f>
        <v>9.9959175183807005E-5</v>
      </c>
    </row>
    <row r="1974" spans="1:23">
      <c r="A1974" s="10" t="s">
        <v>2705</v>
      </c>
      <c r="B1974" s="10" t="s">
        <v>381</v>
      </c>
      <c r="C1974" s="124">
        <v>46367</v>
      </c>
      <c r="D1974" s="124" t="s">
        <v>492</v>
      </c>
      <c r="E1974" s="21">
        <v>0.93984973000000005</v>
      </c>
      <c r="F1974" s="10"/>
      <c r="G1974" s="14">
        <v>8000000</v>
      </c>
      <c r="H1974" s="14">
        <v>7518797.8300000001</v>
      </c>
      <c r="I1974" s="14">
        <v>8000000</v>
      </c>
      <c r="J1974" s="14">
        <v>7518797.8300000001</v>
      </c>
      <c r="K1974" s="12">
        <v>1787</v>
      </c>
      <c r="L1974" s="10" t="s">
        <v>101</v>
      </c>
      <c r="M1974" s="10" t="s">
        <v>102</v>
      </c>
      <c r="N1974" s="124" t="s">
        <v>420</v>
      </c>
      <c r="O1974" s="124" t="s">
        <v>420</v>
      </c>
      <c r="P1974" s="21">
        <v>32</v>
      </c>
      <c r="Q1974" s="10" t="s">
        <v>54</v>
      </c>
      <c r="R1974" s="10" t="s">
        <v>28</v>
      </c>
      <c r="S1974" s="10"/>
      <c r="T1974" s="10"/>
      <c r="U1974" s="10" t="s">
        <v>2688</v>
      </c>
      <c r="V1974" s="10" t="s">
        <v>2688</v>
      </c>
      <c r="W1974" s="50">
        <f>+J1974/$W$2</f>
        <v>9.9959175183807005E-5</v>
      </c>
    </row>
    <row r="1975" spans="1:23">
      <c r="A1975" s="10" t="s">
        <v>2918</v>
      </c>
      <c r="B1975" s="10" t="s">
        <v>381</v>
      </c>
      <c r="C1975" s="124">
        <v>46367</v>
      </c>
      <c r="D1975" s="124" t="s">
        <v>492</v>
      </c>
      <c r="E1975" s="21">
        <v>0.93457970000000001</v>
      </c>
      <c r="F1975" s="10"/>
      <c r="G1975" s="14">
        <v>5000000</v>
      </c>
      <c r="H1975" s="14">
        <v>4672898.51</v>
      </c>
      <c r="I1975" s="14">
        <v>5000000</v>
      </c>
      <c r="J1975" s="14">
        <v>4672898.51</v>
      </c>
      <c r="K1975" s="12">
        <v>541</v>
      </c>
      <c r="L1975" s="10" t="s">
        <v>101</v>
      </c>
      <c r="M1975" s="10" t="s">
        <v>102</v>
      </c>
      <c r="N1975" s="124" t="s">
        <v>486</v>
      </c>
      <c r="O1975" s="124" t="s">
        <v>486</v>
      </c>
      <c r="P1975" s="21">
        <v>35</v>
      </c>
      <c r="Q1975" s="10" t="s">
        <v>54</v>
      </c>
      <c r="R1975" s="10" t="s">
        <v>28</v>
      </c>
      <c r="S1975" s="10"/>
      <c r="T1975" s="10"/>
      <c r="U1975" s="10" t="s">
        <v>2867</v>
      </c>
      <c r="V1975" s="10" t="s">
        <v>2867</v>
      </c>
      <c r="W1975" s="50">
        <f>+J1975/$W$2</f>
        <v>6.2124170823361631E-5</v>
      </c>
    </row>
    <row r="1976" spans="1:23">
      <c r="A1976" s="10" t="s">
        <v>576</v>
      </c>
      <c r="B1976" s="10" t="s">
        <v>381</v>
      </c>
      <c r="C1976" s="124">
        <v>46367</v>
      </c>
      <c r="D1976" s="124" t="s">
        <v>492</v>
      </c>
      <c r="E1976" s="21">
        <v>0.94339622999999995</v>
      </c>
      <c r="F1976" s="10"/>
      <c r="G1976" s="14">
        <v>50000000</v>
      </c>
      <c r="H1976" s="14">
        <v>47169811.409999996</v>
      </c>
      <c r="I1976" s="14">
        <v>50000000</v>
      </c>
      <c r="J1976" s="14">
        <v>47169811.409999996</v>
      </c>
      <c r="K1976" s="12">
        <v>68017</v>
      </c>
      <c r="L1976" s="10" t="s">
        <v>101</v>
      </c>
      <c r="M1976" s="10" t="s">
        <v>102</v>
      </c>
      <c r="N1976" s="124" t="s">
        <v>363</v>
      </c>
      <c r="O1976" s="124" t="s">
        <v>363</v>
      </c>
      <c r="P1976" s="21">
        <v>30</v>
      </c>
      <c r="Q1976" s="10" t="s">
        <v>54</v>
      </c>
      <c r="R1976" s="10" t="s">
        <v>28</v>
      </c>
      <c r="S1976" s="10"/>
      <c r="T1976" s="10"/>
      <c r="U1976" s="10" t="s">
        <v>1183</v>
      </c>
      <c r="V1976" s="10" t="s">
        <v>1183</v>
      </c>
      <c r="W1976" s="50">
        <f>+J1976/$W$2</f>
        <v>6.2710230394894505E-4</v>
      </c>
    </row>
    <row r="1977" spans="1:23">
      <c r="A1977" s="10" t="s">
        <v>763</v>
      </c>
      <c r="B1977" s="10" t="s">
        <v>381</v>
      </c>
      <c r="C1977" s="124">
        <v>46367</v>
      </c>
      <c r="D1977" s="124" t="s">
        <v>492</v>
      </c>
      <c r="E1977" s="21">
        <v>0.94696972999999995</v>
      </c>
      <c r="F1977" s="10"/>
      <c r="G1977" s="14">
        <v>69542230</v>
      </c>
      <c r="H1977" s="14">
        <v>65854387.090000004</v>
      </c>
      <c r="I1977" s="14">
        <v>69542230</v>
      </c>
      <c r="J1977" s="14">
        <v>65854387.090000004</v>
      </c>
      <c r="K1977" s="12">
        <v>155355</v>
      </c>
      <c r="L1977" s="10" t="s">
        <v>101</v>
      </c>
      <c r="M1977" s="10" t="s">
        <v>102</v>
      </c>
      <c r="N1977" s="124" t="s">
        <v>305</v>
      </c>
      <c r="O1977" s="124" t="s">
        <v>305</v>
      </c>
      <c r="P1977" s="21">
        <v>28</v>
      </c>
      <c r="Q1977" s="10" t="s">
        <v>54</v>
      </c>
      <c r="R1977" s="10" t="s">
        <v>28</v>
      </c>
      <c r="S1977" s="10"/>
      <c r="T1977" s="10"/>
      <c r="U1977" s="10" t="s">
        <v>759</v>
      </c>
      <c r="V1977" s="10" t="s">
        <v>759</v>
      </c>
      <c r="W1977" s="50">
        <f>+J1977/$W$2</f>
        <v>8.7550568117237822E-4</v>
      </c>
    </row>
    <row r="1978" spans="1:23">
      <c r="A1978" s="10" t="s">
        <v>3269</v>
      </c>
      <c r="B1978" s="10" t="s">
        <v>381</v>
      </c>
      <c r="C1978" s="124">
        <v>46367</v>
      </c>
      <c r="D1978" s="124" t="s">
        <v>492</v>
      </c>
      <c r="E1978" s="21">
        <v>0.94517980999999995</v>
      </c>
      <c r="F1978" s="10"/>
      <c r="G1978" s="14">
        <v>70000000</v>
      </c>
      <c r="H1978" s="14">
        <v>66162586.399999999</v>
      </c>
      <c r="I1978" s="14">
        <v>70000000</v>
      </c>
      <c r="J1978" s="14">
        <v>66162586.399999999</v>
      </c>
      <c r="K1978" s="12">
        <v>83299238</v>
      </c>
      <c r="L1978" s="10" t="s">
        <v>101</v>
      </c>
      <c r="M1978" s="10" t="s">
        <v>102</v>
      </c>
      <c r="N1978" s="124" t="s">
        <v>531</v>
      </c>
      <c r="O1978" s="124" t="s">
        <v>531</v>
      </c>
      <c r="P1978" s="21">
        <v>29</v>
      </c>
      <c r="Q1978" s="10" t="s">
        <v>54</v>
      </c>
      <c r="R1978" s="10" t="s">
        <v>28</v>
      </c>
      <c r="S1978" s="10"/>
      <c r="T1978" s="10"/>
      <c r="U1978" s="10" t="s">
        <v>3371</v>
      </c>
      <c r="V1978" s="10" t="s">
        <v>3371</v>
      </c>
      <c r="W1978" s="50">
        <f>+J1978/$W$2</f>
        <v>8.7960305810900715E-4</v>
      </c>
    </row>
    <row r="1979" spans="1:23">
      <c r="A1979" s="10" t="s">
        <v>353</v>
      </c>
      <c r="B1979" s="10" t="s">
        <v>381</v>
      </c>
      <c r="C1979" s="124">
        <v>46367</v>
      </c>
      <c r="D1979" s="124" t="s">
        <v>492</v>
      </c>
      <c r="E1979" s="21">
        <v>0.93283587000000001</v>
      </c>
      <c r="F1979" s="10"/>
      <c r="G1979" s="14">
        <v>2954385</v>
      </c>
      <c r="H1979" s="14">
        <v>2755956.29</v>
      </c>
      <c r="I1979" s="14">
        <v>2954385</v>
      </c>
      <c r="J1979" s="14">
        <v>2755956.29</v>
      </c>
      <c r="K1979" s="12">
        <v>3327</v>
      </c>
      <c r="L1979" s="10" t="s">
        <v>101</v>
      </c>
      <c r="M1979" s="10" t="s">
        <v>102</v>
      </c>
      <c r="N1979" s="124" t="s">
        <v>348</v>
      </c>
      <c r="O1979" s="124" t="s">
        <v>348</v>
      </c>
      <c r="P1979" s="21">
        <v>36</v>
      </c>
      <c r="Q1979" s="10" t="s">
        <v>54</v>
      </c>
      <c r="R1979" s="10" t="s">
        <v>28</v>
      </c>
      <c r="S1979" s="10"/>
      <c r="T1979" s="10"/>
      <c r="U1979" s="10" t="s">
        <v>1906</v>
      </c>
      <c r="V1979" s="10" t="s">
        <v>1906</v>
      </c>
      <c r="W1979" s="50">
        <f>+J1979/$W$2</f>
        <v>3.6639250558360185E-5</v>
      </c>
    </row>
    <row r="1980" spans="1:23">
      <c r="A1980" s="10" t="s">
        <v>353</v>
      </c>
      <c r="B1980" s="10" t="s">
        <v>381</v>
      </c>
      <c r="C1980" s="124">
        <v>46367</v>
      </c>
      <c r="D1980" s="124" t="s">
        <v>492</v>
      </c>
      <c r="E1980" s="21">
        <v>0.93283594999999997</v>
      </c>
      <c r="F1980" s="10"/>
      <c r="G1980" s="14">
        <v>3841101.28</v>
      </c>
      <c r="H1980" s="14">
        <v>3583117.37</v>
      </c>
      <c r="I1980" s="14">
        <v>3841101.28</v>
      </c>
      <c r="J1980" s="14">
        <v>3583117.37</v>
      </c>
      <c r="K1980" s="12">
        <v>3371</v>
      </c>
      <c r="L1980" s="10" t="s">
        <v>101</v>
      </c>
      <c r="M1980" s="10" t="s">
        <v>102</v>
      </c>
      <c r="N1980" s="124" t="s">
        <v>390</v>
      </c>
      <c r="O1980" s="124" t="s">
        <v>390</v>
      </c>
      <c r="P1980" s="21">
        <v>36</v>
      </c>
      <c r="Q1980" s="10" t="s">
        <v>54</v>
      </c>
      <c r="R1980" s="10" t="s">
        <v>28</v>
      </c>
      <c r="S1980" s="10"/>
      <c r="T1980" s="10"/>
      <c r="U1980" s="10" t="s">
        <v>2034</v>
      </c>
      <c r="V1980" s="10" t="s">
        <v>2034</v>
      </c>
      <c r="W1980" s="50">
        <f>+J1980/$W$2</f>
        <v>4.7636000460458165E-5</v>
      </c>
    </row>
    <row r="1981" spans="1:23">
      <c r="A1981" s="10" t="s">
        <v>353</v>
      </c>
      <c r="B1981" s="10" t="s">
        <v>381</v>
      </c>
      <c r="C1981" s="124">
        <v>46367</v>
      </c>
      <c r="D1981" s="124" t="s">
        <v>492</v>
      </c>
      <c r="E1981" s="21">
        <v>0.93283594999999997</v>
      </c>
      <c r="F1981" s="10"/>
      <c r="G1981" s="14">
        <v>3841101.28</v>
      </c>
      <c r="H1981" s="14">
        <v>3583117.37</v>
      </c>
      <c r="I1981" s="14">
        <v>3841101.28</v>
      </c>
      <c r="J1981" s="14">
        <v>3583117.37</v>
      </c>
      <c r="K1981" s="12">
        <v>3370</v>
      </c>
      <c r="L1981" s="10" t="s">
        <v>101</v>
      </c>
      <c r="M1981" s="10" t="s">
        <v>102</v>
      </c>
      <c r="N1981" s="124" t="s">
        <v>390</v>
      </c>
      <c r="O1981" s="124" t="s">
        <v>390</v>
      </c>
      <c r="P1981" s="21">
        <v>36</v>
      </c>
      <c r="Q1981" s="10" t="s">
        <v>54</v>
      </c>
      <c r="R1981" s="10" t="s">
        <v>28</v>
      </c>
      <c r="S1981" s="10"/>
      <c r="T1981" s="10"/>
      <c r="U1981" s="10" t="s">
        <v>2035</v>
      </c>
      <c r="V1981" s="10" t="s">
        <v>2035</v>
      </c>
      <c r="W1981" s="50">
        <f>+J1981/$W$2</f>
        <v>4.7636000460458165E-5</v>
      </c>
    </row>
    <row r="1982" spans="1:23">
      <c r="A1982" s="10" t="s">
        <v>353</v>
      </c>
      <c r="B1982" s="10" t="s">
        <v>381</v>
      </c>
      <c r="C1982" s="124">
        <v>46367</v>
      </c>
      <c r="D1982" s="124" t="s">
        <v>492</v>
      </c>
      <c r="E1982" s="21">
        <v>0.93283605999999997</v>
      </c>
      <c r="F1982" s="10"/>
      <c r="G1982" s="14">
        <v>3105640.28</v>
      </c>
      <c r="H1982" s="14">
        <v>2897053.25</v>
      </c>
      <c r="I1982" s="14">
        <v>3105640.28</v>
      </c>
      <c r="J1982" s="14">
        <v>2897053.25</v>
      </c>
      <c r="K1982" s="12">
        <v>3392</v>
      </c>
      <c r="L1982" s="10" t="s">
        <v>101</v>
      </c>
      <c r="M1982" s="10" t="s">
        <v>102</v>
      </c>
      <c r="N1982" s="124" t="s">
        <v>551</v>
      </c>
      <c r="O1982" s="124" t="s">
        <v>551</v>
      </c>
      <c r="P1982" s="21">
        <v>36</v>
      </c>
      <c r="Q1982" s="10" t="s">
        <v>54</v>
      </c>
      <c r="R1982" s="10" t="s">
        <v>28</v>
      </c>
      <c r="S1982" s="10"/>
      <c r="T1982" s="10"/>
      <c r="U1982" s="10" t="s">
        <v>2227</v>
      </c>
      <c r="V1982" s="10" t="s">
        <v>2227</v>
      </c>
      <c r="W1982" s="50">
        <f>+J1982/$W$2</f>
        <v>3.8515073803170403E-5</v>
      </c>
    </row>
    <row r="1983" spans="1:23">
      <c r="A1983" s="10" t="s">
        <v>353</v>
      </c>
      <c r="B1983" s="10" t="s">
        <v>381</v>
      </c>
      <c r="C1983" s="124">
        <v>46367</v>
      </c>
      <c r="D1983" s="124" t="s">
        <v>492</v>
      </c>
      <c r="E1983" s="21">
        <v>0.93283605999999997</v>
      </c>
      <c r="F1983" s="10"/>
      <c r="G1983" s="14">
        <v>3105640.28</v>
      </c>
      <c r="H1983" s="14">
        <v>2897053.25</v>
      </c>
      <c r="I1983" s="14">
        <v>3105640.28</v>
      </c>
      <c r="J1983" s="14">
        <v>2897053.25</v>
      </c>
      <c r="K1983" s="12">
        <v>3393</v>
      </c>
      <c r="L1983" s="10" t="s">
        <v>101</v>
      </c>
      <c r="M1983" s="10" t="s">
        <v>102</v>
      </c>
      <c r="N1983" s="124" t="s">
        <v>551</v>
      </c>
      <c r="O1983" s="124" t="s">
        <v>551</v>
      </c>
      <c r="P1983" s="21">
        <v>36</v>
      </c>
      <c r="Q1983" s="10" t="s">
        <v>54</v>
      </c>
      <c r="R1983" s="10" t="s">
        <v>28</v>
      </c>
      <c r="S1983" s="10"/>
      <c r="T1983" s="10"/>
      <c r="U1983" s="10" t="s">
        <v>2228</v>
      </c>
      <c r="V1983" s="10" t="s">
        <v>2228</v>
      </c>
      <c r="W1983" s="50">
        <f>+J1983/$W$2</f>
        <v>3.8515073803170403E-5</v>
      </c>
    </row>
    <row r="1984" spans="1:23">
      <c r="A1984" s="10" t="s">
        <v>353</v>
      </c>
      <c r="B1984" s="10" t="s">
        <v>381</v>
      </c>
      <c r="C1984" s="124">
        <v>46367</v>
      </c>
      <c r="D1984" s="124" t="s">
        <v>492</v>
      </c>
      <c r="E1984" s="21">
        <v>0.93283583999999997</v>
      </c>
      <c r="F1984" s="10"/>
      <c r="G1984" s="14">
        <v>2874176.47</v>
      </c>
      <c r="H1984" s="14">
        <v>2681134.81</v>
      </c>
      <c r="I1984" s="14">
        <v>2874176.47</v>
      </c>
      <c r="J1984" s="14">
        <v>2681134.81</v>
      </c>
      <c r="K1984" s="12">
        <v>3440</v>
      </c>
      <c r="L1984" s="10" t="s">
        <v>101</v>
      </c>
      <c r="M1984" s="10" t="s">
        <v>102</v>
      </c>
      <c r="N1984" s="124" t="s">
        <v>552</v>
      </c>
      <c r="O1984" s="124" t="s">
        <v>552</v>
      </c>
      <c r="P1984" s="21">
        <v>36</v>
      </c>
      <c r="Q1984" s="10" t="s">
        <v>54</v>
      </c>
      <c r="R1984" s="10" t="s">
        <v>28</v>
      </c>
      <c r="S1984" s="10"/>
      <c r="T1984" s="10"/>
      <c r="U1984" s="10" t="s">
        <v>2364</v>
      </c>
      <c r="V1984" s="10" t="s">
        <v>2364</v>
      </c>
      <c r="W1984" s="50">
        <f>+J1984/$W$2</f>
        <v>3.5644531243393351E-5</v>
      </c>
    </row>
    <row r="1985" spans="1:29">
      <c r="A1985" s="10" t="s">
        <v>353</v>
      </c>
      <c r="B1985" s="10" t="s">
        <v>381</v>
      </c>
      <c r="C1985" s="124">
        <v>46367</v>
      </c>
      <c r="D1985" s="124" t="s">
        <v>492</v>
      </c>
      <c r="E1985" s="21">
        <v>0.93283583999999997</v>
      </c>
      <c r="F1985" s="10"/>
      <c r="G1985" s="14">
        <v>2874176.47</v>
      </c>
      <c r="H1985" s="14">
        <v>2681134.81</v>
      </c>
      <c r="I1985" s="14">
        <v>2874176.47</v>
      </c>
      <c r="J1985" s="14">
        <v>2681134.81</v>
      </c>
      <c r="K1985" s="12">
        <v>3441</v>
      </c>
      <c r="L1985" s="10" t="s">
        <v>101</v>
      </c>
      <c r="M1985" s="10" t="s">
        <v>102</v>
      </c>
      <c r="N1985" s="124" t="s">
        <v>552</v>
      </c>
      <c r="O1985" s="124" t="s">
        <v>552</v>
      </c>
      <c r="P1985" s="21">
        <v>36</v>
      </c>
      <c r="Q1985" s="10" t="s">
        <v>54</v>
      </c>
      <c r="R1985" s="10" t="s">
        <v>28</v>
      </c>
      <c r="S1985" s="10"/>
      <c r="T1985" s="10"/>
      <c r="U1985" s="10" t="s">
        <v>2367</v>
      </c>
      <c r="V1985" s="10" t="s">
        <v>2367</v>
      </c>
      <c r="W1985" s="50">
        <f>+J1985/$W$2</f>
        <v>3.5644531243393351E-5</v>
      </c>
    </row>
    <row r="1986" spans="1:29">
      <c r="A1986" s="10" t="s">
        <v>2288</v>
      </c>
      <c r="B1986" s="10" t="s">
        <v>381</v>
      </c>
      <c r="C1986" s="124">
        <v>46367</v>
      </c>
      <c r="D1986" s="124" t="s">
        <v>492</v>
      </c>
      <c r="E1986" s="21">
        <v>0.94161963999999998</v>
      </c>
      <c r="F1986" s="10"/>
      <c r="G1986" s="14">
        <v>9990457.7799999993</v>
      </c>
      <c r="H1986" s="14">
        <v>9407211.25</v>
      </c>
      <c r="I1986" s="14">
        <v>9990457.7799999993</v>
      </c>
      <c r="J1986" s="14">
        <v>9407211.25</v>
      </c>
      <c r="K1986" s="12">
        <v>3020</v>
      </c>
      <c r="L1986" s="10" t="s">
        <v>101</v>
      </c>
      <c r="M1986" s="10" t="s">
        <v>102</v>
      </c>
      <c r="N1986" s="124" t="s">
        <v>431</v>
      </c>
      <c r="O1986" s="124" t="s">
        <v>431</v>
      </c>
      <c r="P1986" s="21">
        <v>31</v>
      </c>
      <c r="Q1986" s="10" t="s">
        <v>54</v>
      </c>
      <c r="R1986" s="10" t="s">
        <v>28</v>
      </c>
      <c r="S1986" s="10"/>
      <c r="T1986" s="10"/>
      <c r="U1986" s="10" t="s">
        <v>2256</v>
      </c>
      <c r="V1986" s="10" t="s">
        <v>2256</v>
      </c>
      <c r="W1986" s="50">
        <f>+J1986/$W$2</f>
        <v>1.2506481735389741E-4</v>
      </c>
    </row>
    <row r="1987" spans="1:29">
      <c r="A1987" s="10" t="s">
        <v>2290</v>
      </c>
      <c r="B1987" s="10" t="s">
        <v>381</v>
      </c>
      <c r="C1987" s="124">
        <v>46367</v>
      </c>
      <c r="D1987" s="124" t="s">
        <v>492</v>
      </c>
      <c r="E1987" s="21">
        <v>0.94161963999999998</v>
      </c>
      <c r="F1987" s="10"/>
      <c r="G1987" s="14">
        <v>18916974.350000001</v>
      </c>
      <c r="H1987" s="14">
        <v>17812594.559999999</v>
      </c>
      <c r="I1987" s="14">
        <v>18916974.350000001</v>
      </c>
      <c r="J1987" s="14">
        <v>17812594.559999999</v>
      </c>
      <c r="K1987" s="12">
        <v>69586446</v>
      </c>
      <c r="L1987" s="10" t="s">
        <v>101</v>
      </c>
      <c r="M1987" s="10" t="s">
        <v>102</v>
      </c>
      <c r="N1987" s="124" t="s">
        <v>431</v>
      </c>
      <c r="O1987" s="124" t="s">
        <v>431</v>
      </c>
      <c r="P1987" s="21">
        <v>31</v>
      </c>
      <c r="Q1987" s="10" t="s">
        <v>54</v>
      </c>
      <c r="R1987" s="10" t="s">
        <v>28</v>
      </c>
      <c r="S1987" s="10"/>
      <c r="T1987" s="10"/>
      <c r="U1987" s="10" t="s">
        <v>2270</v>
      </c>
      <c r="V1987" s="10" t="s">
        <v>2270</v>
      </c>
      <c r="W1987" s="50">
        <f>+J1987/$W$2</f>
        <v>2.3681076421510426E-4</v>
      </c>
    </row>
    <row r="1988" spans="1:29">
      <c r="A1988" s="10" t="s">
        <v>2290</v>
      </c>
      <c r="B1988" s="10" t="s">
        <v>381</v>
      </c>
      <c r="C1988" s="124">
        <v>46367</v>
      </c>
      <c r="D1988" s="124" t="s">
        <v>492</v>
      </c>
      <c r="E1988" s="21">
        <v>0.94161963999999998</v>
      </c>
      <c r="F1988" s="10"/>
      <c r="G1988" s="14">
        <v>20398741.449999999</v>
      </c>
      <c r="H1988" s="14">
        <v>19207855.559999999</v>
      </c>
      <c r="I1988" s="14">
        <v>20398741.449999999</v>
      </c>
      <c r="J1988" s="14">
        <v>19207855.559999999</v>
      </c>
      <c r="K1988" s="12">
        <v>69586151</v>
      </c>
      <c r="L1988" s="10" t="s">
        <v>101</v>
      </c>
      <c r="M1988" s="10" t="s">
        <v>102</v>
      </c>
      <c r="N1988" s="124" t="s">
        <v>431</v>
      </c>
      <c r="O1988" s="124" t="s">
        <v>431</v>
      </c>
      <c r="P1988" s="21">
        <v>31</v>
      </c>
      <c r="Q1988" s="10" t="s">
        <v>54</v>
      </c>
      <c r="R1988" s="10" t="s">
        <v>28</v>
      </c>
      <c r="S1988" s="10"/>
      <c r="T1988" s="10"/>
      <c r="U1988" s="10" t="s">
        <v>2271</v>
      </c>
      <c r="V1988" s="10" t="s">
        <v>2271</v>
      </c>
      <c r="W1988" s="50">
        <f>+J1988/$W$2</f>
        <v>2.5536015759946315E-4</v>
      </c>
      <c r="AC1988" s="47"/>
    </row>
    <row r="1989" spans="1:29">
      <c r="A1989" s="10" t="s">
        <v>2417</v>
      </c>
      <c r="B1989" s="10" t="s">
        <v>381</v>
      </c>
      <c r="C1989" s="124">
        <v>46367</v>
      </c>
      <c r="D1989" s="124" t="s">
        <v>492</v>
      </c>
      <c r="E1989" s="21">
        <v>0.96153854000000005</v>
      </c>
      <c r="F1989" s="10"/>
      <c r="G1989" s="14">
        <v>211135.5</v>
      </c>
      <c r="H1989" s="14">
        <v>203014.92</v>
      </c>
      <c r="I1989" s="14">
        <v>211135.5</v>
      </c>
      <c r="J1989" s="14">
        <v>203014.92</v>
      </c>
      <c r="K1989" s="12">
        <v>69520839</v>
      </c>
      <c r="L1989" s="10" t="s">
        <v>101</v>
      </c>
      <c r="M1989" s="10" t="s">
        <v>102</v>
      </c>
      <c r="N1989" s="124" t="s">
        <v>552</v>
      </c>
      <c r="O1989" s="124" t="s">
        <v>552</v>
      </c>
      <c r="P1989" s="21">
        <v>20</v>
      </c>
      <c r="Q1989" s="10" t="s">
        <v>54</v>
      </c>
      <c r="R1989" s="10" t="s">
        <v>28</v>
      </c>
      <c r="S1989" s="10"/>
      <c r="T1989" s="10"/>
      <c r="U1989" s="10" t="s">
        <v>2340</v>
      </c>
      <c r="V1989" s="10" t="s">
        <v>2340</v>
      </c>
      <c r="W1989" s="50">
        <f>+J1989/$W$2</f>
        <v>2.6989958251353282E-6</v>
      </c>
    </row>
    <row r="1990" spans="1:29">
      <c r="A1990" s="10" t="s">
        <v>2418</v>
      </c>
      <c r="B1990" s="10" t="s">
        <v>381</v>
      </c>
      <c r="C1990" s="124">
        <v>46367</v>
      </c>
      <c r="D1990" s="124" t="s">
        <v>492</v>
      </c>
      <c r="E1990" s="21">
        <v>0.96153843999999999</v>
      </c>
      <c r="F1990" s="10"/>
      <c r="G1990" s="14">
        <v>126868.5</v>
      </c>
      <c r="H1990" s="14">
        <v>121988.94</v>
      </c>
      <c r="I1990" s="14">
        <v>126868.5</v>
      </c>
      <c r="J1990" s="14">
        <v>121988.94</v>
      </c>
      <c r="K1990" s="12">
        <v>8379007</v>
      </c>
      <c r="L1990" s="10" t="s">
        <v>101</v>
      </c>
      <c r="M1990" s="10" t="s">
        <v>102</v>
      </c>
      <c r="N1990" s="124" t="s">
        <v>552</v>
      </c>
      <c r="O1990" s="124" t="s">
        <v>552</v>
      </c>
      <c r="P1990" s="21">
        <v>20</v>
      </c>
      <c r="Q1990" s="10" t="s">
        <v>54</v>
      </c>
      <c r="R1990" s="10" t="s">
        <v>28</v>
      </c>
      <c r="S1990" s="10"/>
      <c r="T1990" s="10"/>
      <c r="U1990" s="10" t="s">
        <v>2341</v>
      </c>
      <c r="V1990" s="10" t="s">
        <v>2341</v>
      </c>
      <c r="W1990" s="50">
        <f>+J1990/$W$2</f>
        <v>1.6217903579337127E-6</v>
      </c>
    </row>
    <row r="1991" spans="1:29">
      <c r="A1991" s="10" t="s">
        <v>2611</v>
      </c>
      <c r="B1991" s="10" t="s">
        <v>381</v>
      </c>
      <c r="C1991" s="124">
        <v>46367</v>
      </c>
      <c r="D1991" s="124" t="s">
        <v>492</v>
      </c>
      <c r="E1991" s="21">
        <v>0.93984966999999997</v>
      </c>
      <c r="F1991" s="10"/>
      <c r="G1991" s="14">
        <v>353613.17</v>
      </c>
      <c r="H1991" s="14">
        <v>332343.21999999997</v>
      </c>
      <c r="I1991" s="14">
        <v>353613.17</v>
      </c>
      <c r="J1991" s="14">
        <v>332343.21999999997</v>
      </c>
      <c r="K1991" s="12">
        <v>2862</v>
      </c>
      <c r="L1991" s="10" t="s">
        <v>101</v>
      </c>
      <c r="M1991" s="10" t="s">
        <v>102</v>
      </c>
      <c r="N1991" s="124" t="s">
        <v>423</v>
      </c>
      <c r="O1991" s="124" t="s">
        <v>423</v>
      </c>
      <c r="P1991" s="21">
        <v>32</v>
      </c>
      <c r="Q1991" s="10" t="s">
        <v>54</v>
      </c>
      <c r="R1991" s="10" t="s">
        <v>28</v>
      </c>
      <c r="S1991" s="10"/>
      <c r="T1991" s="10"/>
      <c r="U1991" s="10" t="s">
        <v>2538</v>
      </c>
      <c r="V1991" s="10" t="s">
        <v>2538</v>
      </c>
      <c r="W1991" s="50">
        <f>+J1991/$W$2</f>
        <v>4.4183598096732583E-6</v>
      </c>
    </row>
    <row r="1992" spans="1:29">
      <c r="A1992" s="10" t="s">
        <v>1726</v>
      </c>
      <c r="B1992" s="10" t="s">
        <v>381</v>
      </c>
      <c r="C1992" s="124">
        <v>46367</v>
      </c>
      <c r="D1992" s="124" t="s">
        <v>492</v>
      </c>
      <c r="E1992" s="21">
        <v>0.93283594999999997</v>
      </c>
      <c r="F1992" s="10"/>
      <c r="G1992" s="14">
        <v>3250000</v>
      </c>
      <c r="H1992" s="14">
        <v>3031716.84</v>
      </c>
      <c r="I1992" s="14">
        <v>3250000</v>
      </c>
      <c r="J1992" s="14">
        <v>3031716.84</v>
      </c>
      <c r="K1992" s="12">
        <v>74</v>
      </c>
      <c r="L1992" s="10" t="s">
        <v>101</v>
      </c>
      <c r="M1992" s="10" t="s">
        <v>102</v>
      </c>
      <c r="N1992" s="124" t="s">
        <v>390</v>
      </c>
      <c r="O1992" s="124" t="s">
        <v>390</v>
      </c>
      <c r="P1992" s="21">
        <v>36</v>
      </c>
      <c r="Q1992" s="10" t="s">
        <v>54</v>
      </c>
      <c r="R1992" s="10" t="s">
        <v>28</v>
      </c>
      <c r="S1992" s="10"/>
      <c r="T1992" s="10"/>
      <c r="U1992" s="10" t="s">
        <v>2028</v>
      </c>
      <c r="V1992" s="10" t="s">
        <v>2028</v>
      </c>
      <c r="W1992" s="50">
        <f>+J1992/$W$2</f>
        <v>4.0305368167780328E-5</v>
      </c>
    </row>
    <row r="1993" spans="1:29">
      <c r="A1993" s="10" t="s">
        <v>1726</v>
      </c>
      <c r="B1993" s="10" t="s">
        <v>381</v>
      </c>
      <c r="C1993" s="124">
        <v>46367</v>
      </c>
      <c r="D1993" s="124" t="s">
        <v>492</v>
      </c>
      <c r="E1993" s="21">
        <v>0.93283596000000002</v>
      </c>
      <c r="F1993" s="10"/>
      <c r="G1993" s="14">
        <v>5500000</v>
      </c>
      <c r="H1993" s="14">
        <v>5130597.7699999996</v>
      </c>
      <c r="I1993" s="14">
        <v>5500000</v>
      </c>
      <c r="J1993" s="14">
        <v>5130597.7699999996</v>
      </c>
      <c r="K1993" s="12">
        <v>57</v>
      </c>
      <c r="L1993" s="10" t="s">
        <v>101</v>
      </c>
      <c r="M1993" s="10" t="s">
        <v>102</v>
      </c>
      <c r="N1993" s="124" t="s">
        <v>390</v>
      </c>
      <c r="O1993" s="124" t="s">
        <v>390</v>
      </c>
      <c r="P1993" s="21">
        <v>36</v>
      </c>
      <c r="Q1993" s="10" t="s">
        <v>54</v>
      </c>
      <c r="R1993" s="10" t="s">
        <v>28</v>
      </c>
      <c r="S1993" s="10"/>
      <c r="T1993" s="10"/>
      <c r="U1993" s="10" t="s">
        <v>2030</v>
      </c>
      <c r="V1993" s="10" t="s">
        <v>2030</v>
      </c>
      <c r="W1993" s="50">
        <f>+J1993/$W$2</f>
        <v>6.820908513363759E-5</v>
      </c>
    </row>
    <row r="1994" spans="1:29">
      <c r="A1994" s="10" t="s">
        <v>1726</v>
      </c>
      <c r="B1994" s="10" t="s">
        <v>381</v>
      </c>
      <c r="C1994" s="124">
        <v>46367</v>
      </c>
      <c r="D1994" s="124" t="s">
        <v>492</v>
      </c>
      <c r="E1994" s="21">
        <v>0.93283594999999997</v>
      </c>
      <c r="F1994" s="10"/>
      <c r="G1994" s="14">
        <v>3250000</v>
      </c>
      <c r="H1994" s="14">
        <v>3031716.84</v>
      </c>
      <c r="I1994" s="14">
        <v>3250000</v>
      </c>
      <c r="J1994" s="14">
        <v>3031716.84</v>
      </c>
      <c r="K1994" s="12">
        <v>73</v>
      </c>
      <c r="L1994" s="10" t="s">
        <v>101</v>
      </c>
      <c r="M1994" s="10" t="s">
        <v>102</v>
      </c>
      <c r="N1994" s="124" t="s">
        <v>390</v>
      </c>
      <c r="O1994" s="124" t="s">
        <v>390</v>
      </c>
      <c r="P1994" s="21">
        <v>36</v>
      </c>
      <c r="Q1994" s="10" t="s">
        <v>54</v>
      </c>
      <c r="R1994" s="10" t="s">
        <v>28</v>
      </c>
      <c r="S1994" s="10"/>
      <c r="T1994" s="10"/>
      <c r="U1994" s="10" t="s">
        <v>2031</v>
      </c>
      <c r="V1994" s="10" t="s">
        <v>2031</v>
      </c>
      <c r="W1994" s="50">
        <f>+J1994/$W$2</f>
        <v>4.0305368167780328E-5</v>
      </c>
    </row>
    <row r="1995" spans="1:29">
      <c r="A1995" s="10" t="s">
        <v>1726</v>
      </c>
      <c r="B1995" s="10" t="s">
        <v>381</v>
      </c>
      <c r="C1995" s="124">
        <v>46367</v>
      </c>
      <c r="D1995" s="124" t="s">
        <v>492</v>
      </c>
      <c r="E1995" s="21">
        <v>0.93283596000000002</v>
      </c>
      <c r="F1995" s="10"/>
      <c r="G1995" s="14">
        <v>5500000</v>
      </c>
      <c r="H1995" s="14">
        <v>5130597.7699999996</v>
      </c>
      <c r="I1995" s="14">
        <v>5500000</v>
      </c>
      <c r="J1995" s="14">
        <v>5130597.7699999996</v>
      </c>
      <c r="K1995" s="12">
        <v>58</v>
      </c>
      <c r="L1995" s="10" t="s">
        <v>101</v>
      </c>
      <c r="M1995" s="10" t="s">
        <v>102</v>
      </c>
      <c r="N1995" s="124" t="s">
        <v>390</v>
      </c>
      <c r="O1995" s="124" t="s">
        <v>390</v>
      </c>
      <c r="P1995" s="21">
        <v>36</v>
      </c>
      <c r="Q1995" s="10" t="s">
        <v>54</v>
      </c>
      <c r="R1995" s="10" t="s">
        <v>28</v>
      </c>
      <c r="S1995" s="10"/>
      <c r="T1995" s="10"/>
      <c r="U1995" s="10" t="s">
        <v>2032</v>
      </c>
      <c r="V1995" s="10" t="s">
        <v>2032</v>
      </c>
      <c r="W1995" s="50">
        <f>+J1995/$W$2</f>
        <v>6.820908513363759E-5</v>
      </c>
    </row>
    <row r="1996" spans="1:29">
      <c r="A1996" s="10" t="s">
        <v>272</v>
      </c>
      <c r="B1996" s="10" t="s">
        <v>381</v>
      </c>
      <c r="C1996" s="124">
        <v>46367</v>
      </c>
      <c r="D1996" s="124" t="s">
        <v>492</v>
      </c>
      <c r="E1996" s="21">
        <v>0.94517969000000002</v>
      </c>
      <c r="F1996" s="10"/>
      <c r="G1996" s="14">
        <v>5311841.87</v>
      </c>
      <c r="H1996" s="14">
        <v>5020645.04</v>
      </c>
      <c r="I1996" s="14">
        <v>5311841.87</v>
      </c>
      <c r="J1996" s="14">
        <v>5020645.04</v>
      </c>
      <c r="K1996" s="12">
        <v>90000278</v>
      </c>
      <c r="L1996" s="10" t="s">
        <v>101</v>
      </c>
      <c r="M1996" s="10" t="s">
        <v>102</v>
      </c>
      <c r="N1996" s="124" t="s">
        <v>352</v>
      </c>
      <c r="O1996" s="124" t="s">
        <v>352</v>
      </c>
      <c r="P1996" s="21">
        <v>29</v>
      </c>
      <c r="Q1996" s="10" t="s">
        <v>54</v>
      </c>
      <c r="R1996" s="10" t="s">
        <v>28</v>
      </c>
      <c r="S1996" s="10"/>
      <c r="T1996" s="10"/>
      <c r="U1996" s="10" t="s">
        <v>789</v>
      </c>
      <c r="V1996" s="10" t="s">
        <v>789</v>
      </c>
      <c r="W1996" s="50">
        <f>+J1996/$W$2</f>
        <v>6.6747310997863573E-5</v>
      </c>
    </row>
    <row r="1997" spans="1:29">
      <c r="A1997" s="10" t="s">
        <v>1189</v>
      </c>
      <c r="B1997" s="10" t="s">
        <v>381</v>
      </c>
      <c r="C1997" s="124">
        <v>46367</v>
      </c>
      <c r="D1997" s="124" t="s">
        <v>492</v>
      </c>
      <c r="E1997" s="21">
        <v>0.93808617999999999</v>
      </c>
      <c r="F1997" s="10"/>
      <c r="G1997" s="14">
        <v>28964.94</v>
      </c>
      <c r="H1997" s="14">
        <v>27171.61</v>
      </c>
      <c r="I1997" s="14">
        <v>28964.94</v>
      </c>
      <c r="J1997" s="14">
        <v>27171.61</v>
      </c>
      <c r="K1997" s="12">
        <v>121297</v>
      </c>
      <c r="L1997" s="10" t="s">
        <v>101</v>
      </c>
      <c r="M1997" s="10" t="s">
        <v>102</v>
      </c>
      <c r="N1997" s="124" t="s">
        <v>483</v>
      </c>
      <c r="O1997" s="124" t="s">
        <v>483</v>
      </c>
      <c r="P1997" s="21">
        <v>33</v>
      </c>
      <c r="Q1997" s="10" t="s">
        <v>54</v>
      </c>
      <c r="R1997" s="10" t="s">
        <v>28</v>
      </c>
      <c r="S1997" s="10"/>
      <c r="T1997" s="10"/>
      <c r="U1997" s="10" t="s">
        <v>2439</v>
      </c>
      <c r="V1997" s="10" t="s">
        <v>2439</v>
      </c>
      <c r="W1997" s="50">
        <f>+J1997/$W$2</f>
        <v>3.6123483905619025E-7</v>
      </c>
    </row>
    <row r="1998" spans="1:29">
      <c r="A1998" s="10" t="s">
        <v>1189</v>
      </c>
      <c r="B1998" s="10" t="s">
        <v>381</v>
      </c>
      <c r="C1998" s="124">
        <v>46367</v>
      </c>
      <c r="D1998" s="124" t="s">
        <v>492</v>
      </c>
      <c r="E1998" s="21">
        <v>0.93809001000000003</v>
      </c>
      <c r="F1998" s="10"/>
      <c r="G1998" s="14">
        <v>3890.81</v>
      </c>
      <c r="H1998" s="14">
        <v>3649.93</v>
      </c>
      <c r="I1998" s="14">
        <v>3890.81</v>
      </c>
      <c r="J1998" s="14">
        <v>3649.93</v>
      </c>
      <c r="K1998" s="12">
        <v>121965</v>
      </c>
      <c r="L1998" s="10" t="s">
        <v>101</v>
      </c>
      <c r="M1998" s="10" t="s">
        <v>102</v>
      </c>
      <c r="N1998" s="124" t="s">
        <v>483</v>
      </c>
      <c r="O1998" s="124" t="s">
        <v>483</v>
      </c>
      <c r="P1998" s="21">
        <v>33</v>
      </c>
      <c r="Q1998" s="10" t="s">
        <v>54</v>
      </c>
      <c r="R1998" s="10" t="s">
        <v>28</v>
      </c>
      <c r="S1998" s="10"/>
      <c r="T1998" s="10"/>
      <c r="U1998" s="10" t="s">
        <v>2441</v>
      </c>
      <c r="V1998" s="10" t="s">
        <v>2441</v>
      </c>
      <c r="W1998" s="50">
        <f>+J1998/$W$2</f>
        <v>4.8524245567942434E-8</v>
      </c>
    </row>
    <row r="1999" spans="1:29">
      <c r="A1999" s="10" t="s">
        <v>385</v>
      </c>
      <c r="B1999" s="10" t="s">
        <v>381</v>
      </c>
      <c r="C1999" s="124">
        <v>46367</v>
      </c>
      <c r="D1999" s="124" t="s">
        <v>492</v>
      </c>
      <c r="E1999" s="21">
        <v>0.93808639999999999</v>
      </c>
      <c r="F1999" s="10"/>
      <c r="G1999" s="14">
        <v>25000000</v>
      </c>
      <c r="H1999" s="14">
        <v>23452159.98</v>
      </c>
      <c r="I1999" s="14">
        <v>25000000</v>
      </c>
      <c r="J1999" s="14">
        <v>23452159.98</v>
      </c>
      <c r="K1999" s="12">
        <v>4294</v>
      </c>
      <c r="L1999" s="10" t="s">
        <v>101</v>
      </c>
      <c r="M1999" s="10" t="s">
        <v>102</v>
      </c>
      <c r="N1999" s="124" t="s">
        <v>472</v>
      </c>
      <c r="O1999" s="124" t="s">
        <v>472</v>
      </c>
      <c r="P1999" s="21">
        <v>33</v>
      </c>
      <c r="Q1999" s="10" t="s">
        <v>54</v>
      </c>
      <c r="R1999" s="10" t="s">
        <v>28</v>
      </c>
      <c r="S1999" s="10"/>
      <c r="T1999" s="10"/>
      <c r="U1999" s="10" t="s">
        <v>3221</v>
      </c>
      <c r="V1999" s="10" t="s">
        <v>3221</v>
      </c>
      <c r="W1999" s="50">
        <f>+J1999/$W$2</f>
        <v>3.1178635479808982E-4</v>
      </c>
    </row>
    <row r="2000" spans="1:29">
      <c r="A2000" s="10" t="s">
        <v>404</v>
      </c>
      <c r="B2000" s="10" t="s">
        <v>381</v>
      </c>
      <c r="C2000" s="124">
        <v>46367</v>
      </c>
      <c r="D2000" s="124" t="s">
        <v>492</v>
      </c>
      <c r="E2000" s="21">
        <v>0.94696988000000004</v>
      </c>
      <c r="F2000" s="10"/>
      <c r="G2000" s="14">
        <v>20519816.280000001</v>
      </c>
      <c r="H2000" s="14">
        <v>19431647.960000001</v>
      </c>
      <c r="I2000" s="14">
        <v>20519816.280000001</v>
      </c>
      <c r="J2000" s="14">
        <v>19431647.960000001</v>
      </c>
      <c r="K2000" s="12">
        <v>76906097</v>
      </c>
      <c r="L2000" s="10" t="s">
        <v>101</v>
      </c>
      <c r="M2000" s="10" t="s">
        <v>102</v>
      </c>
      <c r="N2000" s="124" t="s">
        <v>434</v>
      </c>
      <c r="O2000" s="124" t="s">
        <v>434</v>
      </c>
      <c r="P2000" s="21">
        <v>28</v>
      </c>
      <c r="Q2000" s="10" t="s">
        <v>54</v>
      </c>
      <c r="R2000" s="10" t="s">
        <v>28</v>
      </c>
      <c r="S2000" s="10"/>
      <c r="T2000" s="10"/>
      <c r="U2000" s="10" t="s">
        <v>2988</v>
      </c>
      <c r="V2000" s="10" t="s">
        <v>2988</v>
      </c>
      <c r="W2000" s="50">
        <f>+J2000/$W$2</f>
        <v>2.5833538106233484E-4</v>
      </c>
    </row>
    <row r="2001" spans="1:29">
      <c r="A2001" s="10" t="s">
        <v>290</v>
      </c>
      <c r="B2001" s="10" t="s">
        <v>381</v>
      </c>
      <c r="C2001" s="124">
        <v>46367</v>
      </c>
      <c r="D2001" s="124" t="s">
        <v>492</v>
      </c>
      <c r="E2001" s="21">
        <v>0.93984979000000002</v>
      </c>
      <c r="F2001" s="10"/>
      <c r="G2001" s="14">
        <v>3000000</v>
      </c>
      <c r="H2001" s="14">
        <v>2819549.38</v>
      </c>
      <c r="I2001" s="14">
        <v>3000000</v>
      </c>
      <c r="J2001" s="14">
        <v>2819549.38</v>
      </c>
      <c r="K2001" s="12">
        <v>40789555</v>
      </c>
      <c r="L2001" s="10" t="s">
        <v>101</v>
      </c>
      <c r="M2001" s="10" t="s">
        <v>102</v>
      </c>
      <c r="N2001" s="124" t="s">
        <v>677</v>
      </c>
      <c r="O2001" s="124" t="s">
        <v>677</v>
      </c>
      <c r="P2001" s="21">
        <v>32</v>
      </c>
      <c r="Q2001" s="10" t="s">
        <v>54</v>
      </c>
      <c r="R2001" s="10" t="s">
        <v>28</v>
      </c>
      <c r="S2001" s="10"/>
      <c r="T2001" s="10"/>
      <c r="U2001" s="10" t="s">
        <v>3296</v>
      </c>
      <c r="V2001" s="10" t="s">
        <v>3296</v>
      </c>
      <c r="W2001" s="50">
        <f>+J2001/$W$2</f>
        <v>3.7484693269750339E-5</v>
      </c>
    </row>
    <row r="2002" spans="1:29">
      <c r="A2002" s="10" t="s">
        <v>290</v>
      </c>
      <c r="B2002" s="10" t="s">
        <v>381</v>
      </c>
      <c r="C2002" s="124">
        <v>46367</v>
      </c>
      <c r="D2002" s="124" t="s">
        <v>492</v>
      </c>
      <c r="E2002" s="21">
        <v>0.93984979000000002</v>
      </c>
      <c r="F2002" s="10"/>
      <c r="G2002" s="14">
        <v>3000000</v>
      </c>
      <c r="H2002" s="14">
        <v>2819549.38</v>
      </c>
      <c r="I2002" s="14">
        <v>3000000</v>
      </c>
      <c r="J2002" s="14">
        <v>2819549.38</v>
      </c>
      <c r="K2002" s="12">
        <v>40789556</v>
      </c>
      <c r="L2002" s="10" t="s">
        <v>101</v>
      </c>
      <c r="M2002" s="10" t="s">
        <v>102</v>
      </c>
      <c r="N2002" s="124" t="s">
        <v>677</v>
      </c>
      <c r="O2002" s="124" t="s">
        <v>677</v>
      </c>
      <c r="P2002" s="21">
        <v>32</v>
      </c>
      <c r="Q2002" s="10" t="s">
        <v>54</v>
      </c>
      <c r="R2002" s="10" t="s">
        <v>28</v>
      </c>
      <c r="S2002" s="10"/>
      <c r="T2002" s="10"/>
      <c r="U2002" s="10" t="s">
        <v>3297</v>
      </c>
      <c r="V2002" s="10" t="s">
        <v>3297</v>
      </c>
      <c r="W2002" s="50">
        <f>+J2002/$W$2</f>
        <v>3.7484693269750339E-5</v>
      </c>
      <c r="AC2002" s="47"/>
    </row>
    <row r="2003" spans="1:29">
      <c r="A2003" s="10" t="s">
        <v>465</v>
      </c>
      <c r="B2003" s="10" t="s">
        <v>381</v>
      </c>
      <c r="C2003" s="124">
        <v>46367</v>
      </c>
      <c r="D2003" s="124" t="s">
        <v>492</v>
      </c>
      <c r="E2003" s="21">
        <v>0.93808643000000003</v>
      </c>
      <c r="F2003" s="10"/>
      <c r="G2003" s="14">
        <v>25000000</v>
      </c>
      <c r="H2003" s="14">
        <v>23452160.809999999</v>
      </c>
      <c r="I2003" s="14">
        <v>25000000</v>
      </c>
      <c r="J2003" s="14">
        <v>23452160.809999999</v>
      </c>
      <c r="K2003" s="12">
        <v>14422597</v>
      </c>
      <c r="L2003" s="10" t="s">
        <v>101</v>
      </c>
      <c r="M2003" s="10" t="s">
        <v>102</v>
      </c>
      <c r="N2003" s="124" t="s">
        <v>390</v>
      </c>
      <c r="O2003" s="124" t="s">
        <v>390</v>
      </c>
      <c r="P2003" s="21">
        <v>33</v>
      </c>
      <c r="Q2003" s="10" t="s">
        <v>54</v>
      </c>
      <c r="R2003" s="10" t="s">
        <v>28</v>
      </c>
      <c r="S2003" s="10"/>
      <c r="T2003" s="10"/>
      <c r="U2003" s="10" t="s">
        <v>2052</v>
      </c>
      <c r="V2003" s="10" t="s">
        <v>2052</v>
      </c>
      <c r="W2003" s="50">
        <f>+J2003/$W$2</f>
        <v>3.1178636583258193E-4</v>
      </c>
    </row>
    <row r="2004" spans="1:29">
      <c r="A2004" s="10" t="s">
        <v>466</v>
      </c>
      <c r="B2004" s="10" t="s">
        <v>381</v>
      </c>
      <c r="C2004" s="124">
        <v>46367</v>
      </c>
      <c r="D2004" s="124" t="s">
        <v>492</v>
      </c>
      <c r="E2004" s="21">
        <v>0.93808632000000003</v>
      </c>
      <c r="F2004" s="10"/>
      <c r="G2004" s="14">
        <v>2500000</v>
      </c>
      <c r="H2004" s="14">
        <v>2345215.81</v>
      </c>
      <c r="I2004" s="14">
        <v>2500000</v>
      </c>
      <c r="J2004" s="14">
        <v>2345215.81</v>
      </c>
      <c r="K2004" s="12">
        <v>681</v>
      </c>
      <c r="L2004" s="10" t="s">
        <v>101</v>
      </c>
      <c r="M2004" s="10" t="s">
        <v>102</v>
      </c>
      <c r="N2004" s="124" t="s">
        <v>532</v>
      </c>
      <c r="O2004" s="124" t="s">
        <v>532</v>
      </c>
      <c r="P2004" s="21">
        <v>33</v>
      </c>
      <c r="Q2004" s="10" t="s">
        <v>54</v>
      </c>
      <c r="R2004" s="10" t="s">
        <v>28</v>
      </c>
      <c r="S2004" s="10"/>
      <c r="T2004" s="10"/>
      <c r="U2004" s="10" t="s">
        <v>3102</v>
      </c>
      <c r="V2004" s="10" t="s">
        <v>3102</v>
      </c>
      <c r="W2004" s="50">
        <f>+J2004/$W$2</f>
        <v>3.1178632980430046E-5</v>
      </c>
    </row>
    <row r="2005" spans="1:29">
      <c r="A2005" s="10" t="s">
        <v>478</v>
      </c>
      <c r="B2005" s="10" t="s">
        <v>381</v>
      </c>
      <c r="C2005" s="124">
        <v>46367</v>
      </c>
      <c r="D2005" s="124" t="s">
        <v>492</v>
      </c>
      <c r="E2005" s="21">
        <v>0.93109874999999998</v>
      </c>
      <c r="F2005" s="10"/>
      <c r="G2005" s="14">
        <v>15000000</v>
      </c>
      <c r="H2005" s="14">
        <v>13966481.18</v>
      </c>
      <c r="I2005" s="14">
        <v>15000000</v>
      </c>
      <c r="J2005" s="14">
        <v>13966481.18</v>
      </c>
      <c r="K2005" s="12">
        <v>90023086</v>
      </c>
      <c r="L2005" s="10" t="s">
        <v>101</v>
      </c>
      <c r="M2005" s="10" t="s">
        <v>102</v>
      </c>
      <c r="N2005" s="124" t="s">
        <v>157</v>
      </c>
      <c r="O2005" s="124" t="s">
        <v>157</v>
      </c>
      <c r="P2005" s="21">
        <v>37</v>
      </c>
      <c r="Q2005" s="10" t="s">
        <v>54</v>
      </c>
      <c r="R2005" s="10" t="s">
        <v>28</v>
      </c>
      <c r="S2005" s="10"/>
      <c r="T2005" s="10"/>
      <c r="U2005" s="10" t="s">
        <v>650</v>
      </c>
      <c r="V2005" s="10" t="s">
        <v>650</v>
      </c>
      <c r="W2005" s="50">
        <f>+J2005/$W$2</f>
        <v>1.856783452006933E-4</v>
      </c>
    </row>
    <row r="2006" spans="1:29">
      <c r="A2006" s="10" t="s">
        <v>675</v>
      </c>
      <c r="B2006" s="10" t="s">
        <v>381</v>
      </c>
      <c r="C2006" s="124">
        <v>46367</v>
      </c>
      <c r="D2006" s="124" t="s">
        <v>492</v>
      </c>
      <c r="E2006" s="21">
        <v>0.94339622999999995</v>
      </c>
      <c r="F2006" s="10"/>
      <c r="G2006" s="14">
        <v>150000000</v>
      </c>
      <c r="H2006" s="14">
        <v>141509433.96000001</v>
      </c>
      <c r="I2006" s="14">
        <v>150000000</v>
      </c>
      <c r="J2006" s="14">
        <v>141509433.96000001</v>
      </c>
      <c r="K2006" s="12">
        <v>90004274</v>
      </c>
      <c r="L2006" s="10" t="s">
        <v>101</v>
      </c>
      <c r="M2006" s="10" t="s">
        <v>102</v>
      </c>
      <c r="N2006" s="124" t="s">
        <v>492</v>
      </c>
      <c r="O2006" s="124" t="s">
        <v>492</v>
      </c>
      <c r="P2006" s="21">
        <v>30</v>
      </c>
      <c r="Q2006" s="10" t="s">
        <v>54</v>
      </c>
      <c r="R2006" s="10" t="s">
        <v>28</v>
      </c>
      <c r="S2006" s="10"/>
      <c r="T2006" s="10"/>
      <c r="U2006" s="10" t="s">
        <v>3548</v>
      </c>
      <c r="V2006" s="10" t="s">
        <v>3548</v>
      </c>
      <c r="W2006" s="50">
        <f>+J2006/$W$2</f>
        <v>1.8813069082573017E-3</v>
      </c>
    </row>
    <row r="2007" spans="1:29">
      <c r="A2007" s="10" t="s">
        <v>427</v>
      </c>
      <c r="B2007" s="10" t="s">
        <v>381</v>
      </c>
      <c r="C2007" s="124">
        <v>46367</v>
      </c>
      <c r="D2007" s="124" t="s">
        <v>492</v>
      </c>
      <c r="E2007" s="21">
        <v>0.94696988000000004</v>
      </c>
      <c r="F2007" s="10"/>
      <c r="G2007" s="14">
        <v>8400000</v>
      </c>
      <c r="H2007" s="14">
        <v>7954546.9900000002</v>
      </c>
      <c r="I2007" s="14">
        <v>8400000</v>
      </c>
      <c r="J2007" s="14">
        <v>7954546.9900000002</v>
      </c>
      <c r="K2007" s="12">
        <v>2454</v>
      </c>
      <c r="L2007" s="10" t="s">
        <v>101</v>
      </c>
      <c r="M2007" s="10" t="s">
        <v>102</v>
      </c>
      <c r="N2007" s="124" t="s">
        <v>434</v>
      </c>
      <c r="O2007" s="124" t="s">
        <v>434</v>
      </c>
      <c r="P2007" s="21">
        <v>28</v>
      </c>
      <c r="Q2007" s="10" t="s">
        <v>54</v>
      </c>
      <c r="R2007" s="10" t="s">
        <v>28</v>
      </c>
      <c r="S2007" s="10"/>
      <c r="T2007" s="10"/>
      <c r="U2007" s="10" t="s">
        <v>2968</v>
      </c>
      <c r="V2007" s="10" t="s">
        <v>2968</v>
      </c>
      <c r="W2007" s="50">
        <f>+J2007/$W$2</f>
        <v>1.057522723790586E-4</v>
      </c>
    </row>
    <row r="2008" spans="1:29">
      <c r="A2008" s="10" t="s">
        <v>427</v>
      </c>
      <c r="B2008" s="10" t="s">
        <v>381</v>
      </c>
      <c r="C2008" s="124">
        <v>46367</v>
      </c>
      <c r="D2008" s="124" t="s">
        <v>492</v>
      </c>
      <c r="E2008" s="21">
        <v>0.94696988000000004</v>
      </c>
      <c r="F2008" s="10"/>
      <c r="G2008" s="14">
        <v>8400000</v>
      </c>
      <c r="H2008" s="14">
        <v>7954546.9900000002</v>
      </c>
      <c r="I2008" s="14">
        <v>8400000</v>
      </c>
      <c r="J2008" s="14">
        <v>7954546.9900000002</v>
      </c>
      <c r="K2008" s="12">
        <v>2455</v>
      </c>
      <c r="L2008" s="10" t="s">
        <v>101</v>
      </c>
      <c r="M2008" s="10" t="s">
        <v>102</v>
      </c>
      <c r="N2008" s="124" t="s">
        <v>434</v>
      </c>
      <c r="O2008" s="124" t="s">
        <v>434</v>
      </c>
      <c r="P2008" s="21">
        <v>28</v>
      </c>
      <c r="Q2008" s="10" t="s">
        <v>54</v>
      </c>
      <c r="R2008" s="10" t="s">
        <v>28</v>
      </c>
      <c r="S2008" s="10"/>
      <c r="T2008" s="10"/>
      <c r="U2008" s="10" t="s">
        <v>2976</v>
      </c>
      <c r="V2008" s="10" t="s">
        <v>2976</v>
      </c>
      <c r="W2008" s="50">
        <f>+J2008/$W$2</f>
        <v>1.057522723790586E-4</v>
      </c>
    </row>
    <row r="2009" spans="1:29">
      <c r="A2009" s="10" t="s">
        <v>392</v>
      </c>
      <c r="B2009" s="10" t="s">
        <v>381</v>
      </c>
      <c r="C2009" s="124">
        <v>46367</v>
      </c>
      <c r="D2009" s="124" t="s">
        <v>492</v>
      </c>
      <c r="E2009" s="21">
        <v>0.93632968999999999</v>
      </c>
      <c r="F2009" s="10"/>
      <c r="G2009" s="14">
        <v>4000000</v>
      </c>
      <c r="H2009" s="14">
        <v>3745318.77</v>
      </c>
      <c r="I2009" s="14">
        <v>4000000</v>
      </c>
      <c r="J2009" s="14">
        <v>3745318.77</v>
      </c>
      <c r="K2009" s="12">
        <v>90000054</v>
      </c>
      <c r="L2009" s="10" t="s">
        <v>101</v>
      </c>
      <c r="M2009" s="10" t="s">
        <v>102</v>
      </c>
      <c r="N2009" s="124" t="s">
        <v>331</v>
      </c>
      <c r="O2009" s="124" t="s">
        <v>331</v>
      </c>
      <c r="P2009" s="21">
        <v>34</v>
      </c>
      <c r="Q2009" s="10" t="s">
        <v>54</v>
      </c>
      <c r="R2009" s="10" t="s">
        <v>28</v>
      </c>
      <c r="S2009" s="10"/>
      <c r="T2009" s="10"/>
      <c r="U2009" s="10" t="s">
        <v>693</v>
      </c>
      <c r="V2009" s="10" t="s">
        <v>693</v>
      </c>
      <c r="W2009" s="50">
        <f>+J2009/$W$2</f>
        <v>4.9792398135225641E-5</v>
      </c>
    </row>
    <row r="2010" spans="1:29">
      <c r="A2010" s="10" t="s">
        <v>477</v>
      </c>
      <c r="B2010" s="10" t="s">
        <v>381</v>
      </c>
      <c r="C2010" s="124">
        <v>46370</v>
      </c>
      <c r="D2010" s="124" t="s">
        <v>492</v>
      </c>
      <c r="E2010" s="21">
        <v>0.93936596000000006</v>
      </c>
      <c r="F2010" s="10"/>
      <c r="G2010" s="14">
        <v>10000000</v>
      </c>
      <c r="H2010" s="14">
        <v>9393659.6500000004</v>
      </c>
      <c r="I2010" s="14">
        <v>10000000</v>
      </c>
      <c r="J2010" s="14">
        <v>9393659.6500000004</v>
      </c>
      <c r="K2010" s="12">
        <v>180</v>
      </c>
      <c r="L2010" s="10" t="s">
        <v>101</v>
      </c>
      <c r="M2010" s="10" t="s">
        <v>102</v>
      </c>
      <c r="N2010" s="124" t="s">
        <v>164</v>
      </c>
      <c r="O2010" s="124" t="s">
        <v>164</v>
      </c>
      <c r="P2010" s="21">
        <v>31</v>
      </c>
      <c r="Q2010" s="10" t="s">
        <v>54</v>
      </c>
      <c r="R2010" s="10" t="s">
        <v>28</v>
      </c>
      <c r="S2010" s="10"/>
      <c r="T2010" s="10"/>
      <c r="U2010" s="10" t="s">
        <v>1943</v>
      </c>
      <c r="V2010" s="10" t="s">
        <v>1943</v>
      </c>
      <c r="W2010" s="50">
        <f>+J2010/$W$2</f>
        <v>1.2488465467509576E-4</v>
      </c>
    </row>
    <row r="2011" spans="1:29">
      <c r="A2011" s="10" t="s">
        <v>2705</v>
      </c>
      <c r="B2011" s="10" t="s">
        <v>381</v>
      </c>
      <c r="C2011" s="124">
        <v>46370</v>
      </c>
      <c r="D2011" s="124" t="s">
        <v>492</v>
      </c>
      <c r="E2011" s="21">
        <v>0.93753226000000001</v>
      </c>
      <c r="F2011" s="10"/>
      <c r="G2011" s="14">
        <v>8000000</v>
      </c>
      <c r="H2011" s="14">
        <v>7500258.04</v>
      </c>
      <c r="I2011" s="14">
        <v>8000000</v>
      </c>
      <c r="J2011" s="14">
        <v>7500258.04</v>
      </c>
      <c r="K2011" s="12">
        <v>1791</v>
      </c>
      <c r="L2011" s="10" t="s">
        <v>101</v>
      </c>
      <c r="M2011" s="10" t="s">
        <v>102</v>
      </c>
      <c r="N2011" s="124" t="s">
        <v>420</v>
      </c>
      <c r="O2011" s="124" t="s">
        <v>420</v>
      </c>
      <c r="P2011" s="21">
        <v>32</v>
      </c>
      <c r="Q2011" s="10" t="s">
        <v>54</v>
      </c>
      <c r="R2011" s="10" t="s">
        <v>28</v>
      </c>
      <c r="S2011" s="10"/>
      <c r="T2011" s="10"/>
      <c r="U2011" s="10" t="s">
        <v>2689</v>
      </c>
      <c r="V2011" s="10" t="s">
        <v>2689</v>
      </c>
      <c r="W2011" s="50">
        <f>+J2011/$W$2</f>
        <v>9.9712696669770277E-5</v>
      </c>
    </row>
    <row r="2012" spans="1:29">
      <c r="A2012" s="10" t="s">
        <v>2918</v>
      </c>
      <c r="B2012" s="10" t="s">
        <v>381</v>
      </c>
      <c r="C2012" s="124">
        <v>46370</v>
      </c>
      <c r="D2012" s="124" t="s">
        <v>492</v>
      </c>
      <c r="E2012" s="21">
        <v>0.93207359000000001</v>
      </c>
      <c r="F2012" s="10"/>
      <c r="G2012" s="14">
        <v>5000000</v>
      </c>
      <c r="H2012" s="14">
        <v>4660367.9400000004</v>
      </c>
      <c r="I2012" s="14">
        <v>5000000</v>
      </c>
      <c r="J2012" s="14">
        <v>4660367.9400000004</v>
      </c>
      <c r="K2012" s="12">
        <v>542</v>
      </c>
      <c r="L2012" s="10" t="s">
        <v>101</v>
      </c>
      <c r="M2012" s="10" t="s">
        <v>102</v>
      </c>
      <c r="N2012" s="124" t="s">
        <v>486</v>
      </c>
      <c r="O2012" s="124" t="s">
        <v>486</v>
      </c>
      <c r="P2012" s="21">
        <v>35</v>
      </c>
      <c r="Q2012" s="10" t="s">
        <v>54</v>
      </c>
      <c r="R2012" s="10" t="s">
        <v>28</v>
      </c>
      <c r="S2012" s="10"/>
      <c r="T2012" s="10"/>
      <c r="U2012" s="10" t="s">
        <v>2868</v>
      </c>
      <c r="V2012" s="10" t="s">
        <v>2868</v>
      </c>
      <c r="W2012" s="50">
        <f>+J2012/$W$2</f>
        <v>6.1957582298160797E-5</v>
      </c>
    </row>
    <row r="2013" spans="1:29">
      <c r="A2013" s="10" t="s">
        <v>353</v>
      </c>
      <c r="B2013" s="10" t="s">
        <v>381</v>
      </c>
      <c r="C2013" s="124">
        <v>46370</v>
      </c>
      <c r="D2013" s="124" t="s">
        <v>492</v>
      </c>
      <c r="E2013" s="21">
        <v>0.93026816000000001</v>
      </c>
      <c r="F2013" s="10"/>
      <c r="G2013" s="14">
        <v>3105640.28</v>
      </c>
      <c r="H2013" s="14">
        <v>2889078.28</v>
      </c>
      <c r="I2013" s="14">
        <v>3105640.28</v>
      </c>
      <c r="J2013" s="14">
        <v>2889078.28</v>
      </c>
      <c r="K2013" s="12">
        <v>3394</v>
      </c>
      <c r="L2013" s="10" t="s">
        <v>101</v>
      </c>
      <c r="M2013" s="10" t="s">
        <v>102</v>
      </c>
      <c r="N2013" s="124" t="s">
        <v>551</v>
      </c>
      <c r="O2013" s="124" t="s">
        <v>551</v>
      </c>
      <c r="P2013" s="21">
        <v>36</v>
      </c>
      <c r="Q2013" s="10" t="s">
        <v>54</v>
      </c>
      <c r="R2013" s="10" t="s">
        <v>28</v>
      </c>
      <c r="S2013" s="10"/>
      <c r="T2013" s="10"/>
      <c r="U2013" s="10" t="s">
        <v>2229</v>
      </c>
      <c r="V2013" s="10" t="s">
        <v>2229</v>
      </c>
      <c r="W2013" s="50">
        <f>+J2013/$W$2</f>
        <v>3.8409050015679408E-5</v>
      </c>
    </row>
    <row r="2014" spans="1:29">
      <c r="A2014" s="10" t="s">
        <v>353</v>
      </c>
      <c r="B2014" s="10" t="s">
        <v>381</v>
      </c>
      <c r="C2014" s="124">
        <v>46370</v>
      </c>
      <c r="D2014" s="124" t="s">
        <v>492</v>
      </c>
      <c r="E2014" s="21">
        <v>0.93026819000000005</v>
      </c>
      <c r="F2014" s="10"/>
      <c r="G2014" s="14">
        <v>2874176.47</v>
      </c>
      <c r="H2014" s="14">
        <v>2673754.9300000002</v>
      </c>
      <c r="I2014" s="14">
        <v>2874176.47</v>
      </c>
      <c r="J2014" s="14">
        <v>2673754.9300000002</v>
      </c>
      <c r="K2014" s="12">
        <v>3442</v>
      </c>
      <c r="L2014" s="10" t="s">
        <v>101</v>
      </c>
      <c r="M2014" s="10" t="s">
        <v>102</v>
      </c>
      <c r="N2014" s="124" t="s">
        <v>552</v>
      </c>
      <c r="O2014" s="124" t="s">
        <v>552</v>
      </c>
      <c r="P2014" s="21">
        <v>36</v>
      </c>
      <c r="Q2014" s="10" t="s">
        <v>54</v>
      </c>
      <c r="R2014" s="10" t="s">
        <v>28</v>
      </c>
      <c r="S2014" s="10"/>
      <c r="T2014" s="10"/>
      <c r="U2014" s="10" t="s">
        <v>2363</v>
      </c>
      <c r="V2014" s="10" t="s">
        <v>2363</v>
      </c>
      <c r="W2014" s="50">
        <f>+J2014/$W$2</f>
        <v>3.5546418920860608E-5</v>
      </c>
    </row>
    <row r="2015" spans="1:29">
      <c r="A2015" s="10" t="s">
        <v>2420</v>
      </c>
      <c r="B2015" s="10" t="s">
        <v>381</v>
      </c>
      <c r="C2015" s="124">
        <v>46370</v>
      </c>
      <c r="D2015" s="124" t="s">
        <v>492</v>
      </c>
      <c r="E2015" s="21">
        <v>0.93570555</v>
      </c>
      <c r="F2015" s="10"/>
      <c r="G2015" s="14">
        <v>5000000</v>
      </c>
      <c r="H2015" s="14">
        <v>4678527.7699999996</v>
      </c>
      <c r="I2015" s="14">
        <v>5000000</v>
      </c>
      <c r="J2015" s="14">
        <v>4678527.7699999996</v>
      </c>
      <c r="K2015" s="12">
        <v>2877</v>
      </c>
      <c r="L2015" s="10" t="s">
        <v>101</v>
      </c>
      <c r="M2015" s="10" t="s">
        <v>102</v>
      </c>
      <c r="N2015" s="124" t="s">
        <v>552</v>
      </c>
      <c r="O2015" s="124" t="s">
        <v>552</v>
      </c>
      <c r="P2015" s="21">
        <v>33</v>
      </c>
      <c r="Q2015" s="10" t="s">
        <v>54</v>
      </c>
      <c r="R2015" s="10" t="s">
        <v>28</v>
      </c>
      <c r="S2015" s="10"/>
      <c r="T2015" s="10"/>
      <c r="U2015" s="10" t="s">
        <v>2349</v>
      </c>
      <c r="V2015" s="10" t="s">
        <v>2349</v>
      </c>
      <c r="W2015" s="50">
        <f>+J2015/$W$2</f>
        <v>6.2199009407829217E-5</v>
      </c>
    </row>
    <row r="2016" spans="1:29">
      <c r="A2016" s="10" t="s">
        <v>2614</v>
      </c>
      <c r="B2016" s="10" t="s">
        <v>381</v>
      </c>
      <c r="C2016" s="124">
        <v>46370</v>
      </c>
      <c r="D2016" s="124" t="s">
        <v>492</v>
      </c>
      <c r="E2016" s="21">
        <v>0.93753218999999999</v>
      </c>
      <c r="F2016" s="10"/>
      <c r="G2016" s="14">
        <v>8123170.71</v>
      </c>
      <c r="H2016" s="14">
        <v>7615734.0199999996</v>
      </c>
      <c r="I2016" s="14">
        <v>8123170.71</v>
      </c>
      <c r="J2016" s="14">
        <v>7615734.0199999996</v>
      </c>
      <c r="K2016" s="12">
        <v>11245</v>
      </c>
      <c r="L2016" s="10" t="s">
        <v>101</v>
      </c>
      <c r="M2016" s="10" t="s">
        <v>102</v>
      </c>
      <c r="N2016" s="124" t="s">
        <v>423</v>
      </c>
      <c r="O2016" s="124" t="s">
        <v>423</v>
      </c>
      <c r="P2016" s="21">
        <v>32</v>
      </c>
      <c r="Q2016" s="10" t="s">
        <v>54</v>
      </c>
      <c r="R2016" s="10" t="s">
        <v>28</v>
      </c>
      <c r="S2016" s="10"/>
      <c r="T2016" s="10"/>
      <c r="U2016" s="10" t="s">
        <v>2548</v>
      </c>
      <c r="V2016" s="10" t="s">
        <v>2548</v>
      </c>
      <c r="W2016" s="50">
        <f>+J2016/$W$2</f>
        <v>1.0124790003277143E-4</v>
      </c>
    </row>
    <row r="2017" spans="1:29">
      <c r="A2017" s="10" t="s">
        <v>2619</v>
      </c>
      <c r="B2017" s="10" t="s">
        <v>381</v>
      </c>
      <c r="C2017" s="124">
        <v>46370</v>
      </c>
      <c r="D2017" s="124" t="s">
        <v>492</v>
      </c>
      <c r="E2017" s="21">
        <v>0.93753220999999998</v>
      </c>
      <c r="F2017" s="10"/>
      <c r="G2017" s="14">
        <v>428767.71</v>
      </c>
      <c r="H2017" s="14">
        <v>401983.54</v>
      </c>
      <c r="I2017" s="14">
        <v>428767.71</v>
      </c>
      <c r="J2017" s="14">
        <v>401983.54</v>
      </c>
      <c r="K2017" s="12">
        <v>1975206</v>
      </c>
      <c r="L2017" s="10" t="s">
        <v>101</v>
      </c>
      <c r="M2017" s="10" t="s">
        <v>102</v>
      </c>
      <c r="N2017" s="124" t="s">
        <v>423</v>
      </c>
      <c r="O2017" s="124" t="s">
        <v>423</v>
      </c>
      <c r="P2017" s="21">
        <v>32</v>
      </c>
      <c r="Q2017" s="10" t="s">
        <v>54</v>
      </c>
      <c r="R2017" s="10" t="s">
        <v>28</v>
      </c>
      <c r="S2017" s="10"/>
      <c r="T2017" s="10"/>
      <c r="U2017" s="10" t="s">
        <v>2576</v>
      </c>
      <c r="V2017" s="10" t="s">
        <v>2576</v>
      </c>
      <c r="W2017" s="50">
        <f>+J2017/$W$2</f>
        <v>5.3441978364600996E-6</v>
      </c>
    </row>
    <row r="2018" spans="1:29">
      <c r="A2018" s="10" t="s">
        <v>2621</v>
      </c>
      <c r="B2018" s="10" t="s">
        <v>381</v>
      </c>
      <c r="C2018" s="124">
        <v>46370</v>
      </c>
      <c r="D2018" s="124" t="s">
        <v>492</v>
      </c>
      <c r="E2018" s="21">
        <v>0.93753218999999999</v>
      </c>
      <c r="F2018" s="10"/>
      <c r="G2018" s="14">
        <v>17763197.079999998</v>
      </c>
      <c r="H2018" s="14">
        <v>16653569.02</v>
      </c>
      <c r="I2018" s="14">
        <v>17763197.079999998</v>
      </c>
      <c r="J2018" s="14">
        <v>16653569.02</v>
      </c>
      <c r="K2018" s="12">
        <v>1314</v>
      </c>
      <c r="L2018" s="10" t="s">
        <v>101</v>
      </c>
      <c r="M2018" s="10" t="s">
        <v>102</v>
      </c>
      <c r="N2018" s="124" t="s">
        <v>423</v>
      </c>
      <c r="O2018" s="124" t="s">
        <v>423</v>
      </c>
      <c r="P2018" s="21">
        <v>32</v>
      </c>
      <c r="Q2018" s="10" t="s">
        <v>54</v>
      </c>
      <c r="R2018" s="10" t="s">
        <v>28</v>
      </c>
      <c r="S2018" s="10"/>
      <c r="T2018" s="10"/>
      <c r="U2018" s="10" t="s">
        <v>2582</v>
      </c>
      <c r="V2018" s="10" t="s">
        <v>2582</v>
      </c>
      <c r="W2018" s="50">
        <f>+J2018/$W$2</f>
        <v>2.2140201941110062E-4</v>
      </c>
    </row>
    <row r="2019" spans="1:29">
      <c r="A2019" s="10" t="s">
        <v>273</v>
      </c>
      <c r="B2019" s="10" t="s">
        <v>381</v>
      </c>
      <c r="C2019" s="124">
        <v>46370</v>
      </c>
      <c r="D2019" s="124" t="s">
        <v>492</v>
      </c>
      <c r="E2019" s="21">
        <v>0.94864336000000005</v>
      </c>
      <c r="F2019" s="10"/>
      <c r="G2019" s="14">
        <v>3729055.13</v>
      </c>
      <c r="H2019" s="14">
        <v>3537543.4</v>
      </c>
      <c r="I2019" s="14">
        <v>3729055.13</v>
      </c>
      <c r="J2019" s="14">
        <v>3537543.4</v>
      </c>
      <c r="K2019" s="12">
        <v>3031</v>
      </c>
      <c r="L2019" s="10" t="s">
        <v>101</v>
      </c>
      <c r="M2019" s="10" t="s">
        <v>102</v>
      </c>
      <c r="N2019" s="124" t="s">
        <v>532</v>
      </c>
      <c r="O2019" s="124" t="s">
        <v>532</v>
      </c>
      <c r="P2019" s="21">
        <v>26</v>
      </c>
      <c r="Q2019" s="10" t="s">
        <v>54</v>
      </c>
      <c r="R2019" s="10" t="s">
        <v>28</v>
      </c>
      <c r="S2019" s="10"/>
      <c r="T2019" s="10"/>
      <c r="U2019" s="10" t="s">
        <v>3006</v>
      </c>
      <c r="V2019" s="10" t="s">
        <v>3006</v>
      </c>
      <c r="W2019" s="50">
        <f>+J2019/$W$2</f>
        <v>4.7030114179957978E-5</v>
      </c>
    </row>
    <row r="2020" spans="1:29">
      <c r="A2020" s="10" t="s">
        <v>1507</v>
      </c>
      <c r="B2020" s="10" t="s">
        <v>381</v>
      </c>
      <c r="C2020" s="124">
        <v>46370</v>
      </c>
      <c r="D2020" s="124" t="s">
        <v>492</v>
      </c>
      <c r="E2020" s="21">
        <v>0.94491042999999997</v>
      </c>
      <c r="F2020" s="10"/>
      <c r="G2020" s="14">
        <v>850000000</v>
      </c>
      <c r="H2020" s="14">
        <v>803173866.69000006</v>
      </c>
      <c r="I2020" s="14">
        <v>850000000</v>
      </c>
      <c r="J2020" s="14">
        <v>803173866.69000006</v>
      </c>
      <c r="K2020" s="12">
        <v>31</v>
      </c>
      <c r="L2020" s="10" t="s">
        <v>101</v>
      </c>
      <c r="M2020" s="10" t="s">
        <v>102</v>
      </c>
      <c r="N2020" s="124" t="s">
        <v>414</v>
      </c>
      <c r="O2020" s="124" t="s">
        <v>414</v>
      </c>
      <c r="P2020" s="21">
        <v>28</v>
      </c>
      <c r="Q2020" s="10" t="s">
        <v>54</v>
      </c>
      <c r="R2020" s="10" t="s">
        <v>28</v>
      </c>
      <c r="S2020" s="10"/>
      <c r="T2020" s="10"/>
      <c r="U2020" s="10" t="s">
        <v>1497</v>
      </c>
      <c r="V2020" s="10" t="s">
        <v>1497</v>
      </c>
      <c r="W2020" s="50">
        <f>+J2020/$W$2</f>
        <v>1.0677850243982604E-2</v>
      </c>
    </row>
    <row r="2021" spans="1:29">
      <c r="A2021" s="10" t="s">
        <v>1726</v>
      </c>
      <c r="B2021" s="10" t="s">
        <v>381</v>
      </c>
      <c r="C2021" s="124">
        <v>46370</v>
      </c>
      <c r="D2021" s="124" t="s">
        <v>492</v>
      </c>
      <c r="E2021" s="21">
        <v>0.93026830000000005</v>
      </c>
      <c r="F2021" s="10"/>
      <c r="G2021" s="14">
        <v>3250000</v>
      </c>
      <c r="H2021" s="14">
        <v>3023371.98</v>
      </c>
      <c r="I2021" s="14">
        <v>3250000</v>
      </c>
      <c r="J2021" s="14">
        <v>3023371.98</v>
      </c>
      <c r="K2021" s="12">
        <v>75</v>
      </c>
      <c r="L2021" s="10" t="s">
        <v>101</v>
      </c>
      <c r="M2021" s="10" t="s">
        <v>102</v>
      </c>
      <c r="N2021" s="124" t="s">
        <v>390</v>
      </c>
      <c r="O2021" s="124" t="s">
        <v>390</v>
      </c>
      <c r="P2021" s="21">
        <v>36</v>
      </c>
      <c r="Q2021" s="10" t="s">
        <v>54</v>
      </c>
      <c r="R2021" s="10" t="s">
        <v>28</v>
      </c>
      <c r="S2021" s="10"/>
      <c r="T2021" s="10"/>
      <c r="U2021" s="10" t="s">
        <v>2029</v>
      </c>
      <c r="V2021" s="10" t="s">
        <v>2029</v>
      </c>
      <c r="W2021" s="50">
        <f>+J2021/$W$2</f>
        <v>4.0194426852229041E-5</v>
      </c>
    </row>
    <row r="2022" spans="1:29">
      <c r="A2022" s="10" t="s">
        <v>1189</v>
      </c>
      <c r="B2022" s="10" t="s">
        <v>381</v>
      </c>
      <c r="C2022" s="124">
        <v>46370</v>
      </c>
      <c r="D2022" s="124" t="s">
        <v>492</v>
      </c>
      <c r="E2022" s="21">
        <v>0.93570556999999999</v>
      </c>
      <c r="F2022" s="10"/>
      <c r="G2022" s="14">
        <v>14698.63</v>
      </c>
      <c r="H2022" s="14">
        <v>13753.59</v>
      </c>
      <c r="I2022" s="14">
        <v>14698.63</v>
      </c>
      <c r="J2022" s="14">
        <v>13753.59</v>
      </c>
      <c r="K2022" s="12">
        <v>122353</v>
      </c>
      <c r="L2022" s="10" t="s">
        <v>101</v>
      </c>
      <c r="M2022" s="10" t="s">
        <v>102</v>
      </c>
      <c r="N2022" s="124" t="s">
        <v>483</v>
      </c>
      <c r="O2022" s="124" t="s">
        <v>483</v>
      </c>
      <c r="P2022" s="21">
        <v>33</v>
      </c>
      <c r="Q2022" s="10" t="s">
        <v>54</v>
      </c>
      <c r="R2022" s="10" t="s">
        <v>28</v>
      </c>
      <c r="S2022" s="10"/>
      <c r="T2022" s="10"/>
      <c r="U2022" s="10" t="s">
        <v>2438</v>
      </c>
      <c r="V2022" s="10" t="s">
        <v>2438</v>
      </c>
      <c r="W2022" s="50">
        <f>+J2022/$W$2</f>
        <v>1.8284804875731793E-7</v>
      </c>
    </row>
    <row r="2023" spans="1:29">
      <c r="A2023" s="10" t="s">
        <v>385</v>
      </c>
      <c r="B2023" s="10" t="s">
        <v>381</v>
      </c>
      <c r="C2023" s="124">
        <v>46370</v>
      </c>
      <c r="D2023" s="124" t="s">
        <v>492</v>
      </c>
      <c r="E2023" s="21">
        <v>0.93570564000000001</v>
      </c>
      <c r="F2023" s="10"/>
      <c r="G2023" s="14">
        <v>25000000</v>
      </c>
      <c r="H2023" s="14">
        <v>23392640.960000001</v>
      </c>
      <c r="I2023" s="14">
        <v>25000000</v>
      </c>
      <c r="J2023" s="14">
        <v>23392640.960000001</v>
      </c>
      <c r="K2023" s="12">
        <v>4295</v>
      </c>
      <c r="L2023" s="10" t="s">
        <v>101</v>
      </c>
      <c r="M2023" s="10" t="s">
        <v>102</v>
      </c>
      <c r="N2023" s="124" t="s">
        <v>472</v>
      </c>
      <c r="O2023" s="124" t="s">
        <v>472</v>
      </c>
      <c r="P2023" s="21">
        <v>33</v>
      </c>
      <c r="Q2023" s="10" t="s">
        <v>54</v>
      </c>
      <c r="R2023" s="10" t="s">
        <v>28</v>
      </c>
      <c r="S2023" s="10"/>
      <c r="T2023" s="10"/>
      <c r="U2023" s="10" t="s">
        <v>3220</v>
      </c>
      <c r="V2023" s="10" t="s">
        <v>3220</v>
      </c>
      <c r="W2023" s="50">
        <f>+J2023/$W$2</f>
        <v>3.1099507509068633E-4</v>
      </c>
      <c r="AC2023" s="47"/>
    </row>
    <row r="2024" spans="1:29">
      <c r="A2024" s="10" t="s">
        <v>666</v>
      </c>
      <c r="B2024" s="10" t="s">
        <v>381</v>
      </c>
      <c r="C2024" s="124">
        <v>46370</v>
      </c>
      <c r="D2024" s="124" t="s">
        <v>492</v>
      </c>
      <c r="E2024" s="21">
        <v>0.93570551000000002</v>
      </c>
      <c r="F2024" s="10"/>
      <c r="G2024" s="14">
        <v>10051717.25</v>
      </c>
      <c r="H2024" s="14">
        <v>9405447.2400000002</v>
      </c>
      <c r="I2024" s="14">
        <v>10051717.25</v>
      </c>
      <c r="J2024" s="14">
        <v>9405447.2400000002</v>
      </c>
      <c r="K2024" s="12">
        <v>90002286</v>
      </c>
      <c r="L2024" s="10" t="s">
        <v>101</v>
      </c>
      <c r="M2024" s="10" t="s">
        <v>102</v>
      </c>
      <c r="N2024" s="124" t="s">
        <v>483</v>
      </c>
      <c r="O2024" s="124" t="s">
        <v>483</v>
      </c>
      <c r="P2024" s="21">
        <v>33</v>
      </c>
      <c r="Q2024" s="10" t="s">
        <v>54</v>
      </c>
      <c r="R2024" s="10" t="s">
        <v>28</v>
      </c>
      <c r="S2024" s="10"/>
      <c r="T2024" s="10"/>
      <c r="U2024" s="10" t="s">
        <v>2463</v>
      </c>
      <c r="V2024" s="10" t="s">
        <v>2463</v>
      </c>
      <c r="W2024" s="50">
        <f>+J2024/$W$2</f>
        <v>1.2504136560155575E-4</v>
      </c>
    </row>
    <row r="2025" spans="1:29">
      <c r="A2025" s="10" t="s">
        <v>2291</v>
      </c>
      <c r="B2025" s="10" t="s">
        <v>381</v>
      </c>
      <c r="C2025" s="124">
        <v>46370</v>
      </c>
      <c r="D2025" s="124" t="s">
        <v>492</v>
      </c>
      <c r="E2025" s="21">
        <v>0.96002109999999996</v>
      </c>
      <c r="F2025" s="10"/>
      <c r="G2025" s="14">
        <v>2409463.31</v>
      </c>
      <c r="H2025" s="14">
        <v>2313135.62</v>
      </c>
      <c r="I2025" s="14">
        <v>2409463.31</v>
      </c>
      <c r="J2025" s="14">
        <v>2313135.62</v>
      </c>
      <c r="K2025" s="12">
        <v>2669</v>
      </c>
      <c r="L2025" s="10" t="s">
        <v>101</v>
      </c>
      <c r="M2025" s="10" t="s">
        <v>102</v>
      </c>
      <c r="N2025" s="124" t="s">
        <v>431</v>
      </c>
      <c r="O2025" s="124" t="s">
        <v>431</v>
      </c>
      <c r="P2025" s="21">
        <v>20</v>
      </c>
      <c r="Q2025" s="10" t="s">
        <v>54</v>
      </c>
      <c r="R2025" s="10" t="s">
        <v>28</v>
      </c>
      <c r="S2025" s="10"/>
      <c r="T2025" s="10"/>
      <c r="U2025" s="10" t="s">
        <v>2252</v>
      </c>
      <c r="V2025" s="10" t="s">
        <v>2252</v>
      </c>
      <c r="W2025" s="50">
        <f>+J2025/$W$2</f>
        <v>3.0752140686762431E-5</v>
      </c>
    </row>
    <row r="2026" spans="1:29">
      <c r="A2026" s="10" t="s">
        <v>465</v>
      </c>
      <c r="B2026" s="10" t="s">
        <v>381</v>
      </c>
      <c r="C2026" s="124">
        <v>46370</v>
      </c>
      <c r="D2026" s="124" t="s">
        <v>492</v>
      </c>
      <c r="E2026" s="21">
        <v>0.93570551000000002</v>
      </c>
      <c r="F2026" s="10"/>
      <c r="G2026" s="14">
        <v>36666668</v>
      </c>
      <c r="H2026" s="14">
        <v>34309203.380000003</v>
      </c>
      <c r="I2026" s="14">
        <v>36666668</v>
      </c>
      <c r="J2026" s="14">
        <v>34309203.380000003</v>
      </c>
      <c r="K2026" s="12">
        <v>14537771</v>
      </c>
      <c r="L2026" s="10" t="s">
        <v>101</v>
      </c>
      <c r="M2026" s="10" t="s">
        <v>102</v>
      </c>
      <c r="N2026" s="124" t="s">
        <v>483</v>
      </c>
      <c r="O2026" s="124" t="s">
        <v>483</v>
      </c>
      <c r="P2026" s="21">
        <v>33</v>
      </c>
      <c r="Q2026" s="10" t="s">
        <v>54</v>
      </c>
      <c r="R2026" s="10" t="s">
        <v>28</v>
      </c>
      <c r="S2026" s="10"/>
      <c r="T2026" s="10"/>
      <c r="U2026" s="10" t="s">
        <v>2454</v>
      </c>
      <c r="V2026" s="10" t="s">
        <v>2454</v>
      </c>
      <c r="W2026" s="50">
        <f>+J2026/$W$2</f>
        <v>4.5612606544552932E-4</v>
      </c>
    </row>
    <row r="2027" spans="1:29">
      <c r="A2027" s="10" t="s">
        <v>465</v>
      </c>
      <c r="B2027" s="10" t="s">
        <v>381</v>
      </c>
      <c r="C2027" s="124">
        <v>46370</v>
      </c>
      <c r="D2027" s="124" t="s">
        <v>492</v>
      </c>
      <c r="E2027" s="21">
        <v>0.93570551000000002</v>
      </c>
      <c r="F2027" s="10"/>
      <c r="G2027" s="14">
        <v>25000000</v>
      </c>
      <c r="H2027" s="14">
        <v>23392637.68</v>
      </c>
      <c r="I2027" s="14">
        <v>25000000</v>
      </c>
      <c r="J2027" s="14">
        <v>23392637.68</v>
      </c>
      <c r="K2027" s="12">
        <v>14422658</v>
      </c>
      <c r="L2027" s="10" t="s">
        <v>101</v>
      </c>
      <c r="M2027" s="10" t="s">
        <v>102</v>
      </c>
      <c r="N2027" s="124" t="s">
        <v>421</v>
      </c>
      <c r="O2027" s="124" t="s">
        <v>421</v>
      </c>
      <c r="P2027" s="21">
        <v>33</v>
      </c>
      <c r="Q2027" s="10" t="s">
        <v>54</v>
      </c>
      <c r="R2027" s="10" t="s">
        <v>28</v>
      </c>
      <c r="S2027" s="10"/>
      <c r="T2027" s="10"/>
      <c r="U2027" s="10" t="s">
        <v>2097</v>
      </c>
      <c r="V2027" s="10" t="s">
        <v>2097</v>
      </c>
      <c r="W2027" s="50">
        <f>+J2027/$W$2</f>
        <v>3.1099503148450061E-4</v>
      </c>
      <c r="AC2027" s="47"/>
    </row>
    <row r="2028" spans="1:29">
      <c r="A2028" s="10" t="s">
        <v>222</v>
      </c>
      <c r="B2028" s="10" t="s">
        <v>381</v>
      </c>
      <c r="C2028" s="124">
        <v>46370</v>
      </c>
      <c r="D2028" s="124" t="s">
        <v>492</v>
      </c>
      <c r="E2028" s="21">
        <v>0.93570560999999997</v>
      </c>
      <c r="F2028" s="10"/>
      <c r="G2028" s="14">
        <v>25000000</v>
      </c>
      <c r="H2028" s="14">
        <v>23392640.190000001</v>
      </c>
      <c r="I2028" s="14">
        <v>25000000</v>
      </c>
      <c r="J2028" s="14">
        <v>23392640.190000001</v>
      </c>
      <c r="K2028" s="12">
        <v>475887</v>
      </c>
      <c r="L2028" s="10" t="s">
        <v>101</v>
      </c>
      <c r="M2028" s="10" t="s">
        <v>102</v>
      </c>
      <c r="N2028" s="124" t="s">
        <v>349</v>
      </c>
      <c r="O2028" s="124" t="s">
        <v>349</v>
      </c>
      <c r="P2028" s="21">
        <v>33</v>
      </c>
      <c r="Q2028" s="10" t="s">
        <v>54</v>
      </c>
      <c r="R2028" s="10" t="s">
        <v>28</v>
      </c>
      <c r="S2028" s="10"/>
      <c r="T2028" s="10"/>
      <c r="U2028" s="10" t="s">
        <v>1361</v>
      </c>
      <c r="V2028" s="10" t="s">
        <v>1361</v>
      </c>
      <c r="W2028" s="50">
        <f>+J2028/$W$2</f>
        <v>3.1099506485386837E-4</v>
      </c>
    </row>
    <row r="2029" spans="1:29">
      <c r="A2029" s="10" t="s">
        <v>675</v>
      </c>
      <c r="B2029" s="10" t="s">
        <v>381</v>
      </c>
      <c r="C2029" s="124">
        <v>46370</v>
      </c>
      <c r="D2029" s="124" t="s">
        <v>492</v>
      </c>
      <c r="E2029" s="21">
        <v>0.94120685999999998</v>
      </c>
      <c r="F2029" s="10"/>
      <c r="G2029" s="14">
        <v>150000000</v>
      </c>
      <c r="H2029" s="14">
        <v>141181028.34</v>
      </c>
      <c r="I2029" s="14">
        <v>150000000</v>
      </c>
      <c r="J2029" s="14">
        <v>141181028.34</v>
      </c>
      <c r="K2029" s="12">
        <v>90004275</v>
      </c>
      <c r="L2029" s="10" t="s">
        <v>101</v>
      </c>
      <c r="M2029" s="10" t="s">
        <v>102</v>
      </c>
      <c r="N2029" s="124" t="s">
        <v>492</v>
      </c>
      <c r="O2029" s="124" t="s">
        <v>492</v>
      </c>
      <c r="P2029" s="21">
        <v>30</v>
      </c>
      <c r="Q2029" s="10" t="s">
        <v>54</v>
      </c>
      <c r="R2029" s="10" t="s">
        <v>28</v>
      </c>
      <c r="S2029" s="10"/>
      <c r="T2029" s="10"/>
      <c r="U2029" s="10" t="s">
        <v>3549</v>
      </c>
      <c r="V2029" s="10" t="s">
        <v>3549</v>
      </c>
      <c r="W2029" s="50">
        <f>+J2029/$W$2</f>
        <v>1.8769408971418084E-3</v>
      </c>
    </row>
    <row r="2030" spans="1:29">
      <c r="A2030" s="10" t="s">
        <v>426</v>
      </c>
      <c r="B2030" s="10" t="s">
        <v>381</v>
      </c>
      <c r="C2030" s="124">
        <v>46370</v>
      </c>
      <c r="D2030" s="124" t="s">
        <v>492</v>
      </c>
      <c r="E2030" s="21">
        <v>0.94491049000000005</v>
      </c>
      <c r="F2030" s="10"/>
      <c r="G2030" s="14">
        <v>40400000</v>
      </c>
      <c r="H2030" s="14">
        <v>38174383.68</v>
      </c>
      <c r="I2030" s="14">
        <v>40400000</v>
      </c>
      <c r="J2030" s="14">
        <v>38174383.68</v>
      </c>
      <c r="K2030" s="12">
        <v>82410318</v>
      </c>
      <c r="L2030" s="10" t="s">
        <v>101</v>
      </c>
      <c r="M2030" s="10" t="s">
        <v>102</v>
      </c>
      <c r="N2030" s="124" t="s">
        <v>532</v>
      </c>
      <c r="O2030" s="124" t="s">
        <v>532</v>
      </c>
      <c r="P2030" s="21">
        <v>28</v>
      </c>
      <c r="Q2030" s="10" t="s">
        <v>54</v>
      </c>
      <c r="R2030" s="10" t="s">
        <v>28</v>
      </c>
      <c r="S2030" s="10"/>
      <c r="T2030" s="10"/>
      <c r="U2030" s="10" t="s">
        <v>3068</v>
      </c>
      <c r="V2030" s="10" t="s">
        <v>3068</v>
      </c>
      <c r="W2030" s="50">
        <f>+J2030/$W$2</f>
        <v>5.0751197094003832E-4</v>
      </c>
    </row>
    <row r="2031" spans="1:29">
      <c r="A2031" s="10" t="s">
        <v>427</v>
      </c>
      <c r="B2031" s="10" t="s">
        <v>381</v>
      </c>
      <c r="C2031" s="124">
        <v>46370</v>
      </c>
      <c r="D2031" s="124" t="s">
        <v>492</v>
      </c>
      <c r="E2031" s="21">
        <v>0.94491064999999996</v>
      </c>
      <c r="F2031" s="10"/>
      <c r="G2031" s="14">
        <v>8400000</v>
      </c>
      <c r="H2031" s="14">
        <v>7937249.4699999997</v>
      </c>
      <c r="I2031" s="14">
        <v>8400000</v>
      </c>
      <c r="J2031" s="14">
        <v>7937249.4699999997</v>
      </c>
      <c r="K2031" s="12">
        <v>2456</v>
      </c>
      <c r="L2031" s="10" t="s">
        <v>101</v>
      </c>
      <c r="M2031" s="10" t="s">
        <v>102</v>
      </c>
      <c r="N2031" s="124" t="s">
        <v>434</v>
      </c>
      <c r="O2031" s="124" t="s">
        <v>434</v>
      </c>
      <c r="P2031" s="21">
        <v>28</v>
      </c>
      <c r="Q2031" s="10" t="s">
        <v>54</v>
      </c>
      <c r="R2031" s="10" t="s">
        <v>28</v>
      </c>
      <c r="S2031" s="10"/>
      <c r="T2031" s="10"/>
      <c r="U2031" s="10" t="s">
        <v>2975</v>
      </c>
      <c r="V2031" s="10" t="s">
        <v>2975</v>
      </c>
      <c r="W2031" s="50">
        <f>+J2031/$W$2</f>
        <v>1.0552230930902811E-4</v>
      </c>
      <c r="AC2031" s="47"/>
    </row>
    <row r="2032" spans="1:29">
      <c r="A2032" s="10" t="s">
        <v>3259</v>
      </c>
      <c r="B2032" s="10" t="s">
        <v>381</v>
      </c>
      <c r="C2032" s="124">
        <v>46370</v>
      </c>
      <c r="D2032" s="124" t="s">
        <v>492</v>
      </c>
      <c r="E2032" s="21">
        <v>0.93936598000000004</v>
      </c>
      <c r="F2032" s="10"/>
      <c r="G2032" s="14">
        <v>694088.77</v>
      </c>
      <c r="H2032" s="14">
        <v>652003.38</v>
      </c>
      <c r="I2032" s="14">
        <v>694088.77</v>
      </c>
      <c r="J2032" s="14">
        <v>652003.38</v>
      </c>
      <c r="K2032" s="12">
        <v>37824</v>
      </c>
      <c r="L2032" s="10" t="s">
        <v>101</v>
      </c>
      <c r="M2032" s="10" t="s">
        <v>102</v>
      </c>
      <c r="N2032" s="124" t="s">
        <v>472</v>
      </c>
      <c r="O2032" s="124" t="s">
        <v>472</v>
      </c>
      <c r="P2032" s="21">
        <v>31</v>
      </c>
      <c r="Q2032" s="10" t="s">
        <v>54</v>
      </c>
      <c r="R2032" s="10" t="s">
        <v>28</v>
      </c>
      <c r="S2032" s="10"/>
      <c r="T2032" s="10"/>
      <c r="U2032" s="10" t="s">
        <v>3194</v>
      </c>
      <c r="V2032" s="10" t="s">
        <v>3194</v>
      </c>
      <c r="W2032" s="50">
        <f>+J2032/$W$2</f>
        <v>8.6681038053465383E-6</v>
      </c>
    </row>
    <row r="2033" spans="1:29">
      <c r="A2033" s="10" t="s">
        <v>3574</v>
      </c>
      <c r="B2033" s="10" t="s">
        <v>381</v>
      </c>
      <c r="C2033" s="124">
        <v>46370</v>
      </c>
      <c r="D2033" s="124" t="s">
        <v>492</v>
      </c>
      <c r="E2033" s="21">
        <v>0.93570555</v>
      </c>
      <c r="F2033" s="10"/>
      <c r="G2033" s="14">
        <v>65000000</v>
      </c>
      <c r="H2033" s="14">
        <v>60820860.579999998</v>
      </c>
      <c r="I2033" s="14">
        <v>65000000</v>
      </c>
      <c r="J2033" s="14">
        <v>60820860.579999998</v>
      </c>
      <c r="K2033" s="12">
        <v>38498315</v>
      </c>
      <c r="L2033" s="10" t="s">
        <v>101</v>
      </c>
      <c r="M2033" s="10" t="s">
        <v>102</v>
      </c>
      <c r="N2033" s="124" t="s">
        <v>492</v>
      </c>
      <c r="O2033" s="124" t="s">
        <v>492</v>
      </c>
      <c r="P2033" s="21">
        <v>33</v>
      </c>
      <c r="Q2033" s="10" t="s">
        <v>54</v>
      </c>
      <c r="R2033" s="10" t="s">
        <v>28</v>
      </c>
      <c r="S2033" s="10"/>
      <c r="T2033" s="10"/>
      <c r="U2033" s="10" t="s">
        <v>3529</v>
      </c>
      <c r="V2033" s="10" t="s">
        <v>3529</v>
      </c>
      <c r="W2033" s="50">
        <f>+J2033/$W$2</f>
        <v>8.085871165851153E-4</v>
      </c>
    </row>
    <row r="2034" spans="1:29">
      <c r="A2034" s="10" t="s">
        <v>477</v>
      </c>
      <c r="B2034" s="10" t="s">
        <v>381</v>
      </c>
      <c r="C2034" s="124">
        <v>46371</v>
      </c>
      <c r="D2034" s="124" t="s">
        <v>492</v>
      </c>
      <c r="E2034" s="21">
        <v>0.93861707000000005</v>
      </c>
      <c r="F2034" s="10"/>
      <c r="G2034" s="14">
        <v>10000000</v>
      </c>
      <c r="H2034" s="14">
        <v>9386170.6500000004</v>
      </c>
      <c r="I2034" s="14">
        <v>10000000</v>
      </c>
      <c r="J2034" s="14">
        <v>9386170.6500000004</v>
      </c>
      <c r="K2034" s="12">
        <v>181</v>
      </c>
      <c r="L2034" s="10" t="s">
        <v>101</v>
      </c>
      <c r="M2034" s="10" t="s">
        <v>102</v>
      </c>
      <c r="N2034" s="124" t="s">
        <v>164</v>
      </c>
      <c r="O2034" s="124" t="s">
        <v>164</v>
      </c>
      <c r="P2034" s="21">
        <v>31</v>
      </c>
      <c r="Q2034" s="10" t="s">
        <v>54</v>
      </c>
      <c r="R2034" s="10" t="s">
        <v>28</v>
      </c>
      <c r="S2034" s="10"/>
      <c r="T2034" s="10"/>
      <c r="U2034" s="10" t="s">
        <v>1944</v>
      </c>
      <c r="V2034" s="10" t="s">
        <v>1944</v>
      </c>
      <c r="W2034" s="50">
        <f>+J2034/$W$2</f>
        <v>1.2478509164921353E-4</v>
      </c>
    </row>
    <row r="2035" spans="1:29">
      <c r="A2035" s="10" t="s">
        <v>2703</v>
      </c>
      <c r="B2035" s="10" t="s">
        <v>381</v>
      </c>
      <c r="C2035" s="124">
        <v>46371</v>
      </c>
      <c r="D2035" s="124" t="s">
        <v>492</v>
      </c>
      <c r="E2035" s="21">
        <v>0.93491444000000001</v>
      </c>
      <c r="F2035" s="10"/>
      <c r="G2035" s="14">
        <v>78805.34</v>
      </c>
      <c r="H2035" s="14">
        <v>73676.25</v>
      </c>
      <c r="I2035" s="14">
        <v>78805.34</v>
      </c>
      <c r="J2035" s="14">
        <v>73676.25</v>
      </c>
      <c r="K2035" s="12">
        <v>69702508</v>
      </c>
      <c r="L2035" s="10" t="s">
        <v>101</v>
      </c>
      <c r="M2035" s="10" t="s">
        <v>102</v>
      </c>
      <c r="N2035" s="124" t="s">
        <v>420</v>
      </c>
      <c r="O2035" s="124" t="s">
        <v>420</v>
      </c>
      <c r="P2035" s="21">
        <v>33</v>
      </c>
      <c r="Q2035" s="10" t="s">
        <v>54</v>
      </c>
      <c r="R2035" s="10" t="s">
        <v>28</v>
      </c>
      <c r="S2035" s="10"/>
      <c r="T2035" s="10"/>
      <c r="U2035" s="10" t="s">
        <v>2667</v>
      </c>
      <c r="V2035" s="10" t="s">
        <v>2667</v>
      </c>
      <c r="W2035" s="50">
        <f>+J2035/$W$2</f>
        <v>9.7949397591874886E-7</v>
      </c>
    </row>
    <row r="2036" spans="1:29">
      <c r="A2036" s="10" t="s">
        <v>353</v>
      </c>
      <c r="B2036" s="10" t="s">
        <v>381</v>
      </c>
      <c r="C2036" s="124">
        <v>46371</v>
      </c>
      <c r="D2036" s="124" t="s">
        <v>492</v>
      </c>
      <c r="E2036" s="21">
        <v>0.92941556999999997</v>
      </c>
      <c r="F2036" s="10"/>
      <c r="G2036" s="14">
        <v>3105640.28</v>
      </c>
      <c r="H2036" s="14">
        <v>2886430.44</v>
      </c>
      <c r="I2036" s="14">
        <v>3105640.28</v>
      </c>
      <c r="J2036" s="14">
        <v>2886430.44</v>
      </c>
      <c r="K2036" s="12">
        <v>3395</v>
      </c>
      <c r="L2036" s="10" t="s">
        <v>101</v>
      </c>
      <c r="M2036" s="10" t="s">
        <v>102</v>
      </c>
      <c r="N2036" s="124" t="s">
        <v>551</v>
      </c>
      <c r="O2036" s="124" t="s">
        <v>551</v>
      </c>
      <c r="P2036" s="21">
        <v>36</v>
      </c>
      <c r="Q2036" s="10" t="s">
        <v>54</v>
      </c>
      <c r="R2036" s="10" t="s">
        <v>28</v>
      </c>
      <c r="S2036" s="10"/>
      <c r="T2036" s="10"/>
      <c r="U2036" s="10" t="s">
        <v>2230</v>
      </c>
      <c r="V2036" s="10" t="s">
        <v>2230</v>
      </c>
      <c r="W2036" s="50">
        <f>+J2036/$W$2</f>
        <v>3.8373848124578868E-5</v>
      </c>
    </row>
    <row r="2037" spans="1:29">
      <c r="A2037" s="10" t="s">
        <v>353</v>
      </c>
      <c r="B2037" s="10" t="s">
        <v>381</v>
      </c>
      <c r="C2037" s="124">
        <v>46371</v>
      </c>
      <c r="D2037" s="124" t="s">
        <v>492</v>
      </c>
      <c r="E2037" s="21">
        <v>0.92941560000000001</v>
      </c>
      <c r="F2037" s="10"/>
      <c r="G2037" s="14">
        <v>2874176.47</v>
      </c>
      <c r="H2037" s="14">
        <v>2671304.4500000002</v>
      </c>
      <c r="I2037" s="14">
        <v>2874176.47</v>
      </c>
      <c r="J2037" s="14">
        <v>2671304.4500000002</v>
      </c>
      <c r="K2037" s="12">
        <v>3443</v>
      </c>
      <c r="L2037" s="10" t="s">
        <v>101</v>
      </c>
      <c r="M2037" s="10" t="s">
        <v>102</v>
      </c>
      <c r="N2037" s="124" t="s">
        <v>552</v>
      </c>
      <c r="O2037" s="124" t="s">
        <v>552</v>
      </c>
      <c r="P2037" s="21">
        <v>36</v>
      </c>
      <c r="Q2037" s="10" t="s">
        <v>54</v>
      </c>
      <c r="R2037" s="10" t="s">
        <v>28</v>
      </c>
      <c r="S2037" s="10"/>
      <c r="T2037" s="10"/>
      <c r="U2037" s="10" t="s">
        <v>2362</v>
      </c>
      <c r="V2037" s="10" t="s">
        <v>2362</v>
      </c>
      <c r="W2037" s="50">
        <f>+J2037/$W$2</f>
        <v>3.5513840845862092E-5</v>
      </c>
    </row>
    <row r="2038" spans="1:29">
      <c r="A2038" s="10" t="s">
        <v>2465</v>
      </c>
      <c r="B2038" s="10" t="s">
        <v>381</v>
      </c>
      <c r="C2038" s="124">
        <v>46371</v>
      </c>
      <c r="D2038" s="124" t="s">
        <v>492</v>
      </c>
      <c r="E2038" s="21">
        <v>0.93676230999999999</v>
      </c>
      <c r="F2038" s="10"/>
      <c r="G2038" s="14">
        <v>5000000</v>
      </c>
      <c r="H2038" s="14">
        <v>4683811.57</v>
      </c>
      <c r="I2038" s="14">
        <v>5000000</v>
      </c>
      <c r="J2038" s="14">
        <v>4683811.57</v>
      </c>
      <c r="K2038" s="12">
        <v>727</v>
      </c>
      <c r="L2038" s="10" t="s">
        <v>101</v>
      </c>
      <c r="M2038" s="10" t="s">
        <v>102</v>
      </c>
      <c r="N2038" s="124" t="s">
        <v>678</v>
      </c>
      <c r="O2038" s="124" t="s">
        <v>678</v>
      </c>
      <c r="P2038" s="21">
        <v>32</v>
      </c>
      <c r="Q2038" s="10" t="s">
        <v>54</v>
      </c>
      <c r="R2038" s="10" t="s">
        <v>28</v>
      </c>
      <c r="S2038" s="10"/>
      <c r="T2038" s="10"/>
      <c r="U2038" s="10" t="s">
        <v>3480</v>
      </c>
      <c r="V2038" s="10" t="s">
        <v>3480</v>
      </c>
      <c r="W2038" s="50">
        <f>+J2038/$W$2</f>
        <v>6.226925525055276E-5</v>
      </c>
    </row>
    <row r="2039" spans="1:29">
      <c r="A2039" s="10" t="s">
        <v>2615</v>
      </c>
      <c r="B2039" s="10" t="s">
        <v>381</v>
      </c>
      <c r="C2039" s="124">
        <v>46371</v>
      </c>
      <c r="D2039" s="124" t="s">
        <v>492</v>
      </c>
      <c r="E2039" s="21">
        <v>0.93676216000000001</v>
      </c>
      <c r="F2039" s="10"/>
      <c r="G2039" s="14">
        <v>1129854.56</v>
      </c>
      <c r="H2039" s="14">
        <v>1058405</v>
      </c>
      <c r="I2039" s="14">
        <v>1129854.56</v>
      </c>
      <c r="J2039" s="14">
        <v>1058405</v>
      </c>
      <c r="K2039" s="12">
        <v>1029</v>
      </c>
      <c r="L2039" s="10" t="s">
        <v>101</v>
      </c>
      <c r="M2039" s="10" t="s">
        <v>102</v>
      </c>
      <c r="N2039" s="124" t="s">
        <v>423</v>
      </c>
      <c r="O2039" s="124" t="s">
        <v>423</v>
      </c>
      <c r="P2039" s="21">
        <v>32</v>
      </c>
      <c r="Q2039" s="10" t="s">
        <v>54</v>
      </c>
      <c r="R2039" s="10" t="s">
        <v>28</v>
      </c>
      <c r="S2039" s="10"/>
      <c r="T2039" s="10"/>
      <c r="U2039" s="10" t="s">
        <v>2558</v>
      </c>
      <c r="V2039" s="10" t="s">
        <v>2558</v>
      </c>
      <c r="W2039" s="50">
        <f>+J2039/$W$2</f>
        <v>1.4071038110412561E-5</v>
      </c>
    </row>
    <row r="2040" spans="1:29">
      <c r="A2040" s="10" t="s">
        <v>494</v>
      </c>
      <c r="B2040" s="10" t="s">
        <v>381</v>
      </c>
      <c r="C2040" s="124">
        <v>46371</v>
      </c>
      <c r="D2040" s="124" t="s">
        <v>492</v>
      </c>
      <c r="E2040" s="21">
        <v>0.94422622</v>
      </c>
      <c r="F2040" s="10"/>
      <c r="G2040" s="14">
        <v>35000000</v>
      </c>
      <c r="H2040" s="14">
        <v>33047917.670000002</v>
      </c>
      <c r="I2040" s="14">
        <v>35000000</v>
      </c>
      <c r="J2040" s="14">
        <v>33047917.670000002</v>
      </c>
      <c r="K2040" s="12">
        <v>69933224</v>
      </c>
      <c r="L2040" s="10" t="s">
        <v>101</v>
      </c>
      <c r="M2040" s="10" t="s">
        <v>102</v>
      </c>
      <c r="N2040" s="124" t="s">
        <v>532</v>
      </c>
      <c r="O2040" s="124" t="s">
        <v>532</v>
      </c>
      <c r="P2040" s="21">
        <v>28</v>
      </c>
      <c r="Q2040" s="10" t="s">
        <v>54</v>
      </c>
      <c r="R2040" s="10" t="s">
        <v>28</v>
      </c>
      <c r="S2040" s="10"/>
      <c r="T2040" s="10"/>
      <c r="U2040" s="10" t="s">
        <v>3135</v>
      </c>
      <c r="V2040" s="10" t="s">
        <v>3135</v>
      </c>
      <c r="W2040" s="50">
        <f>+J2040/$W$2</f>
        <v>4.3935781577406253E-4</v>
      </c>
    </row>
    <row r="2041" spans="1:29">
      <c r="A2041" s="10" t="s">
        <v>561</v>
      </c>
      <c r="B2041" s="10" t="s">
        <v>381</v>
      </c>
      <c r="C2041" s="124">
        <v>46371</v>
      </c>
      <c r="D2041" s="124" t="s">
        <v>492</v>
      </c>
      <c r="E2041" s="21">
        <v>0.94047932000000001</v>
      </c>
      <c r="F2041" s="10"/>
      <c r="G2041" s="14">
        <v>23167422.219999999</v>
      </c>
      <c r="H2041" s="14">
        <v>21788481.530000001</v>
      </c>
      <c r="I2041" s="14">
        <v>23167422.219999999</v>
      </c>
      <c r="J2041" s="14">
        <v>21788481.530000001</v>
      </c>
      <c r="K2041" s="12">
        <v>438</v>
      </c>
      <c r="L2041" s="10" t="s">
        <v>101</v>
      </c>
      <c r="M2041" s="10" t="s">
        <v>102</v>
      </c>
      <c r="N2041" s="124" t="s">
        <v>472</v>
      </c>
      <c r="O2041" s="124" t="s">
        <v>472</v>
      </c>
      <c r="P2041" s="21">
        <v>30</v>
      </c>
      <c r="Q2041" s="10" t="s">
        <v>54</v>
      </c>
      <c r="R2041" s="10" t="s">
        <v>28</v>
      </c>
      <c r="S2041" s="10"/>
      <c r="T2041" s="10"/>
      <c r="U2041" s="10" t="s">
        <v>3189</v>
      </c>
      <c r="V2041" s="10" t="s">
        <v>3189</v>
      </c>
      <c r="W2041" s="50">
        <f>+J2041/$W$2</f>
        <v>2.8966846715260244E-4</v>
      </c>
    </row>
    <row r="2042" spans="1:29">
      <c r="A2042" s="10" t="s">
        <v>141</v>
      </c>
      <c r="B2042" s="10" t="s">
        <v>381</v>
      </c>
      <c r="C2042" s="124">
        <v>46371</v>
      </c>
      <c r="D2042" s="124" t="s">
        <v>492</v>
      </c>
      <c r="E2042" s="21">
        <v>0.93491464999999996</v>
      </c>
      <c r="F2042" s="10"/>
      <c r="G2042" s="14">
        <v>22500000</v>
      </c>
      <c r="H2042" s="14">
        <v>21035579.559999999</v>
      </c>
      <c r="I2042" s="14">
        <v>22500000</v>
      </c>
      <c r="J2042" s="14">
        <v>21035579.559999999</v>
      </c>
      <c r="K2042" s="12">
        <v>300</v>
      </c>
      <c r="L2042" s="10" t="s">
        <v>101</v>
      </c>
      <c r="M2042" s="10" t="s">
        <v>102</v>
      </c>
      <c r="N2042" s="124" t="s">
        <v>472</v>
      </c>
      <c r="O2042" s="124" t="s">
        <v>472</v>
      </c>
      <c r="P2042" s="21">
        <v>33</v>
      </c>
      <c r="Q2042" s="10" t="s">
        <v>54</v>
      </c>
      <c r="R2042" s="10" t="s">
        <v>28</v>
      </c>
      <c r="S2042" s="10"/>
      <c r="T2042" s="10"/>
      <c r="U2042" s="10" t="s">
        <v>3190</v>
      </c>
      <c r="V2042" s="10" t="s">
        <v>3190</v>
      </c>
      <c r="W2042" s="50">
        <f>+J2042/$W$2</f>
        <v>2.7965896009880478E-4</v>
      </c>
    </row>
    <row r="2043" spans="1:29">
      <c r="A2043" s="10" t="s">
        <v>267</v>
      </c>
      <c r="B2043" s="10" t="s">
        <v>381</v>
      </c>
      <c r="C2043" s="124">
        <v>46371</v>
      </c>
      <c r="D2043" s="124" t="s">
        <v>492</v>
      </c>
      <c r="E2043" s="21">
        <v>0.94422611999999995</v>
      </c>
      <c r="F2043" s="10"/>
      <c r="G2043" s="14">
        <v>50000000</v>
      </c>
      <c r="H2043" s="14">
        <v>47211305.780000001</v>
      </c>
      <c r="I2043" s="14">
        <v>50000000</v>
      </c>
      <c r="J2043" s="14">
        <v>47211305.780000001</v>
      </c>
      <c r="K2043" s="12">
        <v>40665393</v>
      </c>
      <c r="L2043" s="10" t="s">
        <v>101</v>
      </c>
      <c r="M2043" s="10" t="s">
        <v>102</v>
      </c>
      <c r="N2043" s="124" t="s">
        <v>391</v>
      </c>
      <c r="O2043" s="124" t="s">
        <v>391</v>
      </c>
      <c r="P2043" s="21">
        <v>28</v>
      </c>
      <c r="Q2043" s="10" t="s">
        <v>54</v>
      </c>
      <c r="R2043" s="10" t="s">
        <v>28</v>
      </c>
      <c r="S2043" s="10"/>
      <c r="T2043" s="10"/>
      <c r="U2043" s="10" t="s">
        <v>1285</v>
      </c>
      <c r="V2043" s="10" t="s">
        <v>1285</v>
      </c>
      <c r="W2043" s="50">
        <f>+J2043/$W$2</f>
        <v>6.2765395370649305E-4</v>
      </c>
    </row>
    <row r="2044" spans="1:29">
      <c r="A2044" s="10" t="s">
        <v>273</v>
      </c>
      <c r="B2044" s="10" t="s">
        <v>381</v>
      </c>
      <c r="C2044" s="124">
        <v>46371</v>
      </c>
      <c r="D2044" s="124" t="s">
        <v>492</v>
      </c>
      <c r="E2044" s="21">
        <v>0.94422622</v>
      </c>
      <c r="F2044" s="10"/>
      <c r="G2044" s="14">
        <v>5000000</v>
      </c>
      <c r="H2044" s="14">
        <v>4721131.0999999996</v>
      </c>
      <c r="I2044" s="14">
        <v>5000000</v>
      </c>
      <c r="J2044" s="14">
        <v>4721131.0999999996</v>
      </c>
      <c r="K2044" s="12">
        <v>40797748</v>
      </c>
      <c r="L2044" s="10" t="s">
        <v>101</v>
      </c>
      <c r="M2044" s="10" t="s">
        <v>102</v>
      </c>
      <c r="N2044" s="124" t="s">
        <v>532</v>
      </c>
      <c r="O2044" s="124" t="s">
        <v>532</v>
      </c>
      <c r="P2044" s="21">
        <v>28</v>
      </c>
      <c r="Q2044" s="10" t="s">
        <v>54</v>
      </c>
      <c r="R2044" s="10" t="s">
        <v>28</v>
      </c>
      <c r="S2044" s="10"/>
      <c r="T2044" s="10"/>
      <c r="U2044" s="10" t="s">
        <v>3005</v>
      </c>
      <c r="V2044" s="10" t="s">
        <v>3005</v>
      </c>
      <c r="W2044" s="50">
        <f>+J2044/$W$2</f>
        <v>6.276540231041423E-5</v>
      </c>
    </row>
    <row r="2045" spans="1:29">
      <c r="A2045" s="10" t="s">
        <v>273</v>
      </c>
      <c r="B2045" s="10" t="s">
        <v>381</v>
      </c>
      <c r="C2045" s="124">
        <v>46371</v>
      </c>
      <c r="D2045" s="124" t="s">
        <v>492</v>
      </c>
      <c r="E2045" s="21">
        <v>0.94800276000000006</v>
      </c>
      <c r="F2045" s="10"/>
      <c r="G2045" s="14">
        <v>5000000</v>
      </c>
      <c r="H2045" s="14">
        <v>4740013.78</v>
      </c>
      <c r="I2045" s="14">
        <v>5000000</v>
      </c>
      <c r="J2045" s="14">
        <v>4740013.78</v>
      </c>
      <c r="K2045" s="12">
        <v>491508</v>
      </c>
      <c r="L2045" s="10" t="s">
        <v>101</v>
      </c>
      <c r="M2045" s="10" t="s">
        <v>102</v>
      </c>
      <c r="N2045" s="124" t="s">
        <v>361</v>
      </c>
      <c r="O2045" s="124" t="s">
        <v>361</v>
      </c>
      <c r="P2045" s="21">
        <v>26</v>
      </c>
      <c r="Q2045" s="10" t="s">
        <v>54</v>
      </c>
      <c r="R2045" s="10" t="s">
        <v>28</v>
      </c>
      <c r="S2045" s="10"/>
      <c r="T2045" s="10"/>
      <c r="U2045" s="10" t="s">
        <v>1018</v>
      </c>
      <c r="V2045" s="10" t="s">
        <v>1018</v>
      </c>
      <c r="W2045" s="50">
        <f>+J2045/$W$2</f>
        <v>6.3016439399153165E-5</v>
      </c>
    </row>
    <row r="2046" spans="1:29">
      <c r="A2046" s="10" t="s">
        <v>471</v>
      </c>
      <c r="B2046" s="10" t="s">
        <v>381</v>
      </c>
      <c r="C2046" s="124">
        <v>46371</v>
      </c>
      <c r="D2046" s="124" t="s">
        <v>492</v>
      </c>
      <c r="E2046" s="21">
        <v>0.94234907999999995</v>
      </c>
      <c r="F2046" s="10"/>
      <c r="G2046" s="14">
        <v>30000000</v>
      </c>
      <c r="H2046" s="14">
        <v>28270472.440000001</v>
      </c>
      <c r="I2046" s="14">
        <v>30000000</v>
      </c>
      <c r="J2046" s="14">
        <v>28270472.440000001</v>
      </c>
      <c r="K2046" s="12">
        <v>9825620</v>
      </c>
      <c r="L2046" s="10" t="s">
        <v>101</v>
      </c>
      <c r="M2046" s="10" t="s">
        <v>102</v>
      </c>
      <c r="N2046" s="124" t="s">
        <v>436</v>
      </c>
      <c r="O2046" s="124" t="s">
        <v>436</v>
      </c>
      <c r="P2046" s="21">
        <v>29</v>
      </c>
      <c r="Q2046" s="10" t="s">
        <v>54</v>
      </c>
      <c r="R2046" s="10" t="s">
        <v>28</v>
      </c>
      <c r="S2046" s="10"/>
      <c r="T2046" s="10"/>
      <c r="U2046" s="10" t="s">
        <v>1919</v>
      </c>
      <c r="V2046" s="10" t="s">
        <v>1919</v>
      </c>
      <c r="W2046" s="50">
        <f>+J2046/$W$2</f>
        <v>3.7584374138690575E-4</v>
      </c>
    </row>
    <row r="2047" spans="1:29">
      <c r="A2047" s="10" t="s">
        <v>427</v>
      </c>
      <c r="B2047" s="10" t="s">
        <v>381</v>
      </c>
      <c r="C2047" s="124">
        <v>46371</v>
      </c>
      <c r="D2047" s="124" t="s">
        <v>492</v>
      </c>
      <c r="E2047" s="21">
        <v>0.94422616000000004</v>
      </c>
      <c r="F2047" s="10"/>
      <c r="G2047" s="14">
        <v>8400000</v>
      </c>
      <c r="H2047" s="14">
        <v>7931499.7000000002</v>
      </c>
      <c r="I2047" s="14">
        <v>8400000</v>
      </c>
      <c r="J2047" s="14">
        <v>7931499.7000000002</v>
      </c>
      <c r="K2047" s="12">
        <v>2457</v>
      </c>
      <c r="L2047" s="10" t="s">
        <v>101</v>
      </c>
      <c r="M2047" s="10" t="s">
        <v>102</v>
      </c>
      <c r="N2047" s="124" t="s">
        <v>434</v>
      </c>
      <c r="O2047" s="124" t="s">
        <v>434</v>
      </c>
      <c r="P2047" s="21">
        <v>28</v>
      </c>
      <c r="Q2047" s="10" t="s">
        <v>54</v>
      </c>
      <c r="R2047" s="10" t="s">
        <v>28</v>
      </c>
      <c r="S2047" s="10"/>
      <c r="T2047" s="10"/>
      <c r="U2047" s="10" t="s">
        <v>2969</v>
      </c>
      <c r="V2047" s="10" t="s">
        <v>2969</v>
      </c>
      <c r="W2047" s="50">
        <f>+J2047/$W$2</f>
        <v>1.0544586859607219E-4</v>
      </c>
      <c r="AC2047" s="47"/>
    </row>
    <row r="2048" spans="1:29">
      <c r="A2048" s="10" t="s">
        <v>3579</v>
      </c>
      <c r="B2048" s="10" t="s">
        <v>381</v>
      </c>
      <c r="C2048" s="124">
        <v>46371</v>
      </c>
      <c r="D2048" s="124" t="s">
        <v>492</v>
      </c>
      <c r="E2048" s="21">
        <v>0.94047950000000002</v>
      </c>
      <c r="F2048" s="10"/>
      <c r="G2048" s="14">
        <v>2195601.9</v>
      </c>
      <c r="H2048" s="14">
        <v>2064918.57</v>
      </c>
      <c r="I2048" s="14">
        <v>2195601.9</v>
      </c>
      <c r="J2048" s="14">
        <v>2064918.57</v>
      </c>
      <c r="K2048" s="12">
        <v>230</v>
      </c>
      <c r="L2048" s="10" t="s">
        <v>101</v>
      </c>
      <c r="M2048" s="10" t="s">
        <v>102</v>
      </c>
      <c r="N2048" s="124" t="s">
        <v>492</v>
      </c>
      <c r="O2048" s="124" t="s">
        <v>492</v>
      </c>
      <c r="P2048" s="21">
        <v>30</v>
      </c>
      <c r="Q2048" s="10" t="s">
        <v>54</v>
      </c>
      <c r="R2048" s="10" t="s">
        <v>28</v>
      </c>
      <c r="S2048" s="10"/>
      <c r="T2048" s="10"/>
      <c r="U2048" s="10" t="s">
        <v>3557</v>
      </c>
      <c r="V2048" s="10" t="s">
        <v>3557</v>
      </c>
      <c r="W2048" s="50">
        <f>+J2048/$W$2</f>
        <v>2.745220203359641E-5</v>
      </c>
    </row>
    <row r="2049" spans="1:29">
      <c r="A2049" s="10" t="s">
        <v>477</v>
      </c>
      <c r="B2049" s="10" t="s">
        <v>381</v>
      </c>
      <c r="C2049" s="124">
        <v>46372</v>
      </c>
      <c r="D2049" s="124" t="s">
        <v>492</v>
      </c>
      <c r="E2049" s="21">
        <v>0.94354271000000001</v>
      </c>
      <c r="F2049" s="10"/>
      <c r="G2049" s="14">
        <v>8000000</v>
      </c>
      <c r="H2049" s="14">
        <v>7548341.71</v>
      </c>
      <c r="I2049" s="14">
        <v>8000000</v>
      </c>
      <c r="J2049" s="14">
        <v>7548341.71</v>
      </c>
      <c r="K2049" s="12">
        <v>90000332</v>
      </c>
      <c r="L2049" s="10" t="s">
        <v>101</v>
      </c>
      <c r="M2049" s="10" t="s">
        <v>102</v>
      </c>
      <c r="N2049" s="124" t="s">
        <v>532</v>
      </c>
      <c r="O2049" s="124" t="s">
        <v>532</v>
      </c>
      <c r="P2049" s="21">
        <v>28</v>
      </c>
      <c r="Q2049" s="10" t="s">
        <v>54</v>
      </c>
      <c r="R2049" s="10" t="s">
        <v>28</v>
      </c>
      <c r="S2049" s="10"/>
      <c r="T2049" s="10"/>
      <c r="U2049" s="10" t="s">
        <v>3044</v>
      </c>
      <c r="V2049" s="10" t="s">
        <v>3044</v>
      </c>
      <c r="W2049" s="50">
        <f>+J2049/$W$2</f>
        <v>1.0035194832963441E-4</v>
      </c>
    </row>
    <row r="2050" spans="1:29">
      <c r="A2050" s="10" t="s">
        <v>477</v>
      </c>
      <c r="B2050" s="10" t="s">
        <v>381</v>
      </c>
      <c r="C2050" s="124">
        <v>46372</v>
      </c>
      <c r="D2050" s="124" t="s">
        <v>492</v>
      </c>
      <c r="E2050" s="21">
        <v>0.94354262</v>
      </c>
      <c r="F2050" s="10"/>
      <c r="G2050" s="14">
        <v>8000000</v>
      </c>
      <c r="H2050" s="14">
        <v>7548340.9900000002</v>
      </c>
      <c r="I2050" s="14">
        <v>8000000</v>
      </c>
      <c r="J2050" s="14">
        <v>7548340.9900000002</v>
      </c>
      <c r="K2050" s="12">
        <v>6499</v>
      </c>
      <c r="L2050" s="10" t="s">
        <v>101</v>
      </c>
      <c r="M2050" s="10" t="s">
        <v>102</v>
      </c>
      <c r="N2050" s="124" t="s">
        <v>422</v>
      </c>
      <c r="O2050" s="124" t="s">
        <v>422</v>
      </c>
      <c r="P2050" s="21">
        <v>28</v>
      </c>
      <c r="Q2050" s="10" t="s">
        <v>54</v>
      </c>
      <c r="R2050" s="10" t="s">
        <v>28</v>
      </c>
      <c r="S2050" s="10"/>
      <c r="T2050" s="10"/>
      <c r="U2050" s="10" t="s">
        <v>2724</v>
      </c>
      <c r="V2050" s="10" t="s">
        <v>2724</v>
      </c>
      <c r="W2050" s="50">
        <f>+J2050/$W$2</f>
        <v>1.0035193875754487E-4</v>
      </c>
    </row>
    <row r="2051" spans="1:29">
      <c r="A2051" s="10" t="s">
        <v>477</v>
      </c>
      <c r="B2051" s="10" t="s">
        <v>381</v>
      </c>
      <c r="C2051" s="124">
        <v>46372</v>
      </c>
      <c r="D2051" s="124" t="s">
        <v>492</v>
      </c>
      <c r="E2051" s="21">
        <v>0.94354262</v>
      </c>
      <c r="F2051" s="10"/>
      <c r="G2051" s="14">
        <v>8000000</v>
      </c>
      <c r="H2051" s="14">
        <v>7548340.9900000002</v>
      </c>
      <c r="I2051" s="14">
        <v>8000000</v>
      </c>
      <c r="J2051" s="14">
        <v>7548340.9900000002</v>
      </c>
      <c r="K2051" s="12">
        <v>6498</v>
      </c>
      <c r="L2051" s="10" t="s">
        <v>101</v>
      </c>
      <c r="M2051" s="10" t="s">
        <v>102</v>
      </c>
      <c r="N2051" s="124" t="s">
        <v>422</v>
      </c>
      <c r="O2051" s="124" t="s">
        <v>422</v>
      </c>
      <c r="P2051" s="21">
        <v>28</v>
      </c>
      <c r="Q2051" s="10" t="s">
        <v>54</v>
      </c>
      <c r="R2051" s="10" t="s">
        <v>28</v>
      </c>
      <c r="S2051" s="10"/>
      <c r="T2051" s="10"/>
      <c r="U2051" s="10" t="s">
        <v>2726</v>
      </c>
      <c r="V2051" s="10" t="s">
        <v>2726</v>
      </c>
      <c r="W2051" s="50">
        <f>+J2051/$W$2</f>
        <v>1.0035193875754487E-4</v>
      </c>
    </row>
    <row r="2052" spans="1:29">
      <c r="A2052" s="10" t="s">
        <v>477</v>
      </c>
      <c r="B2052" s="10" t="s">
        <v>381</v>
      </c>
      <c r="C2052" s="124">
        <v>46372</v>
      </c>
      <c r="D2052" s="124" t="s">
        <v>492</v>
      </c>
      <c r="E2052" s="21">
        <v>0.93786952000000001</v>
      </c>
      <c r="F2052" s="10"/>
      <c r="G2052" s="14">
        <v>3700000</v>
      </c>
      <c r="H2052" s="14">
        <v>3470117.21</v>
      </c>
      <c r="I2052" s="14">
        <v>3700000</v>
      </c>
      <c r="J2052" s="14">
        <v>3470117.21</v>
      </c>
      <c r="K2052" s="12">
        <v>164534</v>
      </c>
      <c r="L2052" s="10" t="s">
        <v>101</v>
      </c>
      <c r="M2052" s="10" t="s">
        <v>102</v>
      </c>
      <c r="N2052" s="124" t="s">
        <v>486</v>
      </c>
      <c r="O2052" s="124" t="s">
        <v>486</v>
      </c>
      <c r="P2052" s="21">
        <v>31</v>
      </c>
      <c r="Q2052" s="10" t="s">
        <v>54</v>
      </c>
      <c r="R2052" s="10" t="s">
        <v>28</v>
      </c>
      <c r="S2052" s="10"/>
      <c r="T2052" s="10"/>
      <c r="U2052" s="10" t="s">
        <v>2780</v>
      </c>
      <c r="V2052" s="10" t="s">
        <v>2780</v>
      </c>
      <c r="W2052" s="50">
        <f>+J2052/$W$2</f>
        <v>4.6133712056829387E-5</v>
      </c>
    </row>
    <row r="2053" spans="1:29">
      <c r="A2053" s="10" t="s">
        <v>371</v>
      </c>
      <c r="B2053" s="10" t="s">
        <v>381</v>
      </c>
      <c r="C2053" s="124">
        <v>46372</v>
      </c>
      <c r="D2053" s="124" t="s">
        <v>492</v>
      </c>
      <c r="E2053" s="21">
        <v>0.93599346999999999</v>
      </c>
      <c r="F2053" s="10"/>
      <c r="G2053" s="14">
        <v>530200000</v>
      </c>
      <c r="H2053" s="14">
        <v>496263737.20999998</v>
      </c>
      <c r="I2053" s="14">
        <v>530200000</v>
      </c>
      <c r="J2053" s="14">
        <v>496263737.20999998</v>
      </c>
      <c r="K2053" s="12">
        <v>182</v>
      </c>
      <c r="L2053" s="10" t="s">
        <v>101</v>
      </c>
      <c r="M2053" s="10" t="s">
        <v>102</v>
      </c>
      <c r="N2053" s="124" t="s">
        <v>536</v>
      </c>
      <c r="O2053" s="124" t="s">
        <v>536</v>
      </c>
      <c r="P2053" s="21">
        <v>32</v>
      </c>
      <c r="Q2053" s="10" t="s">
        <v>54</v>
      </c>
      <c r="R2053" s="10" t="s">
        <v>28</v>
      </c>
      <c r="S2053" s="10"/>
      <c r="T2053" s="10"/>
      <c r="U2053" s="10" t="s">
        <v>2292</v>
      </c>
      <c r="V2053" s="10" t="s">
        <v>2292</v>
      </c>
      <c r="W2053" s="50">
        <f>+J2053/$W$2</f>
        <v>6.5976124064962595E-3</v>
      </c>
    </row>
    <row r="2054" spans="1:29">
      <c r="A2054" s="10" t="s">
        <v>2918</v>
      </c>
      <c r="B2054" s="10" t="s">
        <v>381</v>
      </c>
      <c r="C2054" s="124">
        <v>46372</v>
      </c>
      <c r="D2054" s="124" t="s">
        <v>492</v>
      </c>
      <c r="E2054" s="21">
        <v>0.93041056</v>
      </c>
      <c r="F2054" s="10"/>
      <c r="G2054" s="14">
        <v>5000000</v>
      </c>
      <c r="H2054" s="14">
        <v>4652052.82</v>
      </c>
      <c r="I2054" s="14">
        <v>5000000</v>
      </c>
      <c r="J2054" s="14">
        <v>4652052.82</v>
      </c>
      <c r="K2054" s="12">
        <v>543</v>
      </c>
      <c r="L2054" s="10" t="s">
        <v>101</v>
      </c>
      <c r="M2054" s="10" t="s">
        <v>102</v>
      </c>
      <c r="N2054" s="124" t="s">
        <v>486</v>
      </c>
      <c r="O2054" s="124" t="s">
        <v>486</v>
      </c>
      <c r="P2054" s="21">
        <v>35</v>
      </c>
      <c r="Q2054" s="10" t="s">
        <v>54</v>
      </c>
      <c r="R2054" s="10" t="s">
        <v>28</v>
      </c>
      <c r="S2054" s="10"/>
      <c r="T2054" s="10"/>
      <c r="U2054" s="10" t="s">
        <v>2869</v>
      </c>
      <c r="V2054" s="10" t="s">
        <v>2869</v>
      </c>
      <c r="W2054" s="50">
        <f>+J2054/$W$2</f>
        <v>6.1847036363086173E-5</v>
      </c>
    </row>
    <row r="2055" spans="1:29">
      <c r="A2055" s="10" t="s">
        <v>3461</v>
      </c>
      <c r="B2055" s="10" t="s">
        <v>381</v>
      </c>
      <c r="C2055" s="124">
        <v>46372</v>
      </c>
      <c r="D2055" s="124" t="s">
        <v>492</v>
      </c>
      <c r="E2055" s="21">
        <v>0.93975295999999997</v>
      </c>
      <c r="F2055" s="10"/>
      <c r="G2055" s="14">
        <v>700000</v>
      </c>
      <c r="H2055" s="14">
        <v>657827.06999999995</v>
      </c>
      <c r="I2055" s="14">
        <v>700000</v>
      </c>
      <c r="J2055" s="14">
        <v>657827.06999999995</v>
      </c>
      <c r="K2055" s="12">
        <v>69995902</v>
      </c>
      <c r="L2055" s="10" t="s">
        <v>101</v>
      </c>
      <c r="M2055" s="10" t="s">
        <v>102</v>
      </c>
      <c r="N2055" s="124" t="s">
        <v>531</v>
      </c>
      <c r="O2055" s="124" t="s">
        <v>531</v>
      </c>
      <c r="P2055" s="21">
        <v>30</v>
      </c>
      <c r="Q2055" s="10" t="s">
        <v>54</v>
      </c>
      <c r="R2055" s="10" t="s">
        <v>28</v>
      </c>
      <c r="S2055" s="10"/>
      <c r="T2055" s="10"/>
      <c r="U2055" s="10" t="s">
        <v>3435</v>
      </c>
      <c r="V2055" s="10" t="s">
        <v>3435</v>
      </c>
      <c r="W2055" s="50">
        <f>+J2055/$W$2</f>
        <v>8.7455272528295228E-6</v>
      </c>
      <c r="AC2055" s="47"/>
    </row>
    <row r="2056" spans="1:29">
      <c r="A2056" s="10" t="s">
        <v>180</v>
      </c>
      <c r="B2056" s="10" t="s">
        <v>381</v>
      </c>
      <c r="C2056" s="124">
        <v>46372</v>
      </c>
      <c r="D2056" s="124" t="s">
        <v>492</v>
      </c>
      <c r="E2056" s="21">
        <v>0.94544907</v>
      </c>
      <c r="F2056" s="10"/>
      <c r="G2056" s="14">
        <v>2227815.85</v>
      </c>
      <c r="H2056" s="14">
        <v>2106286.4300000002</v>
      </c>
      <c r="I2056" s="14">
        <v>2227815.85</v>
      </c>
      <c r="J2056" s="14">
        <v>2106286.4300000002</v>
      </c>
      <c r="K2056" s="12">
        <v>666087</v>
      </c>
      <c r="L2056" s="10" t="s">
        <v>101</v>
      </c>
      <c r="M2056" s="10" t="s">
        <v>102</v>
      </c>
      <c r="N2056" s="124" t="s">
        <v>164</v>
      </c>
      <c r="O2056" s="124" t="s">
        <v>164</v>
      </c>
      <c r="P2056" s="21">
        <v>27</v>
      </c>
      <c r="Q2056" s="10" t="s">
        <v>54</v>
      </c>
      <c r="R2056" s="10" t="s">
        <v>28</v>
      </c>
      <c r="S2056" s="10"/>
      <c r="T2056" s="10"/>
      <c r="U2056" s="10" t="s">
        <v>2007</v>
      </c>
      <c r="V2056" s="10" t="s">
        <v>2007</v>
      </c>
      <c r="W2056" s="50">
        <f>+J2056/$W$2</f>
        <v>2.8002169895243145E-5</v>
      </c>
    </row>
    <row r="2057" spans="1:29">
      <c r="A2057" s="10" t="s">
        <v>180</v>
      </c>
      <c r="B2057" s="10" t="s">
        <v>381</v>
      </c>
      <c r="C2057" s="124">
        <v>46372</v>
      </c>
      <c r="D2057" s="124" t="s">
        <v>492</v>
      </c>
      <c r="E2057" s="21">
        <v>0.94544905000000001</v>
      </c>
      <c r="F2057" s="10"/>
      <c r="G2057" s="14">
        <v>285154.71999999997</v>
      </c>
      <c r="H2057" s="14">
        <v>269599.26</v>
      </c>
      <c r="I2057" s="14">
        <v>285154.71999999997</v>
      </c>
      <c r="J2057" s="14">
        <v>269599.26</v>
      </c>
      <c r="K2057" s="12">
        <v>670018</v>
      </c>
      <c r="L2057" s="10" t="s">
        <v>101</v>
      </c>
      <c r="M2057" s="10" t="s">
        <v>102</v>
      </c>
      <c r="N2057" s="124" t="s">
        <v>551</v>
      </c>
      <c r="O2057" s="124" t="s">
        <v>551</v>
      </c>
      <c r="P2057" s="21">
        <v>27</v>
      </c>
      <c r="Q2057" s="10" t="s">
        <v>54</v>
      </c>
      <c r="R2057" s="10" t="s">
        <v>28</v>
      </c>
      <c r="S2057" s="10"/>
      <c r="T2057" s="10"/>
      <c r="U2057" s="10" t="s">
        <v>2204</v>
      </c>
      <c r="V2057" s="10" t="s">
        <v>2204</v>
      </c>
      <c r="W2057" s="50">
        <f>+J2057/$W$2</f>
        <v>3.5842059155040129E-6</v>
      </c>
    </row>
    <row r="2058" spans="1:29">
      <c r="A2058" s="10" t="s">
        <v>180</v>
      </c>
      <c r="B2058" s="10" t="s">
        <v>381</v>
      </c>
      <c r="C2058" s="124">
        <v>46372</v>
      </c>
      <c r="D2058" s="124" t="s">
        <v>492</v>
      </c>
      <c r="E2058" s="21">
        <v>0.94544905000000001</v>
      </c>
      <c r="F2058" s="10"/>
      <c r="G2058" s="14">
        <v>285154.71999999997</v>
      </c>
      <c r="H2058" s="14">
        <v>269599.26</v>
      </c>
      <c r="I2058" s="14">
        <v>285154.71999999997</v>
      </c>
      <c r="J2058" s="14">
        <v>269599.26</v>
      </c>
      <c r="K2058" s="12">
        <v>670010</v>
      </c>
      <c r="L2058" s="10" t="s">
        <v>101</v>
      </c>
      <c r="M2058" s="10" t="s">
        <v>102</v>
      </c>
      <c r="N2058" s="124" t="s">
        <v>551</v>
      </c>
      <c r="O2058" s="124" t="s">
        <v>551</v>
      </c>
      <c r="P2058" s="21">
        <v>27</v>
      </c>
      <c r="Q2058" s="10" t="s">
        <v>54</v>
      </c>
      <c r="R2058" s="10" t="s">
        <v>28</v>
      </c>
      <c r="S2058" s="10"/>
      <c r="T2058" s="10"/>
      <c r="U2058" s="10" t="s">
        <v>2207</v>
      </c>
      <c r="V2058" s="10" t="s">
        <v>2207</v>
      </c>
      <c r="W2058" s="50">
        <f>+J2058/$W$2</f>
        <v>3.5842059155040129E-6</v>
      </c>
    </row>
    <row r="2059" spans="1:29">
      <c r="A2059" s="10" t="s">
        <v>180</v>
      </c>
      <c r="B2059" s="10" t="s">
        <v>381</v>
      </c>
      <c r="C2059" s="124">
        <v>46372</v>
      </c>
      <c r="D2059" s="124" t="s">
        <v>492</v>
      </c>
      <c r="E2059" s="21">
        <v>0.94544905000000001</v>
      </c>
      <c r="F2059" s="10"/>
      <c r="G2059" s="14">
        <v>285154.71999999997</v>
      </c>
      <c r="H2059" s="14">
        <v>269599.26</v>
      </c>
      <c r="I2059" s="14">
        <v>285154.71999999997</v>
      </c>
      <c r="J2059" s="14">
        <v>269599.26</v>
      </c>
      <c r="K2059" s="12">
        <v>670032</v>
      </c>
      <c r="L2059" s="10" t="s">
        <v>101</v>
      </c>
      <c r="M2059" s="10" t="s">
        <v>102</v>
      </c>
      <c r="N2059" s="124" t="s">
        <v>551</v>
      </c>
      <c r="O2059" s="124" t="s">
        <v>551</v>
      </c>
      <c r="P2059" s="21">
        <v>27</v>
      </c>
      <c r="Q2059" s="10" t="s">
        <v>54</v>
      </c>
      <c r="R2059" s="10" t="s">
        <v>28</v>
      </c>
      <c r="S2059" s="10"/>
      <c r="T2059" s="10"/>
      <c r="U2059" s="10" t="s">
        <v>2216</v>
      </c>
      <c r="V2059" s="10" t="s">
        <v>2216</v>
      </c>
      <c r="W2059" s="50">
        <f>+J2059/$W$2</f>
        <v>3.5842059155040129E-6</v>
      </c>
    </row>
    <row r="2060" spans="1:29">
      <c r="A2060" s="10" t="s">
        <v>180</v>
      </c>
      <c r="B2060" s="10" t="s">
        <v>381</v>
      </c>
      <c r="C2060" s="124">
        <v>46372</v>
      </c>
      <c r="D2060" s="124" t="s">
        <v>492</v>
      </c>
      <c r="E2060" s="21">
        <v>0.94544905000000001</v>
      </c>
      <c r="F2060" s="10"/>
      <c r="G2060" s="14">
        <v>285154.71999999997</v>
      </c>
      <c r="H2060" s="14">
        <v>269599.26</v>
      </c>
      <c r="I2060" s="14">
        <v>285154.71999999997</v>
      </c>
      <c r="J2060" s="14">
        <v>269599.26</v>
      </c>
      <c r="K2060" s="12">
        <v>670000</v>
      </c>
      <c r="L2060" s="10" t="s">
        <v>101</v>
      </c>
      <c r="M2060" s="10" t="s">
        <v>102</v>
      </c>
      <c r="N2060" s="124" t="s">
        <v>551</v>
      </c>
      <c r="O2060" s="124" t="s">
        <v>551</v>
      </c>
      <c r="P2060" s="21">
        <v>27</v>
      </c>
      <c r="Q2060" s="10" t="s">
        <v>54</v>
      </c>
      <c r="R2060" s="10" t="s">
        <v>28</v>
      </c>
      <c r="S2060" s="10"/>
      <c r="T2060" s="10"/>
      <c r="U2060" s="10" t="s">
        <v>2217</v>
      </c>
      <c r="V2060" s="10" t="s">
        <v>2217</v>
      </c>
      <c r="W2060" s="50">
        <f>+J2060/$W$2</f>
        <v>3.5842059155040129E-6</v>
      </c>
    </row>
    <row r="2061" spans="1:29">
      <c r="A2061" s="10" t="s">
        <v>180</v>
      </c>
      <c r="B2061" s="10" t="s">
        <v>381</v>
      </c>
      <c r="C2061" s="124">
        <v>46372</v>
      </c>
      <c r="D2061" s="124" t="s">
        <v>492</v>
      </c>
      <c r="E2061" s="21">
        <v>0.94928491000000004</v>
      </c>
      <c r="F2061" s="10"/>
      <c r="G2061" s="14">
        <v>584965.91</v>
      </c>
      <c r="H2061" s="14">
        <v>555299.31000000006</v>
      </c>
      <c r="I2061" s="14">
        <v>584965.91</v>
      </c>
      <c r="J2061" s="14">
        <v>555299.31000000006</v>
      </c>
      <c r="K2061" s="12">
        <v>681549</v>
      </c>
      <c r="L2061" s="10" t="s">
        <v>101</v>
      </c>
      <c r="M2061" s="10" t="s">
        <v>102</v>
      </c>
      <c r="N2061" s="124" t="s">
        <v>486</v>
      </c>
      <c r="O2061" s="124" t="s">
        <v>486</v>
      </c>
      <c r="P2061" s="21">
        <v>25</v>
      </c>
      <c r="Q2061" s="10" t="s">
        <v>54</v>
      </c>
      <c r="R2061" s="10" t="s">
        <v>28</v>
      </c>
      <c r="S2061" s="10"/>
      <c r="T2061" s="10"/>
      <c r="U2061" s="10" t="s">
        <v>2880</v>
      </c>
      <c r="V2061" s="10" t="s">
        <v>2880</v>
      </c>
      <c r="W2061" s="50">
        <f>+J2061/$W$2</f>
        <v>7.3824648916962779E-6</v>
      </c>
    </row>
    <row r="2062" spans="1:29">
      <c r="A2062" s="10" t="s">
        <v>180</v>
      </c>
      <c r="B2062" s="10" t="s">
        <v>381</v>
      </c>
      <c r="C2062" s="124">
        <v>46372</v>
      </c>
      <c r="D2062" s="124" t="s">
        <v>492</v>
      </c>
      <c r="E2062" s="21">
        <v>0.94928489999999999</v>
      </c>
      <c r="F2062" s="10"/>
      <c r="G2062" s="14">
        <v>839215.58</v>
      </c>
      <c r="H2062" s="14">
        <v>796654.68</v>
      </c>
      <c r="I2062" s="14">
        <v>839215.58</v>
      </c>
      <c r="J2062" s="14">
        <v>796654.68</v>
      </c>
      <c r="K2062" s="12">
        <v>681521</v>
      </c>
      <c r="L2062" s="10" t="s">
        <v>101</v>
      </c>
      <c r="M2062" s="10" t="s">
        <v>102</v>
      </c>
      <c r="N2062" s="124" t="s">
        <v>486</v>
      </c>
      <c r="O2062" s="124" t="s">
        <v>486</v>
      </c>
      <c r="P2062" s="21">
        <v>25</v>
      </c>
      <c r="Q2062" s="10" t="s">
        <v>54</v>
      </c>
      <c r="R2062" s="10" t="s">
        <v>28</v>
      </c>
      <c r="S2062" s="10"/>
      <c r="T2062" s="10"/>
      <c r="U2062" s="10" t="s">
        <v>2881</v>
      </c>
      <c r="V2062" s="10" t="s">
        <v>2881</v>
      </c>
      <c r="W2062" s="50">
        <f>+J2062/$W$2</f>
        <v>1.059118046789133E-5</v>
      </c>
    </row>
    <row r="2063" spans="1:29">
      <c r="A2063" s="10" t="s">
        <v>180</v>
      </c>
      <c r="B2063" s="10" t="s">
        <v>381</v>
      </c>
      <c r="C2063" s="124">
        <v>46372</v>
      </c>
      <c r="D2063" s="124" t="s">
        <v>492</v>
      </c>
      <c r="E2063" s="21">
        <v>0.94928489999999999</v>
      </c>
      <c r="F2063" s="10"/>
      <c r="G2063" s="14">
        <v>1676589.68</v>
      </c>
      <c r="H2063" s="14">
        <v>1591561.26</v>
      </c>
      <c r="I2063" s="14">
        <v>1676589.68</v>
      </c>
      <c r="J2063" s="14">
        <v>1591561.26</v>
      </c>
      <c r="K2063" s="12">
        <v>681500</v>
      </c>
      <c r="L2063" s="10" t="s">
        <v>101</v>
      </c>
      <c r="M2063" s="10" t="s">
        <v>102</v>
      </c>
      <c r="N2063" s="124" t="s">
        <v>486</v>
      </c>
      <c r="O2063" s="124" t="s">
        <v>486</v>
      </c>
      <c r="P2063" s="21">
        <v>25</v>
      </c>
      <c r="Q2063" s="10" t="s">
        <v>54</v>
      </c>
      <c r="R2063" s="10" t="s">
        <v>28</v>
      </c>
      <c r="S2063" s="10"/>
      <c r="T2063" s="10"/>
      <c r="U2063" s="10" t="s">
        <v>2882</v>
      </c>
      <c r="V2063" s="10" t="s">
        <v>2882</v>
      </c>
      <c r="W2063" s="50">
        <f>+J2063/$W$2</f>
        <v>2.1159120700030928E-5</v>
      </c>
    </row>
    <row r="2064" spans="1:29">
      <c r="A2064" s="10" t="s">
        <v>180</v>
      </c>
      <c r="B2064" s="10" t="s">
        <v>381</v>
      </c>
      <c r="C2064" s="124">
        <v>46372</v>
      </c>
      <c r="D2064" s="124" t="s">
        <v>492</v>
      </c>
      <c r="E2064" s="21">
        <v>0.94928491000000004</v>
      </c>
      <c r="F2064" s="10"/>
      <c r="G2064" s="14">
        <v>2681816.6</v>
      </c>
      <c r="H2064" s="14">
        <v>2545808.02</v>
      </c>
      <c r="I2064" s="14">
        <v>2681816.6</v>
      </c>
      <c r="J2064" s="14">
        <v>2545808.02</v>
      </c>
      <c r="K2064" s="12">
        <v>681628</v>
      </c>
      <c r="L2064" s="10" t="s">
        <v>101</v>
      </c>
      <c r="M2064" s="10" t="s">
        <v>102</v>
      </c>
      <c r="N2064" s="124" t="s">
        <v>486</v>
      </c>
      <c r="O2064" s="124" t="s">
        <v>486</v>
      </c>
      <c r="P2064" s="21">
        <v>25</v>
      </c>
      <c r="Q2064" s="10" t="s">
        <v>54</v>
      </c>
      <c r="R2064" s="10" t="s">
        <v>28</v>
      </c>
      <c r="S2064" s="10"/>
      <c r="T2064" s="10"/>
      <c r="U2064" s="10" t="s">
        <v>2887</v>
      </c>
      <c r="V2064" s="10" t="s">
        <v>2887</v>
      </c>
      <c r="W2064" s="50">
        <f>+J2064/$W$2</f>
        <v>3.3845419920742952E-5</v>
      </c>
    </row>
    <row r="2065" spans="1:23">
      <c r="A2065" s="10" t="s">
        <v>180</v>
      </c>
      <c r="B2065" s="10" t="s">
        <v>381</v>
      </c>
      <c r="C2065" s="124">
        <v>46372</v>
      </c>
      <c r="D2065" s="124" t="s">
        <v>492</v>
      </c>
      <c r="E2065" s="21">
        <v>0.94928488</v>
      </c>
      <c r="F2065" s="10"/>
      <c r="G2065" s="14">
        <v>669474.55000000005</v>
      </c>
      <c r="H2065" s="14">
        <v>635522.06999999995</v>
      </c>
      <c r="I2065" s="14">
        <v>669474.55000000005</v>
      </c>
      <c r="J2065" s="14">
        <v>635522.06999999995</v>
      </c>
      <c r="K2065" s="12">
        <v>681512</v>
      </c>
      <c r="L2065" s="10" t="s">
        <v>101</v>
      </c>
      <c r="M2065" s="10" t="s">
        <v>102</v>
      </c>
      <c r="N2065" s="124" t="s">
        <v>486</v>
      </c>
      <c r="O2065" s="124" t="s">
        <v>486</v>
      </c>
      <c r="P2065" s="21">
        <v>25</v>
      </c>
      <c r="Q2065" s="10" t="s">
        <v>54</v>
      </c>
      <c r="R2065" s="10" t="s">
        <v>28</v>
      </c>
      <c r="S2065" s="10"/>
      <c r="T2065" s="10"/>
      <c r="U2065" s="10" t="s">
        <v>2888</v>
      </c>
      <c r="V2065" s="10" t="s">
        <v>2888</v>
      </c>
      <c r="W2065" s="50">
        <f>+J2065/$W$2</f>
        <v>8.4489918953314455E-6</v>
      </c>
    </row>
    <row r="2066" spans="1:23">
      <c r="A2066" s="10" t="s">
        <v>180</v>
      </c>
      <c r="B2066" s="10" t="s">
        <v>381</v>
      </c>
      <c r="C2066" s="124">
        <v>46372</v>
      </c>
      <c r="D2066" s="124" t="s">
        <v>492</v>
      </c>
      <c r="E2066" s="21">
        <v>0.94354269000000002</v>
      </c>
      <c r="F2066" s="10"/>
      <c r="G2066" s="14">
        <v>10746145.48</v>
      </c>
      <c r="H2066" s="14">
        <v>10139447.02</v>
      </c>
      <c r="I2066" s="14">
        <v>10746145.48</v>
      </c>
      <c r="J2066" s="14">
        <v>10139447.02</v>
      </c>
      <c r="K2066" s="12">
        <v>604620</v>
      </c>
      <c r="L2066" s="10" t="s">
        <v>101</v>
      </c>
      <c r="M2066" s="10" t="s">
        <v>102</v>
      </c>
      <c r="N2066" s="124" t="s">
        <v>548</v>
      </c>
      <c r="O2066" s="124" t="s">
        <v>548</v>
      </c>
      <c r="P2066" s="21">
        <v>28</v>
      </c>
      <c r="Q2066" s="10" t="s">
        <v>54</v>
      </c>
      <c r="R2066" s="10" t="s">
        <v>28</v>
      </c>
      <c r="S2066" s="10"/>
      <c r="T2066" s="10"/>
      <c r="U2066" s="10" t="s">
        <v>1388</v>
      </c>
      <c r="V2066" s="10" t="s">
        <v>1388</v>
      </c>
      <c r="W2066" s="50">
        <f>+J2066/$W$2</f>
        <v>1.3479957618957683E-4</v>
      </c>
    </row>
    <row r="2067" spans="1:23">
      <c r="A2067" s="10" t="s">
        <v>180</v>
      </c>
      <c r="B2067" s="10" t="s">
        <v>381</v>
      </c>
      <c r="C2067" s="124">
        <v>46372</v>
      </c>
      <c r="D2067" s="124" t="s">
        <v>492</v>
      </c>
      <c r="E2067" s="21">
        <v>0.94354269000000002</v>
      </c>
      <c r="F2067" s="10"/>
      <c r="G2067" s="14">
        <v>8521998.5999999996</v>
      </c>
      <c r="H2067" s="14">
        <v>8040869.4900000002</v>
      </c>
      <c r="I2067" s="14">
        <v>8521998.5999999996</v>
      </c>
      <c r="J2067" s="14">
        <v>8040869.4900000002</v>
      </c>
      <c r="K2067" s="12">
        <v>654243</v>
      </c>
      <c r="L2067" s="10" t="s">
        <v>101</v>
      </c>
      <c r="M2067" s="10" t="s">
        <v>102</v>
      </c>
      <c r="N2067" s="124" t="s">
        <v>548</v>
      </c>
      <c r="O2067" s="124" t="s">
        <v>548</v>
      </c>
      <c r="P2067" s="21">
        <v>28</v>
      </c>
      <c r="Q2067" s="10" t="s">
        <v>54</v>
      </c>
      <c r="R2067" s="10" t="s">
        <v>28</v>
      </c>
      <c r="S2067" s="10"/>
      <c r="T2067" s="10"/>
      <c r="U2067" s="10" t="s">
        <v>1391</v>
      </c>
      <c r="V2067" s="10" t="s">
        <v>1391</v>
      </c>
      <c r="W2067" s="50">
        <f>+J2067/$W$2</f>
        <v>1.0689989279589912E-4</v>
      </c>
    </row>
    <row r="2068" spans="1:23">
      <c r="A2068" s="10" t="s">
        <v>576</v>
      </c>
      <c r="B2068" s="10" t="s">
        <v>381</v>
      </c>
      <c r="C2068" s="124">
        <v>46372</v>
      </c>
      <c r="D2068" s="124" t="s">
        <v>492</v>
      </c>
      <c r="E2068" s="21">
        <v>0.93975297999999996</v>
      </c>
      <c r="F2068" s="10"/>
      <c r="G2068" s="14">
        <v>50000000</v>
      </c>
      <c r="H2068" s="14">
        <v>46987648.780000001</v>
      </c>
      <c r="I2068" s="14">
        <v>50000000</v>
      </c>
      <c r="J2068" s="14">
        <v>46987648.780000001</v>
      </c>
      <c r="K2068" s="12">
        <v>68075</v>
      </c>
      <c r="L2068" s="10" t="s">
        <v>101</v>
      </c>
      <c r="M2068" s="10" t="s">
        <v>102</v>
      </c>
      <c r="N2068" s="124" t="s">
        <v>486</v>
      </c>
      <c r="O2068" s="124" t="s">
        <v>486</v>
      </c>
      <c r="P2068" s="21">
        <v>30</v>
      </c>
      <c r="Q2068" s="10" t="s">
        <v>54</v>
      </c>
      <c r="R2068" s="10" t="s">
        <v>28</v>
      </c>
      <c r="S2068" s="10"/>
      <c r="T2068" s="10"/>
      <c r="U2068" s="10" t="s">
        <v>2834</v>
      </c>
      <c r="V2068" s="10" t="s">
        <v>2834</v>
      </c>
      <c r="W2068" s="50">
        <f>+J2068/$W$2</f>
        <v>6.246805303282394E-4</v>
      </c>
    </row>
    <row r="2069" spans="1:23">
      <c r="A2069" s="10" t="s">
        <v>3269</v>
      </c>
      <c r="B2069" s="10" t="s">
        <v>381</v>
      </c>
      <c r="C2069" s="124">
        <v>46372</v>
      </c>
      <c r="D2069" s="124" t="s">
        <v>492</v>
      </c>
      <c r="E2069" s="21">
        <v>0.94164400999999998</v>
      </c>
      <c r="F2069" s="10"/>
      <c r="G2069" s="14">
        <v>70000000</v>
      </c>
      <c r="H2069" s="14">
        <v>65915080.619999997</v>
      </c>
      <c r="I2069" s="14">
        <v>70000000</v>
      </c>
      <c r="J2069" s="14">
        <v>65915080.619999997</v>
      </c>
      <c r="K2069" s="12">
        <v>83299239</v>
      </c>
      <c r="L2069" s="10" t="s">
        <v>101</v>
      </c>
      <c r="M2069" s="10" t="s">
        <v>102</v>
      </c>
      <c r="N2069" s="124" t="s">
        <v>531</v>
      </c>
      <c r="O2069" s="124" t="s">
        <v>531</v>
      </c>
      <c r="P2069" s="21">
        <v>29</v>
      </c>
      <c r="Q2069" s="10" t="s">
        <v>54</v>
      </c>
      <c r="R2069" s="10" t="s">
        <v>28</v>
      </c>
      <c r="S2069" s="10"/>
      <c r="T2069" s="10"/>
      <c r="U2069" s="10" t="s">
        <v>3372</v>
      </c>
      <c r="V2069" s="10" t="s">
        <v>3372</v>
      </c>
      <c r="W2069" s="50">
        <f>+J2069/$W$2</f>
        <v>8.7631257548380467E-4</v>
      </c>
    </row>
    <row r="2070" spans="1:23">
      <c r="A2070" s="10" t="s">
        <v>2610</v>
      </c>
      <c r="B2070" s="10" t="s">
        <v>381</v>
      </c>
      <c r="C2070" s="124">
        <v>46372</v>
      </c>
      <c r="D2070" s="124" t="s">
        <v>492</v>
      </c>
      <c r="E2070" s="21">
        <v>0.93599361999999997</v>
      </c>
      <c r="F2070" s="10"/>
      <c r="G2070" s="14">
        <v>1869225</v>
      </c>
      <c r="H2070" s="14">
        <v>1749582.68</v>
      </c>
      <c r="I2070" s="14">
        <v>1869225</v>
      </c>
      <c r="J2070" s="14">
        <v>1749582.68</v>
      </c>
      <c r="K2070" s="12">
        <v>6</v>
      </c>
      <c r="L2070" s="10" t="s">
        <v>101</v>
      </c>
      <c r="M2070" s="10" t="s">
        <v>102</v>
      </c>
      <c r="N2070" s="124" t="s">
        <v>423</v>
      </c>
      <c r="O2070" s="124" t="s">
        <v>423</v>
      </c>
      <c r="P2070" s="21">
        <v>32</v>
      </c>
      <c r="Q2070" s="10" t="s">
        <v>54</v>
      </c>
      <c r="R2070" s="10" t="s">
        <v>28</v>
      </c>
      <c r="S2070" s="10"/>
      <c r="T2070" s="10"/>
      <c r="U2070" s="10" t="s">
        <v>2536</v>
      </c>
      <c r="V2070" s="10" t="s">
        <v>2536</v>
      </c>
      <c r="W2070" s="50">
        <f>+J2070/$W$2</f>
        <v>2.325994734302818E-5</v>
      </c>
    </row>
    <row r="2071" spans="1:23">
      <c r="A2071" s="10" t="s">
        <v>2616</v>
      </c>
      <c r="B2071" s="10" t="s">
        <v>381</v>
      </c>
      <c r="C2071" s="124">
        <v>46372</v>
      </c>
      <c r="D2071" s="124" t="s">
        <v>492</v>
      </c>
      <c r="E2071" s="21">
        <v>0.93599363000000002</v>
      </c>
      <c r="F2071" s="10"/>
      <c r="G2071" s="14">
        <v>2112204.7400000002</v>
      </c>
      <c r="H2071" s="14">
        <v>1977010.18</v>
      </c>
      <c r="I2071" s="14">
        <v>2112204.7400000002</v>
      </c>
      <c r="J2071" s="14">
        <v>1977010.18</v>
      </c>
      <c r="K2071" s="12">
        <v>214</v>
      </c>
      <c r="L2071" s="10" t="s">
        <v>101</v>
      </c>
      <c r="M2071" s="10" t="s">
        <v>102</v>
      </c>
      <c r="N2071" s="124" t="s">
        <v>423</v>
      </c>
      <c r="O2071" s="124" t="s">
        <v>423</v>
      </c>
      <c r="P2071" s="21">
        <v>32</v>
      </c>
      <c r="Q2071" s="10" t="s">
        <v>54</v>
      </c>
      <c r="R2071" s="10" t="s">
        <v>28</v>
      </c>
      <c r="S2071" s="10"/>
      <c r="T2071" s="10"/>
      <c r="U2071" s="10" t="s">
        <v>2562</v>
      </c>
      <c r="V2071" s="10" t="s">
        <v>2562</v>
      </c>
      <c r="W2071" s="50">
        <f>+J2071/$W$2</f>
        <v>2.6283497893012215E-5</v>
      </c>
    </row>
    <row r="2072" spans="1:23">
      <c r="A2072" s="10" t="s">
        <v>2620</v>
      </c>
      <c r="B2072" s="10" t="s">
        <v>381</v>
      </c>
      <c r="C2072" s="124">
        <v>46372</v>
      </c>
      <c r="D2072" s="124" t="s">
        <v>492</v>
      </c>
      <c r="E2072" s="21">
        <v>0.93599363999999996</v>
      </c>
      <c r="F2072" s="10"/>
      <c r="G2072" s="14">
        <v>1566916.35</v>
      </c>
      <c r="H2072" s="14">
        <v>1466623.73</v>
      </c>
      <c r="I2072" s="14">
        <v>1566916.35</v>
      </c>
      <c r="J2072" s="14">
        <v>1466623.73</v>
      </c>
      <c r="K2072" s="12">
        <v>1182</v>
      </c>
      <c r="L2072" s="10" t="s">
        <v>101</v>
      </c>
      <c r="M2072" s="10" t="s">
        <v>102</v>
      </c>
      <c r="N2072" s="124" t="s">
        <v>423</v>
      </c>
      <c r="O2072" s="124" t="s">
        <v>423</v>
      </c>
      <c r="P2072" s="21">
        <v>32</v>
      </c>
      <c r="Q2072" s="10" t="s">
        <v>54</v>
      </c>
      <c r="R2072" s="10" t="s">
        <v>28</v>
      </c>
      <c r="S2072" s="10"/>
      <c r="T2072" s="10"/>
      <c r="U2072" s="10" t="s">
        <v>2577</v>
      </c>
      <c r="V2072" s="10" t="s">
        <v>2577</v>
      </c>
      <c r="W2072" s="50">
        <f>+J2072/$W$2</f>
        <v>1.9498130109424484E-5</v>
      </c>
    </row>
    <row r="2073" spans="1:23">
      <c r="A2073" s="10" t="s">
        <v>762</v>
      </c>
      <c r="B2073" s="10" t="s">
        <v>381</v>
      </c>
      <c r="C2073" s="124">
        <v>46372</v>
      </c>
      <c r="D2073" s="124" t="s">
        <v>492</v>
      </c>
      <c r="E2073" s="21">
        <v>0.94354271000000001</v>
      </c>
      <c r="F2073" s="10"/>
      <c r="G2073" s="14">
        <v>14700000</v>
      </c>
      <c r="H2073" s="14">
        <v>13870077.859999999</v>
      </c>
      <c r="I2073" s="14">
        <v>14700000</v>
      </c>
      <c r="J2073" s="14">
        <v>13870077.859999999</v>
      </c>
      <c r="K2073" s="12">
        <v>90000383</v>
      </c>
      <c r="L2073" s="10" t="s">
        <v>101</v>
      </c>
      <c r="M2073" s="10" t="s">
        <v>102</v>
      </c>
      <c r="N2073" s="124" t="s">
        <v>532</v>
      </c>
      <c r="O2073" s="124" t="s">
        <v>532</v>
      </c>
      <c r="P2073" s="21">
        <v>28</v>
      </c>
      <c r="Q2073" s="10" t="s">
        <v>54</v>
      </c>
      <c r="R2073" s="10" t="s">
        <v>28</v>
      </c>
      <c r="S2073" s="10"/>
      <c r="T2073" s="10"/>
      <c r="U2073" s="10" t="s">
        <v>3046</v>
      </c>
      <c r="V2073" s="10" t="s">
        <v>3046</v>
      </c>
      <c r="W2073" s="50">
        <f>+J2073/$W$2</f>
        <v>1.843967046286152E-4</v>
      </c>
    </row>
    <row r="2074" spans="1:23">
      <c r="A2074" s="10" t="s">
        <v>762</v>
      </c>
      <c r="B2074" s="10" t="s">
        <v>381</v>
      </c>
      <c r="C2074" s="124">
        <v>46372</v>
      </c>
      <c r="D2074" s="124" t="s">
        <v>492</v>
      </c>
      <c r="E2074" s="21">
        <v>0.94354271000000001</v>
      </c>
      <c r="F2074" s="10"/>
      <c r="G2074" s="14">
        <v>14200000</v>
      </c>
      <c r="H2074" s="14">
        <v>13398306.529999999</v>
      </c>
      <c r="I2074" s="14">
        <v>14200000</v>
      </c>
      <c r="J2074" s="14">
        <v>13398306.529999999</v>
      </c>
      <c r="K2074" s="12">
        <v>90000359</v>
      </c>
      <c r="L2074" s="10" t="s">
        <v>101</v>
      </c>
      <c r="M2074" s="10" t="s">
        <v>102</v>
      </c>
      <c r="N2074" s="124" t="s">
        <v>532</v>
      </c>
      <c r="O2074" s="124" t="s">
        <v>532</v>
      </c>
      <c r="P2074" s="21">
        <v>28</v>
      </c>
      <c r="Q2074" s="10" t="s">
        <v>54</v>
      </c>
      <c r="R2074" s="10" t="s">
        <v>28</v>
      </c>
      <c r="S2074" s="10"/>
      <c r="T2074" s="10"/>
      <c r="U2074" s="10" t="s">
        <v>3047</v>
      </c>
      <c r="V2074" s="10" t="s">
        <v>3047</v>
      </c>
      <c r="W2074" s="50">
        <f>+J2074/$W$2</f>
        <v>1.7812470821530459E-4</v>
      </c>
    </row>
    <row r="2075" spans="1:23">
      <c r="A2075" s="10" t="s">
        <v>762</v>
      </c>
      <c r="B2075" s="10" t="s">
        <v>381</v>
      </c>
      <c r="C2075" s="124">
        <v>46372</v>
      </c>
      <c r="D2075" s="124" t="s">
        <v>492</v>
      </c>
      <c r="E2075" s="21">
        <v>0.94354271000000001</v>
      </c>
      <c r="F2075" s="10"/>
      <c r="G2075" s="14">
        <v>6500000</v>
      </c>
      <c r="H2075" s="14">
        <v>6133027.6399999997</v>
      </c>
      <c r="I2075" s="14">
        <v>6500000</v>
      </c>
      <c r="J2075" s="14">
        <v>6133027.6399999997</v>
      </c>
      <c r="K2075" s="12">
        <v>90000279</v>
      </c>
      <c r="L2075" s="10" t="s">
        <v>101</v>
      </c>
      <c r="M2075" s="10" t="s">
        <v>102</v>
      </c>
      <c r="N2075" s="124" t="s">
        <v>532</v>
      </c>
      <c r="O2075" s="124" t="s">
        <v>532</v>
      </c>
      <c r="P2075" s="21">
        <v>28</v>
      </c>
      <c r="Q2075" s="10" t="s">
        <v>54</v>
      </c>
      <c r="R2075" s="10" t="s">
        <v>28</v>
      </c>
      <c r="S2075" s="10"/>
      <c r="T2075" s="10"/>
      <c r="U2075" s="10" t="s">
        <v>3048</v>
      </c>
      <c r="V2075" s="10" t="s">
        <v>3048</v>
      </c>
      <c r="W2075" s="50">
        <f>+J2075/$W$2</f>
        <v>8.153595802613707E-5</v>
      </c>
    </row>
    <row r="2076" spans="1:23">
      <c r="A2076" s="10" t="s">
        <v>762</v>
      </c>
      <c r="B2076" s="10" t="s">
        <v>381</v>
      </c>
      <c r="C2076" s="124">
        <v>46372</v>
      </c>
      <c r="D2076" s="124" t="s">
        <v>492</v>
      </c>
      <c r="E2076" s="21">
        <v>0.94354271000000001</v>
      </c>
      <c r="F2076" s="10"/>
      <c r="G2076" s="14">
        <v>16500000</v>
      </c>
      <c r="H2076" s="14">
        <v>15568454.77</v>
      </c>
      <c r="I2076" s="14">
        <v>16500000</v>
      </c>
      <c r="J2076" s="14">
        <v>15568454.77</v>
      </c>
      <c r="K2076" s="12">
        <v>90000318</v>
      </c>
      <c r="L2076" s="10" t="s">
        <v>101</v>
      </c>
      <c r="M2076" s="10" t="s">
        <v>102</v>
      </c>
      <c r="N2076" s="124" t="s">
        <v>532</v>
      </c>
      <c r="O2076" s="124" t="s">
        <v>532</v>
      </c>
      <c r="P2076" s="21">
        <v>28</v>
      </c>
      <c r="Q2076" s="10" t="s">
        <v>54</v>
      </c>
      <c r="R2076" s="10" t="s">
        <v>28</v>
      </c>
      <c r="S2076" s="10"/>
      <c r="T2076" s="10"/>
      <c r="U2076" s="10" t="s">
        <v>3049</v>
      </c>
      <c r="V2076" s="10" t="s">
        <v>3049</v>
      </c>
      <c r="W2076" s="50">
        <f>+J2076/$W$2</f>
        <v>2.0697589333847083E-4</v>
      </c>
    </row>
    <row r="2077" spans="1:23">
      <c r="A2077" s="10" t="s">
        <v>762</v>
      </c>
      <c r="B2077" s="10" t="s">
        <v>381</v>
      </c>
      <c r="C2077" s="124">
        <v>46372</v>
      </c>
      <c r="D2077" s="124" t="s">
        <v>492</v>
      </c>
      <c r="E2077" s="21">
        <v>0.94354271000000001</v>
      </c>
      <c r="F2077" s="10"/>
      <c r="G2077" s="14">
        <v>16500000</v>
      </c>
      <c r="H2077" s="14">
        <v>15568454.77</v>
      </c>
      <c r="I2077" s="14">
        <v>16500000</v>
      </c>
      <c r="J2077" s="14">
        <v>15568454.77</v>
      </c>
      <c r="K2077" s="12">
        <v>90016966</v>
      </c>
      <c r="L2077" s="10" t="s">
        <v>101</v>
      </c>
      <c r="M2077" s="10" t="s">
        <v>102</v>
      </c>
      <c r="N2077" s="124" t="s">
        <v>532</v>
      </c>
      <c r="O2077" s="124" t="s">
        <v>532</v>
      </c>
      <c r="P2077" s="21">
        <v>28</v>
      </c>
      <c r="Q2077" s="10" t="s">
        <v>54</v>
      </c>
      <c r="R2077" s="10" t="s">
        <v>28</v>
      </c>
      <c r="S2077" s="10"/>
      <c r="T2077" s="10"/>
      <c r="U2077" s="10" t="s">
        <v>3050</v>
      </c>
      <c r="V2077" s="10" t="s">
        <v>3050</v>
      </c>
      <c r="W2077" s="50">
        <f>+J2077/$W$2</f>
        <v>2.0697589333847083E-4</v>
      </c>
    </row>
    <row r="2078" spans="1:23">
      <c r="A2078" s="10" t="s">
        <v>762</v>
      </c>
      <c r="B2078" s="10" t="s">
        <v>381</v>
      </c>
      <c r="C2078" s="124">
        <v>46372</v>
      </c>
      <c r="D2078" s="124" t="s">
        <v>492</v>
      </c>
      <c r="E2078" s="21">
        <v>0.94354271000000001</v>
      </c>
      <c r="F2078" s="10"/>
      <c r="G2078" s="14">
        <v>13000000</v>
      </c>
      <c r="H2078" s="14">
        <v>12266055.279999999</v>
      </c>
      <c r="I2078" s="14">
        <v>13000000</v>
      </c>
      <c r="J2078" s="14">
        <v>12266055.279999999</v>
      </c>
      <c r="K2078" s="12">
        <v>90000331</v>
      </c>
      <c r="L2078" s="10" t="s">
        <v>101</v>
      </c>
      <c r="M2078" s="10" t="s">
        <v>102</v>
      </c>
      <c r="N2078" s="124" t="s">
        <v>532</v>
      </c>
      <c r="O2078" s="124" t="s">
        <v>532</v>
      </c>
      <c r="P2078" s="21">
        <v>28</v>
      </c>
      <c r="Q2078" s="10" t="s">
        <v>54</v>
      </c>
      <c r="R2078" s="10" t="s">
        <v>28</v>
      </c>
      <c r="S2078" s="10"/>
      <c r="T2078" s="10"/>
      <c r="U2078" s="10" t="s">
        <v>3051</v>
      </c>
      <c r="V2078" s="10" t="s">
        <v>3051</v>
      </c>
      <c r="W2078" s="50">
        <f>+J2078/$W$2</f>
        <v>1.6307191605227414E-4</v>
      </c>
    </row>
    <row r="2079" spans="1:23">
      <c r="A2079" s="10" t="s">
        <v>762</v>
      </c>
      <c r="B2079" s="10" t="s">
        <v>381</v>
      </c>
      <c r="C2079" s="124">
        <v>46372</v>
      </c>
      <c r="D2079" s="124" t="s">
        <v>492</v>
      </c>
      <c r="E2079" s="21">
        <v>0.94354271000000001</v>
      </c>
      <c r="F2079" s="10"/>
      <c r="G2079" s="14">
        <v>13200000</v>
      </c>
      <c r="H2079" s="14">
        <v>12454763.82</v>
      </c>
      <c r="I2079" s="14">
        <v>13200000</v>
      </c>
      <c r="J2079" s="14">
        <v>12454763.82</v>
      </c>
      <c r="K2079" s="12">
        <v>90000288</v>
      </c>
      <c r="L2079" s="10" t="s">
        <v>101</v>
      </c>
      <c r="M2079" s="10" t="s">
        <v>102</v>
      </c>
      <c r="N2079" s="124" t="s">
        <v>532</v>
      </c>
      <c r="O2079" s="124" t="s">
        <v>532</v>
      </c>
      <c r="P2079" s="21">
        <v>28</v>
      </c>
      <c r="Q2079" s="10" t="s">
        <v>54</v>
      </c>
      <c r="R2079" s="10" t="s">
        <v>28</v>
      </c>
      <c r="S2079" s="10"/>
      <c r="T2079" s="10"/>
      <c r="U2079" s="10" t="s">
        <v>3052</v>
      </c>
      <c r="V2079" s="10" t="s">
        <v>3052</v>
      </c>
      <c r="W2079" s="50">
        <f>+J2079/$W$2</f>
        <v>1.6558071472395493E-4</v>
      </c>
    </row>
    <row r="2080" spans="1:23">
      <c r="A2080" s="10" t="s">
        <v>762</v>
      </c>
      <c r="B2080" s="10" t="s">
        <v>381</v>
      </c>
      <c r="C2080" s="124">
        <v>46372</v>
      </c>
      <c r="D2080" s="124" t="s">
        <v>492</v>
      </c>
      <c r="E2080" s="21">
        <v>0.94354271000000001</v>
      </c>
      <c r="F2080" s="10"/>
      <c r="G2080" s="14">
        <v>9300000</v>
      </c>
      <c r="H2080" s="14">
        <v>8774947.2400000002</v>
      </c>
      <c r="I2080" s="14">
        <v>9300000</v>
      </c>
      <c r="J2080" s="14">
        <v>8774947.2400000002</v>
      </c>
      <c r="K2080" s="12">
        <v>90000358</v>
      </c>
      <c r="L2080" s="10" t="s">
        <v>101</v>
      </c>
      <c r="M2080" s="10" t="s">
        <v>102</v>
      </c>
      <c r="N2080" s="124" t="s">
        <v>532</v>
      </c>
      <c r="O2080" s="124" t="s">
        <v>532</v>
      </c>
      <c r="P2080" s="21">
        <v>28</v>
      </c>
      <c r="Q2080" s="10" t="s">
        <v>54</v>
      </c>
      <c r="R2080" s="10" t="s">
        <v>28</v>
      </c>
      <c r="S2080" s="10"/>
      <c r="T2080" s="10"/>
      <c r="U2080" s="10" t="s">
        <v>3053</v>
      </c>
      <c r="V2080" s="10" t="s">
        <v>3053</v>
      </c>
      <c r="W2080" s="50">
        <f>+J2080/$W$2</f>
        <v>1.1665913996145097E-4</v>
      </c>
    </row>
    <row r="2081" spans="1:29">
      <c r="A2081" s="10" t="s">
        <v>762</v>
      </c>
      <c r="B2081" s="10" t="s">
        <v>381</v>
      </c>
      <c r="C2081" s="124">
        <v>46372</v>
      </c>
      <c r="D2081" s="124" t="s">
        <v>492</v>
      </c>
      <c r="E2081" s="21">
        <v>0.94354271000000001</v>
      </c>
      <c r="F2081" s="10"/>
      <c r="G2081" s="14">
        <v>14600000</v>
      </c>
      <c r="H2081" s="14">
        <v>13775723.619999999</v>
      </c>
      <c r="I2081" s="14">
        <v>14600000</v>
      </c>
      <c r="J2081" s="14">
        <v>13775723.619999999</v>
      </c>
      <c r="K2081" s="12">
        <v>90000325</v>
      </c>
      <c r="L2081" s="10" t="s">
        <v>101</v>
      </c>
      <c r="M2081" s="10" t="s">
        <v>102</v>
      </c>
      <c r="N2081" s="124" t="s">
        <v>532</v>
      </c>
      <c r="O2081" s="124" t="s">
        <v>532</v>
      </c>
      <c r="P2081" s="21">
        <v>28</v>
      </c>
      <c r="Q2081" s="10" t="s">
        <v>54</v>
      </c>
      <c r="R2081" s="10" t="s">
        <v>28</v>
      </c>
      <c r="S2081" s="10"/>
      <c r="T2081" s="10"/>
      <c r="U2081" s="10" t="s">
        <v>3054</v>
      </c>
      <c r="V2081" s="10" t="s">
        <v>3054</v>
      </c>
      <c r="W2081" s="50">
        <f>+J2081/$W$2</f>
        <v>1.8314230569161188E-4</v>
      </c>
    </row>
    <row r="2082" spans="1:29">
      <c r="A2082" s="10" t="s">
        <v>762</v>
      </c>
      <c r="B2082" s="10" t="s">
        <v>381</v>
      </c>
      <c r="C2082" s="124">
        <v>46372</v>
      </c>
      <c r="D2082" s="124" t="s">
        <v>492</v>
      </c>
      <c r="E2082" s="21">
        <v>0.94354271000000001</v>
      </c>
      <c r="F2082" s="10"/>
      <c r="G2082" s="14">
        <v>15300000</v>
      </c>
      <c r="H2082" s="14">
        <v>14436203.52</v>
      </c>
      <c r="I2082" s="14">
        <v>15300000</v>
      </c>
      <c r="J2082" s="14">
        <v>14436203.52</v>
      </c>
      <c r="K2082" s="12">
        <v>90000368</v>
      </c>
      <c r="L2082" s="10" t="s">
        <v>101</v>
      </c>
      <c r="M2082" s="10" t="s">
        <v>102</v>
      </c>
      <c r="N2082" s="124" t="s">
        <v>532</v>
      </c>
      <c r="O2082" s="124" t="s">
        <v>532</v>
      </c>
      <c r="P2082" s="21">
        <v>28</v>
      </c>
      <c r="Q2082" s="10" t="s">
        <v>54</v>
      </c>
      <c r="R2082" s="10" t="s">
        <v>28</v>
      </c>
      <c r="S2082" s="10"/>
      <c r="T2082" s="10"/>
      <c r="U2082" s="10" t="s">
        <v>3055</v>
      </c>
      <c r="V2082" s="10" t="s">
        <v>3055</v>
      </c>
      <c r="W2082" s="50">
        <f>+J2082/$W$2</f>
        <v>1.9192310117544035E-4</v>
      </c>
    </row>
    <row r="2083" spans="1:29">
      <c r="A2083" s="10" t="s">
        <v>762</v>
      </c>
      <c r="B2083" s="10" t="s">
        <v>381</v>
      </c>
      <c r="C2083" s="124">
        <v>46372</v>
      </c>
      <c r="D2083" s="124" t="s">
        <v>492</v>
      </c>
      <c r="E2083" s="21">
        <v>0.94354271000000001</v>
      </c>
      <c r="F2083" s="10"/>
      <c r="G2083" s="14">
        <v>16500000</v>
      </c>
      <c r="H2083" s="14">
        <v>15568454.77</v>
      </c>
      <c r="I2083" s="14">
        <v>16500000</v>
      </c>
      <c r="J2083" s="14">
        <v>15568454.77</v>
      </c>
      <c r="K2083" s="12">
        <v>90016598</v>
      </c>
      <c r="L2083" s="10" t="s">
        <v>101</v>
      </c>
      <c r="M2083" s="10" t="s">
        <v>102</v>
      </c>
      <c r="N2083" s="124" t="s">
        <v>532</v>
      </c>
      <c r="O2083" s="124" t="s">
        <v>532</v>
      </c>
      <c r="P2083" s="21">
        <v>28</v>
      </c>
      <c r="Q2083" s="10" t="s">
        <v>54</v>
      </c>
      <c r="R2083" s="10" t="s">
        <v>28</v>
      </c>
      <c r="S2083" s="10"/>
      <c r="T2083" s="10"/>
      <c r="U2083" s="10" t="s">
        <v>3056</v>
      </c>
      <c r="V2083" s="10" t="s">
        <v>3056</v>
      </c>
      <c r="W2083" s="50">
        <f>+J2083/$W$2</f>
        <v>2.0697589333847083E-4</v>
      </c>
      <c r="AC2083" s="47"/>
    </row>
    <row r="2084" spans="1:29">
      <c r="A2084" s="10" t="s">
        <v>762</v>
      </c>
      <c r="B2084" s="10" t="s">
        <v>381</v>
      </c>
      <c r="C2084" s="124">
        <v>46372</v>
      </c>
      <c r="D2084" s="124" t="s">
        <v>492</v>
      </c>
      <c r="E2084" s="21">
        <v>0.94354271000000001</v>
      </c>
      <c r="F2084" s="10"/>
      <c r="G2084" s="14">
        <v>13100000</v>
      </c>
      <c r="H2084" s="14">
        <v>12360409.550000001</v>
      </c>
      <c r="I2084" s="14">
        <v>13100000</v>
      </c>
      <c r="J2084" s="14">
        <v>12360409.550000001</v>
      </c>
      <c r="K2084" s="12">
        <v>90000418</v>
      </c>
      <c r="L2084" s="10" t="s">
        <v>101</v>
      </c>
      <c r="M2084" s="10" t="s">
        <v>102</v>
      </c>
      <c r="N2084" s="124" t="s">
        <v>532</v>
      </c>
      <c r="O2084" s="124" t="s">
        <v>532</v>
      </c>
      <c r="P2084" s="21">
        <v>28</v>
      </c>
      <c r="Q2084" s="10" t="s">
        <v>54</v>
      </c>
      <c r="R2084" s="10" t="s">
        <v>28</v>
      </c>
      <c r="S2084" s="10"/>
      <c r="T2084" s="10"/>
      <c r="U2084" s="10" t="s">
        <v>3057</v>
      </c>
      <c r="V2084" s="10" t="s">
        <v>3057</v>
      </c>
      <c r="W2084" s="50">
        <f>+J2084/$W$2</f>
        <v>1.6432631538811454E-4</v>
      </c>
    </row>
    <row r="2085" spans="1:29">
      <c r="A2085" s="10" t="s">
        <v>762</v>
      </c>
      <c r="B2085" s="10" t="s">
        <v>381</v>
      </c>
      <c r="C2085" s="124">
        <v>46372</v>
      </c>
      <c r="D2085" s="124" t="s">
        <v>492</v>
      </c>
      <c r="E2085" s="21">
        <v>0.94354271000000001</v>
      </c>
      <c r="F2085" s="10"/>
      <c r="G2085" s="14">
        <v>11000000</v>
      </c>
      <c r="H2085" s="14">
        <v>10378969.83</v>
      </c>
      <c r="I2085" s="14">
        <v>11000000</v>
      </c>
      <c r="J2085" s="14">
        <v>10378969.83</v>
      </c>
      <c r="K2085" s="12">
        <v>90000244</v>
      </c>
      <c r="L2085" s="10" t="s">
        <v>101</v>
      </c>
      <c r="M2085" s="10" t="s">
        <v>102</v>
      </c>
      <c r="N2085" s="124" t="s">
        <v>532</v>
      </c>
      <c r="O2085" s="124" t="s">
        <v>532</v>
      </c>
      <c r="P2085" s="21">
        <v>28</v>
      </c>
      <c r="Q2085" s="10" t="s">
        <v>54</v>
      </c>
      <c r="R2085" s="10" t="s">
        <v>28</v>
      </c>
      <c r="S2085" s="10"/>
      <c r="T2085" s="10"/>
      <c r="U2085" s="10" t="s">
        <v>3058</v>
      </c>
      <c r="V2085" s="10" t="s">
        <v>3058</v>
      </c>
      <c r="W2085" s="50">
        <f>+J2085/$W$2</f>
        <v>1.3798392867073775E-4</v>
      </c>
    </row>
    <row r="2086" spans="1:29">
      <c r="A2086" s="10" t="s">
        <v>762</v>
      </c>
      <c r="B2086" s="10" t="s">
        <v>381</v>
      </c>
      <c r="C2086" s="124">
        <v>46372</v>
      </c>
      <c r="D2086" s="124" t="s">
        <v>492</v>
      </c>
      <c r="E2086" s="21">
        <v>0.94354271000000001</v>
      </c>
      <c r="F2086" s="10"/>
      <c r="G2086" s="14">
        <v>16500000</v>
      </c>
      <c r="H2086" s="14">
        <v>15568454.77</v>
      </c>
      <c r="I2086" s="14">
        <v>16500000</v>
      </c>
      <c r="J2086" s="14">
        <v>15568454.77</v>
      </c>
      <c r="K2086" s="12">
        <v>90000275</v>
      </c>
      <c r="L2086" s="10" t="s">
        <v>101</v>
      </c>
      <c r="M2086" s="10" t="s">
        <v>102</v>
      </c>
      <c r="N2086" s="124" t="s">
        <v>532</v>
      </c>
      <c r="O2086" s="124" t="s">
        <v>532</v>
      </c>
      <c r="P2086" s="21">
        <v>28</v>
      </c>
      <c r="Q2086" s="10" t="s">
        <v>54</v>
      </c>
      <c r="R2086" s="10" t="s">
        <v>28</v>
      </c>
      <c r="S2086" s="10"/>
      <c r="T2086" s="10"/>
      <c r="U2086" s="10" t="s">
        <v>3059</v>
      </c>
      <c r="V2086" s="10" t="s">
        <v>3059</v>
      </c>
      <c r="W2086" s="50">
        <f>+J2086/$W$2</f>
        <v>2.0697589333847083E-4</v>
      </c>
    </row>
    <row r="2087" spans="1:29">
      <c r="A2087" s="10" t="s">
        <v>762</v>
      </c>
      <c r="B2087" s="10" t="s">
        <v>381</v>
      </c>
      <c r="C2087" s="124">
        <v>46372</v>
      </c>
      <c r="D2087" s="124" t="s">
        <v>492</v>
      </c>
      <c r="E2087" s="21">
        <v>0.94354271000000001</v>
      </c>
      <c r="F2087" s="10"/>
      <c r="G2087" s="14">
        <v>13200000</v>
      </c>
      <c r="H2087" s="14">
        <v>12454763.82</v>
      </c>
      <c r="I2087" s="14">
        <v>13200000</v>
      </c>
      <c r="J2087" s="14">
        <v>12454763.82</v>
      </c>
      <c r="K2087" s="12">
        <v>90000278</v>
      </c>
      <c r="L2087" s="10" t="s">
        <v>101</v>
      </c>
      <c r="M2087" s="10" t="s">
        <v>102</v>
      </c>
      <c r="N2087" s="124" t="s">
        <v>532</v>
      </c>
      <c r="O2087" s="124" t="s">
        <v>532</v>
      </c>
      <c r="P2087" s="21">
        <v>28</v>
      </c>
      <c r="Q2087" s="10" t="s">
        <v>54</v>
      </c>
      <c r="R2087" s="10" t="s">
        <v>28</v>
      </c>
      <c r="S2087" s="10"/>
      <c r="T2087" s="10"/>
      <c r="U2087" s="10" t="s">
        <v>3060</v>
      </c>
      <c r="V2087" s="10" t="s">
        <v>3060</v>
      </c>
      <c r="W2087" s="50">
        <f>+J2087/$W$2</f>
        <v>1.6558071472395493E-4</v>
      </c>
    </row>
    <row r="2088" spans="1:29">
      <c r="A2088" s="10" t="s">
        <v>762</v>
      </c>
      <c r="B2088" s="10" t="s">
        <v>381</v>
      </c>
      <c r="C2088" s="124">
        <v>46372</v>
      </c>
      <c r="D2088" s="124" t="s">
        <v>492</v>
      </c>
      <c r="E2088" s="21">
        <v>0.94354271000000001</v>
      </c>
      <c r="F2088" s="10"/>
      <c r="G2088" s="14">
        <v>16500000</v>
      </c>
      <c r="H2088" s="14">
        <v>15568454.77</v>
      </c>
      <c r="I2088" s="14">
        <v>16500000</v>
      </c>
      <c r="J2088" s="14">
        <v>15568454.77</v>
      </c>
      <c r="K2088" s="12">
        <v>90000283</v>
      </c>
      <c r="L2088" s="10" t="s">
        <v>101</v>
      </c>
      <c r="M2088" s="10" t="s">
        <v>102</v>
      </c>
      <c r="N2088" s="124" t="s">
        <v>532</v>
      </c>
      <c r="O2088" s="124" t="s">
        <v>532</v>
      </c>
      <c r="P2088" s="21">
        <v>28</v>
      </c>
      <c r="Q2088" s="10" t="s">
        <v>54</v>
      </c>
      <c r="R2088" s="10" t="s">
        <v>28</v>
      </c>
      <c r="S2088" s="10"/>
      <c r="T2088" s="10"/>
      <c r="U2088" s="10" t="s">
        <v>3061</v>
      </c>
      <c r="V2088" s="10" t="s">
        <v>3061</v>
      </c>
      <c r="W2088" s="50">
        <f>+J2088/$W$2</f>
        <v>2.0697589333847083E-4</v>
      </c>
    </row>
    <row r="2089" spans="1:29">
      <c r="A2089" s="10" t="s">
        <v>1542</v>
      </c>
      <c r="B2089" s="10" t="s">
        <v>381</v>
      </c>
      <c r="C2089" s="124">
        <v>46372</v>
      </c>
      <c r="D2089" s="124" t="s">
        <v>492</v>
      </c>
      <c r="E2089" s="21">
        <v>0.93412499999999998</v>
      </c>
      <c r="F2089" s="10"/>
      <c r="G2089" s="14">
        <v>150000000</v>
      </c>
      <c r="H2089" s="14">
        <v>140118749.88</v>
      </c>
      <c r="I2089" s="14">
        <v>150000000</v>
      </c>
      <c r="J2089" s="14">
        <v>140118749.88</v>
      </c>
      <c r="K2089" s="12">
        <v>90016070</v>
      </c>
      <c r="L2089" s="10" t="s">
        <v>101</v>
      </c>
      <c r="M2089" s="10" t="s">
        <v>102</v>
      </c>
      <c r="N2089" s="124" t="s">
        <v>322</v>
      </c>
      <c r="O2089" s="124" t="s">
        <v>322</v>
      </c>
      <c r="P2089" s="21">
        <v>33</v>
      </c>
      <c r="Q2089" s="10" t="s">
        <v>54</v>
      </c>
      <c r="R2089" s="10" t="s">
        <v>28</v>
      </c>
      <c r="S2089" s="10"/>
      <c r="T2089" s="10"/>
      <c r="U2089" s="10" t="s">
        <v>1543</v>
      </c>
      <c r="V2089" s="10" t="s">
        <v>1543</v>
      </c>
      <c r="W2089" s="50">
        <f>+J2089/$W$2</f>
        <v>1.8628183630508598E-3</v>
      </c>
    </row>
    <row r="2090" spans="1:29">
      <c r="A2090" s="10" t="s">
        <v>151</v>
      </c>
      <c r="B2090" s="10" t="s">
        <v>381</v>
      </c>
      <c r="C2090" s="124">
        <v>46372</v>
      </c>
      <c r="D2090" s="124" t="s">
        <v>492</v>
      </c>
      <c r="E2090" s="21">
        <v>0.94356174000000004</v>
      </c>
      <c r="F2090" s="10"/>
      <c r="G2090" s="14">
        <v>10000000</v>
      </c>
      <c r="H2090" s="14">
        <v>9435617.3699999992</v>
      </c>
      <c r="I2090" s="14">
        <v>10000000</v>
      </c>
      <c r="J2090" s="14">
        <v>9435617.3699999992</v>
      </c>
      <c r="K2090" s="12">
        <v>69881537</v>
      </c>
      <c r="L2090" s="10" t="s">
        <v>101</v>
      </c>
      <c r="M2090" s="10" t="s">
        <v>102</v>
      </c>
      <c r="N2090" s="124" t="s">
        <v>532</v>
      </c>
      <c r="O2090" s="124" t="s">
        <v>532</v>
      </c>
      <c r="P2090" s="21">
        <v>27.99</v>
      </c>
      <c r="Q2090" s="10" t="s">
        <v>54</v>
      </c>
      <c r="R2090" s="10" t="s">
        <v>28</v>
      </c>
      <c r="S2090" s="10"/>
      <c r="T2090" s="10"/>
      <c r="U2090" s="10" t="s">
        <v>3067</v>
      </c>
      <c r="V2090" s="10" t="s">
        <v>3067</v>
      </c>
      <c r="W2090" s="50">
        <f>+J2090/$W$2</f>
        <v>1.2544246447110578E-4</v>
      </c>
    </row>
    <row r="2091" spans="1:29">
      <c r="A2091" s="10" t="s">
        <v>272</v>
      </c>
      <c r="B2091" s="10" t="s">
        <v>381</v>
      </c>
      <c r="C2091" s="124">
        <v>46372</v>
      </c>
      <c r="D2091" s="124" t="s">
        <v>492</v>
      </c>
      <c r="E2091" s="21">
        <v>0.94164393999999996</v>
      </c>
      <c r="F2091" s="10"/>
      <c r="G2091" s="14">
        <v>4396334.17</v>
      </c>
      <c r="H2091" s="14">
        <v>4139781.43</v>
      </c>
      <c r="I2091" s="14">
        <v>4396334.17</v>
      </c>
      <c r="J2091" s="14">
        <v>4139781.43</v>
      </c>
      <c r="K2091" s="12">
        <v>90000109</v>
      </c>
      <c r="L2091" s="10" t="s">
        <v>101</v>
      </c>
      <c r="M2091" s="10" t="s">
        <v>102</v>
      </c>
      <c r="N2091" s="124" t="s">
        <v>352</v>
      </c>
      <c r="O2091" s="124" t="s">
        <v>352</v>
      </c>
      <c r="P2091" s="21">
        <v>29</v>
      </c>
      <c r="Q2091" s="10" t="s">
        <v>54</v>
      </c>
      <c r="R2091" s="10" t="s">
        <v>28</v>
      </c>
      <c r="S2091" s="10"/>
      <c r="T2091" s="10"/>
      <c r="U2091" s="10" t="s">
        <v>788</v>
      </c>
      <c r="V2091" s="10" t="s">
        <v>788</v>
      </c>
      <c r="W2091" s="50">
        <f>+J2091/$W$2</f>
        <v>5.503660911494958E-5</v>
      </c>
    </row>
    <row r="2092" spans="1:29">
      <c r="A2092" s="10" t="s">
        <v>1189</v>
      </c>
      <c r="B2092" s="10" t="s">
        <v>381</v>
      </c>
      <c r="C2092" s="124">
        <v>46372</v>
      </c>
      <c r="D2092" s="124" t="s">
        <v>492</v>
      </c>
      <c r="E2092" s="21">
        <v>0.93041107999999995</v>
      </c>
      <c r="F2092" s="10"/>
      <c r="G2092" s="14">
        <v>29431.84</v>
      </c>
      <c r="H2092" s="14">
        <v>27383.71</v>
      </c>
      <c r="I2092" s="14">
        <v>29431.84</v>
      </c>
      <c r="J2092" s="14">
        <v>27383.71</v>
      </c>
      <c r="K2092" s="12">
        <v>30099838</v>
      </c>
      <c r="L2092" s="10" t="s">
        <v>101</v>
      </c>
      <c r="M2092" s="10" t="s">
        <v>102</v>
      </c>
      <c r="N2092" s="124" t="s">
        <v>420</v>
      </c>
      <c r="O2092" s="124" t="s">
        <v>420</v>
      </c>
      <c r="P2092" s="21">
        <v>35</v>
      </c>
      <c r="Q2092" s="10" t="s">
        <v>54</v>
      </c>
      <c r="R2092" s="10" t="s">
        <v>28</v>
      </c>
      <c r="S2092" s="10"/>
      <c r="T2092" s="10"/>
      <c r="U2092" s="10" t="s">
        <v>2647</v>
      </c>
      <c r="V2092" s="10" t="s">
        <v>2647</v>
      </c>
      <c r="W2092" s="50">
        <f>+J2092/$W$2</f>
        <v>3.6405461710260772E-7</v>
      </c>
    </row>
    <row r="2093" spans="1:29">
      <c r="A2093" s="10" t="s">
        <v>2431</v>
      </c>
      <c r="B2093" s="10" t="s">
        <v>381</v>
      </c>
      <c r="C2093" s="124">
        <v>46372</v>
      </c>
      <c r="D2093" s="124" t="s">
        <v>492</v>
      </c>
      <c r="E2093" s="21">
        <v>0.95901219999999998</v>
      </c>
      <c r="F2093" s="10"/>
      <c r="G2093" s="14">
        <v>642000</v>
      </c>
      <c r="H2093" s="14">
        <v>615685.82999999996</v>
      </c>
      <c r="I2093" s="14">
        <v>642000</v>
      </c>
      <c r="J2093" s="14">
        <v>615685.82999999996</v>
      </c>
      <c r="K2093" s="12">
        <v>205</v>
      </c>
      <c r="L2093" s="10" t="s">
        <v>101</v>
      </c>
      <c r="M2093" s="10" t="s">
        <v>102</v>
      </c>
      <c r="N2093" s="124" t="s">
        <v>552</v>
      </c>
      <c r="O2093" s="124" t="s">
        <v>552</v>
      </c>
      <c r="P2093" s="21">
        <v>20</v>
      </c>
      <c r="Q2093" s="10" t="s">
        <v>54</v>
      </c>
      <c r="R2093" s="10" t="s">
        <v>28</v>
      </c>
      <c r="S2093" s="10"/>
      <c r="T2093" s="10"/>
      <c r="U2093" s="10" t="s">
        <v>2344</v>
      </c>
      <c r="V2093" s="10" t="s">
        <v>2344</v>
      </c>
      <c r="W2093" s="50">
        <f>+J2093/$W$2</f>
        <v>8.1852776375498865E-6</v>
      </c>
    </row>
    <row r="2094" spans="1:29">
      <c r="A2094" s="10" t="s">
        <v>404</v>
      </c>
      <c r="B2094" s="10" t="s">
        <v>381</v>
      </c>
      <c r="C2094" s="124">
        <v>46372</v>
      </c>
      <c r="D2094" s="124" t="s">
        <v>492</v>
      </c>
      <c r="E2094" s="21">
        <v>0.93975291000000005</v>
      </c>
      <c r="F2094" s="10"/>
      <c r="G2094" s="14">
        <v>20000000</v>
      </c>
      <c r="H2094" s="14">
        <v>18795058.23</v>
      </c>
      <c r="I2094" s="14">
        <v>20000000</v>
      </c>
      <c r="J2094" s="14">
        <v>18795058.23</v>
      </c>
      <c r="K2094" s="12">
        <v>1063</v>
      </c>
      <c r="L2094" s="10" t="s">
        <v>101</v>
      </c>
      <c r="M2094" s="10" t="s">
        <v>102</v>
      </c>
      <c r="N2094" s="124" t="s">
        <v>422</v>
      </c>
      <c r="O2094" s="124" t="s">
        <v>420</v>
      </c>
      <c r="P2094" s="21">
        <v>30</v>
      </c>
      <c r="Q2094" s="10" t="s">
        <v>54</v>
      </c>
      <c r="R2094" s="10" t="s">
        <v>28</v>
      </c>
      <c r="S2094" s="10"/>
      <c r="T2094" s="10"/>
      <c r="U2094" s="10" t="s">
        <v>2707</v>
      </c>
      <c r="V2094" s="10" t="s">
        <v>2707</v>
      </c>
      <c r="W2094" s="50">
        <f>+J2094/$W$2</f>
        <v>2.4987219508765853E-4</v>
      </c>
      <c r="AC2094" s="47"/>
    </row>
    <row r="2095" spans="1:29">
      <c r="A2095" s="10" t="s">
        <v>764</v>
      </c>
      <c r="B2095" s="10" t="s">
        <v>381</v>
      </c>
      <c r="C2095" s="124">
        <v>46372</v>
      </c>
      <c r="D2095" s="124" t="s">
        <v>492</v>
      </c>
      <c r="E2095" s="21">
        <v>0.93412503000000002</v>
      </c>
      <c r="F2095" s="10"/>
      <c r="G2095" s="14">
        <v>40000000</v>
      </c>
      <c r="H2095" s="14">
        <v>37365001.159999996</v>
      </c>
      <c r="I2095" s="14">
        <v>40000000</v>
      </c>
      <c r="J2095" s="14">
        <v>37365001.159999996</v>
      </c>
      <c r="K2095" s="12">
        <v>6</v>
      </c>
      <c r="L2095" s="10" t="s">
        <v>101</v>
      </c>
      <c r="M2095" s="10" t="s">
        <v>102</v>
      </c>
      <c r="N2095" s="124" t="s">
        <v>536</v>
      </c>
      <c r="O2095" s="124" t="s">
        <v>536</v>
      </c>
      <c r="P2095" s="21">
        <v>33</v>
      </c>
      <c r="Q2095" s="10" t="s">
        <v>54</v>
      </c>
      <c r="R2095" s="10" t="s">
        <v>28</v>
      </c>
      <c r="S2095" s="10"/>
      <c r="T2095" s="10"/>
      <c r="U2095" s="10" t="s">
        <v>2294</v>
      </c>
      <c r="V2095" s="10" t="s">
        <v>2294</v>
      </c>
      <c r="W2095" s="50">
        <f>+J2095/$W$2</f>
        <v>4.9675157932735532E-4</v>
      </c>
    </row>
    <row r="2096" spans="1:29">
      <c r="A2096" s="10" t="s">
        <v>464</v>
      </c>
      <c r="B2096" s="10" t="s">
        <v>125</v>
      </c>
      <c r="C2096" s="124">
        <v>46372</v>
      </c>
      <c r="D2096" s="124" t="s">
        <v>492</v>
      </c>
      <c r="E2096" s="21">
        <v>0.98319089000000004</v>
      </c>
      <c r="F2096" s="10" t="s">
        <v>3573</v>
      </c>
      <c r="G2096" s="14">
        <v>18230</v>
      </c>
      <c r="H2096" s="14">
        <v>17923.57</v>
      </c>
      <c r="I2096" s="14">
        <v>27781968.690000001</v>
      </c>
      <c r="J2096" s="14">
        <v>27314978.640000001</v>
      </c>
      <c r="K2096" s="12">
        <v>146447</v>
      </c>
      <c r="L2096" s="10" t="s">
        <v>101</v>
      </c>
      <c r="M2096" s="10" t="s">
        <v>102</v>
      </c>
      <c r="N2096" s="124" t="s">
        <v>301</v>
      </c>
      <c r="O2096" s="124" t="s">
        <v>301</v>
      </c>
      <c r="P2096" s="21">
        <v>8</v>
      </c>
      <c r="Q2096" s="10" t="s">
        <v>54</v>
      </c>
      <c r="R2096" s="10" t="s">
        <v>28</v>
      </c>
      <c r="S2096" s="10"/>
      <c r="T2096" s="10"/>
      <c r="U2096" s="10" t="s">
        <v>449</v>
      </c>
      <c r="V2096" s="10" t="s">
        <v>449</v>
      </c>
      <c r="W2096" s="50">
        <f>+J2096/$W$2</f>
        <v>3.6314086330709424E-4</v>
      </c>
    </row>
    <row r="2097" spans="1:29">
      <c r="A2097" s="10" t="s">
        <v>470</v>
      </c>
      <c r="B2097" s="10" t="s">
        <v>381</v>
      </c>
      <c r="C2097" s="124">
        <v>46372</v>
      </c>
      <c r="D2097" s="124" t="s">
        <v>492</v>
      </c>
      <c r="E2097" s="21">
        <v>0.93412512999999997</v>
      </c>
      <c r="F2097" s="10"/>
      <c r="G2097" s="14">
        <v>2600411.64</v>
      </c>
      <c r="H2097" s="14">
        <v>2429109.87</v>
      </c>
      <c r="I2097" s="14">
        <v>2600411.64</v>
      </c>
      <c r="J2097" s="14">
        <v>2429109.87</v>
      </c>
      <c r="K2097" s="12">
        <v>90000276</v>
      </c>
      <c r="L2097" s="10" t="s">
        <v>101</v>
      </c>
      <c r="M2097" s="10" t="s">
        <v>102</v>
      </c>
      <c r="N2097" s="124" t="s">
        <v>435</v>
      </c>
      <c r="O2097" s="124" t="s">
        <v>435</v>
      </c>
      <c r="P2097" s="21">
        <v>33</v>
      </c>
      <c r="Q2097" s="10" t="s">
        <v>54</v>
      </c>
      <c r="R2097" s="10" t="s">
        <v>28</v>
      </c>
      <c r="S2097" s="10"/>
      <c r="T2097" s="10"/>
      <c r="U2097" s="10" t="s">
        <v>1296</v>
      </c>
      <c r="V2097" s="10" t="s">
        <v>1296</v>
      </c>
      <c r="W2097" s="50">
        <f>+J2097/$W$2</f>
        <v>3.2293968334568811E-5</v>
      </c>
    </row>
    <row r="2098" spans="1:29">
      <c r="A2098" s="10" t="s">
        <v>427</v>
      </c>
      <c r="B2098" s="10" t="s">
        <v>381</v>
      </c>
      <c r="C2098" s="124">
        <v>46372</v>
      </c>
      <c r="D2098" s="124" t="s">
        <v>492</v>
      </c>
      <c r="E2098" s="21">
        <v>0.94354265000000004</v>
      </c>
      <c r="F2098" s="10"/>
      <c r="G2098" s="14">
        <v>8400000</v>
      </c>
      <c r="H2098" s="14">
        <v>7925758.25</v>
      </c>
      <c r="I2098" s="14">
        <v>8400000</v>
      </c>
      <c r="J2098" s="14">
        <v>7925758.25</v>
      </c>
      <c r="K2098" s="12">
        <v>2458</v>
      </c>
      <c r="L2098" s="10" t="s">
        <v>101</v>
      </c>
      <c r="M2098" s="10" t="s">
        <v>102</v>
      </c>
      <c r="N2098" s="124" t="s">
        <v>434</v>
      </c>
      <c r="O2098" s="124" t="s">
        <v>434</v>
      </c>
      <c r="P2098" s="21">
        <v>28</v>
      </c>
      <c r="Q2098" s="10" t="s">
        <v>54</v>
      </c>
      <c r="R2098" s="10" t="s">
        <v>28</v>
      </c>
      <c r="S2098" s="10"/>
      <c r="T2098" s="10"/>
      <c r="U2098" s="10" t="s">
        <v>2970</v>
      </c>
      <c r="V2098" s="10" t="s">
        <v>2970</v>
      </c>
      <c r="W2098" s="50">
        <f>+J2098/$W$2</f>
        <v>1.0536953849392885E-4</v>
      </c>
      <c r="AC2098" s="47"/>
    </row>
    <row r="2099" spans="1:29">
      <c r="A2099" s="10" t="s">
        <v>3511</v>
      </c>
      <c r="B2099" s="10" t="s">
        <v>381</v>
      </c>
      <c r="C2099" s="124">
        <v>46372</v>
      </c>
      <c r="D2099" s="124" t="s">
        <v>492</v>
      </c>
      <c r="E2099" s="21">
        <v>0.93412508999999999</v>
      </c>
      <c r="F2099" s="10"/>
      <c r="G2099" s="14">
        <v>60000000</v>
      </c>
      <c r="H2099" s="14">
        <v>56047505.659999996</v>
      </c>
      <c r="I2099" s="14">
        <v>60000000</v>
      </c>
      <c r="J2099" s="14">
        <v>56047505.659999996</v>
      </c>
      <c r="K2099" s="12">
        <v>20864</v>
      </c>
      <c r="L2099" s="10" t="s">
        <v>101</v>
      </c>
      <c r="M2099" s="10" t="s">
        <v>102</v>
      </c>
      <c r="N2099" s="124" t="s">
        <v>678</v>
      </c>
      <c r="O2099" s="124" t="s">
        <v>678</v>
      </c>
      <c r="P2099" s="21">
        <v>33</v>
      </c>
      <c r="Q2099" s="10" t="s">
        <v>54</v>
      </c>
      <c r="R2099" s="10" t="s">
        <v>28</v>
      </c>
      <c r="S2099" s="10"/>
      <c r="T2099" s="10"/>
      <c r="U2099" s="10" t="s">
        <v>3490</v>
      </c>
      <c r="V2099" s="10" t="s">
        <v>3490</v>
      </c>
      <c r="W2099" s="50">
        <f>+J2099/$W$2</f>
        <v>7.4512742110574267E-4</v>
      </c>
    </row>
    <row r="2100" spans="1:29">
      <c r="A2100" s="10" t="s">
        <v>3511</v>
      </c>
      <c r="B2100" s="10" t="s">
        <v>381</v>
      </c>
      <c r="C2100" s="124">
        <v>46372</v>
      </c>
      <c r="D2100" s="124" t="s">
        <v>492</v>
      </c>
      <c r="E2100" s="21">
        <v>0.93412508999999999</v>
      </c>
      <c r="F2100" s="10"/>
      <c r="G2100" s="14">
        <v>100000000</v>
      </c>
      <c r="H2100" s="14">
        <v>93412509.430000007</v>
      </c>
      <c r="I2100" s="14">
        <v>100000000</v>
      </c>
      <c r="J2100" s="14">
        <v>93412509.430000007</v>
      </c>
      <c r="K2100" s="12">
        <v>20869</v>
      </c>
      <c r="L2100" s="10" t="s">
        <v>101</v>
      </c>
      <c r="M2100" s="10" t="s">
        <v>102</v>
      </c>
      <c r="N2100" s="124" t="s">
        <v>678</v>
      </c>
      <c r="O2100" s="124" t="s">
        <v>678</v>
      </c>
      <c r="P2100" s="21">
        <v>33</v>
      </c>
      <c r="Q2100" s="10" t="s">
        <v>54</v>
      </c>
      <c r="R2100" s="10" t="s">
        <v>28</v>
      </c>
      <c r="S2100" s="10"/>
      <c r="T2100" s="10"/>
      <c r="U2100" s="10" t="s">
        <v>3491</v>
      </c>
      <c r="V2100" s="10" t="s">
        <v>3491</v>
      </c>
      <c r="W2100" s="50">
        <f>+J2100/$W$2</f>
        <v>1.2418790351319227E-3</v>
      </c>
    </row>
    <row r="2101" spans="1:29">
      <c r="A2101" s="10" t="s">
        <v>3580</v>
      </c>
      <c r="B2101" s="10" t="s">
        <v>381</v>
      </c>
      <c r="C2101" s="124">
        <v>46372</v>
      </c>
      <c r="D2101" s="124" t="s">
        <v>492</v>
      </c>
      <c r="E2101" s="21">
        <v>0.93975299999999995</v>
      </c>
      <c r="F2101" s="10"/>
      <c r="G2101" s="14">
        <v>5900000</v>
      </c>
      <c r="H2101" s="14">
        <v>5544542.6900000004</v>
      </c>
      <c r="I2101" s="14">
        <v>5900000</v>
      </c>
      <c r="J2101" s="14">
        <v>5544542.6900000004</v>
      </c>
      <c r="K2101" s="12">
        <v>1028</v>
      </c>
      <c r="L2101" s="10" t="s">
        <v>101</v>
      </c>
      <c r="M2101" s="10" t="s">
        <v>102</v>
      </c>
      <c r="N2101" s="124" t="s">
        <v>492</v>
      </c>
      <c r="O2101" s="124" t="s">
        <v>492</v>
      </c>
      <c r="P2101" s="21">
        <v>30</v>
      </c>
      <c r="Q2101" s="10" t="s">
        <v>54</v>
      </c>
      <c r="R2101" s="10" t="s">
        <v>28</v>
      </c>
      <c r="S2101" s="10"/>
      <c r="T2101" s="10"/>
      <c r="U2101" s="10" t="s">
        <v>3560</v>
      </c>
      <c r="V2101" s="10" t="s">
        <v>3560</v>
      </c>
      <c r="W2101" s="50">
        <f>+J2101/$W$2</f>
        <v>7.3712304359672693E-5</v>
      </c>
    </row>
    <row r="2102" spans="1:29">
      <c r="A2102" s="10" t="s">
        <v>477</v>
      </c>
      <c r="B2102" s="10" t="s">
        <v>381</v>
      </c>
      <c r="C2102" s="124">
        <v>46373</v>
      </c>
      <c r="D2102" s="124" t="s">
        <v>492</v>
      </c>
      <c r="E2102" s="21">
        <v>0.94286026000000001</v>
      </c>
      <c r="F2102" s="10"/>
      <c r="G2102" s="14">
        <v>32500000</v>
      </c>
      <c r="H2102" s="14">
        <v>30642958.469999999</v>
      </c>
      <c r="I2102" s="14">
        <v>32500000</v>
      </c>
      <c r="J2102" s="14">
        <v>30642958.469999999</v>
      </c>
      <c r="K2102" s="12">
        <v>1367874</v>
      </c>
      <c r="L2102" s="10" t="s">
        <v>101</v>
      </c>
      <c r="M2102" s="10" t="s">
        <v>102</v>
      </c>
      <c r="N2102" s="124" t="s">
        <v>472</v>
      </c>
      <c r="O2102" s="124" t="s">
        <v>472</v>
      </c>
      <c r="P2102" s="21">
        <v>28</v>
      </c>
      <c r="Q2102" s="10" t="s">
        <v>54</v>
      </c>
      <c r="R2102" s="10" t="s">
        <v>28</v>
      </c>
      <c r="S2102" s="10"/>
      <c r="T2102" s="10"/>
      <c r="U2102" s="10" t="s">
        <v>3170</v>
      </c>
      <c r="V2102" s="10" t="s">
        <v>3170</v>
      </c>
      <c r="W2102" s="50">
        <f>+J2102/$W$2</f>
        <v>4.0738492018382313E-4</v>
      </c>
    </row>
    <row r="2103" spans="1:29">
      <c r="A2103" s="10" t="s">
        <v>477</v>
      </c>
      <c r="B2103" s="10" t="s">
        <v>381</v>
      </c>
      <c r="C2103" s="124">
        <v>46373</v>
      </c>
      <c r="D2103" s="124" t="s">
        <v>492</v>
      </c>
      <c r="E2103" s="21">
        <v>0.94286020000000004</v>
      </c>
      <c r="F2103" s="10"/>
      <c r="G2103" s="14">
        <v>5000000</v>
      </c>
      <c r="H2103" s="14">
        <v>4714300.9800000004</v>
      </c>
      <c r="I2103" s="14">
        <v>5000000</v>
      </c>
      <c r="J2103" s="14">
        <v>4714300.9800000004</v>
      </c>
      <c r="K2103" s="12">
        <v>40797746</v>
      </c>
      <c r="L2103" s="10" t="s">
        <v>101</v>
      </c>
      <c r="M2103" s="10" t="s">
        <v>102</v>
      </c>
      <c r="N2103" s="124" t="s">
        <v>532</v>
      </c>
      <c r="O2103" s="124" t="s">
        <v>532</v>
      </c>
      <c r="P2103" s="21">
        <v>28</v>
      </c>
      <c r="Q2103" s="10" t="s">
        <v>54</v>
      </c>
      <c r="R2103" s="10" t="s">
        <v>28</v>
      </c>
      <c r="S2103" s="10"/>
      <c r="T2103" s="10"/>
      <c r="U2103" s="10" t="s">
        <v>3003</v>
      </c>
      <c r="V2103" s="10" t="s">
        <v>3003</v>
      </c>
      <c r="W2103" s="50">
        <f>+J2103/$W$2</f>
        <v>6.2674598810035184E-5</v>
      </c>
    </row>
    <row r="2104" spans="1:29">
      <c r="A2104" s="10" t="s">
        <v>477</v>
      </c>
      <c r="B2104" s="10" t="s">
        <v>381</v>
      </c>
      <c r="C2104" s="124">
        <v>46373</v>
      </c>
      <c r="D2104" s="124" t="s">
        <v>492</v>
      </c>
      <c r="E2104" s="21">
        <v>0.94286013999999996</v>
      </c>
      <c r="F2104" s="10"/>
      <c r="G2104" s="14">
        <v>30000000</v>
      </c>
      <c r="H2104" s="14">
        <v>28285804.07</v>
      </c>
      <c r="I2104" s="14">
        <v>30000000</v>
      </c>
      <c r="J2104" s="14">
        <v>28285804.07</v>
      </c>
      <c r="K2104" s="12">
        <v>29600864</v>
      </c>
      <c r="L2104" s="10" t="s">
        <v>101</v>
      </c>
      <c r="M2104" s="10" t="s">
        <v>102</v>
      </c>
      <c r="N2104" s="124" t="s">
        <v>395</v>
      </c>
      <c r="O2104" s="124" t="s">
        <v>395</v>
      </c>
      <c r="P2104" s="21">
        <v>28</v>
      </c>
      <c r="Q2104" s="10" t="s">
        <v>54</v>
      </c>
      <c r="R2104" s="10" t="s">
        <v>28</v>
      </c>
      <c r="S2104" s="10"/>
      <c r="T2104" s="10"/>
      <c r="U2104" s="10" t="s">
        <v>820</v>
      </c>
      <c r="V2104" s="10" t="s">
        <v>820</v>
      </c>
      <c r="W2104" s="50">
        <f>+J2104/$W$2</f>
        <v>3.7604756879704149E-4</v>
      </c>
    </row>
    <row r="2105" spans="1:29">
      <c r="A2105" s="10" t="s">
        <v>353</v>
      </c>
      <c r="B2105" s="10" t="s">
        <v>381</v>
      </c>
      <c r="C2105" s="124">
        <v>46373</v>
      </c>
      <c r="D2105" s="124" t="s">
        <v>492</v>
      </c>
      <c r="E2105" s="21">
        <v>0.92771464999999997</v>
      </c>
      <c r="F2105" s="10"/>
      <c r="G2105" s="14">
        <v>2954385</v>
      </c>
      <c r="H2105" s="14">
        <v>2740826.24</v>
      </c>
      <c r="I2105" s="14">
        <v>2954385</v>
      </c>
      <c r="J2105" s="14">
        <v>2740826.24</v>
      </c>
      <c r="K2105" s="12">
        <v>3330</v>
      </c>
      <c r="L2105" s="10" t="s">
        <v>101</v>
      </c>
      <c r="M2105" s="10" t="s">
        <v>102</v>
      </c>
      <c r="N2105" s="124" t="s">
        <v>348</v>
      </c>
      <c r="O2105" s="124" t="s">
        <v>348</v>
      </c>
      <c r="P2105" s="21">
        <v>36</v>
      </c>
      <c r="Q2105" s="10" t="s">
        <v>54</v>
      </c>
      <c r="R2105" s="10" t="s">
        <v>28</v>
      </c>
      <c r="S2105" s="10"/>
      <c r="T2105" s="10"/>
      <c r="U2105" s="10" t="s">
        <v>1912</v>
      </c>
      <c r="V2105" s="10" t="s">
        <v>1912</v>
      </c>
      <c r="W2105" s="50">
        <f>+J2105/$W$2</f>
        <v>3.6438103067406869E-5</v>
      </c>
    </row>
    <row r="2106" spans="1:29">
      <c r="A2106" s="10" t="s">
        <v>353</v>
      </c>
      <c r="B2106" s="10" t="s">
        <v>381</v>
      </c>
      <c r="C2106" s="124">
        <v>46373</v>
      </c>
      <c r="D2106" s="124" t="s">
        <v>492</v>
      </c>
      <c r="E2106" s="21">
        <v>0.92771459000000001</v>
      </c>
      <c r="F2106" s="10"/>
      <c r="G2106" s="14">
        <v>3105640.28</v>
      </c>
      <c r="H2106" s="14">
        <v>2881147.81</v>
      </c>
      <c r="I2106" s="14">
        <v>3105640.28</v>
      </c>
      <c r="J2106" s="14">
        <v>2881147.81</v>
      </c>
      <c r="K2106" s="12">
        <v>3396</v>
      </c>
      <c r="L2106" s="10" t="s">
        <v>101</v>
      </c>
      <c r="M2106" s="10" t="s">
        <v>102</v>
      </c>
      <c r="N2106" s="124" t="s">
        <v>551</v>
      </c>
      <c r="O2106" s="124" t="s">
        <v>551</v>
      </c>
      <c r="P2106" s="21">
        <v>36</v>
      </c>
      <c r="Q2106" s="10" t="s">
        <v>54</v>
      </c>
      <c r="R2106" s="10" t="s">
        <v>28</v>
      </c>
      <c r="S2106" s="10"/>
      <c r="T2106" s="10"/>
      <c r="U2106" s="10" t="s">
        <v>2231</v>
      </c>
      <c r="V2106" s="10" t="s">
        <v>2231</v>
      </c>
      <c r="W2106" s="50">
        <f>+J2106/$W$2</f>
        <v>3.8303617836500855E-5</v>
      </c>
    </row>
    <row r="2107" spans="1:29">
      <c r="A2107" s="10" t="s">
        <v>353</v>
      </c>
      <c r="B2107" s="10" t="s">
        <v>381</v>
      </c>
      <c r="C2107" s="124">
        <v>46373</v>
      </c>
      <c r="D2107" s="124" t="s">
        <v>492</v>
      </c>
      <c r="E2107" s="21">
        <v>0.92771462999999998</v>
      </c>
      <c r="F2107" s="10"/>
      <c r="G2107" s="14">
        <v>2874176.47</v>
      </c>
      <c r="H2107" s="14">
        <v>2666415.5499999998</v>
      </c>
      <c r="I2107" s="14">
        <v>2874176.47</v>
      </c>
      <c r="J2107" s="14">
        <v>2666415.5499999998</v>
      </c>
      <c r="K2107" s="12">
        <v>3444</v>
      </c>
      <c r="L2107" s="10" t="s">
        <v>101</v>
      </c>
      <c r="M2107" s="10" t="s">
        <v>102</v>
      </c>
      <c r="N2107" s="124" t="s">
        <v>552</v>
      </c>
      <c r="O2107" s="124" t="s">
        <v>552</v>
      </c>
      <c r="P2107" s="21">
        <v>36</v>
      </c>
      <c r="Q2107" s="10" t="s">
        <v>54</v>
      </c>
      <c r="R2107" s="10" t="s">
        <v>28</v>
      </c>
      <c r="S2107" s="10"/>
      <c r="T2107" s="10"/>
      <c r="U2107" s="10" t="s">
        <v>2361</v>
      </c>
      <c r="V2107" s="10" t="s">
        <v>2361</v>
      </c>
      <c r="W2107" s="50">
        <f>+J2107/$W$2</f>
        <v>3.5448845028365007E-5</v>
      </c>
    </row>
    <row r="2108" spans="1:29">
      <c r="A2108" s="10" t="s">
        <v>2421</v>
      </c>
      <c r="B2108" s="10" t="s">
        <v>381</v>
      </c>
      <c r="C2108" s="124">
        <v>46373</v>
      </c>
      <c r="D2108" s="124" t="s">
        <v>492</v>
      </c>
      <c r="E2108" s="21">
        <v>0.93522609000000001</v>
      </c>
      <c r="F2108" s="10"/>
      <c r="G2108" s="14">
        <v>108911054</v>
      </c>
      <c r="H2108" s="14">
        <v>101856458.98</v>
      </c>
      <c r="I2108" s="14">
        <v>108911054</v>
      </c>
      <c r="J2108" s="14">
        <v>101856458.98</v>
      </c>
      <c r="K2108" s="12">
        <v>90000135</v>
      </c>
      <c r="L2108" s="10" t="s">
        <v>101</v>
      </c>
      <c r="M2108" s="10" t="s">
        <v>102</v>
      </c>
      <c r="N2108" s="124" t="s">
        <v>552</v>
      </c>
      <c r="O2108" s="124" t="s">
        <v>552</v>
      </c>
      <c r="P2108" s="21">
        <v>32</v>
      </c>
      <c r="Q2108" s="10" t="s">
        <v>54</v>
      </c>
      <c r="R2108" s="10" t="s">
        <v>28</v>
      </c>
      <c r="S2108" s="10"/>
      <c r="T2108" s="10"/>
      <c r="U2108" s="10" t="s">
        <v>2375</v>
      </c>
      <c r="V2108" s="10" t="s">
        <v>2375</v>
      </c>
      <c r="W2108" s="50">
        <f>+J2108/$W$2</f>
        <v>1.3541377035248829E-3</v>
      </c>
    </row>
    <row r="2109" spans="1:29">
      <c r="A2109" s="10" t="s">
        <v>2601</v>
      </c>
      <c r="B2109" s="10" t="s">
        <v>381</v>
      </c>
      <c r="C2109" s="124">
        <v>46373</v>
      </c>
      <c r="D2109" s="124" t="s">
        <v>492</v>
      </c>
      <c r="E2109" s="21">
        <v>0.93333686999999999</v>
      </c>
      <c r="F2109" s="10"/>
      <c r="G2109" s="14">
        <v>5559577.1900000004</v>
      </c>
      <c r="H2109" s="14">
        <v>5188958.37</v>
      </c>
      <c r="I2109" s="14">
        <v>5559577.1900000004</v>
      </c>
      <c r="J2109" s="14">
        <v>5188958.37</v>
      </c>
      <c r="K2109" s="12">
        <v>14101160</v>
      </c>
      <c r="L2109" s="10" t="s">
        <v>101</v>
      </c>
      <c r="M2109" s="10" t="s">
        <v>102</v>
      </c>
      <c r="N2109" s="124" t="s">
        <v>423</v>
      </c>
      <c r="O2109" s="124" t="s">
        <v>423</v>
      </c>
      <c r="P2109" s="21">
        <v>33</v>
      </c>
      <c r="Q2109" s="10" t="s">
        <v>54</v>
      </c>
      <c r="R2109" s="10" t="s">
        <v>28</v>
      </c>
      <c r="S2109" s="10"/>
      <c r="T2109" s="10"/>
      <c r="U2109" s="10" t="s">
        <v>2495</v>
      </c>
      <c r="V2109" s="10" t="s">
        <v>2495</v>
      </c>
      <c r="W2109" s="50">
        <f>+J2109/$W$2</f>
        <v>6.8984964146630293E-5</v>
      </c>
    </row>
    <row r="2110" spans="1:29">
      <c r="A2110" s="10" t="s">
        <v>2622</v>
      </c>
      <c r="B2110" s="10" t="s">
        <v>381</v>
      </c>
      <c r="C2110" s="124">
        <v>46373</v>
      </c>
      <c r="D2110" s="124" t="s">
        <v>492</v>
      </c>
      <c r="E2110" s="21">
        <v>0.93522612000000005</v>
      </c>
      <c r="F2110" s="10"/>
      <c r="G2110" s="14">
        <v>5000000</v>
      </c>
      <c r="H2110" s="14">
        <v>4676130.58</v>
      </c>
      <c r="I2110" s="14">
        <v>5000000</v>
      </c>
      <c r="J2110" s="14">
        <v>4676130.58</v>
      </c>
      <c r="K2110" s="12">
        <v>1269</v>
      </c>
      <c r="L2110" s="10" t="s">
        <v>101</v>
      </c>
      <c r="M2110" s="10" t="s">
        <v>102</v>
      </c>
      <c r="N2110" s="124" t="s">
        <v>423</v>
      </c>
      <c r="O2110" s="124" t="s">
        <v>423</v>
      </c>
      <c r="P2110" s="21">
        <v>32</v>
      </c>
      <c r="Q2110" s="10" t="s">
        <v>54</v>
      </c>
      <c r="R2110" s="10" t="s">
        <v>28</v>
      </c>
      <c r="S2110" s="10"/>
      <c r="T2110" s="10"/>
      <c r="U2110" s="10" t="s">
        <v>2586</v>
      </c>
      <c r="V2110" s="10" t="s">
        <v>2586</v>
      </c>
      <c r="W2110" s="50">
        <f>+J2110/$W$2</f>
        <v>6.2167139800403055E-5</v>
      </c>
    </row>
    <row r="2111" spans="1:29">
      <c r="A2111" s="10" t="s">
        <v>2624</v>
      </c>
      <c r="B2111" s="10" t="s">
        <v>381</v>
      </c>
      <c r="C2111" s="124">
        <v>46373</v>
      </c>
      <c r="D2111" s="124" t="s">
        <v>492</v>
      </c>
      <c r="E2111" s="21">
        <v>0.93333686999999999</v>
      </c>
      <c r="F2111" s="10"/>
      <c r="G2111" s="14">
        <v>375000000</v>
      </c>
      <c r="H2111" s="14">
        <v>350001325.91000003</v>
      </c>
      <c r="I2111" s="14">
        <v>375000000</v>
      </c>
      <c r="J2111" s="14">
        <v>350001325.91000003</v>
      </c>
      <c r="K2111" s="12">
        <v>91648904</v>
      </c>
      <c r="L2111" s="10" t="s">
        <v>101</v>
      </c>
      <c r="M2111" s="10" t="s">
        <v>102</v>
      </c>
      <c r="N2111" s="124" t="s">
        <v>423</v>
      </c>
      <c r="O2111" s="124" t="s">
        <v>423</v>
      </c>
      <c r="P2111" s="21">
        <v>33</v>
      </c>
      <c r="Q2111" s="10" t="s">
        <v>54</v>
      </c>
      <c r="R2111" s="10" t="s">
        <v>28</v>
      </c>
      <c r="S2111" s="10"/>
      <c r="T2111" s="10"/>
      <c r="U2111" s="10" t="s">
        <v>2595</v>
      </c>
      <c r="V2111" s="10" t="s">
        <v>2595</v>
      </c>
      <c r="W2111" s="50">
        <f>+J2111/$W$2</f>
        <v>4.6531167138992519E-3</v>
      </c>
    </row>
    <row r="2112" spans="1:29">
      <c r="A2112" s="10" t="s">
        <v>2699</v>
      </c>
      <c r="B2112" s="10" t="s">
        <v>381</v>
      </c>
      <c r="C2112" s="124">
        <v>46373</v>
      </c>
      <c r="D2112" s="124" t="s">
        <v>492</v>
      </c>
      <c r="E2112" s="21">
        <v>0.93522618000000002</v>
      </c>
      <c r="F2112" s="10"/>
      <c r="G2112" s="14">
        <v>1027513.96</v>
      </c>
      <c r="H2112" s="14">
        <v>960957.95</v>
      </c>
      <c r="I2112" s="14">
        <v>1027513.96</v>
      </c>
      <c r="J2112" s="14">
        <v>960957.95</v>
      </c>
      <c r="K2112" s="12">
        <v>3585516</v>
      </c>
      <c r="L2112" s="10" t="s">
        <v>101</v>
      </c>
      <c r="M2112" s="10" t="s">
        <v>102</v>
      </c>
      <c r="N2112" s="124" t="s">
        <v>420</v>
      </c>
      <c r="O2112" s="124" t="s">
        <v>420</v>
      </c>
      <c r="P2112" s="21">
        <v>32</v>
      </c>
      <c r="Q2112" s="10" t="s">
        <v>54</v>
      </c>
      <c r="R2112" s="10" t="s">
        <v>28</v>
      </c>
      <c r="S2112" s="10"/>
      <c r="T2112" s="10"/>
      <c r="U2112" s="10" t="s">
        <v>2657</v>
      </c>
      <c r="V2112" s="10" t="s">
        <v>2657</v>
      </c>
      <c r="W2112" s="50">
        <f>+J2112/$W$2</f>
        <v>1.2775521598021482E-5</v>
      </c>
    </row>
    <row r="2113" spans="1:29">
      <c r="A2113" s="10" t="s">
        <v>494</v>
      </c>
      <c r="B2113" s="10" t="s">
        <v>381</v>
      </c>
      <c r="C2113" s="124">
        <v>46373</v>
      </c>
      <c r="D2113" s="124" t="s">
        <v>492</v>
      </c>
      <c r="E2113" s="21">
        <v>0.94672409000000002</v>
      </c>
      <c r="F2113" s="10"/>
      <c r="G2113" s="14">
        <v>15000000</v>
      </c>
      <c r="H2113" s="14">
        <v>14200861.279999999</v>
      </c>
      <c r="I2113" s="14">
        <v>15000000</v>
      </c>
      <c r="J2113" s="14">
        <v>14200861.279999999</v>
      </c>
      <c r="K2113" s="12">
        <v>20411019</v>
      </c>
      <c r="L2113" s="10" t="s">
        <v>101</v>
      </c>
      <c r="M2113" s="10" t="s">
        <v>102</v>
      </c>
      <c r="N2113" s="124" t="s">
        <v>319</v>
      </c>
      <c r="O2113" s="124" t="s">
        <v>319</v>
      </c>
      <c r="P2113" s="21">
        <v>26</v>
      </c>
      <c r="Q2113" s="10" t="s">
        <v>54</v>
      </c>
      <c r="R2113" s="10" t="s">
        <v>28</v>
      </c>
      <c r="S2113" s="10"/>
      <c r="T2113" s="10"/>
      <c r="U2113" s="10" t="s">
        <v>994</v>
      </c>
      <c r="V2113" s="10" t="s">
        <v>994</v>
      </c>
      <c r="W2113" s="50">
        <f>+J2113/$W$2</f>
        <v>1.8879432756984527E-4</v>
      </c>
    </row>
    <row r="2114" spans="1:29">
      <c r="A2114" s="10" t="s">
        <v>494</v>
      </c>
      <c r="B2114" s="10" t="s">
        <v>381</v>
      </c>
      <c r="C2114" s="124">
        <v>46373</v>
      </c>
      <c r="D2114" s="124" t="s">
        <v>492</v>
      </c>
      <c r="E2114" s="21">
        <v>0.94478819000000003</v>
      </c>
      <c r="F2114" s="10"/>
      <c r="G2114" s="14">
        <v>26231345.640000001</v>
      </c>
      <c r="H2114" s="14">
        <v>24783065.68</v>
      </c>
      <c r="I2114" s="14">
        <v>26231345.640000001</v>
      </c>
      <c r="J2114" s="14">
        <v>24783065.68</v>
      </c>
      <c r="K2114" s="12">
        <v>14072119</v>
      </c>
      <c r="L2114" s="10" t="s">
        <v>101</v>
      </c>
      <c r="M2114" s="10" t="s">
        <v>102</v>
      </c>
      <c r="N2114" s="124" t="s">
        <v>531</v>
      </c>
      <c r="O2114" s="124" t="s">
        <v>531</v>
      </c>
      <c r="P2114" s="21">
        <v>27</v>
      </c>
      <c r="Q2114" s="10" t="s">
        <v>54</v>
      </c>
      <c r="R2114" s="10" t="s">
        <v>28</v>
      </c>
      <c r="S2114" s="10"/>
      <c r="T2114" s="10"/>
      <c r="U2114" s="10" t="s">
        <v>3391</v>
      </c>
      <c r="V2114" s="10" t="s">
        <v>3391</v>
      </c>
      <c r="W2114" s="50">
        <f>+J2114/$W$2</f>
        <v>3.2948017221775931E-4</v>
      </c>
      <c r="AC2114" s="47"/>
    </row>
    <row r="2115" spans="1:29">
      <c r="A2115" s="10" t="s">
        <v>494</v>
      </c>
      <c r="B2115" s="10" t="s">
        <v>381</v>
      </c>
      <c r="C2115" s="124">
        <v>46373</v>
      </c>
      <c r="D2115" s="124" t="s">
        <v>492</v>
      </c>
      <c r="E2115" s="21">
        <v>0.94478825</v>
      </c>
      <c r="F2115" s="10"/>
      <c r="G2115" s="14">
        <v>25000000</v>
      </c>
      <c r="H2115" s="14">
        <v>23619706.359999999</v>
      </c>
      <c r="I2115" s="14">
        <v>25000000</v>
      </c>
      <c r="J2115" s="14">
        <v>23619706.359999999</v>
      </c>
      <c r="K2115" s="12">
        <v>9508925</v>
      </c>
      <c r="L2115" s="10" t="s">
        <v>101</v>
      </c>
      <c r="M2115" s="10" t="s">
        <v>102</v>
      </c>
      <c r="N2115" s="124" t="s">
        <v>530</v>
      </c>
      <c r="O2115" s="124" t="s">
        <v>530</v>
      </c>
      <c r="P2115" s="21">
        <v>27</v>
      </c>
      <c r="Q2115" s="10" t="s">
        <v>54</v>
      </c>
      <c r="R2115" s="10" t="s">
        <v>28</v>
      </c>
      <c r="S2115" s="10"/>
      <c r="T2115" s="10"/>
      <c r="U2115" s="10" t="s">
        <v>852</v>
      </c>
      <c r="V2115" s="10" t="s">
        <v>852</v>
      </c>
      <c r="W2115" s="50">
        <f>+J2115/$W$2</f>
        <v>3.1401381167730114E-4</v>
      </c>
    </row>
    <row r="2116" spans="1:29">
      <c r="A2116" s="10" t="s">
        <v>273</v>
      </c>
      <c r="B2116" s="10" t="s">
        <v>381</v>
      </c>
      <c r="C2116" s="124">
        <v>46373</v>
      </c>
      <c r="D2116" s="124" t="s">
        <v>492</v>
      </c>
      <c r="E2116" s="21">
        <v>0.94672418999999997</v>
      </c>
      <c r="F2116" s="10"/>
      <c r="G2116" s="14">
        <v>5000000</v>
      </c>
      <c r="H2116" s="14">
        <v>4733620.93</v>
      </c>
      <c r="I2116" s="14">
        <v>5000000</v>
      </c>
      <c r="J2116" s="14">
        <v>4733620.93</v>
      </c>
      <c r="K2116" s="12">
        <v>491509</v>
      </c>
      <c r="L2116" s="10" t="s">
        <v>101</v>
      </c>
      <c r="M2116" s="10" t="s">
        <v>102</v>
      </c>
      <c r="N2116" s="124" t="s">
        <v>361</v>
      </c>
      <c r="O2116" s="124" t="s">
        <v>361</v>
      </c>
      <c r="P2116" s="21">
        <v>26</v>
      </c>
      <c r="Q2116" s="10" t="s">
        <v>54</v>
      </c>
      <c r="R2116" s="10" t="s">
        <v>28</v>
      </c>
      <c r="S2116" s="10"/>
      <c r="T2116" s="10"/>
      <c r="U2116" s="10" t="s">
        <v>1023</v>
      </c>
      <c r="V2116" s="10" t="s">
        <v>1023</v>
      </c>
      <c r="W2116" s="50">
        <f>+J2116/$W$2</f>
        <v>6.2931449214881396E-5</v>
      </c>
    </row>
    <row r="2117" spans="1:29">
      <c r="A2117" s="10" t="s">
        <v>219</v>
      </c>
      <c r="B2117" s="10" t="s">
        <v>381</v>
      </c>
      <c r="C2117" s="124">
        <v>46373</v>
      </c>
      <c r="D2117" s="124" t="s">
        <v>492</v>
      </c>
      <c r="E2117" s="21">
        <v>0.93522618000000002</v>
      </c>
      <c r="F2117" s="10"/>
      <c r="G2117" s="14">
        <v>50000000</v>
      </c>
      <c r="H2117" s="14">
        <v>46761309.140000001</v>
      </c>
      <c r="I2117" s="14">
        <v>50000000</v>
      </c>
      <c r="J2117" s="14">
        <v>46761309.140000001</v>
      </c>
      <c r="K2117" s="12">
        <v>5356</v>
      </c>
      <c r="L2117" s="10" t="s">
        <v>101</v>
      </c>
      <c r="M2117" s="10" t="s">
        <v>102</v>
      </c>
      <c r="N2117" s="124" t="s">
        <v>420</v>
      </c>
      <c r="O2117" s="124" t="s">
        <v>420</v>
      </c>
      <c r="P2117" s="21">
        <v>32</v>
      </c>
      <c r="Q2117" s="10" t="s">
        <v>54</v>
      </c>
      <c r="R2117" s="10" t="s">
        <v>28</v>
      </c>
      <c r="S2117" s="10"/>
      <c r="T2117" s="10"/>
      <c r="U2117" s="10" t="s">
        <v>2671</v>
      </c>
      <c r="V2117" s="10" t="s">
        <v>2671</v>
      </c>
      <c r="W2117" s="50">
        <f>+J2117/$W$2</f>
        <v>6.2167144240789034E-4</v>
      </c>
    </row>
    <row r="2118" spans="1:29">
      <c r="A2118" s="10" t="s">
        <v>219</v>
      </c>
      <c r="B2118" s="10" t="s">
        <v>381</v>
      </c>
      <c r="C2118" s="124">
        <v>46373</v>
      </c>
      <c r="D2118" s="124" t="s">
        <v>492</v>
      </c>
      <c r="E2118" s="21">
        <v>0.93522609000000001</v>
      </c>
      <c r="F2118" s="10"/>
      <c r="G2118" s="14">
        <v>50000000</v>
      </c>
      <c r="H2118" s="14">
        <v>46761304.600000001</v>
      </c>
      <c r="I2118" s="14">
        <v>50000000</v>
      </c>
      <c r="J2118" s="14">
        <v>46761304.600000001</v>
      </c>
      <c r="K2118" s="12">
        <v>5407</v>
      </c>
      <c r="L2118" s="10" t="s">
        <v>101</v>
      </c>
      <c r="M2118" s="10" t="s">
        <v>102</v>
      </c>
      <c r="N2118" s="124" t="s">
        <v>492</v>
      </c>
      <c r="O2118" s="124" t="s">
        <v>492</v>
      </c>
      <c r="P2118" s="21">
        <v>32</v>
      </c>
      <c r="Q2118" s="10" t="s">
        <v>54</v>
      </c>
      <c r="R2118" s="10" t="s">
        <v>28</v>
      </c>
      <c r="S2118" s="10"/>
      <c r="T2118" s="10"/>
      <c r="U2118" s="10" t="s">
        <v>3546</v>
      </c>
      <c r="V2118" s="10" t="s">
        <v>3546</v>
      </c>
      <c r="W2118" s="50">
        <f>+J2118/$W$2</f>
        <v>6.2167138205054795E-4</v>
      </c>
    </row>
    <row r="2119" spans="1:29">
      <c r="A2119" s="10" t="s">
        <v>135</v>
      </c>
      <c r="B2119" s="10" t="s">
        <v>381</v>
      </c>
      <c r="C2119" s="124">
        <v>46373</v>
      </c>
      <c r="D2119" s="124" t="s">
        <v>492</v>
      </c>
      <c r="E2119" s="21">
        <v>0.92958116000000002</v>
      </c>
      <c r="F2119" s="10"/>
      <c r="G2119" s="14">
        <v>115000000</v>
      </c>
      <c r="H2119" s="14">
        <v>106901833.01000001</v>
      </c>
      <c r="I2119" s="14">
        <v>115000000</v>
      </c>
      <c r="J2119" s="14">
        <v>106901833.01000001</v>
      </c>
      <c r="K2119" s="12">
        <v>1196</v>
      </c>
      <c r="L2119" s="10" t="s">
        <v>101</v>
      </c>
      <c r="M2119" s="10" t="s">
        <v>102</v>
      </c>
      <c r="N2119" s="124" t="s">
        <v>552</v>
      </c>
      <c r="O2119" s="124" t="s">
        <v>552</v>
      </c>
      <c r="P2119" s="21">
        <v>35</v>
      </c>
      <c r="Q2119" s="10" t="s">
        <v>54</v>
      </c>
      <c r="R2119" s="10" t="s">
        <v>28</v>
      </c>
      <c r="S2119" s="10"/>
      <c r="T2119" s="10"/>
      <c r="U2119" s="10" t="s">
        <v>2347</v>
      </c>
      <c r="V2119" s="10" t="s">
        <v>2347</v>
      </c>
      <c r="W2119" s="50">
        <f>+J2119/$W$2</f>
        <v>1.4212137757821151E-3</v>
      </c>
    </row>
    <row r="2120" spans="1:29">
      <c r="A2120" s="10" t="s">
        <v>151</v>
      </c>
      <c r="B2120" s="10" t="s">
        <v>381</v>
      </c>
      <c r="C2120" s="124">
        <v>46373</v>
      </c>
      <c r="D2120" s="124" t="s">
        <v>492</v>
      </c>
      <c r="E2120" s="21">
        <v>0.94286017</v>
      </c>
      <c r="F2120" s="10"/>
      <c r="G2120" s="14">
        <v>40000000</v>
      </c>
      <c r="H2120" s="14">
        <v>37714406.799999997</v>
      </c>
      <c r="I2120" s="14">
        <v>40000000</v>
      </c>
      <c r="J2120" s="14">
        <v>37714406.799999997</v>
      </c>
      <c r="K2120" s="12">
        <v>54029681</v>
      </c>
      <c r="L2120" s="10" t="s">
        <v>101</v>
      </c>
      <c r="M2120" s="10" t="s">
        <v>102</v>
      </c>
      <c r="N2120" s="124" t="s">
        <v>486</v>
      </c>
      <c r="O2120" s="124" t="s">
        <v>486</v>
      </c>
      <c r="P2120" s="21">
        <v>28</v>
      </c>
      <c r="Q2120" s="10" t="s">
        <v>54</v>
      </c>
      <c r="R2120" s="10" t="s">
        <v>28</v>
      </c>
      <c r="S2120" s="10"/>
      <c r="T2120" s="10"/>
      <c r="U2120" s="10" t="s">
        <v>2810</v>
      </c>
      <c r="V2120" s="10" t="s">
        <v>2810</v>
      </c>
      <c r="W2120" s="50">
        <f>+J2120/$W$2</f>
        <v>5.0139677665392984E-4</v>
      </c>
    </row>
    <row r="2121" spans="1:29">
      <c r="A2121" s="10" t="s">
        <v>1189</v>
      </c>
      <c r="B2121" s="10" t="s">
        <v>381</v>
      </c>
      <c r="C2121" s="124">
        <v>46373</v>
      </c>
      <c r="D2121" s="124" t="s">
        <v>492</v>
      </c>
      <c r="E2121" s="21">
        <v>0.93333681000000002</v>
      </c>
      <c r="F2121" s="10"/>
      <c r="G2121" s="14">
        <v>165489.23000000001</v>
      </c>
      <c r="H2121" s="14">
        <v>154457.19</v>
      </c>
      <c r="I2121" s="14">
        <v>165489.23000000001</v>
      </c>
      <c r="J2121" s="14">
        <v>154457.19</v>
      </c>
      <c r="K2121" s="12">
        <v>30101249</v>
      </c>
      <c r="L2121" s="10" t="s">
        <v>101</v>
      </c>
      <c r="M2121" s="10" t="s">
        <v>102</v>
      </c>
      <c r="N2121" s="124" t="s">
        <v>422</v>
      </c>
      <c r="O2121" s="124" t="s">
        <v>422</v>
      </c>
      <c r="P2121" s="21">
        <v>33</v>
      </c>
      <c r="Q2121" s="10" t="s">
        <v>54</v>
      </c>
      <c r="R2121" s="10" t="s">
        <v>28</v>
      </c>
      <c r="S2121" s="10"/>
      <c r="T2121" s="10"/>
      <c r="U2121" s="10" t="s">
        <v>2767</v>
      </c>
      <c r="V2121" s="10" t="s">
        <v>2767</v>
      </c>
      <c r="W2121" s="50">
        <f>+J2121/$W$2</f>
        <v>2.0534417419770633E-6</v>
      </c>
    </row>
    <row r="2122" spans="1:29">
      <c r="A2122" s="10" t="s">
        <v>385</v>
      </c>
      <c r="B2122" s="10" t="s">
        <v>381</v>
      </c>
      <c r="C2122" s="124">
        <v>46373</v>
      </c>
      <c r="D2122" s="124" t="s">
        <v>492</v>
      </c>
      <c r="E2122" s="21">
        <v>0.93333692999999995</v>
      </c>
      <c r="F2122" s="10"/>
      <c r="G2122" s="14">
        <v>25000000</v>
      </c>
      <c r="H2122" s="14">
        <v>23333423.329999998</v>
      </c>
      <c r="I2122" s="14">
        <v>25000000</v>
      </c>
      <c r="J2122" s="14">
        <v>23333423.329999998</v>
      </c>
      <c r="K2122" s="12">
        <v>4296</v>
      </c>
      <c r="L2122" s="10" t="s">
        <v>101</v>
      </c>
      <c r="M2122" s="10" t="s">
        <v>102</v>
      </c>
      <c r="N2122" s="124" t="s">
        <v>472</v>
      </c>
      <c r="O2122" s="124" t="s">
        <v>472</v>
      </c>
      <c r="P2122" s="21">
        <v>33</v>
      </c>
      <c r="Q2122" s="10" t="s">
        <v>54</v>
      </c>
      <c r="R2122" s="10" t="s">
        <v>28</v>
      </c>
      <c r="S2122" s="10"/>
      <c r="T2122" s="10"/>
      <c r="U2122" s="10" t="s">
        <v>3219</v>
      </c>
      <c r="V2122" s="10" t="s">
        <v>3219</v>
      </c>
      <c r="W2122" s="50">
        <f>+J2122/$W$2</f>
        <v>3.1020780223337902E-4</v>
      </c>
    </row>
    <row r="2123" spans="1:29">
      <c r="A2123" s="10" t="s">
        <v>404</v>
      </c>
      <c r="B2123" s="10" t="s">
        <v>381</v>
      </c>
      <c r="C2123" s="124">
        <v>46373</v>
      </c>
      <c r="D2123" s="124" t="s">
        <v>492</v>
      </c>
      <c r="E2123" s="21">
        <v>0.94286017</v>
      </c>
      <c r="F2123" s="10"/>
      <c r="G2123" s="14">
        <v>13500000</v>
      </c>
      <c r="H2123" s="14">
        <v>12728612.300000001</v>
      </c>
      <c r="I2123" s="14">
        <v>13500000</v>
      </c>
      <c r="J2123" s="14">
        <v>12728612.300000001</v>
      </c>
      <c r="K2123" s="12">
        <v>164</v>
      </c>
      <c r="L2123" s="10" t="s">
        <v>101</v>
      </c>
      <c r="M2123" s="10" t="s">
        <v>102</v>
      </c>
      <c r="N2123" s="124" t="s">
        <v>486</v>
      </c>
      <c r="O2123" s="124" t="s">
        <v>486</v>
      </c>
      <c r="P2123" s="21">
        <v>28</v>
      </c>
      <c r="Q2123" s="10" t="s">
        <v>54</v>
      </c>
      <c r="R2123" s="10" t="s">
        <v>28</v>
      </c>
      <c r="S2123" s="10"/>
      <c r="T2123" s="10"/>
      <c r="U2123" s="10" t="s">
        <v>2829</v>
      </c>
      <c r="V2123" s="10" t="s">
        <v>2829</v>
      </c>
      <c r="W2123" s="50">
        <f>+J2123/$W$2</f>
        <v>1.6922141218717417E-4</v>
      </c>
    </row>
    <row r="2124" spans="1:29">
      <c r="A2124" s="10" t="s">
        <v>392</v>
      </c>
      <c r="B2124" s="10" t="s">
        <v>381</v>
      </c>
      <c r="C2124" s="124">
        <v>46373</v>
      </c>
      <c r="D2124" s="124" t="s">
        <v>492</v>
      </c>
      <c r="E2124" s="21">
        <v>0.93333681000000002</v>
      </c>
      <c r="F2124" s="10"/>
      <c r="G2124" s="14">
        <v>2000000</v>
      </c>
      <c r="H2124" s="14">
        <v>1866673.63</v>
      </c>
      <c r="I2124" s="14">
        <v>2000000</v>
      </c>
      <c r="J2124" s="14">
        <v>1866673.63</v>
      </c>
      <c r="K2124" s="12">
        <v>43</v>
      </c>
      <c r="L2124" s="10" t="s">
        <v>101</v>
      </c>
      <c r="M2124" s="10" t="s">
        <v>102</v>
      </c>
      <c r="N2124" s="124" t="s">
        <v>476</v>
      </c>
      <c r="O2124" s="124" t="s">
        <v>476</v>
      </c>
      <c r="P2124" s="21">
        <v>33</v>
      </c>
      <c r="Q2124" s="10" t="s">
        <v>54</v>
      </c>
      <c r="R2124" s="10" t="s">
        <v>28</v>
      </c>
      <c r="S2124" s="10"/>
      <c r="T2124" s="10"/>
      <c r="U2124" s="10" t="s">
        <v>1514</v>
      </c>
      <c r="V2124" s="10" t="s">
        <v>1514</v>
      </c>
      <c r="W2124" s="50">
        <f>+J2124/$W$2</f>
        <v>2.4816621035834254E-5</v>
      </c>
    </row>
    <row r="2125" spans="1:29">
      <c r="A2125" s="10" t="s">
        <v>426</v>
      </c>
      <c r="B2125" s="10" t="s">
        <v>381</v>
      </c>
      <c r="C2125" s="124">
        <v>46373</v>
      </c>
      <c r="D2125" s="124" t="s">
        <v>492</v>
      </c>
      <c r="E2125" s="21">
        <v>0.94478828999999998</v>
      </c>
      <c r="F2125" s="10"/>
      <c r="G2125" s="14">
        <v>2019362</v>
      </c>
      <c r="H2125" s="14">
        <v>1907869.58</v>
      </c>
      <c r="I2125" s="14">
        <v>2019362</v>
      </c>
      <c r="J2125" s="14">
        <v>1907869.58</v>
      </c>
      <c r="K2125" s="12">
        <v>40765638</v>
      </c>
      <c r="L2125" s="10" t="s">
        <v>101</v>
      </c>
      <c r="M2125" s="10" t="s">
        <v>102</v>
      </c>
      <c r="N2125" s="124" t="s">
        <v>420</v>
      </c>
      <c r="O2125" s="124" t="s">
        <v>420</v>
      </c>
      <c r="P2125" s="21">
        <v>27</v>
      </c>
      <c r="Q2125" s="10" t="s">
        <v>54</v>
      </c>
      <c r="R2125" s="10" t="s">
        <v>28</v>
      </c>
      <c r="S2125" s="10"/>
      <c r="T2125" s="10"/>
      <c r="U2125" s="10" t="s">
        <v>2691</v>
      </c>
      <c r="V2125" s="10" t="s">
        <v>2691</v>
      </c>
      <c r="W2125" s="50">
        <f>+J2125/$W$2</f>
        <v>2.536430342815539E-5</v>
      </c>
      <c r="AC2125" s="47"/>
    </row>
    <row r="2126" spans="1:29">
      <c r="A2126" s="10" t="s">
        <v>427</v>
      </c>
      <c r="B2126" s="10" t="s">
        <v>381</v>
      </c>
      <c r="C2126" s="124">
        <v>46373</v>
      </c>
      <c r="D2126" s="124" t="s">
        <v>492</v>
      </c>
      <c r="E2126" s="21">
        <v>0.94286013000000002</v>
      </c>
      <c r="F2126" s="10"/>
      <c r="G2126" s="14">
        <v>8400000</v>
      </c>
      <c r="H2126" s="14">
        <v>7920025.1100000003</v>
      </c>
      <c r="I2126" s="14">
        <v>8400000</v>
      </c>
      <c r="J2126" s="14">
        <v>7920025.1100000003</v>
      </c>
      <c r="K2126" s="12">
        <v>2459</v>
      </c>
      <c r="L2126" s="10" t="s">
        <v>101</v>
      </c>
      <c r="M2126" s="10" t="s">
        <v>102</v>
      </c>
      <c r="N2126" s="124" t="s">
        <v>434</v>
      </c>
      <c r="O2126" s="124" t="s">
        <v>434</v>
      </c>
      <c r="P2126" s="21">
        <v>28</v>
      </c>
      <c r="Q2126" s="10" t="s">
        <v>54</v>
      </c>
      <c r="R2126" s="10" t="s">
        <v>28</v>
      </c>
      <c r="S2126" s="10"/>
      <c r="T2126" s="10"/>
      <c r="U2126" s="10" t="s">
        <v>2971</v>
      </c>
      <c r="V2126" s="10" t="s">
        <v>2971</v>
      </c>
      <c r="W2126" s="50">
        <f>+J2126/$W$2</f>
        <v>1.0529331886965239E-4</v>
      </c>
    </row>
    <row r="2127" spans="1:29">
      <c r="A2127" s="10" t="s">
        <v>2700</v>
      </c>
      <c r="B2127" s="10" t="s">
        <v>381</v>
      </c>
      <c r="C2127" s="124">
        <v>46374</v>
      </c>
      <c r="D2127" s="124" t="s">
        <v>492</v>
      </c>
      <c r="E2127" s="21">
        <v>0.93445993000000005</v>
      </c>
      <c r="F2127" s="10"/>
      <c r="G2127" s="14">
        <v>21145734.48</v>
      </c>
      <c r="H2127" s="14">
        <v>19759841.559999999</v>
      </c>
      <c r="I2127" s="14">
        <v>21145734.48</v>
      </c>
      <c r="J2127" s="14">
        <v>19759841.559999999</v>
      </c>
      <c r="K2127" s="12">
        <v>1985961</v>
      </c>
      <c r="L2127" s="10" t="s">
        <v>101</v>
      </c>
      <c r="M2127" s="10" t="s">
        <v>102</v>
      </c>
      <c r="N2127" s="124" t="s">
        <v>420</v>
      </c>
      <c r="O2127" s="124" t="s">
        <v>420</v>
      </c>
      <c r="P2127" s="21">
        <v>32</v>
      </c>
      <c r="Q2127" s="10" t="s">
        <v>54</v>
      </c>
      <c r="R2127" s="10" t="s">
        <v>28</v>
      </c>
      <c r="S2127" s="10"/>
      <c r="T2127" s="10"/>
      <c r="U2127" s="10" t="s">
        <v>2661</v>
      </c>
      <c r="V2127" s="10" t="s">
        <v>2661</v>
      </c>
      <c r="W2127" s="50">
        <f>+J2127/$W$2</f>
        <v>2.6269857346334719E-4</v>
      </c>
    </row>
    <row r="2128" spans="1:29">
      <c r="A2128" s="10" t="s">
        <v>353</v>
      </c>
      <c r="B2128" s="10" t="s">
        <v>381</v>
      </c>
      <c r="C2128" s="124">
        <v>46374</v>
      </c>
      <c r="D2128" s="124" t="s">
        <v>492</v>
      </c>
      <c r="E2128" s="21">
        <v>0.92686659000000005</v>
      </c>
      <c r="F2128" s="10"/>
      <c r="G2128" s="14">
        <v>2954385</v>
      </c>
      <c r="H2128" s="14">
        <v>2738320.75</v>
      </c>
      <c r="I2128" s="14">
        <v>2954385</v>
      </c>
      <c r="J2128" s="14">
        <v>2738320.75</v>
      </c>
      <c r="K2128" s="12">
        <v>3331</v>
      </c>
      <c r="L2128" s="10" t="s">
        <v>101</v>
      </c>
      <c r="M2128" s="10" t="s">
        <v>102</v>
      </c>
      <c r="N2128" s="124" t="s">
        <v>390</v>
      </c>
      <c r="O2128" s="124" t="s">
        <v>390</v>
      </c>
      <c r="P2128" s="21">
        <v>36</v>
      </c>
      <c r="Q2128" s="10" t="s">
        <v>54</v>
      </c>
      <c r="R2128" s="10" t="s">
        <v>28</v>
      </c>
      <c r="S2128" s="10"/>
      <c r="T2128" s="10"/>
      <c r="U2128" s="10" t="s">
        <v>2033</v>
      </c>
      <c r="V2128" s="10" t="s">
        <v>2033</v>
      </c>
      <c r="W2128" s="50">
        <f>+J2128/$W$2</f>
        <v>3.6404793658177643E-5</v>
      </c>
    </row>
    <row r="2129" spans="1:29">
      <c r="A2129" s="10" t="s">
        <v>353</v>
      </c>
      <c r="B2129" s="10" t="s">
        <v>381</v>
      </c>
      <c r="C2129" s="124">
        <v>46374</v>
      </c>
      <c r="D2129" s="124" t="s">
        <v>492</v>
      </c>
      <c r="E2129" s="21">
        <v>0.92686643999999996</v>
      </c>
      <c r="F2129" s="10"/>
      <c r="G2129" s="14">
        <v>3105640.28</v>
      </c>
      <c r="H2129" s="14">
        <v>2878513.75</v>
      </c>
      <c r="I2129" s="14">
        <v>3105640.28</v>
      </c>
      <c r="J2129" s="14">
        <v>2878513.75</v>
      </c>
      <c r="K2129" s="12">
        <v>3397</v>
      </c>
      <c r="L2129" s="10" t="s">
        <v>101</v>
      </c>
      <c r="M2129" s="10" t="s">
        <v>102</v>
      </c>
      <c r="N2129" s="124" t="s">
        <v>551</v>
      </c>
      <c r="O2129" s="124" t="s">
        <v>551</v>
      </c>
      <c r="P2129" s="21">
        <v>36</v>
      </c>
      <c r="Q2129" s="10" t="s">
        <v>54</v>
      </c>
      <c r="R2129" s="10" t="s">
        <v>28</v>
      </c>
      <c r="S2129" s="10"/>
      <c r="T2129" s="10"/>
      <c r="U2129" s="10" t="s">
        <v>2232</v>
      </c>
      <c r="V2129" s="10" t="s">
        <v>2232</v>
      </c>
      <c r="W2129" s="50">
        <f>+J2129/$W$2</f>
        <v>3.8268599144558626E-5</v>
      </c>
      <c r="AC2129" s="47"/>
    </row>
    <row r="2130" spans="1:29">
      <c r="A2130" s="10" t="s">
        <v>353</v>
      </c>
      <c r="B2130" s="10" t="s">
        <v>381</v>
      </c>
      <c r="C2130" s="124">
        <v>46374</v>
      </c>
      <c r="D2130" s="124" t="s">
        <v>492</v>
      </c>
      <c r="E2130" s="21">
        <v>0.92686645999999995</v>
      </c>
      <c r="F2130" s="10"/>
      <c r="G2130" s="14">
        <v>2874176.47</v>
      </c>
      <c r="H2130" s="14">
        <v>2663977.7799999998</v>
      </c>
      <c r="I2130" s="14">
        <v>2874176.47</v>
      </c>
      <c r="J2130" s="14">
        <v>2663977.7799999998</v>
      </c>
      <c r="K2130" s="12">
        <v>3445</v>
      </c>
      <c r="L2130" s="10" t="s">
        <v>101</v>
      </c>
      <c r="M2130" s="10" t="s">
        <v>102</v>
      </c>
      <c r="N2130" s="124" t="s">
        <v>552</v>
      </c>
      <c r="O2130" s="124" t="s">
        <v>552</v>
      </c>
      <c r="P2130" s="21">
        <v>36</v>
      </c>
      <c r="Q2130" s="10" t="s">
        <v>54</v>
      </c>
      <c r="R2130" s="10" t="s">
        <v>28</v>
      </c>
      <c r="S2130" s="10"/>
      <c r="T2130" s="10"/>
      <c r="U2130" s="10" t="s">
        <v>2368</v>
      </c>
      <c r="V2130" s="10" t="s">
        <v>2368</v>
      </c>
      <c r="W2130" s="50">
        <f>+J2130/$W$2</f>
        <v>3.5416435927336175E-5</v>
      </c>
    </row>
    <row r="2131" spans="1:29">
      <c r="A2131" s="10" t="s">
        <v>401</v>
      </c>
      <c r="B2131" s="10" t="s">
        <v>381</v>
      </c>
      <c r="C2131" s="124">
        <v>46374</v>
      </c>
      <c r="D2131" s="124" t="s">
        <v>492</v>
      </c>
      <c r="E2131" s="21">
        <v>0.93254996999999995</v>
      </c>
      <c r="F2131" s="10"/>
      <c r="G2131" s="14">
        <v>50000000</v>
      </c>
      <c r="H2131" s="14">
        <v>46627498.399999999</v>
      </c>
      <c r="I2131" s="14">
        <v>50000000</v>
      </c>
      <c r="J2131" s="14">
        <v>46627498.399999999</v>
      </c>
      <c r="K2131" s="12">
        <v>2265</v>
      </c>
      <c r="L2131" s="10" t="s">
        <v>101</v>
      </c>
      <c r="M2131" s="10" t="s">
        <v>102</v>
      </c>
      <c r="N2131" s="124" t="s">
        <v>390</v>
      </c>
      <c r="O2131" s="124" t="s">
        <v>390</v>
      </c>
      <c r="P2131" s="21">
        <v>33</v>
      </c>
      <c r="Q2131" s="10" t="s">
        <v>54</v>
      </c>
      <c r="R2131" s="10" t="s">
        <v>28</v>
      </c>
      <c r="S2131" s="10"/>
      <c r="T2131" s="10"/>
      <c r="U2131" s="10" t="s">
        <v>2036</v>
      </c>
      <c r="V2131" s="10" t="s">
        <v>2036</v>
      </c>
      <c r="W2131" s="50">
        <f>+J2131/$W$2</f>
        <v>6.1989248631629727E-4</v>
      </c>
    </row>
    <row r="2132" spans="1:29">
      <c r="A2132" s="10" t="s">
        <v>401</v>
      </c>
      <c r="B2132" s="10" t="s">
        <v>381</v>
      </c>
      <c r="C2132" s="124">
        <v>46374</v>
      </c>
      <c r="D2132" s="124" t="s">
        <v>492</v>
      </c>
      <c r="E2132" s="21">
        <v>0.93254988000000005</v>
      </c>
      <c r="F2132" s="10"/>
      <c r="G2132" s="14">
        <v>55000000</v>
      </c>
      <c r="H2132" s="14">
        <v>51290243.520000003</v>
      </c>
      <c r="I2132" s="14">
        <v>55000000</v>
      </c>
      <c r="J2132" s="14">
        <v>51290243.520000003</v>
      </c>
      <c r="K2132" s="12">
        <v>2328</v>
      </c>
      <c r="L2132" s="10" t="s">
        <v>101</v>
      </c>
      <c r="M2132" s="10" t="s">
        <v>102</v>
      </c>
      <c r="N2132" s="124" t="s">
        <v>423</v>
      </c>
      <c r="O2132" s="124" t="s">
        <v>423</v>
      </c>
      <c r="P2132" s="21">
        <v>33</v>
      </c>
      <c r="Q2132" s="10" t="s">
        <v>54</v>
      </c>
      <c r="R2132" s="10" t="s">
        <v>28</v>
      </c>
      <c r="S2132" s="10"/>
      <c r="T2132" s="10"/>
      <c r="U2132" s="10" t="s">
        <v>2519</v>
      </c>
      <c r="V2132" s="10" t="s">
        <v>2519</v>
      </c>
      <c r="W2132" s="50">
        <f>+J2132/$W$2</f>
        <v>6.8188167219756233E-4</v>
      </c>
      <c r="AC2132"/>
    </row>
    <row r="2133" spans="1:29">
      <c r="A2133" s="10" t="s">
        <v>1189</v>
      </c>
      <c r="B2133" s="10" t="s">
        <v>381</v>
      </c>
      <c r="C2133" s="124">
        <v>46374</v>
      </c>
      <c r="D2133" s="124" t="s">
        <v>492</v>
      </c>
      <c r="E2133" s="21">
        <v>0.93255049999999995</v>
      </c>
      <c r="F2133" s="10"/>
      <c r="G2133" s="14">
        <v>12839.68</v>
      </c>
      <c r="H2133" s="14">
        <v>11973.65</v>
      </c>
      <c r="I2133" s="14">
        <v>12839.68</v>
      </c>
      <c r="J2133" s="14">
        <v>11973.65</v>
      </c>
      <c r="K2133" s="12">
        <v>30101605</v>
      </c>
      <c r="L2133" s="10" t="s">
        <v>101</v>
      </c>
      <c r="M2133" s="10" t="s">
        <v>102</v>
      </c>
      <c r="N2133" s="124" t="s">
        <v>434</v>
      </c>
      <c r="O2133" s="124" t="s">
        <v>434</v>
      </c>
      <c r="P2133" s="21">
        <v>33</v>
      </c>
      <c r="Q2133" s="10" t="s">
        <v>54</v>
      </c>
      <c r="R2133" s="10" t="s">
        <v>28</v>
      </c>
      <c r="S2133" s="10"/>
      <c r="T2133" s="10"/>
      <c r="U2133" s="10" t="s">
        <v>2957</v>
      </c>
      <c r="V2133" s="10" t="s">
        <v>2957</v>
      </c>
      <c r="W2133" s="50">
        <f>+J2133/$W$2</f>
        <v>1.5918451393440256E-7</v>
      </c>
    </row>
    <row r="2134" spans="1:29">
      <c r="A2134" s="10" t="s">
        <v>404</v>
      </c>
      <c r="B2134" s="10" t="s">
        <v>381</v>
      </c>
      <c r="C2134" s="124">
        <v>46374</v>
      </c>
      <c r="D2134" s="124" t="s">
        <v>492</v>
      </c>
      <c r="E2134" s="21">
        <v>0.94217883000000002</v>
      </c>
      <c r="F2134" s="10"/>
      <c r="G2134" s="14">
        <v>34000000</v>
      </c>
      <c r="H2134" s="14">
        <v>32034080.120000001</v>
      </c>
      <c r="I2134" s="14">
        <v>34000000</v>
      </c>
      <c r="J2134" s="14">
        <v>32034080.120000001</v>
      </c>
      <c r="K2134" s="12">
        <v>1343</v>
      </c>
      <c r="L2134" s="10" t="s">
        <v>101</v>
      </c>
      <c r="M2134" s="10" t="s">
        <v>102</v>
      </c>
      <c r="N2134" s="124" t="s">
        <v>434</v>
      </c>
      <c r="O2134" s="124" t="s">
        <v>434</v>
      </c>
      <c r="P2134" s="21">
        <v>28</v>
      </c>
      <c r="Q2134" s="10" t="s">
        <v>54</v>
      </c>
      <c r="R2134" s="10" t="s">
        <v>28</v>
      </c>
      <c r="S2134" s="10"/>
      <c r="T2134" s="10"/>
      <c r="U2134" s="10" t="s">
        <v>2986</v>
      </c>
      <c r="V2134" s="10" t="s">
        <v>2986</v>
      </c>
      <c r="W2134" s="50">
        <f>+J2134/$W$2</f>
        <v>4.2587928269474293E-4</v>
      </c>
    </row>
    <row r="2135" spans="1:29">
      <c r="A2135" s="10" t="s">
        <v>665</v>
      </c>
      <c r="B2135" s="10" t="s">
        <v>381</v>
      </c>
      <c r="C2135" s="124">
        <v>46374</v>
      </c>
      <c r="D2135" s="124" t="s">
        <v>492</v>
      </c>
      <c r="E2135" s="21">
        <v>0.93254987</v>
      </c>
      <c r="F2135" s="10"/>
      <c r="G2135" s="14">
        <v>6820314.5199999996</v>
      </c>
      <c r="H2135" s="14">
        <v>6360283.4199999999</v>
      </c>
      <c r="I2135" s="14">
        <v>6820314.5199999996</v>
      </c>
      <c r="J2135" s="14">
        <v>6360283.4199999999</v>
      </c>
      <c r="K2135" s="12">
        <v>769</v>
      </c>
      <c r="L2135" s="10" t="s">
        <v>101</v>
      </c>
      <c r="M2135" s="10" t="s">
        <v>102</v>
      </c>
      <c r="N2135" s="124" t="s">
        <v>435</v>
      </c>
      <c r="O2135" s="124" t="s">
        <v>435</v>
      </c>
      <c r="P2135" s="21">
        <v>33</v>
      </c>
      <c r="Q2135" s="10" t="s">
        <v>54</v>
      </c>
      <c r="R2135" s="10" t="s">
        <v>28</v>
      </c>
      <c r="S2135" s="10"/>
      <c r="T2135" s="10"/>
      <c r="U2135" s="10" t="s">
        <v>1305</v>
      </c>
      <c r="V2135" s="10" t="s">
        <v>1305</v>
      </c>
      <c r="W2135" s="50">
        <f>+J2135/$W$2</f>
        <v>8.4557225632763582E-5</v>
      </c>
    </row>
    <row r="2136" spans="1:29">
      <c r="A2136" s="10" t="s">
        <v>686</v>
      </c>
      <c r="B2136" s="10" t="s">
        <v>381</v>
      </c>
      <c r="C2136" s="124">
        <v>46374</v>
      </c>
      <c r="D2136" s="124" t="s">
        <v>492</v>
      </c>
      <c r="E2136" s="21">
        <v>0.92686648999999999</v>
      </c>
      <c r="F2136" s="10"/>
      <c r="G2136" s="14">
        <v>22578937.030000001</v>
      </c>
      <c r="H2136" s="14">
        <v>20927660.149999999</v>
      </c>
      <c r="I2136" s="14">
        <v>22578937.030000001</v>
      </c>
      <c r="J2136" s="14">
        <v>20927660.149999999</v>
      </c>
      <c r="K2136" s="12">
        <v>67998226</v>
      </c>
      <c r="L2136" s="10" t="s">
        <v>101</v>
      </c>
      <c r="M2136" s="10" t="s">
        <v>102</v>
      </c>
      <c r="N2136" s="124" t="s">
        <v>305</v>
      </c>
      <c r="O2136" s="124" t="s">
        <v>305</v>
      </c>
      <c r="P2136" s="21">
        <v>36</v>
      </c>
      <c r="Q2136" s="10" t="s">
        <v>54</v>
      </c>
      <c r="R2136" s="10" t="s">
        <v>28</v>
      </c>
      <c r="S2136" s="10"/>
      <c r="T2136" s="10"/>
      <c r="U2136" s="10" t="s">
        <v>753</v>
      </c>
      <c r="V2136" s="10" t="s">
        <v>753</v>
      </c>
      <c r="W2136" s="50">
        <f>+J2136/$W$2</f>
        <v>2.7822421807570093E-4</v>
      </c>
    </row>
    <row r="2137" spans="1:29">
      <c r="A2137" s="10" t="s">
        <v>465</v>
      </c>
      <c r="B2137" s="10" t="s">
        <v>381</v>
      </c>
      <c r="C2137" s="124">
        <v>46374</v>
      </c>
      <c r="D2137" s="124" t="s">
        <v>492</v>
      </c>
      <c r="E2137" s="21">
        <v>0.93254996999999995</v>
      </c>
      <c r="F2137" s="10"/>
      <c r="G2137" s="14">
        <v>25000000</v>
      </c>
      <c r="H2137" s="14">
        <v>23313749.199999999</v>
      </c>
      <c r="I2137" s="14">
        <v>25000000</v>
      </c>
      <c r="J2137" s="14">
        <v>23313749.199999999</v>
      </c>
      <c r="K2137" s="12">
        <v>14422598</v>
      </c>
      <c r="L2137" s="10" t="s">
        <v>101</v>
      </c>
      <c r="M2137" s="10" t="s">
        <v>102</v>
      </c>
      <c r="N2137" s="124" t="s">
        <v>390</v>
      </c>
      <c r="O2137" s="124" t="s">
        <v>390</v>
      </c>
      <c r="P2137" s="21">
        <v>33</v>
      </c>
      <c r="Q2137" s="10" t="s">
        <v>54</v>
      </c>
      <c r="R2137" s="10" t="s">
        <v>28</v>
      </c>
      <c r="S2137" s="10"/>
      <c r="T2137" s="10"/>
      <c r="U2137" s="10" t="s">
        <v>2050</v>
      </c>
      <c r="V2137" s="10" t="s">
        <v>2050</v>
      </c>
      <c r="W2137" s="50">
        <f>+J2137/$W$2</f>
        <v>3.0994624315814864E-4</v>
      </c>
    </row>
    <row r="2138" spans="1:29">
      <c r="A2138" s="10" t="s">
        <v>222</v>
      </c>
      <c r="B2138" s="10" t="s">
        <v>381</v>
      </c>
      <c r="C2138" s="124">
        <v>46374</v>
      </c>
      <c r="D2138" s="124" t="s">
        <v>492</v>
      </c>
      <c r="E2138" s="21">
        <v>0.93254992000000003</v>
      </c>
      <c r="F2138" s="10"/>
      <c r="G2138" s="14">
        <v>25000000</v>
      </c>
      <c r="H2138" s="14">
        <v>23313747.960000001</v>
      </c>
      <c r="I2138" s="14">
        <v>25000000</v>
      </c>
      <c r="J2138" s="14">
        <v>23313747.960000001</v>
      </c>
      <c r="K2138" s="12">
        <v>475888</v>
      </c>
      <c r="L2138" s="10" t="s">
        <v>101</v>
      </c>
      <c r="M2138" s="10" t="s">
        <v>102</v>
      </c>
      <c r="N2138" s="124" t="s">
        <v>349</v>
      </c>
      <c r="O2138" s="124" t="s">
        <v>349</v>
      </c>
      <c r="P2138" s="21">
        <v>33</v>
      </c>
      <c r="Q2138" s="10" t="s">
        <v>54</v>
      </c>
      <c r="R2138" s="10" t="s">
        <v>28</v>
      </c>
      <c r="S2138" s="10"/>
      <c r="T2138" s="10"/>
      <c r="U2138" s="10" t="s">
        <v>1350</v>
      </c>
      <c r="V2138" s="10" t="s">
        <v>1350</v>
      </c>
      <c r="W2138" s="50">
        <f>+J2138/$W$2</f>
        <v>3.0994622667288333E-4</v>
      </c>
    </row>
    <row r="2139" spans="1:29">
      <c r="A2139" s="10" t="s">
        <v>2914</v>
      </c>
      <c r="B2139" s="10" t="s">
        <v>381</v>
      </c>
      <c r="C2139" s="124">
        <v>46374</v>
      </c>
      <c r="D2139" s="124" t="s">
        <v>492</v>
      </c>
      <c r="E2139" s="21">
        <v>0.94217863999999996</v>
      </c>
      <c r="F2139" s="10"/>
      <c r="G2139" s="14">
        <v>160000000</v>
      </c>
      <c r="H2139" s="14">
        <v>150748582.77000001</v>
      </c>
      <c r="I2139" s="14">
        <v>160000000</v>
      </c>
      <c r="J2139" s="14">
        <v>150748582.77000001</v>
      </c>
      <c r="K2139" s="12">
        <v>39</v>
      </c>
      <c r="L2139" s="10" t="s">
        <v>101</v>
      </c>
      <c r="M2139" s="10" t="s">
        <v>102</v>
      </c>
      <c r="N2139" s="124" t="s">
        <v>486</v>
      </c>
      <c r="O2139" s="124" t="s">
        <v>486</v>
      </c>
      <c r="P2139" s="21">
        <v>28</v>
      </c>
      <c r="Q2139" s="10" t="s">
        <v>54</v>
      </c>
      <c r="R2139" s="10" t="s">
        <v>28</v>
      </c>
      <c r="S2139" s="10"/>
      <c r="T2139" s="10"/>
      <c r="U2139" s="10" t="s">
        <v>2827</v>
      </c>
      <c r="V2139" s="10" t="s">
        <v>2827</v>
      </c>
      <c r="W2139" s="50">
        <f>+J2139/$W$2</f>
        <v>2.0041374079368033E-3</v>
      </c>
    </row>
    <row r="2140" spans="1:29">
      <c r="A2140" s="10" t="s">
        <v>426</v>
      </c>
      <c r="B2140" s="10" t="s">
        <v>381</v>
      </c>
      <c r="C2140" s="124">
        <v>46374</v>
      </c>
      <c r="D2140" s="124" t="s">
        <v>492</v>
      </c>
      <c r="E2140" s="21">
        <v>0.93830336000000003</v>
      </c>
      <c r="F2140" s="10"/>
      <c r="G2140" s="14">
        <v>5580000</v>
      </c>
      <c r="H2140" s="14">
        <v>5235732.7300000004</v>
      </c>
      <c r="I2140" s="14">
        <v>5580000</v>
      </c>
      <c r="J2140" s="14">
        <v>5235732.7300000004</v>
      </c>
      <c r="K2140" s="12">
        <v>11415148</v>
      </c>
      <c r="L2140" s="10" t="s">
        <v>101</v>
      </c>
      <c r="M2140" s="10" t="s">
        <v>102</v>
      </c>
      <c r="N2140" s="124" t="s">
        <v>486</v>
      </c>
      <c r="O2140" s="124" t="s">
        <v>486</v>
      </c>
      <c r="P2140" s="21">
        <v>30</v>
      </c>
      <c r="Q2140" s="10" t="s">
        <v>54</v>
      </c>
      <c r="R2140" s="10" t="s">
        <v>28</v>
      </c>
      <c r="S2140" s="10"/>
      <c r="T2140" s="10"/>
      <c r="U2140" s="10" t="s">
        <v>2802</v>
      </c>
      <c r="V2140" s="10" t="s">
        <v>2802</v>
      </c>
      <c r="W2140" s="50">
        <f>+J2140/$W$2</f>
        <v>6.960680909459461E-5</v>
      </c>
    </row>
    <row r="2141" spans="1:29">
      <c r="A2141" s="10" t="s">
        <v>427</v>
      </c>
      <c r="B2141" s="10" t="s">
        <v>381</v>
      </c>
      <c r="C2141" s="124">
        <v>46374</v>
      </c>
      <c r="D2141" s="124" t="s">
        <v>492</v>
      </c>
      <c r="E2141" s="21">
        <v>0.94217883000000002</v>
      </c>
      <c r="F2141" s="10"/>
      <c r="G2141" s="14">
        <v>8400000</v>
      </c>
      <c r="H2141" s="14">
        <v>7914302.1500000004</v>
      </c>
      <c r="I2141" s="14">
        <v>8400000</v>
      </c>
      <c r="J2141" s="14">
        <v>7914302.1500000004</v>
      </c>
      <c r="K2141" s="12">
        <v>2460</v>
      </c>
      <c r="L2141" s="10" t="s">
        <v>101</v>
      </c>
      <c r="M2141" s="10" t="s">
        <v>102</v>
      </c>
      <c r="N2141" s="124" t="s">
        <v>434</v>
      </c>
      <c r="O2141" s="124" t="s">
        <v>434</v>
      </c>
      <c r="P2141" s="21">
        <v>28</v>
      </c>
      <c r="Q2141" s="10" t="s">
        <v>54</v>
      </c>
      <c r="R2141" s="10" t="s">
        <v>28</v>
      </c>
      <c r="S2141" s="10"/>
      <c r="T2141" s="10"/>
      <c r="U2141" s="10" t="s">
        <v>2972</v>
      </c>
      <c r="V2141" s="10" t="s">
        <v>2972</v>
      </c>
      <c r="W2141" s="50">
        <f>+J2141/$W$2</f>
        <v>1.052172345840865E-4</v>
      </c>
    </row>
    <row r="2142" spans="1:29">
      <c r="A2142" s="10" t="s">
        <v>477</v>
      </c>
      <c r="B2142" s="10" t="s">
        <v>381</v>
      </c>
      <c r="C2142" s="124">
        <v>46377</v>
      </c>
      <c r="D2142" s="124" t="s">
        <v>492</v>
      </c>
      <c r="E2142" s="21">
        <v>0.93813460999999998</v>
      </c>
      <c r="F2142" s="10"/>
      <c r="G2142" s="14">
        <v>11000000</v>
      </c>
      <c r="H2142" s="14">
        <v>10319480.67</v>
      </c>
      <c r="I2142" s="14">
        <v>11000000</v>
      </c>
      <c r="J2142" s="14">
        <v>10319480.67</v>
      </c>
      <c r="K2142" s="12">
        <v>69878769</v>
      </c>
      <c r="L2142" s="10" t="s">
        <v>101</v>
      </c>
      <c r="M2142" s="10" t="s">
        <v>102</v>
      </c>
      <c r="N2142" s="124" t="s">
        <v>532</v>
      </c>
      <c r="O2142" s="124" t="s">
        <v>532</v>
      </c>
      <c r="P2142" s="21">
        <v>29</v>
      </c>
      <c r="Q2142" s="10" t="s">
        <v>54</v>
      </c>
      <c r="R2142" s="10" t="s">
        <v>28</v>
      </c>
      <c r="S2142" s="10"/>
      <c r="T2142" s="10"/>
      <c r="U2142" s="10" t="s">
        <v>3045</v>
      </c>
      <c r="V2142" s="10" t="s">
        <v>3045</v>
      </c>
      <c r="W2142" s="50">
        <f>+J2142/$W$2</f>
        <v>1.3719304593915916E-4</v>
      </c>
    </row>
    <row r="2143" spans="1:29">
      <c r="A2143" s="10" t="s">
        <v>2918</v>
      </c>
      <c r="B2143" s="10" t="s">
        <v>381</v>
      </c>
      <c r="C2143" s="124">
        <v>46377</v>
      </c>
      <c r="D2143" s="124" t="s">
        <v>492</v>
      </c>
      <c r="E2143" s="21">
        <v>0.92627846000000003</v>
      </c>
      <c r="F2143" s="10"/>
      <c r="G2143" s="14">
        <v>5000000</v>
      </c>
      <c r="H2143" s="14">
        <v>4631392.29</v>
      </c>
      <c r="I2143" s="14">
        <v>5000000</v>
      </c>
      <c r="J2143" s="14">
        <v>4631392.29</v>
      </c>
      <c r="K2143" s="12">
        <v>544</v>
      </c>
      <c r="L2143" s="10" t="s">
        <v>101</v>
      </c>
      <c r="M2143" s="10" t="s">
        <v>102</v>
      </c>
      <c r="N2143" s="124" t="s">
        <v>486</v>
      </c>
      <c r="O2143" s="124" t="s">
        <v>486</v>
      </c>
      <c r="P2143" s="21">
        <v>35</v>
      </c>
      <c r="Q2143" s="10" t="s">
        <v>54</v>
      </c>
      <c r="R2143" s="10" t="s">
        <v>28</v>
      </c>
      <c r="S2143" s="10"/>
      <c r="T2143" s="10"/>
      <c r="U2143" s="10" t="s">
        <v>2871</v>
      </c>
      <c r="V2143" s="10" t="s">
        <v>2871</v>
      </c>
      <c r="W2143" s="50">
        <f>+J2143/$W$2</f>
        <v>6.1572363525173166E-5</v>
      </c>
    </row>
    <row r="2144" spans="1:29">
      <c r="A2144" s="10" t="s">
        <v>353</v>
      </c>
      <c r="B2144" s="10" t="s">
        <v>381</v>
      </c>
      <c r="C2144" s="124">
        <v>46377</v>
      </c>
      <c r="D2144" s="124" t="s">
        <v>492</v>
      </c>
      <c r="E2144" s="21">
        <v>0.92433149000000003</v>
      </c>
      <c r="F2144" s="10"/>
      <c r="G2144" s="14">
        <v>3105640.28</v>
      </c>
      <c r="H2144" s="14">
        <v>2870641.11</v>
      </c>
      <c r="I2144" s="14">
        <v>3105640.28</v>
      </c>
      <c r="J2144" s="14">
        <v>2870641.11</v>
      </c>
      <c r="K2144" s="12">
        <v>3398</v>
      </c>
      <c r="L2144" s="10" t="s">
        <v>101</v>
      </c>
      <c r="M2144" s="10" t="s">
        <v>102</v>
      </c>
      <c r="N2144" s="124" t="s">
        <v>551</v>
      </c>
      <c r="O2144" s="124" t="s">
        <v>551</v>
      </c>
      <c r="P2144" s="21">
        <v>36</v>
      </c>
      <c r="Q2144" s="10" t="s">
        <v>54</v>
      </c>
      <c r="R2144" s="10" t="s">
        <v>28</v>
      </c>
      <c r="S2144" s="10"/>
      <c r="T2144" s="10"/>
      <c r="U2144" s="10" t="s">
        <v>2233</v>
      </c>
      <c r="V2144" s="10" t="s">
        <v>2233</v>
      </c>
      <c r="W2144" s="50">
        <f>+J2144/$W$2</f>
        <v>3.8163935790294843E-5</v>
      </c>
      <c r="AC2144" s="47"/>
    </row>
    <row r="2145" spans="1:23">
      <c r="A2145" s="10" t="s">
        <v>353</v>
      </c>
      <c r="B2145" s="10" t="s">
        <v>381</v>
      </c>
      <c r="C2145" s="124">
        <v>46377</v>
      </c>
      <c r="D2145" s="124" t="s">
        <v>492</v>
      </c>
      <c r="E2145" s="21">
        <v>0.92433153000000001</v>
      </c>
      <c r="F2145" s="10"/>
      <c r="G2145" s="14">
        <v>2874176.47</v>
      </c>
      <c r="H2145" s="14">
        <v>2656691.9300000002</v>
      </c>
      <c r="I2145" s="14">
        <v>2874176.47</v>
      </c>
      <c r="J2145" s="14">
        <v>2656691.9300000002</v>
      </c>
      <c r="K2145" s="12">
        <v>3446</v>
      </c>
      <c r="L2145" s="10" t="s">
        <v>101</v>
      </c>
      <c r="M2145" s="10" t="s">
        <v>102</v>
      </c>
      <c r="N2145" s="124" t="s">
        <v>552</v>
      </c>
      <c r="O2145" s="124" t="s">
        <v>552</v>
      </c>
      <c r="P2145" s="21">
        <v>36</v>
      </c>
      <c r="Q2145" s="10" t="s">
        <v>54</v>
      </c>
      <c r="R2145" s="10" t="s">
        <v>28</v>
      </c>
      <c r="S2145" s="10"/>
      <c r="T2145" s="10"/>
      <c r="U2145" s="10" t="s">
        <v>2369</v>
      </c>
      <c r="V2145" s="10" t="s">
        <v>2369</v>
      </c>
      <c r="W2145" s="50">
        <f>+J2145/$W$2</f>
        <v>3.5319573693109442E-5</v>
      </c>
    </row>
    <row r="2146" spans="1:23">
      <c r="A2146" s="10" t="s">
        <v>849</v>
      </c>
      <c r="B2146" s="10" t="s">
        <v>381</v>
      </c>
      <c r="C2146" s="124">
        <v>46377</v>
      </c>
      <c r="D2146" s="124" t="s">
        <v>492</v>
      </c>
      <c r="E2146" s="21">
        <v>0.92239267999999996</v>
      </c>
      <c r="F2146" s="10"/>
      <c r="G2146" s="14">
        <v>20000000</v>
      </c>
      <c r="H2146" s="14">
        <v>18447853.649999999</v>
      </c>
      <c r="I2146" s="14">
        <v>20000000</v>
      </c>
      <c r="J2146" s="14">
        <v>18447853.649999999</v>
      </c>
      <c r="K2146" s="12">
        <v>2638</v>
      </c>
      <c r="L2146" s="10" t="s">
        <v>101</v>
      </c>
      <c r="M2146" s="10" t="s">
        <v>102</v>
      </c>
      <c r="N2146" s="124" t="s">
        <v>414</v>
      </c>
      <c r="O2146" s="124" t="s">
        <v>414</v>
      </c>
      <c r="P2146" s="21">
        <v>37</v>
      </c>
      <c r="Q2146" s="10" t="s">
        <v>54</v>
      </c>
      <c r="R2146" s="10" t="s">
        <v>28</v>
      </c>
      <c r="S2146" s="10"/>
      <c r="T2146" s="10"/>
      <c r="U2146" s="10" t="s">
        <v>1482</v>
      </c>
      <c r="V2146" s="10" t="s">
        <v>1482</v>
      </c>
      <c r="W2146" s="50">
        <f>+J2146/$W$2</f>
        <v>2.452562599047278E-4</v>
      </c>
    </row>
    <row r="2147" spans="1:23">
      <c r="A2147" s="10" t="s">
        <v>561</v>
      </c>
      <c r="B2147" s="10" t="s">
        <v>381</v>
      </c>
      <c r="C2147" s="124">
        <v>46377</v>
      </c>
      <c r="D2147" s="124" t="s">
        <v>492</v>
      </c>
      <c r="E2147" s="21">
        <v>0.93813464999999996</v>
      </c>
      <c r="F2147" s="10"/>
      <c r="G2147" s="14">
        <v>14000000</v>
      </c>
      <c r="H2147" s="14">
        <v>13133885.07</v>
      </c>
      <c r="I2147" s="14">
        <v>14000000</v>
      </c>
      <c r="J2147" s="14">
        <v>13133885.07</v>
      </c>
      <c r="K2147" s="12">
        <v>118</v>
      </c>
      <c r="L2147" s="10" t="s">
        <v>101</v>
      </c>
      <c r="M2147" s="10" t="s">
        <v>102</v>
      </c>
      <c r="N2147" s="124" t="s">
        <v>394</v>
      </c>
      <c r="O2147" s="124" t="s">
        <v>394</v>
      </c>
      <c r="P2147" s="21">
        <v>29</v>
      </c>
      <c r="Q2147" s="10" t="s">
        <v>54</v>
      </c>
      <c r="R2147" s="10" t="s">
        <v>28</v>
      </c>
      <c r="S2147" s="10"/>
      <c r="T2147" s="10"/>
      <c r="U2147" s="10" t="s">
        <v>813</v>
      </c>
      <c r="V2147" s="10" t="s">
        <v>813</v>
      </c>
      <c r="W2147" s="50">
        <f>+J2147/$W$2</f>
        <v>1.7460933891822936E-4</v>
      </c>
    </row>
    <row r="2148" spans="1:23">
      <c r="A2148" s="10" t="s">
        <v>273</v>
      </c>
      <c r="B2148" s="10" t="s">
        <v>381</v>
      </c>
      <c r="C2148" s="124">
        <v>46377</v>
      </c>
      <c r="D2148" s="124" t="s">
        <v>492</v>
      </c>
      <c r="E2148" s="21">
        <v>0.94417724000000003</v>
      </c>
      <c r="F2148" s="10"/>
      <c r="G2148" s="14">
        <v>5000000</v>
      </c>
      <c r="H2148" s="14">
        <v>4720886.22</v>
      </c>
      <c r="I2148" s="14">
        <v>5000000</v>
      </c>
      <c r="J2148" s="14">
        <v>4720886.22</v>
      </c>
      <c r="K2148" s="12">
        <v>491510</v>
      </c>
      <c r="L2148" s="10" t="s">
        <v>101</v>
      </c>
      <c r="M2148" s="10" t="s">
        <v>102</v>
      </c>
      <c r="N2148" s="124" t="s">
        <v>361</v>
      </c>
      <c r="O2148" s="124" t="s">
        <v>361</v>
      </c>
      <c r="P2148" s="21">
        <v>26</v>
      </c>
      <c r="Q2148" s="10" t="s">
        <v>54</v>
      </c>
      <c r="R2148" s="10" t="s">
        <v>28</v>
      </c>
      <c r="S2148" s="10"/>
      <c r="T2148" s="10"/>
      <c r="U2148" s="10" t="s">
        <v>1020</v>
      </c>
      <c r="V2148" s="10" t="s">
        <v>1020</v>
      </c>
      <c r="W2148" s="50">
        <f>+J2148/$W$2</f>
        <v>6.2762146736401939E-5</v>
      </c>
    </row>
    <row r="2149" spans="1:23">
      <c r="A2149" s="10" t="s">
        <v>1666</v>
      </c>
      <c r="B2149" s="10" t="s">
        <v>381</v>
      </c>
      <c r="C2149" s="124">
        <v>46377</v>
      </c>
      <c r="D2149" s="124" t="s">
        <v>492</v>
      </c>
      <c r="E2149" s="21">
        <v>0.93613747999999997</v>
      </c>
      <c r="F2149" s="10"/>
      <c r="G2149" s="14">
        <v>50000000</v>
      </c>
      <c r="H2149" s="14">
        <v>46806873.759999998</v>
      </c>
      <c r="I2149" s="14">
        <v>50000000</v>
      </c>
      <c r="J2149" s="14">
        <v>46806873.759999998</v>
      </c>
      <c r="K2149" s="12">
        <v>197095</v>
      </c>
      <c r="L2149" s="10" t="s">
        <v>101</v>
      </c>
      <c r="M2149" s="10" t="s">
        <v>102</v>
      </c>
      <c r="N2149" s="124" t="s">
        <v>163</v>
      </c>
      <c r="O2149" s="124" t="s">
        <v>163</v>
      </c>
      <c r="P2149" s="21">
        <v>30</v>
      </c>
      <c r="Q2149" s="10" t="s">
        <v>54</v>
      </c>
      <c r="R2149" s="10" t="s">
        <v>28</v>
      </c>
      <c r="S2149" s="10"/>
      <c r="T2149" s="10"/>
      <c r="U2149" s="10" t="s">
        <v>1606</v>
      </c>
      <c r="V2149" s="10" t="s">
        <v>1606</v>
      </c>
      <c r="W2149" s="50">
        <f>+J2149/$W$2</f>
        <v>6.2227720438417209E-4</v>
      </c>
    </row>
    <row r="2150" spans="1:23">
      <c r="A2150" s="10" t="s">
        <v>2083</v>
      </c>
      <c r="B2150" s="10" t="s">
        <v>381</v>
      </c>
      <c r="C2150" s="124">
        <v>46377</v>
      </c>
      <c r="D2150" s="124" t="s">
        <v>492</v>
      </c>
      <c r="E2150" s="21">
        <v>0.93414911</v>
      </c>
      <c r="F2150" s="10"/>
      <c r="G2150" s="14">
        <v>482400</v>
      </c>
      <c r="H2150" s="14">
        <v>450633.53</v>
      </c>
      <c r="I2150" s="14">
        <v>482400</v>
      </c>
      <c r="J2150" s="14">
        <v>450633.53</v>
      </c>
      <c r="K2150" s="12">
        <v>3979</v>
      </c>
      <c r="L2150" s="10" t="s">
        <v>101</v>
      </c>
      <c r="M2150" s="10" t="s">
        <v>102</v>
      </c>
      <c r="N2150" s="124" t="s">
        <v>390</v>
      </c>
      <c r="O2150" s="124" t="s">
        <v>390</v>
      </c>
      <c r="P2150" s="21">
        <v>31</v>
      </c>
      <c r="Q2150" s="10" t="s">
        <v>54</v>
      </c>
      <c r="R2150" s="10" t="s">
        <v>28</v>
      </c>
      <c r="S2150" s="10"/>
      <c r="T2150" s="10"/>
      <c r="U2150" s="10" t="s">
        <v>2064</v>
      </c>
      <c r="V2150" s="10" t="s">
        <v>2064</v>
      </c>
      <c r="W2150" s="50">
        <f>+J2150/$W$2</f>
        <v>5.9909784765375654E-6</v>
      </c>
    </row>
    <row r="2151" spans="1:23">
      <c r="A2151" s="10" t="s">
        <v>151</v>
      </c>
      <c r="B2151" s="10" t="s">
        <v>381</v>
      </c>
      <c r="C2151" s="124">
        <v>46377</v>
      </c>
      <c r="D2151" s="124" t="s">
        <v>492</v>
      </c>
      <c r="E2151" s="21">
        <v>0.94014017000000005</v>
      </c>
      <c r="F2151" s="10"/>
      <c r="G2151" s="14">
        <v>40000000</v>
      </c>
      <c r="H2151" s="14">
        <v>37605606.950000003</v>
      </c>
      <c r="I2151" s="14">
        <v>40000000</v>
      </c>
      <c r="J2151" s="14">
        <v>37605606.950000003</v>
      </c>
      <c r="K2151" s="12">
        <v>54029682</v>
      </c>
      <c r="L2151" s="10" t="s">
        <v>101</v>
      </c>
      <c r="M2151" s="10" t="s">
        <v>102</v>
      </c>
      <c r="N2151" s="124" t="s">
        <v>486</v>
      </c>
      <c r="O2151" s="124" t="s">
        <v>486</v>
      </c>
      <c r="P2151" s="21">
        <v>28</v>
      </c>
      <c r="Q2151" s="10" t="s">
        <v>54</v>
      </c>
      <c r="R2151" s="10" t="s">
        <v>28</v>
      </c>
      <c r="S2151" s="10"/>
      <c r="T2151" s="10"/>
      <c r="U2151" s="10" t="s">
        <v>2811</v>
      </c>
      <c r="V2151" s="10" t="s">
        <v>2811</v>
      </c>
      <c r="W2151" s="50">
        <f>+J2151/$W$2</f>
        <v>4.9995032956065544E-4</v>
      </c>
    </row>
    <row r="2152" spans="1:23">
      <c r="A2152" s="10" t="s">
        <v>273</v>
      </c>
      <c r="B2152" s="10" t="s">
        <v>381</v>
      </c>
      <c r="C2152" s="124">
        <v>46377</v>
      </c>
      <c r="D2152" s="124" t="s">
        <v>492</v>
      </c>
      <c r="E2152" s="21">
        <v>0.94215437999999996</v>
      </c>
      <c r="F2152" s="10"/>
      <c r="G2152" s="14">
        <v>50000000</v>
      </c>
      <c r="H2152" s="14">
        <v>47107719.079999998</v>
      </c>
      <c r="I2152" s="14">
        <v>50000000</v>
      </c>
      <c r="J2152" s="14">
        <v>47107719.079999998</v>
      </c>
      <c r="K2152" s="12">
        <v>4545</v>
      </c>
      <c r="L2152" s="10" t="s">
        <v>101</v>
      </c>
      <c r="M2152" s="10" t="s">
        <v>102</v>
      </c>
      <c r="N2152" s="124" t="s">
        <v>532</v>
      </c>
      <c r="O2152" s="124" t="s">
        <v>532</v>
      </c>
      <c r="P2152" s="21">
        <v>27</v>
      </c>
      <c r="Q2152" s="10" t="s">
        <v>54</v>
      </c>
      <c r="R2152" s="10" t="s">
        <v>28</v>
      </c>
      <c r="S2152" s="10"/>
      <c r="T2152" s="10"/>
      <c r="U2152" s="10" t="s">
        <v>3041</v>
      </c>
      <c r="V2152" s="10" t="s">
        <v>3041</v>
      </c>
      <c r="W2152" s="50">
        <f>+J2152/$W$2</f>
        <v>6.2627681319465511E-4</v>
      </c>
    </row>
    <row r="2153" spans="1:23">
      <c r="A2153" s="10" t="s">
        <v>1189</v>
      </c>
      <c r="B2153" s="10" t="s">
        <v>381</v>
      </c>
      <c r="C2153" s="124">
        <v>46377</v>
      </c>
      <c r="D2153" s="124" t="s">
        <v>492</v>
      </c>
      <c r="E2153" s="21">
        <v>0.93019697999999995</v>
      </c>
      <c r="F2153" s="10"/>
      <c r="G2153" s="14">
        <v>204051.5</v>
      </c>
      <c r="H2153" s="14">
        <v>189808.09</v>
      </c>
      <c r="I2153" s="14">
        <v>204051.5</v>
      </c>
      <c r="J2153" s="14">
        <v>189808.09</v>
      </c>
      <c r="K2153" s="12">
        <v>30101907</v>
      </c>
      <c r="L2153" s="10" t="s">
        <v>101</v>
      </c>
      <c r="M2153" s="10" t="s">
        <v>102</v>
      </c>
      <c r="N2153" s="124" t="s">
        <v>434</v>
      </c>
      <c r="O2153" s="124" t="s">
        <v>434</v>
      </c>
      <c r="P2153" s="21">
        <v>33</v>
      </c>
      <c r="Q2153" s="10" t="s">
        <v>54</v>
      </c>
      <c r="R2153" s="10" t="s">
        <v>28</v>
      </c>
      <c r="S2153" s="10"/>
      <c r="T2153" s="10"/>
      <c r="U2153" s="10" t="s">
        <v>2959</v>
      </c>
      <c r="V2153" s="10" t="s">
        <v>2959</v>
      </c>
      <c r="W2153" s="50">
        <f>+J2153/$W$2</f>
        <v>2.5234167148252487E-6</v>
      </c>
    </row>
    <row r="2154" spans="1:23">
      <c r="A2154" s="10" t="s">
        <v>385</v>
      </c>
      <c r="B2154" s="10" t="s">
        <v>381</v>
      </c>
      <c r="C2154" s="124">
        <v>46377</v>
      </c>
      <c r="D2154" s="124" t="s">
        <v>492</v>
      </c>
      <c r="E2154" s="21">
        <v>0.93019715999999997</v>
      </c>
      <c r="F2154" s="10"/>
      <c r="G2154" s="14">
        <v>25000000</v>
      </c>
      <c r="H2154" s="14">
        <v>23254929.079999998</v>
      </c>
      <c r="I2154" s="14">
        <v>25000000</v>
      </c>
      <c r="J2154" s="14">
        <v>23254929.079999998</v>
      </c>
      <c r="K2154" s="12">
        <v>4297</v>
      </c>
      <c r="L2154" s="10" t="s">
        <v>101</v>
      </c>
      <c r="M2154" s="10" t="s">
        <v>102</v>
      </c>
      <c r="N2154" s="124" t="s">
        <v>472</v>
      </c>
      <c r="O2154" s="124" t="s">
        <v>472</v>
      </c>
      <c r="P2154" s="21">
        <v>33</v>
      </c>
      <c r="Q2154" s="10" t="s">
        <v>54</v>
      </c>
      <c r="R2154" s="10" t="s">
        <v>28</v>
      </c>
      <c r="S2154" s="10"/>
      <c r="T2154" s="10"/>
      <c r="U2154" s="10" t="s">
        <v>3218</v>
      </c>
      <c r="V2154" s="10" t="s">
        <v>3218</v>
      </c>
      <c r="W2154" s="50">
        <f>+J2154/$W$2</f>
        <v>3.0916425502489244E-4</v>
      </c>
    </row>
    <row r="2155" spans="1:23">
      <c r="A2155" s="10" t="s">
        <v>404</v>
      </c>
      <c r="B2155" s="10" t="s">
        <v>381</v>
      </c>
      <c r="C2155" s="124">
        <v>46377</v>
      </c>
      <c r="D2155" s="124" t="s">
        <v>492</v>
      </c>
      <c r="E2155" s="21">
        <v>0.94417724000000003</v>
      </c>
      <c r="F2155" s="10"/>
      <c r="G2155" s="14">
        <v>20000000</v>
      </c>
      <c r="H2155" s="14">
        <v>18883544.890000001</v>
      </c>
      <c r="I2155" s="14">
        <v>20000000</v>
      </c>
      <c r="J2155" s="14">
        <v>18883544.890000001</v>
      </c>
      <c r="K2155" s="12">
        <v>79700360</v>
      </c>
      <c r="L2155" s="10" t="s">
        <v>101</v>
      </c>
      <c r="M2155" s="10" t="s">
        <v>102</v>
      </c>
      <c r="N2155" s="124" t="s">
        <v>361</v>
      </c>
      <c r="O2155" s="124" t="s">
        <v>361</v>
      </c>
      <c r="P2155" s="21">
        <v>26</v>
      </c>
      <c r="Q2155" s="10" t="s">
        <v>54</v>
      </c>
      <c r="R2155" s="10" t="s">
        <v>28</v>
      </c>
      <c r="S2155" s="10"/>
      <c r="T2155" s="10"/>
      <c r="U2155" s="10" t="s">
        <v>1037</v>
      </c>
      <c r="V2155" s="10" t="s">
        <v>1037</v>
      </c>
      <c r="W2155" s="50">
        <f>+J2155/$W$2</f>
        <v>2.5104858707855344E-4</v>
      </c>
    </row>
    <row r="2156" spans="1:23">
      <c r="A2156" s="10" t="s">
        <v>404</v>
      </c>
      <c r="B2156" s="10" t="s">
        <v>381</v>
      </c>
      <c r="C2156" s="124">
        <v>46377</v>
      </c>
      <c r="D2156" s="124" t="s">
        <v>492</v>
      </c>
      <c r="E2156" s="21">
        <v>0.93813473999999997</v>
      </c>
      <c r="F2156" s="10"/>
      <c r="G2156" s="14">
        <v>10000000</v>
      </c>
      <c r="H2156" s="14">
        <v>9381347.4000000004</v>
      </c>
      <c r="I2156" s="14">
        <v>10000000</v>
      </c>
      <c r="J2156" s="14">
        <v>9381347.4000000004</v>
      </c>
      <c r="K2156" s="12">
        <v>90002276</v>
      </c>
      <c r="L2156" s="10" t="s">
        <v>101</v>
      </c>
      <c r="M2156" s="10" t="s">
        <v>102</v>
      </c>
      <c r="N2156" s="124" t="s">
        <v>677</v>
      </c>
      <c r="O2156" s="124" t="s">
        <v>677</v>
      </c>
      <c r="P2156" s="21">
        <v>29</v>
      </c>
      <c r="Q2156" s="10" t="s">
        <v>54</v>
      </c>
      <c r="R2156" s="10" t="s">
        <v>28</v>
      </c>
      <c r="S2156" s="10"/>
      <c r="T2156" s="10"/>
      <c r="U2156" s="10" t="s">
        <v>3317</v>
      </c>
      <c r="V2156" s="10" t="s">
        <v>3317</v>
      </c>
      <c r="W2156" s="50">
        <f>+J2156/$W$2</f>
        <v>1.2472096862015938E-4</v>
      </c>
    </row>
    <row r="2157" spans="1:23">
      <c r="A2157" s="10" t="s">
        <v>2915</v>
      </c>
      <c r="B2157" s="10" t="s">
        <v>381</v>
      </c>
      <c r="C2157" s="124">
        <v>46377</v>
      </c>
      <c r="D2157" s="124" t="s">
        <v>492</v>
      </c>
      <c r="E2157" s="21">
        <v>0.94014017000000005</v>
      </c>
      <c r="F2157" s="10"/>
      <c r="G2157" s="14">
        <v>200000000</v>
      </c>
      <c r="H2157" s="14">
        <v>188028034.75999999</v>
      </c>
      <c r="I2157" s="14">
        <v>200000000</v>
      </c>
      <c r="J2157" s="14">
        <v>188028034.75999999</v>
      </c>
      <c r="K2157" s="12">
        <v>10969394</v>
      </c>
      <c r="L2157" s="10" t="s">
        <v>101</v>
      </c>
      <c r="M2157" s="10" t="s">
        <v>102</v>
      </c>
      <c r="N2157" s="124" t="s">
        <v>486</v>
      </c>
      <c r="O2157" s="124" t="s">
        <v>486</v>
      </c>
      <c r="P2157" s="21">
        <v>28</v>
      </c>
      <c r="Q2157" s="10" t="s">
        <v>54</v>
      </c>
      <c r="R2157" s="10" t="s">
        <v>28</v>
      </c>
      <c r="S2157" s="10"/>
      <c r="T2157" s="10"/>
      <c r="U2157" s="10" t="s">
        <v>2913</v>
      </c>
      <c r="V2157" s="10" t="s">
        <v>2913</v>
      </c>
      <c r="W2157" s="50">
        <f>+J2157/$W$2</f>
        <v>2.4997516479362222E-3</v>
      </c>
    </row>
    <row r="2158" spans="1:23">
      <c r="A2158" s="10" t="s">
        <v>427</v>
      </c>
      <c r="B2158" s="10" t="s">
        <v>381</v>
      </c>
      <c r="C2158" s="124">
        <v>46377</v>
      </c>
      <c r="D2158" s="124" t="s">
        <v>492</v>
      </c>
      <c r="E2158" s="21">
        <v>0.94014014000000001</v>
      </c>
      <c r="F2158" s="10"/>
      <c r="G2158" s="14">
        <v>8400000</v>
      </c>
      <c r="H2158" s="14">
        <v>7897177.1399999997</v>
      </c>
      <c r="I2158" s="14">
        <v>8400000</v>
      </c>
      <c r="J2158" s="14">
        <v>7897177.1399999997</v>
      </c>
      <c r="K2158" s="12">
        <v>2461</v>
      </c>
      <c r="L2158" s="10" t="s">
        <v>101</v>
      </c>
      <c r="M2158" s="10" t="s">
        <v>102</v>
      </c>
      <c r="N2158" s="124" t="s">
        <v>434</v>
      </c>
      <c r="O2158" s="124" t="s">
        <v>434</v>
      </c>
      <c r="P2158" s="21">
        <v>28</v>
      </c>
      <c r="Q2158" s="10" t="s">
        <v>54</v>
      </c>
      <c r="R2158" s="10" t="s">
        <v>28</v>
      </c>
      <c r="S2158" s="10"/>
      <c r="T2158" s="10"/>
      <c r="U2158" s="10" t="s">
        <v>2973</v>
      </c>
      <c r="V2158" s="10" t="s">
        <v>2973</v>
      </c>
      <c r="W2158" s="50">
        <f>+J2158/$W$2</f>
        <v>1.0498956496012288E-4</v>
      </c>
    </row>
    <row r="2159" spans="1:23">
      <c r="A2159" s="10" t="s">
        <v>2919</v>
      </c>
      <c r="B2159" s="10" t="s">
        <v>381</v>
      </c>
      <c r="C2159" s="124">
        <v>46378</v>
      </c>
      <c r="D2159" s="124" t="s">
        <v>492</v>
      </c>
      <c r="E2159" s="21">
        <v>0.92545664999999999</v>
      </c>
      <c r="F2159" s="10"/>
      <c r="G2159" s="14">
        <v>25000000</v>
      </c>
      <c r="H2159" s="14">
        <v>23136416.190000001</v>
      </c>
      <c r="I2159" s="14">
        <v>25000000</v>
      </c>
      <c r="J2159" s="14">
        <v>23136416.190000001</v>
      </c>
      <c r="K2159" s="12">
        <v>10685425</v>
      </c>
      <c r="L2159" s="10" t="s">
        <v>101</v>
      </c>
      <c r="M2159" s="10" t="s">
        <v>102</v>
      </c>
      <c r="N2159" s="124" t="s">
        <v>486</v>
      </c>
      <c r="O2159" s="124" t="s">
        <v>486</v>
      </c>
      <c r="P2159" s="21">
        <v>35</v>
      </c>
      <c r="Q2159" s="10" t="s">
        <v>54</v>
      </c>
      <c r="R2159" s="10" t="s">
        <v>28</v>
      </c>
      <c r="S2159" s="10"/>
      <c r="T2159" s="10"/>
      <c r="U2159" s="10" t="s">
        <v>2872</v>
      </c>
      <c r="V2159" s="10" t="s">
        <v>2872</v>
      </c>
      <c r="W2159" s="50">
        <f>+J2159/$W$2</f>
        <v>3.0758867725290054E-4</v>
      </c>
    </row>
    <row r="2160" spans="1:23">
      <c r="A2160" s="10" t="s">
        <v>353</v>
      </c>
      <c r="B2160" s="10" t="s">
        <v>381</v>
      </c>
      <c r="C2160" s="124">
        <v>46378</v>
      </c>
      <c r="D2160" s="124" t="s">
        <v>492</v>
      </c>
      <c r="E2160" s="21">
        <v>0.92348976000000005</v>
      </c>
      <c r="F2160" s="10"/>
      <c r="G2160" s="14">
        <v>3105640.28</v>
      </c>
      <c r="H2160" s="14">
        <v>2868026.99</v>
      </c>
      <c r="I2160" s="14">
        <v>3105640.28</v>
      </c>
      <c r="J2160" s="14">
        <v>2868026.99</v>
      </c>
      <c r="K2160" s="12">
        <v>3399</v>
      </c>
      <c r="L2160" s="10" t="s">
        <v>101</v>
      </c>
      <c r="M2160" s="10" t="s">
        <v>102</v>
      </c>
      <c r="N2160" s="124" t="s">
        <v>551</v>
      </c>
      <c r="O2160" s="124" t="s">
        <v>551</v>
      </c>
      <c r="P2160" s="21">
        <v>36</v>
      </c>
      <c r="Q2160" s="10" t="s">
        <v>54</v>
      </c>
      <c r="R2160" s="10" t="s">
        <v>28</v>
      </c>
      <c r="S2160" s="10"/>
      <c r="T2160" s="10"/>
      <c r="U2160" s="10" t="s">
        <v>2234</v>
      </c>
      <c r="V2160" s="10" t="s">
        <v>2234</v>
      </c>
      <c r="W2160" s="50">
        <f>+J2160/$W$2</f>
        <v>3.8129182192054859E-5</v>
      </c>
    </row>
    <row r="2161" spans="1:29">
      <c r="A2161" s="10" t="s">
        <v>561</v>
      </c>
      <c r="B2161" s="10" t="s">
        <v>381</v>
      </c>
      <c r="C2161" s="124">
        <v>46378</v>
      </c>
      <c r="D2161" s="124" t="s">
        <v>492</v>
      </c>
      <c r="E2161" s="21">
        <v>0.93541781999999996</v>
      </c>
      <c r="F2161" s="10"/>
      <c r="G2161" s="14">
        <v>23167422.219999999</v>
      </c>
      <c r="H2161" s="14">
        <v>21671219.57</v>
      </c>
      <c r="I2161" s="14">
        <v>23167422.219999999</v>
      </c>
      <c r="J2161" s="14">
        <v>21671219.57</v>
      </c>
      <c r="K2161" s="12">
        <v>439</v>
      </c>
      <c r="L2161" s="10" t="s">
        <v>101</v>
      </c>
      <c r="M2161" s="10" t="s">
        <v>102</v>
      </c>
      <c r="N2161" s="124" t="s">
        <v>472</v>
      </c>
      <c r="O2161" s="124" t="s">
        <v>472</v>
      </c>
      <c r="P2161" s="21">
        <v>30</v>
      </c>
      <c r="Q2161" s="10" t="s">
        <v>54</v>
      </c>
      <c r="R2161" s="10" t="s">
        <v>28</v>
      </c>
      <c r="S2161" s="10"/>
      <c r="T2161" s="10"/>
      <c r="U2161" s="10" t="s">
        <v>3188</v>
      </c>
      <c r="V2161" s="10" t="s">
        <v>3188</v>
      </c>
      <c r="W2161" s="50">
        <f>+J2161/$W$2</f>
        <v>2.881095199555827E-4</v>
      </c>
    </row>
    <row r="2162" spans="1:29">
      <c r="A2162" s="10" t="s">
        <v>208</v>
      </c>
      <c r="B2162" s="10" t="s">
        <v>381</v>
      </c>
      <c r="C2162" s="124">
        <v>46378</v>
      </c>
      <c r="D2162" s="124" t="s">
        <v>492</v>
      </c>
      <c r="E2162" s="21">
        <v>0.92941554999999998</v>
      </c>
      <c r="F2162" s="10"/>
      <c r="G2162" s="14">
        <v>2170000</v>
      </c>
      <c r="H2162" s="14">
        <v>2016831.74</v>
      </c>
      <c r="I2162" s="14">
        <v>2170000</v>
      </c>
      <c r="J2162" s="14">
        <v>2016831.74</v>
      </c>
      <c r="K2162" s="12">
        <v>260745</v>
      </c>
      <c r="L2162" s="10" t="s">
        <v>101</v>
      </c>
      <c r="M2162" s="10" t="s">
        <v>102</v>
      </c>
      <c r="N2162" s="124" t="s">
        <v>533</v>
      </c>
      <c r="O2162" s="124" t="s">
        <v>533</v>
      </c>
      <c r="P2162" s="21">
        <v>33</v>
      </c>
      <c r="Q2162" s="10" t="s">
        <v>54</v>
      </c>
      <c r="R2162" s="10" t="s">
        <v>28</v>
      </c>
      <c r="S2162" s="10"/>
      <c r="T2162" s="10"/>
      <c r="U2162" s="10" t="s">
        <v>1875</v>
      </c>
      <c r="V2162" s="10" t="s">
        <v>1875</v>
      </c>
      <c r="W2162" s="50">
        <f>+J2162/$W$2</f>
        <v>2.6812908362894804E-5</v>
      </c>
    </row>
    <row r="2163" spans="1:29">
      <c r="A2163" s="10" t="s">
        <v>1666</v>
      </c>
      <c r="B2163" s="10" t="s">
        <v>381</v>
      </c>
      <c r="C2163" s="124">
        <v>46378</v>
      </c>
      <c r="D2163" s="124" t="s">
        <v>492</v>
      </c>
      <c r="E2163" s="21">
        <v>0.93541786999999998</v>
      </c>
      <c r="F2163" s="10"/>
      <c r="G2163" s="14">
        <v>50000000</v>
      </c>
      <c r="H2163" s="14">
        <v>46770893.369999997</v>
      </c>
      <c r="I2163" s="14">
        <v>50000000</v>
      </c>
      <c r="J2163" s="14">
        <v>46770893.369999997</v>
      </c>
      <c r="K2163" s="12">
        <v>197096</v>
      </c>
      <c r="L2163" s="10" t="s">
        <v>101</v>
      </c>
      <c r="M2163" s="10" t="s">
        <v>102</v>
      </c>
      <c r="N2163" s="124" t="s">
        <v>163</v>
      </c>
      <c r="O2163" s="124" t="s">
        <v>163</v>
      </c>
      <c r="P2163" s="21">
        <v>30</v>
      </c>
      <c r="Q2163" s="10" t="s">
        <v>54</v>
      </c>
      <c r="R2163" s="10" t="s">
        <v>28</v>
      </c>
      <c r="S2163" s="10"/>
      <c r="T2163" s="10"/>
      <c r="U2163" s="10" t="s">
        <v>1607</v>
      </c>
      <c r="V2163" s="10" t="s">
        <v>1607</v>
      </c>
      <c r="W2163" s="50">
        <f>+J2163/$W$2</f>
        <v>6.2179886061319823E-4</v>
      </c>
    </row>
    <row r="2164" spans="1:29">
      <c r="A2164" s="10" t="s">
        <v>273</v>
      </c>
      <c r="B2164" s="10" t="s">
        <v>381</v>
      </c>
      <c r="C2164" s="124">
        <v>46378</v>
      </c>
      <c r="D2164" s="124" t="s">
        <v>492</v>
      </c>
      <c r="E2164" s="21">
        <v>0.93946258999999999</v>
      </c>
      <c r="F2164" s="10"/>
      <c r="G2164" s="14">
        <v>5000000</v>
      </c>
      <c r="H2164" s="14">
        <v>4697312.95</v>
      </c>
      <c r="I2164" s="14">
        <v>5000000</v>
      </c>
      <c r="J2164" s="14">
        <v>4697312.95</v>
      </c>
      <c r="K2164" s="12">
        <v>40797747</v>
      </c>
      <c r="L2164" s="10" t="s">
        <v>101</v>
      </c>
      <c r="M2164" s="10" t="s">
        <v>102</v>
      </c>
      <c r="N2164" s="124" t="s">
        <v>532</v>
      </c>
      <c r="O2164" s="124" t="s">
        <v>532</v>
      </c>
      <c r="P2164" s="21">
        <v>28</v>
      </c>
      <c r="Q2164" s="10" t="s">
        <v>54</v>
      </c>
      <c r="R2164" s="10" t="s">
        <v>28</v>
      </c>
      <c r="S2164" s="10"/>
      <c r="T2164" s="10"/>
      <c r="U2164" s="10" t="s">
        <v>3004</v>
      </c>
      <c r="V2164" s="10" t="s">
        <v>3004</v>
      </c>
      <c r="W2164" s="50">
        <f>+J2164/$W$2</f>
        <v>6.244875027610834E-5</v>
      </c>
    </row>
    <row r="2165" spans="1:29">
      <c r="A2165" s="10" t="s">
        <v>404</v>
      </c>
      <c r="B2165" s="10" t="s">
        <v>381</v>
      </c>
      <c r="C2165" s="124">
        <v>46378</v>
      </c>
      <c r="D2165" s="124" t="s">
        <v>492</v>
      </c>
      <c r="E2165" s="21">
        <v>0.94354262</v>
      </c>
      <c r="F2165" s="10"/>
      <c r="G2165" s="14">
        <v>20000000</v>
      </c>
      <c r="H2165" s="14">
        <v>18870852.350000001</v>
      </c>
      <c r="I2165" s="14">
        <v>20000000</v>
      </c>
      <c r="J2165" s="14">
        <v>18870852.350000001</v>
      </c>
      <c r="K2165" s="12">
        <v>79700361</v>
      </c>
      <c r="L2165" s="10" t="s">
        <v>101</v>
      </c>
      <c r="M2165" s="10" t="s">
        <v>102</v>
      </c>
      <c r="N2165" s="124" t="s">
        <v>361</v>
      </c>
      <c r="O2165" s="124" t="s">
        <v>361</v>
      </c>
      <c r="P2165" s="21">
        <v>26</v>
      </c>
      <c r="Q2165" s="10" t="s">
        <v>54</v>
      </c>
      <c r="R2165" s="10" t="s">
        <v>28</v>
      </c>
      <c r="S2165" s="10"/>
      <c r="T2165" s="10"/>
      <c r="U2165" s="10" t="s">
        <v>1036</v>
      </c>
      <c r="V2165" s="10" t="s">
        <v>1036</v>
      </c>
      <c r="W2165" s="50">
        <f>+J2165/$W$2</f>
        <v>2.5087984523204106E-4</v>
      </c>
    </row>
    <row r="2166" spans="1:29">
      <c r="A2166" s="10" t="s">
        <v>478</v>
      </c>
      <c r="B2166" s="10" t="s">
        <v>381</v>
      </c>
      <c r="C2166" s="124">
        <v>46378</v>
      </c>
      <c r="D2166" s="124" t="s">
        <v>492</v>
      </c>
      <c r="E2166" s="21">
        <v>0.92153109</v>
      </c>
      <c r="F2166" s="10"/>
      <c r="G2166" s="14">
        <v>15000000</v>
      </c>
      <c r="H2166" s="14">
        <v>13822966.35</v>
      </c>
      <c r="I2166" s="14">
        <v>15000000</v>
      </c>
      <c r="J2166" s="14">
        <v>13822966.35</v>
      </c>
      <c r="K2166" s="12">
        <v>90023099</v>
      </c>
      <c r="L2166" s="10" t="s">
        <v>101</v>
      </c>
      <c r="M2166" s="10" t="s">
        <v>102</v>
      </c>
      <c r="N2166" s="124" t="s">
        <v>296</v>
      </c>
      <c r="O2166" s="124" t="s">
        <v>296</v>
      </c>
      <c r="P2166" s="21">
        <v>37</v>
      </c>
      <c r="Q2166" s="10" t="s">
        <v>54</v>
      </c>
      <c r="R2166" s="10" t="s">
        <v>28</v>
      </c>
      <c r="S2166" s="10"/>
      <c r="T2166" s="10"/>
      <c r="U2166" s="10" t="s">
        <v>673</v>
      </c>
      <c r="V2166" s="10" t="s">
        <v>673</v>
      </c>
      <c r="W2166" s="50">
        <f>+J2166/$W$2</f>
        <v>1.8377037741677373E-4</v>
      </c>
    </row>
    <row r="2167" spans="1:29">
      <c r="A2167" s="10" t="s">
        <v>426</v>
      </c>
      <c r="B2167" s="10" t="s">
        <v>381</v>
      </c>
      <c r="C2167" s="124">
        <v>46378</v>
      </c>
      <c r="D2167" s="124" t="s">
        <v>492</v>
      </c>
      <c r="E2167" s="21">
        <v>0.93946258999999999</v>
      </c>
      <c r="F2167" s="10"/>
      <c r="G2167" s="14">
        <v>10000000</v>
      </c>
      <c r="H2167" s="14">
        <v>9394625.9199999999</v>
      </c>
      <c r="I2167" s="14">
        <v>10000000</v>
      </c>
      <c r="J2167" s="14">
        <v>9394625.9199999999</v>
      </c>
      <c r="K2167" s="12">
        <v>12794378</v>
      </c>
      <c r="L2167" s="10" t="s">
        <v>101</v>
      </c>
      <c r="M2167" s="10" t="s">
        <v>102</v>
      </c>
      <c r="N2167" s="124" t="s">
        <v>532</v>
      </c>
      <c r="O2167" s="124" t="s">
        <v>532</v>
      </c>
      <c r="P2167" s="21">
        <v>28</v>
      </c>
      <c r="Q2167" s="10" t="s">
        <v>54</v>
      </c>
      <c r="R2167" s="10" t="s">
        <v>28</v>
      </c>
      <c r="S2167" s="10"/>
      <c r="T2167" s="10"/>
      <c r="U2167" s="10" t="s">
        <v>3002</v>
      </c>
      <c r="V2167" s="10" t="s">
        <v>3002</v>
      </c>
      <c r="W2167" s="50">
        <f>+J2167/$W$2</f>
        <v>1.2489750081810805E-4</v>
      </c>
      <c r="AC2167" s="47"/>
    </row>
    <row r="2168" spans="1:29">
      <c r="A2168" s="10" t="s">
        <v>427</v>
      </c>
      <c r="B2168" s="10" t="s">
        <v>381</v>
      </c>
      <c r="C2168" s="124">
        <v>46378</v>
      </c>
      <c r="D2168" s="124" t="s">
        <v>492</v>
      </c>
      <c r="E2168" s="21">
        <v>0.93946275000000001</v>
      </c>
      <c r="F2168" s="10"/>
      <c r="G2168" s="14">
        <v>8400000</v>
      </c>
      <c r="H2168" s="14">
        <v>7891487.1399999997</v>
      </c>
      <c r="I2168" s="14">
        <v>8400000</v>
      </c>
      <c r="J2168" s="14">
        <v>7891487.1399999997</v>
      </c>
      <c r="K2168" s="12">
        <v>2462</v>
      </c>
      <c r="L2168" s="10" t="s">
        <v>101</v>
      </c>
      <c r="M2168" s="10" t="s">
        <v>102</v>
      </c>
      <c r="N2168" s="124" t="s">
        <v>434</v>
      </c>
      <c r="O2168" s="124" t="s">
        <v>434</v>
      </c>
      <c r="P2168" s="21">
        <v>28</v>
      </c>
      <c r="Q2168" s="10" t="s">
        <v>54</v>
      </c>
      <c r="R2168" s="10" t="s">
        <v>28</v>
      </c>
      <c r="S2168" s="10"/>
      <c r="T2168" s="10"/>
      <c r="U2168" s="10" t="s">
        <v>2974</v>
      </c>
      <c r="V2168" s="10" t="s">
        <v>2974</v>
      </c>
      <c r="W2168" s="50">
        <f>+J2168/$W$2</f>
        <v>1.0491391886354526E-4</v>
      </c>
      <c r="AC2168" s="47"/>
    </row>
    <row r="2169" spans="1:29">
      <c r="A2169" s="10" t="s">
        <v>3509</v>
      </c>
      <c r="B2169" s="10" t="s">
        <v>381</v>
      </c>
      <c r="C2169" s="124">
        <v>46378</v>
      </c>
      <c r="D2169" s="124" t="s">
        <v>492</v>
      </c>
      <c r="E2169" s="21">
        <v>0.92941556000000003</v>
      </c>
      <c r="F2169" s="10"/>
      <c r="G2169" s="14">
        <v>6355928.2300000004</v>
      </c>
      <c r="H2169" s="14">
        <v>5907298.5999999996</v>
      </c>
      <c r="I2169" s="14">
        <v>6355928.2300000004</v>
      </c>
      <c r="J2169" s="14">
        <v>5907298.5999999996</v>
      </c>
      <c r="K2169" s="12">
        <v>11545</v>
      </c>
      <c r="L2169" s="10" t="s">
        <v>101</v>
      </c>
      <c r="M2169" s="10" t="s">
        <v>102</v>
      </c>
      <c r="N2169" s="124" t="s">
        <v>678</v>
      </c>
      <c r="O2169" s="124" t="s">
        <v>678</v>
      </c>
      <c r="P2169" s="21">
        <v>33</v>
      </c>
      <c r="Q2169" s="10" t="s">
        <v>54</v>
      </c>
      <c r="R2169" s="10" t="s">
        <v>28</v>
      </c>
      <c r="S2169" s="10"/>
      <c r="T2169" s="10"/>
      <c r="U2169" s="10" t="s">
        <v>3483</v>
      </c>
      <c r="V2169" s="10" t="s">
        <v>3483</v>
      </c>
      <c r="W2169" s="50">
        <f>+J2169/$W$2</f>
        <v>7.8534987769508606E-5</v>
      </c>
      <c r="AC2169" s="47"/>
    </row>
    <row r="2170" spans="1:29">
      <c r="A2170" s="10" t="s">
        <v>3509</v>
      </c>
      <c r="B2170" s="10" t="s">
        <v>381</v>
      </c>
      <c r="C2170" s="124">
        <v>46378</v>
      </c>
      <c r="D2170" s="124" t="s">
        <v>492</v>
      </c>
      <c r="E2170" s="21">
        <v>0.92941556000000003</v>
      </c>
      <c r="F2170" s="10"/>
      <c r="G2170" s="14">
        <v>6355928.2400000002</v>
      </c>
      <c r="H2170" s="14">
        <v>5907298.6100000003</v>
      </c>
      <c r="I2170" s="14">
        <v>6355928.2400000002</v>
      </c>
      <c r="J2170" s="14">
        <v>5907298.6100000003</v>
      </c>
      <c r="K2170" s="12">
        <v>11544</v>
      </c>
      <c r="L2170" s="10" t="s">
        <v>101</v>
      </c>
      <c r="M2170" s="10" t="s">
        <v>102</v>
      </c>
      <c r="N2170" s="124" t="s">
        <v>678</v>
      </c>
      <c r="O2170" s="124" t="s">
        <v>678</v>
      </c>
      <c r="P2170" s="21">
        <v>33</v>
      </c>
      <c r="Q2170" s="10" t="s">
        <v>54</v>
      </c>
      <c r="R2170" s="10" t="s">
        <v>28</v>
      </c>
      <c r="S2170" s="10"/>
      <c r="T2170" s="10"/>
      <c r="U2170" s="10" t="s">
        <v>3485</v>
      </c>
      <c r="V2170" s="10" t="s">
        <v>3485</v>
      </c>
      <c r="W2170" s="50">
        <f>+J2170/$W$2</f>
        <v>7.8534987902454303E-5</v>
      </c>
      <c r="AC2170" s="47"/>
    </row>
    <row r="2171" spans="1:29">
      <c r="A2171" s="10" t="s">
        <v>477</v>
      </c>
      <c r="B2171" s="10" t="s">
        <v>381</v>
      </c>
      <c r="C2171" s="124">
        <v>46379</v>
      </c>
      <c r="D2171" s="124" t="s">
        <v>492</v>
      </c>
      <c r="E2171" s="21">
        <v>0.93673821000000002</v>
      </c>
      <c r="F2171" s="10"/>
      <c r="G2171" s="14">
        <v>22000000</v>
      </c>
      <c r="H2171" s="14">
        <v>20608240.59</v>
      </c>
      <c r="I2171" s="14">
        <v>22000000</v>
      </c>
      <c r="J2171" s="14">
        <v>20608240.59</v>
      </c>
      <c r="K2171" s="12">
        <v>90000360</v>
      </c>
      <c r="L2171" s="10" t="s">
        <v>101</v>
      </c>
      <c r="M2171" s="10" t="s">
        <v>102</v>
      </c>
      <c r="N2171" s="124" t="s">
        <v>678</v>
      </c>
      <c r="O2171" s="124" t="s">
        <v>678</v>
      </c>
      <c r="P2171" s="21">
        <v>29</v>
      </c>
      <c r="Q2171" s="10" t="s">
        <v>54</v>
      </c>
      <c r="R2171" s="10" t="s">
        <v>28</v>
      </c>
      <c r="S2171" s="10"/>
      <c r="T2171" s="10"/>
      <c r="U2171" s="10" t="s">
        <v>3473</v>
      </c>
      <c r="V2171" s="10" t="s">
        <v>3473</v>
      </c>
      <c r="W2171" s="50">
        <f>+J2171/$W$2</f>
        <v>2.7397767275328538E-4</v>
      </c>
    </row>
    <row r="2172" spans="1:29">
      <c r="A2172" s="10" t="s">
        <v>477</v>
      </c>
      <c r="B2172" s="10" t="s">
        <v>381</v>
      </c>
      <c r="C2172" s="124">
        <v>46379</v>
      </c>
      <c r="D2172" s="124" t="s">
        <v>492</v>
      </c>
      <c r="E2172" s="21">
        <v>0.93673821000000002</v>
      </c>
      <c r="F2172" s="10"/>
      <c r="G2172" s="14">
        <v>30000000</v>
      </c>
      <c r="H2172" s="14">
        <v>28102146.260000002</v>
      </c>
      <c r="I2172" s="14">
        <v>30000000</v>
      </c>
      <c r="J2172" s="14">
        <v>28102146.260000002</v>
      </c>
      <c r="K2172" s="12">
        <v>90000214</v>
      </c>
      <c r="L2172" s="10" t="s">
        <v>101</v>
      </c>
      <c r="M2172" s="10" t="s">
        <v>102</v>
      </c>
      <c r="N2172" s="124" t="s">
        <v>678</v>
      </c>
      <c r="O2172" s="124" t="s">
        <v>678</v>
      </c>
      <c r="P2172" s="21">
        <v>29</v>
      </c>
      <c r="Q2172" s="10" t="s">
        <v>54</v>
      </c>
      <c r="R2172" s="10" t="s">
        <v>28</v>
      </c>
      <c r="S2172" s="10"/>
      <c r="T2172" s="10"/>
      <c r="U2172" s="10" t="s">
        <v>3474</v>
      </c>
      <c r="V2172" s="10" t="s">
        <v>3474</v>
      </c>
      <c r="W2172" s="50">
        <f>+J2172/$W$2</f>
        <v>3.7360591740292972E-4</v>
      </c>
    </row>
    <row r="2173" spans="1:29">
      <c r="A2173" s="10" t="s">
        <v>477</v>
      </c>
      <c r="B2173" s="10" t="s">
        <v>381</v>
      </c>
      <c r="C2173" s="124">
        <v>46379</v>
      </c>
      <c r="D2173" s="124" t="s">
        <v>492</v>
      </c>
      <c r="E2173" s="21">
        <v>0.93673821000000002</v>
      </c>
      <c r="F2173" s="10"/>
      <c r="G2173" s="14">
        <v>10000000</v>
      </c>
      <c r="H2173" s="14">
        <v>9367382.0899999999</v>
      </c>
      <c r="I2173" s="14">
        <v>10000000</v>
      </c>
      <c r="J2173" s="14">
        <v>9367382.0899999999</v>
      </c>
      <c r="K2173" s="12">
        <v>90000280</v>
      </c>
      <c r="L2173" s="10" t="s">
        <v>101</v>
      </c>
      <c r="M2173" s="10" t="s">
        <v>102</v>
      </c>
      <c r="N2173" s="124" t="s">
        <v>678</v>
      </c>
      <c r="O2173" s="124" t="s">
        <v>678</v>
      </c>
      <c r="P2173" s="21">
        <v>29</v>
      </c>
      <c r="Q2173" s="10" t="s">
        <v>54</v>
      </c>
      <c r="R2173" s="10" t="s">
        <v>28</v>
      </c>
      <c r="S2173" s="10"/>
      <c r="T2173" s="10"/>
      <c r="U2173" s="10" t="s">
        <v>3475</v>
      </c>
      <c r="V2173" s="10" t="s">
        <v>3475</v>
      </c>
      <c r="W2173" s="50">
        <f>+J2173/$W$2</f>
        <v>1.245353058452918E-4</v>
      </c>
    </row>
    <row r="2174" spans="1:29">
      <c r="A2174" s="10" t="s">
        <v>477</v>
      </c>
      <c r="B2174" s="10" t="s">
        <v>381</v>
      </c>
      <c r="C2174" s="124">
        <v>46379</v>
      </c>
      <c r="D2174" s="124" t="s">
        <v>492</v>
      </c>
      <c r="E2174" s="21">
        <v>0.93673821000000002</v>
      </c>
      <c r="F2174" s="10"/>
      <c r="G2174" s="14">
        <v>18000000</v>
      </c>
      <c r="H2174" s="14">
        <v>16861287.75</v>
      </c>
      <c r="I2174" s="14">
        <v>18000000</v>
      </c>
      <c r="J2174" s="14">
        <v>16861287.75</v>
      </c>
      <c r="K2174" s="12">
        <v>90000356</v>
      </c>
      <c r="L2174" s="10" t="s">
        <v>101</v>
      </c>
      <c r="M2174" s="10" t="s">
        <v>102</v>
      </c>
      <c r="N2174" s="124" t="s">
        <v>678</v>
      </c>
      <c r="O2174" s="124" t="s">
        <v>678</v>
      </c>
      <c r="P2174" s="21">
        <v>29</v>
      </c>
      <c r="Q2174" s="10" t="s">
        <v>54</v>
      </c>
      <c r="R2174" s="10" t="s">
        <v>28</v>
      </c>
      <c r="S2174" s="10"/>
      <c r="T2174" s="10"/>
      <c r="U2174" s="10" t="s">
        <v>3476</v>
      </c>
      <c r="V2174" s="10" t="s">
        <v>3476</v>
      </c>
      <c r="W2174" s="50">
        <f>+J2174/$W$2</f>
        <v>2.241635503619904E-4</v>
      </c>
    </row>
    <row r="2175" spans="1:29">
      <c r="A2175" s="10" t="s">
        <v>477</v>
      </c>
      <c r="B2175" s="10" t="s">
        <v>381</v>
      </c>
      <c r="C2175" s="124">
        <v>46379</v>
      </c>
      <c r="D2175" s="124" t="s">
        <v>492</v>
      </c>
      <c r="E2175" s="21">
        <v>0.93673821000000002</v>
      </c>
      <c r="F2175" s="10"/>
      <c r="G2175" s="14">
        <v>15000000</v>
      </c>
      <c r="H2175" s="14">
        <v>14051073.130000001</v>
      </c>
      <c r="I2175" s="14">
        <v>15000000</v>
      </c>
      <c r="J2175" s="14">
        <v>14051073.130000001</v>
      </c>
      <c r="K2175" s="12">
        <v>90000247</v>
      </c>
      <c r="L2175" s="10" t="s">
        <v>101</v>
      </c>
      <c r="M2175" s="10" t="s">
        <v>102</v>
      </c>
      <c r="N2175" s="124" t="s">
        <v>678</v>
      </c>
      <c r="O2175" s="124" t="s">
        <v>678</v>
      </c>
      <c r="P2175" s="21">
        <v>29</v>
      </c>
      <c r="Q2175" s="10" t="s">
        <v>54</v>
      </c>
      <c r="R2175" s="10" t="s">
        <v>28</v>
      </c>
      <c r="S2175" s="10"/>
      <c r="T2175" s="10"/>
      <c r="U2175" s="10" t="s">
        <v>3477</v>
      </c>
      <c r="V2175" s="10" t="s">
        <v>3477</v>
      </c>
      <c r="W2175" s="50">
        <f>+J2175/$W$2</f>
        <v>1.8680295870146486E-4</v>
      </c>
    </row>
    <row r="2176" spans="1:29">
      <c r="A2176" s="10" t="s">
        <v>477</v>
      </c>
      <c r="B2176" s="10" t="s">
        <v>381</v>
      </c>
      <c r="C2176" s="124">
        <v>46379</v>
      </c>
      <c r="D2176" s="124" t="s">
        <v>492</v>
      </c>
      <c r="E2176" s="21">
        <v>0.93673821000000002</v>
      </c>
      <c r="F2176" s="10"/>
      <c r="G2176" s="14">
        <v>12000000</v>
      </c>
      <c r="H2176" s="14">
        <v>11240858.5</v>
      </c>
      <c r="I2176" s="14">
        <v>12000000</v>
      </c>
      <c r="J2176" s="14">
        <v>11240858.5</v>
      </c>
      <c r="K2176" s="12">
        <v>90000421</v>
      </c>
      <c r="L2176" s="10" t="s">
        <v>101</v>
      </c>
      <c r="M2176" s="10" t="s">
        <v>102</v>
      </c>
      <c r="N2176" s="124" t="s">
        <v>678</v>
      </c>
      <c r="O2176" s="124" t="s">
        <v>678</v>
      </c>
      <c r="P2176" s="21">
        <v>29</v>
      </c>
      <c r="Q2176" s="10" t="s">
        <v>54</v>
      </c>
      <c r="R2176" s="10" t="s">
        <v>28</v>
      </c>
      <c r="S2176" s="10"/>
      <c r="T2176" s="10"/>
      <c r="U2176" s="10" t="s">
        <v>3478</v>
      </c>
      <c r="V2176" s="10" t="s">
        <v>3478</v>
      </c>
      <c r="W2176" s="50">
        <f>+J2176/$W$2</f>
        <v>1.4944236690799361E-4</v>
      </c>
    </row>
    <row r="2177" spans="1:29">
      <c r="A2177" s="10" t="s">
        <v>477</v>
      </c>
      <c r="B2177" s="10" t="s">
        <v>381</v>
      </c>
      <c r="C2177" s="124">
        <v>46379</v>
      </c>
      <c r="D2177" s="124" t="s">
        <v>492</v>
      </c>
      <c r="E2177" s="21">
        <v>0.93673821000000002</v>
      </c>
      <c r="F2177" s="10"/>
      <c r="G2177" s="14">
        <v>24600000</v>
      </c>
      <c r="H2177" s="14">
        <v>23043759.93</v>
      </c>
      <c r="I2177" s="14">
        <v>24600000</v>
      </c>
      <c r="J2177" s="14">
        <v>23043759.93</v>
      </c>
      <c r="K2177" s="12">
        <v>90000321</v>
      </c>
      <c r="L2177" s="10" t="s">
        <v>101</v>
      </c>
      <c r="M2177" s="10" t="s">
        <v>102</v>
      </c>
      <c r="N2177" s="124" t="s">
        <v>678</v>
      </c>
      <c r="O2177" s="124" t="s">
        <v>678</v>
      </c>
      <c r="P2177" s="21">
        <v>29</v>
      </c>
      <c r="Q2177" s="10" t="s">
        <v>54</v>
      </c>
      <c r="R2177" s="10" t="s">
        <v>28</v>
      </c>
      <c r="S2177" s="10"/>
      <c r="T2177" s="10"/>
      <c r="U2177" s="10" t="s">
        <v>3479</v>
      </c>
      <c r="V2177" s="10" t="s">
        <v>3479</v>
      </c>
      <c r="W2177" s="50">
        <f>+J2177/$W$2</f>
        <v>3.0635685222785971E-4</v>
      </c>
      <c r="AC2177" s="47"/>
    </row>
    <row r="2178" spans="1:29">
      <c r="A2178" s="10" t="s">
        <v>2774</v>
      </c>
      <c r="B2178" s="10" t="s">
        <v>381</v>
      </c>
      <c r="C2178" s="124">
        <v>46379</v>
      </c>
      <c r="D2178" s="124" t="s">
        <v>492</v>
      </c>
      <c r="E2178" s="21">
        <v>0.93878602</v>
      </c>
      <c r="F2178" s="10"/>
      <c r="G2178" s="14">
        <v>70000000</v>
      </c>
      <c r="H2178" s="14">
        <v>65715021.719999999</v>
      </c>
      <c r="I2178" s="14">
        <v>70000000</v>
      </c>
      <c r="J2178" s="14">
        <v>65715021.719999999</v>
      </c>
      <c r="K2178" s="12">
        <v>11169840</v>
      </c>
      <c r="L2178" s="10" t="s">
        <v>101</v>
      </c>
      <c r="M2178" s="10" t="s">
        <v>102</v>
      </c>
      <c r="N2178" s="124" t="s">
        <v>472</v>
      </c>
      <c r="O2178" s="124" t="s">
        <v>472</v>
      </c>
      <c r="P2178" s="21">
        <v>28</v>
      </c>
      <c r="Q2178" s="10" t="s">
        <v>54</v>
      </c>
      <c r="R2178" s="10" t="s">
        <v>28</v>
      </c>
      <c r="S2178" s="10"/>
      <c r="T2178" s="10"/>
      <c r="U2178" s="10" t="s">
        <v>3185</v>
      </c>
      <c r="V2178" s="10" t="s">
        <v>3185</v>
      </c>
      <c r="W2178" s="50">
        <f>+J2178/$W$2</f>
        <v>8.7365287866998848E-4</v>
      </c>
    </row>
    <row r="2179" spans="1:29">
      <c r="A2179" s="10" t="s">
        <v>2918</v>
      </c>
      <c r="B2179" s="10" t="s">
        <v>381</v>
      </c>
      <c r="C2179" s="124">
        <v>46379</v>
      </c>
      <c r="D2179" s="124" t="s">
        <v>492</v>
      </c>
      <c r="E2179" s="21">
        <v>0.92463603000000005</v>
      </c>
      <c r="F2179" s="10"/>
      <c r="G2179" s="14">
        <v>5000000</v>
      </c>
      <c r="H2179" s="14">
        <v>4623180.1500000004</v>
      </c>
      <c r="I2179" s="14">
        <v>5000000</v>
      </c>
      <c r="J2179" s="14">
        <v>4623180.1500000004</v>
      </c>
      <c r="K2179" s="12">
        <v>545</v>
      </c>
      <c r="L2179" s="10" t="s">
        <v>101</v>
      </c>
      <c r="M2179" s="10" t="s">
        <v>102</v>
      </c>
      <c r="N2179" s="124" t="s">
        <v>486</v>
      </c>
      <c r="O2179" s="124" t="s">
        <v>486</v>
      </c>
      <c r="P2179" s="21">
        <v>35</v>
      </c>
      <c r="Q2179" s="10" t="s">
        <v>54</v>
      </c>
      <c r="R2179" s="10" t="s">
        <v>28</v>
      </c>
      <c r="S2179" s="10"/>
      <c r="T2179" s="10"/>
      <c r="U2179" s="10" t="s">
        <v>2870</v>
      </c>
      <c r="V2179" s="10" t="s">
        <v>2870</v>
      </c>
      <c r="W2179" s="50">
        <f>+J2179/$W$2</f>
        <v>6.1463186664795482E-5</v>
      </c>
    </row>
    <row r="2180" spans="1:29">
      <c r="A2180" s="10" t="s">
        <v>3267</v>
      </c>
      <c r="B2180" s="10" t="s">
        <v>381</v>
      </c>
      <c r="C2180" s="124">
        <v>46379</v>
      </c>
      <c r="D2180" s="124" t="s">
        <v>492</v>
      </c>
      <c r="E2180" s="21">
        <v>0.93266899000000003</v>
      </c>
      <c r="F2180" s="10"/>
      <c r="G2180" s="14">
        <v>619400</v>
      </c>
      <c r="H2180" s="14">
        <v>577695.17000000004</v>
      </c>
      <c r="I2180" s="14">
        <v>619400</v>
      </c>
      <c r="J2180" s="14">
        <v>577695.17000000004</v>
      </c>
      <c r="K2180" s="12">
        <v>605</v>
      </c>
      <c r="L2180" s="10" t="s">
        <v>101</v>
      </c>
      <c r="M2180" s="10" t="s">
        <v>102</v>
      </c>
      <c r="N2180" s="124" t="s">
        <v>472</v>
      </c>
      <c r="O2180" s="124" t="s">
        <v>472</v>
      </c>
      <c r="P2180" s="21">
        <v>31</v>
      </c>
      <c r="Q2180" s="10" t="s">
        <v>54</v>
      </c>
      <c r="R2180" s="10" t="s">
        <v>28</v>
      </c>
      <c r="S2180" s="10"/>
      <c r="T2180" s="10"/>
      <c r="U2180" s="10" t="s">
        <v>3200</v>
      </c>
      <c r="V2180" s="10" t="s">
        <v>3200</v>
      </c>
      <c r="W2180" s="50">
        <f>+J2180/$W$2</f>
        <v>7.6802081937172092E-6</v>
      </c>
    </row>
    <row r="2181" spans="1:29">
      <c r="A2181" s="10" t="s">
        <v>180</v>
      </c>
      <c r="B2181" s="10" t="s">
        <v>381</v>
      </c>
      <c r="C2181" s="124">
        <v>46379</v>
      </c>
      <c r="D2181" s="124" t="s">
        <v>492</v>
      </c>
      <c r="E2181" s="21">
        <v>0.94290894999999997</v>
      </c>
      <c r="F2181" s="10"/>
      <c r="G2181" s="14">
        <v>712621.85</v>
      </c>
      <c r="H2181" s="14">
        <v>671937.52</v>
      </c>
      <c r="I2181" s="14">
        <v>712621.85</v>
      </c>
      <c r="J2181" s="14">
        <v>671937.52</v>
      </c>
      <c r="K2181" s="12">
        <v>682191</v>
      </c>
      <c r="L2181" s="10" t="s">
        <v>101</v>
      </c>
      <c r="M2181" s="10" t="s">
        <v>102</v>
      </c>
      <c r="N2181" s="124" t="s">
        <v>531</v>
      </c>
      <c r="O2181" s="124" t="s">
        <v>531</v>
      </c>
      <c r="P2181" s="21">
        <v>26</v>
      </c>
      <c r="Q2181" s="10" t="s">
        <v>54</v>
      </c>
      <c r="R2181" s="10" t="s">
        <v>28</v>
      </c>
      <c r="S2181" s="10"/>
      <c r="T2181" s="10"/>
      <c r="U2181" s="10" t="s">
        <v>3447</v>
      </c>
      <c r="V2181" s="10" t="s">
        <v>3447</v>
      </c>
      <c r="W2181" s="50">
        <f>+J2181/$W$2</f>
        <v>8.9331196014154336E-6</v>
      </c>
    </row>
    <row r="2182" spans="1:29">
      <c r="A2182" s="10" t="s">
        <v>208</v>
      </c>
      <c r="B2182" s="10" t="s">
        <v>381</v>
      </c>
      <c r="C2182" s="124">
        <v>46379</v>
      </c>
      <c r="D2182" s="124" t="s">
        <v>492</v>
      </c>
      <c r="E2182" s="21">
        <v>0.92863516999999995</v>
      </c>
      <c r="F2182" s="10"/>
      <c r="G2182" s="14">
        <v>2170000</v>
      </c>
      <c r="H2182" s="14">
        <v>2015138.33</v>
      </c>
      <c r="I2182" s="14">
        <v>2170000</v>
      </c>
      <c r="J2182" s="14">
        <v>2015138.33</v>
      </c>
      <c r="K2182" s="12">
        <v>260747</v>
      </c>
      <c r="L2182" s="10" t="s">
        <v>101</v>
      </c>
      <c r="M2182" s="10" t="s">
        <v>102</v>
      </c>
      <c r="N2182" s="124" t="s">
        <v>533</v>
      </c>
      <c r="O2182" s="124" t="s">
        <v>533</v>
      </c>
      <c r="P2182" s="21">
        <v>33</v>
      </c>
      <c r="Q2182" s="10" t="s">
        <v>54</v>
      </c>
      <c r="R2182" s="10" t="s">
        <v>28</v>
      </c>
      <c r="S2182" s="10"/>
      <c r="T2182" s="10"/>
      <c r="U2182" s="10" t="s">
        <v>1868</v>
      </c>
      <c r="V2182" s="10" t="s">
        <v>1868</v>
      </c>
      <c r="W2182" s="50">
        <f>+J2182/$W$2</f>
        <v>2.6790395207111759E-5</v>
      </c>
    </row>
    <row r="2183" spans="1:29">
      <c r="A2183" s="10" t="s">
        <v>676</v>
      </c>
      <c r="B2183" s="10" t="s">
        <v>381</v>
      </c>
      <c r="C2183" s="124">
        <v>46379</v>
      </c>
      <c r="D2183" s="124" t="s">
        <v>492</v>
      </c>
      <c r="E2183" s="21">
        <v>0.92863503999999997</v>
      </c>
      <c r="F2183" s="10"/>
      <c r="G2183" s="14">
        <v>5800000</v>
      </c>
      <c r="H2183" s="14">
        <v>5386083.2199999997</v>
      </c>
      <c r="I2183" s="14">
        <v>5800000</v>
      </c>
      <c r="J2183" s="14">
        <v>5386083.2199999997</v>
      </c>
      <c r="K2183" s="12">
        <v>6578</v>
      </c>
      <c r="L2183" s="10" t="s">
        <v>101</v>
      </c>
      <c r="M2183" s="10" t="s">
        <v>102</v>
      </c>
      <c r="N2183" s="124" t="s">
        <v>417</v>
      </c>
      <c r="O2183" s="124" t="s">
        <v>417</v>
      </c>
      <c r="P2183" s="21">
        <v>33</v>
      </c>
      <c r="Q2183" s="10" t="s">
        <v>54</v>
      </c>
      <c r="R2183" s="10" t="s">
        <v>28</v>
      </c>
      <c r="S2183" s="10"/>
      <c r="T2183" s="10"/>
      <c r="U2183" s="10" t="s">
        <v>1680</v>
      </c>
      <c r="V2183" s="10" t="s">
        <v>1680</v>
      </c>
      <c r="W2183" s="50">
        <f>+J2183/$W$2</f>
        <v>7.1605654030804466E-5</v>
      </c>
    </row>
    <row r="2184" spans="1:29">
      <c r="A2184" s="10" t="s">
        <v>3512</v>
      </c>
      <c r="B2184" s="10" t="s">
        <v>381</v>
      </c>
      <c r="C2184" s="124">
        <v>46379</v>
      </c>
      <c r="D2184" s="124" t="s">
        <v>492</v>
      </c>
      <c r="E2184" s="21">
        <v>0.92863516000000002</v>
      </c>
      <c r="F2184" s="10"/>
      <c r="G2184" s="14">
        <v>80000000</v>
      </c>
      <c r="H2184" s="14">
        <v>74290812.5</v>
      </c>
      <c r="I2184" s="14">
        <v>80000000</v>
      </c>
      <c r="J2184" s="14">
        <v>74290812.5</v>
      </c>
      <c r="K2184" s="12">
        <v>3037</v>
      </c>
      <c r="L2184" s="10" t="s">
        <v>101</v>
      </c>
      <c r="M2184" s="10" t="s">
        <v>102</v>
      </c>
      <c r="N2184" s="124" t="s">
        <v>678</v>
      </c>
      <c r="O2184" s="124" t="s">
        <v>678</v>
      </c>
      <c r="P2184" s="21">
        <v>33</v>
      </c>
      <c r="Q2184" s="10" t="s">
        <v>54</v>
      </c>
      <c r="R2184" s="10" t="s">
        <v>28</v>
      </c>
      <c r="S2184" s="10"/>
      <c r="T2184" s="10"/>
      <c r="U2184" s="10" t="s">
        <v>3500</v>
      </c>
      <c r="V2184" s="10" t="s">
        <v>3500</v>
      </c>
      <c r="W2184" s="50">
        <f>+J2184/$W$2</f>
        <v>9.876643193683077E-4</v>
      </c>
    </row>
    <row r="2185" spans="1:29">
      <c r="A2185" s="10" t="s">
        <v>762</v>
      </c>
      <c r="B2185" s="10" t="s">
        <v>381</v>
      </c>
      <c r="C2185" s="124">
        <v>46379</v>
      </c>
      <c r="D2185" s="124" t="s">
        <v>492</v>
      </c>
      <c r="E2185" s="21">
        <v>0.93878616000000004</v>
      </c>
      <c r="F2185" s="10"/>
      <c r="G2185" s="14">
        <v>50000000</v>
      </c>
      <c r="H2185" s="14">
        <v>46939308.009999998</v>
      </c>
      <c r="I2185" s="14">
        <v>50000000</v>
      </c>
      <c r="J2185" s="14">
        <v>46939308.009999998</v>
      </c>
      <c r="K2185" s="12">
        <v>580</v>
      </c>
      <c r="L2185" s="10" t="s">
        <v>101</v>
      </c>
      <c r="M2185" s="10" t="s">
        <v>102</v>
      </c>
      <c r="N2185" s="124" t="s">
        <v>486</v>
      </c>
      <c r="O2185" s="124" t="s">
        <v>486</v>
      </c>
      <c r="P2185" s="21">
        <v>28</v>
      </c>
      <c r="Q2185" s="10" t="s">
        <v>54</v>
      </c>
      <c r="R2185" s="10" t="s">
        <v>28</v>
      </c>
      <c r="S2185" s="10"/>
      <c r="T2185" s="10"/>
      <c r="U2185" s="10" t="s">
        <v>2813</v>
      </c>
      <c r="V2185" s="10" t="s">
        <v>2813</v>
      </c>
      <c r="W2185" s="50">
        <f>+J2185/$W$2</f>
        <v>6.2403786063473202E-4</v>
      </c>
    </row>
    <row r="2186" spans="1:29">
      <c r="A2186" s="10" t="s">
        <v>762</v>
      </c>
      <c r="B2186" s="10" t="s">
        <v>381</v>
      </c>
      <c r="C2186" s="124">
        <v>46379</v>
      </c>
      <c r="D2186" s="124" t="s">
        <v>492</v>
      </c>
      <c r="E2186" s="21">
        <v>0.93469915000000003</v>
      </c>
      <c r="F2186" s="10"/>
      <c r="G2186" s="14">
        <v>83000000</v>
      </c>
      <c r="H2186" s="14">
        <v>77580029.489999995</v>
      </c>
      <c r="I2186" s="14">
        <v>83000000</v>
      </c>
      <c r="J2186" s="14">
        <v>77580029.489999995</v>
      </c>
      <c r="K2186" s="12">
        <v>68158784</v>
      </c>
      <c r="L2186" s="10" t="s">
        <v>101</v>
      </c>
      <c r="M2186" s="10" t="s">
        <v>102</v>
      </c>
      <c r="N2186" s="124" t="s">
        <v>530</v>
      </c>
      <c r="O2186" s="124" t="s">
        <v>530</v>
      </c>
      <c r="P2186" s="21">
        <v>30</v>
      </c>
      <c r="Q2186" s="10" t="s">
        <v>54</v>
      </c>
      <c r="R2186" s="10" t="s">
        <v>28</v>
      </c>
      <c r="S2186" s="10"/>
      <c r="T2186" s="10"/>
      <c r="U2186" s="10" t="s">
        <v>851</v>
      </c>
      <c r="V2186" s="10" t="s">
        <v>851</v>
      </c>
      <c r="W2186" s="50">
        <f>+J2186/$W$2</f>
        <v>1.0313930410010537E-3</v>
      </c>
    </row>
    <row r="2187" spans="1:29">
      <c r="A2187" s="10" t="s">
        <v>1666</v>
      </c>
      <c r="B2187" s="10" t="s">
        <v>381</v>
      </c>
      <c r="C2187" s="124">
        <v>46379</v>
      </c>
      <c r="D2187" s="124" t="s">
        <v>492</v>
      </c>
      <c r="E2187" s="21">
        <v>0.93469919000000001</v>
      </c>
      <c r="F2187" s="10"/>
      <c r="G2187" s="14">
        <v>50000000</v>
      </c>
      <c r="H2187" s="14">
        <v>46734959.460000001</v>
      </c>
      <c r="I2187" s="14">
        <v>50000000</v>
      </c>
      <c r="J2187" s="14">
        <v>46734959.460000001</v>
      </c>
      <c r="K2187" s="12">
        <v>163597</v>
      </c>
      <c r="L2187" s="10" t="s">
        <v>101</v>
      </c>
      <c r="M2187" s="10" t="s">
        <v>102</v>
      </c>
      <c r="N2187" s="124" t="s">
        <v>163</v>
      </c>
      <c r="O2187" s="124" t="s">
        <v>163</v>
      </c>
      <c r="P2187" s="21">
        <v>30</v>
      </c>
      <c r="Q2187" s="10" t="s">
        <v>54</v>
      </c>
      <c r="R2187" s="10" t="s">
        <v>28</v>
      </c>
      <c r="S2187" s="10"/>
      <c r="T2187" s="10"/>
      <c r="U2187" s="10" t="s">
        <v>1608</v>
      </c>
      <c r="V2187" s="10" t="s">
        <v>1608</v>
      </c>
      <c r="W2187" s="50">
        <f>+J2187/$W$2</f>
        <v>6.2132113477378326E-4</v>
      </c>
    </row>
    <row r="2188" spans="1:29">
      <c r="A2188" s="10" t="s">
        <v>1666</v>
      </c>
      <c r="B2188" s="10" t="s">
        <v>381</v>
      </c>
      <c r="C2188" s="124">
        <v>46379</v>
      </c>
      <c r="D2188" s="124" t="s">
        <v>492</v>
      </c>
      <c r="E2188" s="21">
        <v>0.93469919000000001</v>
      </c>
      <c r="F2188" s="10"/>
      <c r="G2188" s="14">
        <v>50000000</v>
      </c>
      <c r="H2188" s="14">
        <v>46734959.460000001</v>
      </c>
      <c r="I2188" s="14">
        <v>50000000</v>
      </c>
      <c r="J2188" s="14">
        <v>46734959.460000001</v>
      </c>
      <c r="K2188" s="12">
        <v>197097</v>
      </c>
      <c r="L2188" s="10" t="s">
        <v>101</v>
      </c>
      <c r="M2188" s="10" t="s">
        <v>102</v>
      </c>
      <c r="N2188" s="124" t="s">
        <v>163</v>
      </c>
      <c r="O2188" s="124" t="s">
        <v>163</v>
      </c>
      <c r="P2188" s="21">
        <v>30</v>
      </c>
      <c r="Q2188" s="10" t="s">
        <v>54</v>
      </c>
      <c r="R2188" s="10" t="s">
        <v>28</v>
      </c>
      <c r="S2188" s="10"/>
      <c r="T2188" s="10"/>
      <c r="U2188" s="10" t="s">
        <v>1609</v>
      </c>
      <c r="V2188" s="10" t="s">
        <v>1609</v>
      </c>
      <c r="W2188" s="50">
        <f>+J2188/$W$2</f>
        <v>6.2132113477378326E-4</v>
      </c>
    </row>
    <row r="2189" spans="1:29">
      <c r="A2189" s="10" t="s">
        <v>1667</v>
      </c>
      <c r="B2189" s="10" t="s">
        <v>381</v>
      </c>
      <c r="C2189" s="124">
        <v>46379</v>
      </c>
      <c r="D2189" s="124" t="s">
        <v>492</v>
      </c>
      <c r="E2189" s="21">
        <v>0.93469919000000001</v>
      </c>
      <c r="F2189" s="10"/>
      <c r="G2189" s="14">
        <v>50000000</v>
      </c>
      <c r="H2189" s="14">
        <v>46734959.460000001</v>
      </c>
      <c r="I2189" s="14">
        <v>50000000</v>
      </c>
      <c r="J2189" s="14">
        <v>46734959.460000001</v>
      </c>
      <c r="K2189" s="12">
        <v>196470</v>
      </c>
      <c r="L2189" s="10" t="s">
        <v>101</v>
      </c>
      <c r="M2189" s="10" t="s">
        <v>102</v>
      </c>
      <c r="N2189" s="124" t="s">
        <v>163</v>
      </c>
      <c r="O2189" s="124" t="s">
        <v>163</v>
      </c>
      <c r="P2189" s="21">
        <v>30</v>
      </c>
      <c r="Q2189" s="10" t="s">
        <v>54</v>
      </c>
      <c r="R2189" s="10" t="s">
        <v>28</v>
      </c>
      <c r="S2189" s="10"/>
      <c r="T2189" s="10"/>
      <c r="U2189" s="10" t="s">
        <v>1612</v>
      </c>
      <c r="V2189" s="10" t="s">
        <v>1612</v>
      </c>
      <c r="W2189" s="50">
        <f>+J2189/$W$2</f>
        <v>6.2132113477378326E-4</v>
      </c>
    </row>
    <row r="2190" spans="1:29">
      <c r="A2190" s="10" t="s">
        <v>2162</v>
      </c>
      <c r="B2190" s="10" t="s">
        <v>381</v>
      </c>
      <c r="C2190" s="124">
        <v>46379</v>
      </c>
      <c r="D2190" s="124" t="s">
        <v>492</v>
      </c>
      <c r="E2190" s="21">
        <v>0.92463603999999999</v>
      </c>
      <c r="F2190" s="10"/>
      <c r="G2190" s="14">
        <v>15000000</v>
      </c>
      <c r="H2190" s="14">
        <v>13869540.67</v>
      </c>
      <c r="I2190" s="14">
        <v>15000000</v>
      </c>
      <c r="J2190" s="14">
        <v>13869540.67</v>
      </c>
      <c r="K2190" s="12">
        <v>50535</v>
      </c>
      <c r="L2190" s="10" t="s">
        <v>101</v>
      </c>
      <c r="M2190" s="10" t="s">
        <v>102</v>
      </c>
      <c r="N2190" s="124" t="s">
        <v>416</v>
      </c>
      <c r="O2190" s="124" t="s">
        <v>416</v>
      </c>
      <c r="P2190" s="21">
        <v>35</v>
      </c>
      <c r="Q2190" s="10" t="s">
        <v>54</v>
      </c>
      <c r="R2190" s="10" t="s">
        <v>28</v>
      </c>
      <c r="S2190" s="10"/>
      <c r="T2190" s="10"/>
      <c r="U2190" s="10" t="s">
        <v>2134</v>
      </c>
      <c r="V2190" s="10" t="s">
        <v>2134</v>
      </c>
      <c r="W2190" s="50">
        <f>+J2190/$W$2</f>
        <v>1.8438956291919157E-4</v>
      </c>
    </row>
    <row r="2191" spans="1:29">
      <c r="A2191" s="10" t="s">
        <v>1063</v>
      </c>
      <c r="B2191" s="10" t="s">
        <v>381</v>
      </c>
      <c r="C2191" s="124">
        <v>46379</v>
      </c>
      <c r="D2191" s="124" t="s">
        <v>492</v>
      </c>
      <c r="E2191" s="21">
        <v>0.92863523999999997</v>
      </c>
      <c r="F2191" s="10"/>
      <c r="G2191" s="14">
        <v>11666666.66</v>
      </c>
      <c r="H2191" s="14">
        <v>10834077.82</v>
      </c>
      <c r="I2191" s="14">
        <v>11666666.66</v>
      </c>
      <c r="J2191" s="14">
        <v>10834077.82</v>
      </c>
      <c r="K2191" s="12">
        <v>69879019</v>
      </c>
      <c r="L2191" s="10" t="s">
        <v>101</v>
      </c>
      <c r="M2191" s="10" t="s">
        <v>102</v>
      </c>
      <c r="N2191" s="124" t="s">
        <v>532</v>
      </c>
      <c r="O2191" s="124" t="s">
        <v>532</v>
      </c>
      <c r="P2191" s="21">
        <v>33</v>
      </c>
      <c r="Q2191" s="10" t="s">
        <v>54</v>
      </c>
      <c r="R2191" s="10" t="s">
        <v>28</v>
      </c>
      <c r="S2191" s="10"/>
      <c r="T2191" s="10"/>
      <c r="U2191" s="10" t="s">
        <v>3089</v>
      </c>
      <c r="V2191" s="10" t="s">
        <v>3089</v>
      </c>
      <c r="W2191" s="50">
        <f>+J2191/$W$2</f>
        <v>1.4403439316367121E-4</v>
      </c>
    </row>
    <row r="2192" spans="1:29">
      <c r="A2192" s="10" t="s">
        <v>1505</v>
      </c>
      <c r="B2192" s="10" t="s">
        <v>381</v>
      </c>
      <c r="C2192" s="124">
        <v>46379</v>
      </c>
      <c r="D2192" s="124" t="s">
        <v>492</v>
      </c>
      <c r="E2192" s="21">
        <v>0.93878609999999996</v>
      </c>
      <c r="F2192" s="10"/>
      <c r="G2192" s="14">
        <v>150000000</v>
      </c>
      <c r="H2192" s="14">
        <v>140817914.47999999</v>
      </c>
      <c r="I2192" s="14">
        <v>150000000</v>
      </c>
      <c r="J2192" s="14">
        <v>140817914.47999999</v>
      </c>
      <c r="K2192" s="12">
        <v>90000174</v>
      </c>
      <c r="L2192" s="10" t="s">
        <v>101</v>
      </c>
      <c r="M2192" s="10" t="s">
        <v>102</v>
      </c>
      <c r="N2192" s="124" t="s">
        <v>414</v>
      </c>
      <c r="O2192" s="124" t="s">
        <v>414</v>
      </c>
      <c r="P2192" s="21">
        <v>28</v>
      </c>
      <c r="Q2192" s="10" t="s">
        <v>54</v>
      </c>
      <c r="R2192" s="10" t="s">
        <v>28</v>
      </c>
      <c r="S2192" s="10"/>
      <c r="T2192" s="10"/>
      <c r="U2192" s="10" t="s">
        <v>1477</v>
      </c>
      <c r="V2192" s="10" t="s">
        <v>1477</v>
      </c>
      <c r="W2192" s="50">
        <f>+J2192/$W$2</f>
        <v>1.8721134549410637E-3</v>
      </c>
    </row>
    <row r="2193" spans="1:23">
      <c r="A2193" s="10" t="s">
        <v>404</v>
      </c>
      <c r="B2193" s="10" t="s">
        <v>381</v>
      </c>
      <c r="C2193" s="124">
        <v>46379</v>
      </c>
      <c r="D2193" s="124" t="s">
        <v>492</v>
      </c>
      <c r="E2193" s="21">
        <v>0.94290883999999997</v>
      </c>
      <c r="F2193" s="10"/>
      <c r="G2193" s="14">
        <v>20000000</v>
      </c>
      <c r="H2193" s="14">
        <v>18858176.84</v>
      </c>
      <c r="I2193" s="14">
        <v>20000000</v>
      </c>
      <c r="J2193" s="14">
        <v>18858176.84</v>
      </c>
      <c r="K2193" s="12">
        <v>79700362</v>
      </c>
      <c r="L2193" s="10" t="s">
        <v>101</v>
      </c>
      <c r="M2193" s="10" t="s">
        <v>102</v>
      </c>
      <c r="N2193" s="124" t="s">
        <v>361</v>
      </c>
      <c r="O2193" s="124" t="s">
        <v>361</v>
      </c>
      <c r="P2193" s="21">
        <v>26</v>
      </c>
      <c r="Q2193" s="10" t="s">
        <v>54</v>
      </c>
      <c r="R2193" s="10" t="s">
        <v>28</v>
      </c>
      <c r="S2193" s="10"/>
      <c r="T2193" s="10"/>
      <c r="U2193" s="10" t="s">
        <v>1035</v>
      </c>
      <c r="V2193" s="10" t="s">
        <v>1035</v>
      </c>
      <c r="W2193" s="50">
        <f>+J2193/$W$2</f>
        <v>2.5071132979203567E-4</v>
      </c>
    </row>
    <row r="2194" spans="1:23">
      <c r="A2194" s="10" t="s">
        <v>404</v>
      </c>
      <c r="B2194" s="10" t="s">
        <v>381</v>
      </c>
      <c r="C2194" s="124">
        <v>46379</v>
      </c>
      <c r="D2194" s="124" t="s">
        <v>492</v>
      </c>
      <c r="E2194" s="21">
        <v>0.93673817999999998</v>
      </c>
      <c r="F2194" s="10"/>
      <c r="G2194" s="14">
        <v>10000000</v>
      </c>
      <c r="H2194" s="14">
        <v>9367381.8000000007</v>
      </c>
      <c r="I2194" s="14">
        <v>10000000</v>
      </c>
      <c r="J2194" s="14">
        <v>9367381.8000000007</v>
      </c>
      <c r="K2194" s="12">
        <v>90002277</v>
      </c>
      <c r="L2194" s="10" t="s">
        <v>101</v>
      </c>
      <c r="M2194" s="10" t="s">
        <v>102</v>
      </c>
      <c r="N2194" s="124" t="s">
        <v>677</v>
      </c>
      <c r="O2194" s="124" t="s">
        <v>677</v>
      </c>
      <c r="P2194" s="21">
        <v>29</v>
      </c>
      <c r="Q2194" s="10" t="s">
        <v>54</v>
      </c>
      <c r="R2194" s="10" t="s">
        <v>28</v>
      </c>
      <c r="S2194" s="10"/>
      <c r="T2194" s="10"/>
      <c r="U2194" s="10" t="s">
        <v>3318</v>
      </c>
      <c r="V2194" s="10" t="s">
        <v>3318</v>
      </c>
      <c r="W2194" s="50">
        <f>+J2194/$W$2</f>
        <v>1.2453530198986684E-4</v>
      </c>
    </row>
    <row r="2195" spans="1:23">
      <c r="A2195" s="10" t="s">
        <v>686</v>
      </c>
      <c r="B2195" s="10" t="s">
        <v>381</v>
      </c>
      <c r="C2195" s="124">
        <v>46379</v>
      </c>
      <c r="D2195" s="124" t="s">
        <v>492</v>
      </c>
      <c r="E2195" s="21">
        <v>0.92264924999999998</v>
      </c>
      <c r="F2195" s="10"/>
      <c r="G2195" s="14">
        <v>20078937.030000001</v>
      </c>
      <c r="H2195" s="14">
        <v>18525816.140000001</v>
      </c>
      <c r="I2195" s="14">
        <v>20078937.030000001</v>
      </c>
      <c r="J2195" s="14">
        <v>18525816.140000001</v>
      </c>
      <c r="K2195" s="12">
        <v>67998257</v>
      </c>
      <c r="L2195" s="10" t="s">
        <v>101</v>
      </c>
      <c r="M2195" s="10" t="s">
        <v>102</v>
      </c>
      <c r="N2195" s="124" t="s">
        <v>395</v>
      </c>
      <c r="O2195" s="124" t="s">
        <v>395</v>
      </c>
      <c r="P2195" s="21">
        <v>36</v>
      </c>
      <c r="Q2195" s="10" t="s">
        <v>54</v>
      </c>
      <c r="R2195" s="10" t="s">
        <v>28</v>
      </c>
      <c r="S2195" s="10"/>
      <c r="T2195" s="10"/>
      <c r="U2195" s="10" t="s">
        <v>821</v>
      </c>
      <c r="V2195" s="10" t="s">
        <v>821</v>
      </c>
      <c r="W2195" s="50">
        <f>+J2195/$W$2</f>
        <v>2.4629273759329949E-4</v>
      </c>
    </row>
    <row r="2196" spans="1:23">
      <c r="A2196" s="10" t="s">
        <v>222</v>
      </c>
      <c r="B2196" s="10" t="s">
        <v>381</v>
      </c>
      <c r="C2196" s="124">
        <v>46379</v>
      </c>
      <c r="D2196" s="124" t="s">
        <v>492</v>
      </c>
      <c r="E2196" s="21">
        <v>0.92863507000000001</v>
      </c>
      <c r="F2196" s="10"/>
      <c r="G2196" s="14">
        <v>25000000</v>
      </c>
      <c r="H2196" s="14">
        <v>23215876.699999999</v>
      </c>
      <c r="I2196" s="14">
        <v>25000000</v>
      </c>
      <c r="J2196" s="14">
        <v>23215876.699999999</v>
      </c>
      <c r="K2196" s="12">
        <v>475889</v>
      </c>
      <c r="L2196" s="10" t="s">
        <v>101</v>
      </c>
      <c r="M2196" s="10" t="s">
        <v>102</v>
      </c>
      <c r="N2196" s="124" t="s">
        <v>349</v>
      </c>
      <c r="O2196" s="124" t="s">
        <v>349</v>
      </c>
      <c r="P2196" s="21">
        <v>33</v>
      </c>
      <c r="Q2196" s="10" t="s">
        <v>54</v>
      </c>
      <c r="R2196" s="10" t="s">
        <v>28</v>
      </c>
      <c r="S2196" s="10"/>
      <c r="T2196" s="10"/>
      <c r="U2196" s="10" t="s">
        <v>1357</v>
      </c>
      <c r="V2196" s="10" t="s">
        <v>1357</v>
      </c>
      <c r="W2196" s="50">
        <f>+J2196/$W$2</f>
        <v>3.0864507047145373E-4</v>
      </c>
    </row>
    <row r="2197" spans="1:23">
      <c r="A2197" s="10" t="s">
        <v>392</v>
      </c>
      <c r="B2197" s="10" t="s">
        <v>381</v>
      </c>
      <c r="C2197" s="124">
        <v>46379</v>
      </c>
      <c r="D2197" s="124" t="s">
        <v>492</v>
      </c>
      <c r="E2197" s="21">
        <v>0.92663119999999999</v>
      </c>
      <c r="F2197" s="10"/>
      <c r="G2197" s="14">
        <v>4000000</v>
      </c>
      <c r="H2197" s="14">
        <v>3706524.79</v>
      </c>
      <c r="I2197" s="14">
        <v>4000000</v>
      </c>
      <c r="J2197" s="14">
        <v>3706524.79</v>
      </c>
      <c r="K2197" s="12">
        <v>90000055</v>
      </c>
      <c r="L2197" s="10" t="s">
        <v>101</v>
      </c>
      <c r="M2197" s="10" t="s">
        <v>102</v>
      </c>
      <c r="N2197" s="124" t="s">
        <v>331</v>
      </c>
      <c r="O2197" s="124" t="s">
        <v>331</v>
      </c>
      <c r="P2197" s="21">
        <v>34</v>
      </c>
      <c r="Q2197" s="10" t="s">
        <v>54</v>
      </c>
      <c r="R2197" s="10" t="s">
        <v>28</v>
      </c>
      <c r="S2197" s="10"/>
      <c r="T2197" s="10"/>
      <c r="U2197" s="10" t="s">
        <v>696</v>
      </c>
      <c r="V2197" s="10" t="s">
        <v>696</v>
      </c>
      <c r="W2197" s="50">
        <f>+J2197/$W$2</f>
        <v>4.9276648898369635E-5</v>
      </c>
    </row>
    <row r="2198" spans="1:23">
      <c r="A2198" s="10" t="s">
        <v>465</v>
      </c>
      <c r="B2198" s="10" t="s">
        <v>381</v>
      </c>
      <c r="C2198" s="124">
        <v>46379</v>
      </c>
      <c r="D2198" s="124" t="s">
        <v>492</v>
      </c>
      <c r="E2198" s="21">
        <v>0.92863516000000002</v>
      </c>
      <c r="F2198" s="10"/>
      <c r="G2198" s="14">
        <v>25000000</v>
      </c>
      <c r="H2198" s="14">
        <v>23215879.059999999</v>
      </c>
      <c r="I2198" s="14">
        <v>25000000</v>
      </c>
      <c r="J2198" s="14">
        <v>23215879.059999999</v>
      </c>
      <c r="K2198" s="12">
        <v>14422659</v>
      </c>
      <c r="L2198" s="10" t="s">
        <v>101</v>
      </c>
      <c r="M2198" s="10" t="s">
        <v>102</v>
      </c>
      <c r="N2198" s="124" t="s">
        <v>421</v>
      </c>
      <c r="O2198" s="124" t="s">
        <v>421</v>
      </c>
      <c r="P2198" s="21">
        <v>33</v>
      </c>
      <c r="Q2198" s="10" t="s">
        <v>54</v>
      </c>
      <c r="R2198" s="10" t="s">
        <v>28</v>
      </c>
      <c r="S2198" s="10"/>
      <c r="T2198" s="10"/>
      <c r="U2198" s="10" t="s">
        <v>2098</v>
      </c>
      <c r="V2198" s="10" t="s">
        <v>2098</v>
      </c>
      <c r="W2198" s="50">
        <f>+J2198/$W$2</f>
        <v>3.0864510184663613E-4</v>
      </c>
    </row>
    <row r="2199" spans="1:23">
      <c r="A2199" s="10" t="s">
        <v>2915</v>
      </c>
      <c r="B2199" s="10" t="s">
        <v>381</v>
      </c>
      <c r="C2199" s="124">
        <v>46379</v>
      </c>
      <c r="D2199" s="124" t="s">
        <v>492</v>
      </c>
      <c r="E2199" s="21">
        <v>0.93878613</v>
      </c>
      <c r="F2199" s="10"/>
      <c r="G2199" s="14">
        <v>5000000</v>
      </c>
      <c r="H2199" s="14">
        <v>4693930.63</v>
      </c>
      <c r="I2199" s="14">
        <v>5000000</v>
      </c>
      <c r="J2199" s="14">
        <v>4693930.63</v>
      </c>
      <c r="K2199" s="12">
        <v>17</v>
      </c>
      <c r="L2199" s="10" t="s">
        <v>101</v>
      </c>
      <c r="M2199" s="10" t="s">
        <v>102</v>
      </c>
      <c r="N2199" s="124" t="s">
        <v>434</v>
      </c>
      <c r="O2199" s="124" t="s">
        <v>434</v>
      </c>
      <c r="P2199" s="21">
        <v>28</v>
      </c>
      <c r="Q2199" s="10" t="s">
        <v>54</v>
      </c>
      <c r="R2199" s="10" t="s">
        <v>28</v>
      </c>
      <c r="S2199" s="10"/>
      <c r="T2199" s="10"/>
      <c r="U2199" s="10" t="s">
        <v>2981</v>
      </c>
      <c r="V2199" s="10" t="s">
        <v>2981</v>
      </c>
      <c r="W2199" s="50">
        <f>+J2199/$W$2</f>
        <v>6.2403783790101932E-5</v>
      </c>
    </row>
    <row r="2200" spans="1:23">
      <c r="A2200" s="10" t="s">
        <v>426</v>
      </c>
      <c r="B2200" s="10" t="s">
        <v>381</v>
      </c>
      <c r="C2200" s="124">
        <v>46379</v>
      </c>
      <c r="D2200" s="124" t="s">
        <v>492</v>
      </c>
      <c r="E2200" s="21">
        <v>0.93571751000000003</v>
      </c>
      <c r="F2200" s="10"/>
      <c r="G2200" s="14">
        <v>5633315</v>
      </c>
      <c r="H2200" s="14">
        <v>5271191.47</v>
      </c>
      <c r="I2200" s="14">
        <v>5633315</v>
      </c>
      <c r="J2200" s="14">
        <v>5271191.47</v>
      </c>
      <c r="K2200" s="12">
        <v>69874632</v>
      </c>
      <c r="L2200" s="10" t="s">
        <v>101</v>
      </c>
      <c r="M2200" s="10" t="s">
        <v>102</v>
      </c>
      <c r="N2200" s="124" t="s">
        <v>472</v>
      </c>
      <c r="O2200" s="124" t="s">
        <v>472</v>
      </c>
      <c r="P2200" s="21">
        <v>29.5</v>
      </c>
      <c r="Q2200" s="10" t="s">
        <v>54</v>
      </c>
      <c r="R2200" s="10" t="s">
        <v>28</v>
      </c>
      <c r="S2200" s="10"/>
      <c r="T2200" s="10"/>
      <c r="U2200" s="10" t="s">
        <v>3159</v>
      </c>
      <c r="V2200" s="10" t="s">
        <v>3159</v>
      </c>
      <c r="W2200" s="50">
        <f>+J2200/$W$2</f>
        <v>7.007821775374417E-5</v>
      </c>
    </row>
    <row r="2201" spans="1:23">
      <c r="A2201" s="10" t="s">
        <v>427</v>
      </c>
      <c r="B2201" s="10" t="s">
        <v>381</v>
      </c>
      <c r="C2201" s="124">
        <v>46379</v>
      </c>
      <c r="D2201" s="124" t="s">
        <v>492</v>
      </c>
      <c r="E2201" s="21">
        <v>0.94084298</v>
      </c>
      <c r="F2201" s="10"/>
      <c r="G2201" s="14">
        <v>265000000</v>
      </c>
      <c r="H2201" s="14">
        <v>249323389.91</v>
      </c>
      <c r="I2201" s="14">
        <v>265000000</v>
      </c>
      <c r="J2201" s="14">
        <v>249323389.91</v>
      </c>
      <c r="K2201" s="12">
        <v>13200</v>
      </c>
      <c r="L2201" s="10" t="s">
        <v>101</v>
      </c>
      <c r="M2201" s="10" t="s">
        <v>102</v>
      </c>
      <c r="N2201" s="124" t="s">
        <v>422</v>
      </c>
      <c r="O2201" s="124" t="s">
        <v>422</v>
      </c>
      <c r="P2201" s="21">
        <v>27</v>
      </c>
      <c r="Q2201" s="10" t="s">
        <v>54</v>
      </c>
      <c r="R2201" s="10" t="s">
        <v>28</v>
      </c>
      <c r="S2201" s="10"/>
      <c r="T2201" s="10"/>
      <c r="U2201" s="10" t="s">
        <v>2712</v>
      </c>
      <c r="V2201" s="10" t="s">
        <v>2712</v>
      </c>
      <c r="W2201" s="50">
        <f>+J2201/$W$2</f>
        <v>3.3146469652362378E-3</v>
      </c>
    </row>
    <row r="2202" spans="1:23">
      <c r="A2202" s="10" t="s">
        <v>675</v>
      </c>
      <c r="B2202" s="10" t="s">
        <v>381</v>
      </c>
      <c r="C2202" s="124">
        <v>46384</v>
      </c>
      <c r="D2202" s="124" t="s">
        <v>492</v>
      </c>
      <c r="E2202" s="21">
        <v>0.93112249000000002</v>
      </c>
      <c r="F2202" s="10"/>
      <c r="G2202" s="14">
        <v>15000000</v>
      </c>
      <c r="H2202" s="14">
        <v>13966837.279999999</v>
      </c>
      <c r="I2202" s="14">
        <v>15000000</v>
      </c>
      <c r="J2202" s="14">
        <v>13966837.279999999</v>
      </c>
      <c r="K2202" s="12">
        <v>90004193</v>
      </c>
      <c r="L2202" s="10" t="s">
        <v>101</v>
      </c>
      <c r="M2202" s="10" t="s">
        <v>102</v>
      </c>
      <c r="N2202" s="124" t="s">
        <v>434</v>
      </c>
      <c r="O2202" s="124" t="s">
        <v>434</v>
      </c>
      <c r="P2202" s="21">
        <v>30</v>
      </c>
      <c r="Q2202" s="10" t="s">
        <v>54</v>
      </c>
      <c r="R2202" s="10" t="s">
        <v>28</v>
      </c>
      <c r="S2202" s="10"/>
      <c r="T2202" s="10"/>
      <c r="U2202" s="10" t="s">
        <v>2934</v>
      </c>
      <c r="V2202" s="10" t="s">
        <v>2934</v>
      </c>
      <c r="W2202" s="50">
        <f>+J2202/$W$2</f>
        <v>1.8568307939664956E-4</v>
      </c>
    </row>
    <row r="2203" spans="1:23">
      <c r="A2203" s="10" t="s">
        <v>353</v>
      </c>
      <c r="B2203" s="10" t="s">
        <v>381</v>
      </c>
      <c r="C2203" s="124">
        <v>46384</v>
      </c>
      <c r="D2203" s="124" t="s">
        <v>492</v>
      </c>
      <c r="E2203" s="21">
        <v>0.91847013</v>
      </c>
      <c r="F2203" s="10"/>
      <c r="G2203" s="14">
        <v>3105640.28</v>
      </c>
      <c r="H2203" s="14">
        <v>2852437.83</v>
      </c>
      <c r="I2203" s="14">
        <v>3105640.28</v>
      </c>
      <c r="J2203" s="14">
        <v>2852437.83</v>
      </c>
      <c r="K2203" s="12">
        <v>3400</v>
      </c>
      <c r="L2203" s="10" t="s">
        <v>101</v>
      </c>
      <c r="M2203" s="10" t="s">
        <v>102</v>
      </c>
      <c r="N2203" s="124" t="s">
        <v>551</v>
      </c>
      <c r="O2203" s="124" t="s">
        <v>551</v>
      </c>
      <c r="P2203" s="21">
        <v>36</v>
      </c>
      <c r="Q2203" s="10" t="s">
        <v>54</v>
      </c>
      <c r="R2203" s="10" t="s">
        <v>28</v>
      </c>
      <c r="S2203" s="10"/>
      <c r="T2203" s="10"/>
      <c r="U2203" s="10" t="s">
        <v>2235</v>
      </c>
      <c r="V2203" s="10" t="s">
        <v>2235</v>
      </c>
      <c r="W2203" s="50">
        <f>+J2203/$W$2</f>
        <v>3.7921931031611248E-5</v>
      </c>
    </row>
    <row r="2204" spans="1:23">
      <c r="A2204" s="10" t="s">
        <v>208</v>
      </c>
      <c r="B2204" s="10" t="s">
        <v>381</v>
      </c>
      <c r="C2204" s="124">
        <v>46384</v>
      </c>
      <c r="D2204" s="124" t="s">
        <v>492</v>
      </c>
      <c r="E2204" s="21">
        <v>0.92475302999999998</v>
      </c>
      <c r="F2204" s="10"/>
      <c r="G2204" s="14">
        <v>2170000</v>
      </c>
      <c r="H2204" s="14">
        <v>2006714.07</v>
      </c>
      <c r="I2204" s="14">
        <v>2170000</v>
      </c>
      <c r="J2204" s="14">
        <v>2006714.07</v>
      </c>
      <c r="K2204" s="12">
        <v>260748</v>
      </c>
      <c r="L2204" s="10" t="s">
        <v>101</v>
      </c>
      <c r="M2204" s="10" t="s">
        <v>102</v>
      </c>
      <c r="N2204" s="124" t="s">
        <v>533</v>
      </c>
      <c r="O2204" s="124" t="s">
        <v>533</v>
      </c>
      <c r="P2204" s="21">
        <v>33</v>
      </c>
      <c r="Q2204" s="10" t="s">
        <v>54</v>
      </c>
      <c r="R2204" s="10" t="s">
        <v>28</v>
      </c>
      <c r="S2204" s="10"/>
      <c r="T2204" s="10"/>
      <c r="U2204" s="10" t="s">
        <v>1854</v>
      </c>
      <c r="V2204" s="10" t="s">
        <v>1854</v>
      </c>
      <c r="W2204" s="50">
        <f>+J2204/$W$2</f>
        <v>2.6678398302796281E-5</v>
      </c>
    </row>
    <row r="2205" spans="1:23">
      <c r="A2205" s="10" t="s">
        <v>2618</v>
      </c>
      <c r="B2205" s="10" t="s">
        <v>381</v>
      </c>
      <c r="C2205" s="124">
        <v>46384</v>
      </c>
      <c r="D2205" s="124" t="s">
        <v>492</v>
      </c>
      <c r="E2205" s="21">
        <v>0.92686654999999996</v>
      </c>
      <c r="F2205" s="10"/>
      <c r="G2205" s="14">
        <v>1620000</v>
      </c>
      <c r="H2205" s="14">
        <v>1501523.82</v>
      </c>
      <c r="I2205" s="14">
        <v>1620000</v>
      </c>
      <c r="J2205" s="14">
        <v>1501523.82</v>
      </c>
      <c r="K2205" s="12">
        <v>3410388</v>
      </c>
      <c r="L2205" s="10" t="s">
        <v>101</v>
      </c>
      <c r="M2205" s="10" t="s">
        <v>102</v>
      </c>
      <c r="N2205" s="124" t="s">
        <v>423</v>
      </c>
      <c r="O2205" s="124" t="s">
        <v>423</v>
      </c>
      <c r="P2205" s="21">
        <v>32</v>
      </c>
      <c r="Q2205" s="10" t="s">
        <v>54</v>
      </c>
      <c r="R2205" s="10" t="s">
        <v>28</v>
      </c>
      <c r="S2205" s="10"/>
      <c r="T2205" s="10"/>
      <c r="U2205" s="10" t="s">
        <v>2573</v>
      </c>
      <c r="V2205" s="10" t="s">
        <v>2573</v>
      </c>
      <c r="W2205" s="50">
        <f>+J2205/$W$2</f>
        <v>1.9962111757703572E-5</v>
      </c>
    </row>
    <row r="2206" spans="1:23">
      <c r="A2206" s="10" t="s">
        <v>494</v>
      </c>
      <c r="B2206" s="10" t="s">
        <v>381</v>
      </c>
      <c r="C2206" s="124">
        <v>46384</v>
      </c>
      <c r="D2206" s="124" t="s">
        <v>492</v>
      </c>
      <c r="E2206" s="21">
        <v>0.93541785</v>
      </c>
      <c r="F2206" s="10"/>
      <c r="G2206" s="14">
        <v>20000000</v>
      </c>
      <c r="H2206" s="14">
        <v>18708357.059999999</v>
      </c>
      <c r="I2206" s="14">
        <v>20000000</v>
      </c>
      <c r="J2206" s="14">
        <v>18708357.059999999</v>
      </c>
      <c r="K2206" s="12">
        <v>20411015</v>
      </c>
      <c r="L2206" s="10" t="s">
        <v>101</v>
      </c>
      <c r="M2206" s="10" t="s">
        <v>102</v>
      </c>
      <c r="N2206" s="124" t="s">
        <v>333</v>
      </c>
      <c r="O2206" s="124" t="s">
        <v>333</v>
      </c>
      <c r="P2206" s="21">
        <v>28</v>
      </c>
      <c r="Q2206" s="10" t="s">
        <v>54</v>
      </c>
      <c r="R2206" s="10" t="s">
        <v>28</v>
      </c>
      <c r="S2206" s="10"/>
      <c r="T2206" s="10"/>
      <c r="U2206" s="10" t="s">
        <v>768</v>
      </c>
      <c r="V2206" s="10" t="s">
        <v>768</v>
      </c>
      <c r="W2206" s="50">
        <f>+J2206/$W$2</f>
        <v>2.4871954041644348E-4</v>
      </c>
    </row>
    <row r="2207" spans="1:23">
      <c r="A2207" s="10" t="s">
        <v>141</v>
      </c>
      <c r="B2207" s="10" t="s">
        <v>381</v>
      </c>
      <c r="C2207" s="124">
        <v>46384</v>
      </c>
      <c r="D2207" s="124" t="s">
        <v>492</v>
      </c>
      <c r="E2207" s="21">
        <v>0.92475315999999996</v>
      </c>
      <c r="F2207" s="10"/>
      <c r="G2207" s="14">
        <v>33500000</v>
      </c>
      <c r="H2207" s="14">
        <v>30979230.940000001</v>
      </c>
      <c r="I2207" s="14">
        <v>33500000</v>
      </c>
      <c r="J2207" s="14">
        <v>30979230.940000001</v>
      </c>
      <c r="K2207" s="12">
        <v>301</v>
      </c>
      <c r="L2207" s="10" t="s">
        <v>101</v>
      </c>
      <c r="M2207" s="10" t="s">
        <v>102</v>
      </c>
      <c r="N2207" s="124" t="s">
        <v>472</v>
      </c>
      <c r="O2207" s="124" t="s">
        <v>472</v>
      </c>
      <c r="P2207" s="21">
        <v>33</v>
      </c>
      <c r="Q2207" s="10" t="s">
        <v>54</v>
      </c>
      <c r="R2207" s="10" t="s">
        <v>28</v>
      </c>
      <c r="S2207" s="10"/>
      <c r="T2207" s="10"/>
      <c r="U2207" s="10" t="s">
        <v>3191</v>
      </c>
      <c r="V2207" s="10" t="s">
        <v>3191</v>
      </c>
      <c r="W2207" s="50">
        <f>+J2207/$W$2</f>
        <v>4.1185551767802678E-4</v>
      </c>
    </row>
    <row r="2208" spans="1:23">
      <c r="A2208" s="10" t="s">
        <v>1666</v>
      </c>
      <c r="B2208" s="10" t="s">
        <v>381</v>
      </c>
      <c r="C2208" s="124">
        <v>46384</v>
      </c>
      <c r="D2208" s="124" t="s">
        <v>492</v>
      </c>
      <c r="E2208" s="21">
        <v>0.93112247000000004</v>
      </c>
      <c r="F2208" s="10"/>
      <c r="G2208" s="14">
        <v>50000000</v>
      </c>
      <c r="H2208" s="14">
        <v>46556123.409999996</v>
      </c>
      <c r="I2208" s="14">
        <v>50000000</v>
      </c>
      <c r="J2208" s="14">
        <v>46556123.409999996</v>
      </c>
      <c r="K2208" s="12">
        <v>197098</v>
      </c>
      <c r="L2208" s="10" t="s">
        <v>101</v>
      </c>
      <c r="M2208" s="10" t="s">
        <v>102</v>
      </c>
      <c r="N2208" s="124" t="s">
        <v>163</v>
      </c>
      <c r="O2208" s="124" t="s">
        <v>163</v>
      </c>
      <c r="P2208" s="21">
        <v>30</v>
      </c>
      <c r="Q2208" s="10" t="s">
        <v>54</v>
      </c>
      <c r="R2208" s="10" t="s">
        <v>28</v>
      </c>
      <c r="S2208" s="10"/>
      <c r="T2208" s="10"/>
      <c r="U2208" s="10" t="s">
        <v>1610</v>
      </c>
      <c r="V2208" s="10" t="s">
        <v>1610</v>
      </c>
      <c r="W2208" s="50">
        <f>+J2208/$W$2</f>
        <v>6.1894358659981793E-4</v>
      </c>
    </row>
    <row r="2209" spans="1:29">
      <c r="A2209" s="10" t="s">
        <v>1667</v>
      </c>
      <c r="B2209" s="10" t="s">
        <v>381</v>
      </c>
      <c r="C2209" s="124">
        <v>46384</v>
      </c>
      <c r="D2209" s="124" t="s">
        <v>492</v>
      </c>
      <c r="E2209" s="21">
        <v>0.93112247000000004</v>
      </c>
      <c r="F2209" s="10"/>
      <c r="G2209" s="14">
        <v>50000000</v>
      </c>
      <c r="H2209" s="14">
        <v>46556123.409999996</v>
      </c>
      <c r="I2209" s="14">
        <v>50000000</v>
      </c>
      <c r="J2209" s="14">
        <v>46556123.409999996</v>
      </c>
      <c r="K2209" s="12">
        <v>196471</v>
      </c>
      <c r="L2209" s="10" t="s">
        <v>101</v>
      </c>
      <c r="M2209" s="10" t="s">
        <v>102</v>
      </c>
      <c r="N2209" s="124" t="s">
        <v>163</v>
      </c>
      <c r="O2209" s="124" t="s">
        <v>163</v>
      </c>
      <c r="P2209" s="21">
        <v>30</v>
      </c>
      <c r="Q2209" s="10" t="s">
        <v>54</v>
      </c>
      <c r="R2209" s="10" t="s">
        <v>28</v>
      </c>
      <c r="S2209" s="10"/>
      <c r="T2209" s="10"/>
      <c r="U2209" s="10" t="s">
        <v>1613</v>
      </c>
      <c r="V2209" s="10" t="s">
        <v>1613</v>
      </c>
      <c r="W2209" s="50">
        <f>+J2209/$W$2</f>
        <v>6.1894358659981793E-4</v>
      </c>
    </row>
    <row r="2210" spans="1:29">
      <c r="A2210" s="10" t="s">
        <v>135</v>
      </c>
      <c r="B2210" s="10" t="s">
        <v>381</v>
      </c>
      <c r="C2210" s="124">
        <v>46384</v>
      </c>
      <c r="D2210" s="124" t="s">
        <v>492</v>
      </c>
      <c r="E2210" s="21">
        <v>0.92055505999999998</v>
      </c>
      <c r="F2210" s="10"/>
      <c r="G2210" s="14">
        <v>85000000</v>
      </c>
      <c r="H2210" s="14">
        <v>78247179.900000006</v>
      </c>
      <c r="I2210" s="14">
        <v>85000000</v>
      </c>
      <c r="J2210" s="14">
        <v>78247179.900000006</v>
      </c>
      <c r="K2210" s="12">
        <v>1254</v>
      </c>
      <c r="L2210" s="10" t="s">
        <v>101</v>
      </c>
      <c r="M2210" s="10" t="s">
        <v>102</v>
      </c>
      <c r="N2210" s="124" t="s">
        <v>420</v>
      </c>
      <c r="O2210" s="124" t="s">
        <v>420</v>
      </c>
      <c r="P2210" s="21">
        <v>35</v>
      </c>
      <c r="Q2210" s="10" t="s">
        <v>54</v>
      </c>
      <c r="R2210" s="10" t="s">
        <v>28</v>
      </c>
      <c r="S2210" s="10"/>
      <c r="T2210" s="10"/>
      <c r="U2210" s="10" t="s">
        <v>2669</v>
      </c>
      <c r="V2210" s="10" t="s">
        <v>2669</v>
      </c>
      <c r="W2210" s="50">
        <f>+J2210/$W$2</f>
        <v>1.0402625180391321E-3</v>
      </c>
    </row>
    <row r="2211" spans="1:29">
      <c r="A2211" s="10" t="s">
        <v>135</v>
      </c>
      <c r="B2211" s="10" t="s">
        <v>381</v>
      </c>
      <c r="C2211" s="124">
        <v>46384</v>
      </c>
      <c r="D2211" s="124" t="s">
        <v>492</v>
      </c>
      <c r="E2211" s="21">
        <v>0.92055505000000004</v>
      </c>
      <c r="F2211" s="10"/>
      <c r="G2211" s="14">
        <v>115000000</v>
      </c>
      <c r="H2211" s="14">
        <v>105863830.67</v>
      </c>
      <c r="I2211" s="14">
        <v>115000000</v>
      </c>
      <c r="J2211" s="14">
        <v>105863830.67</v>
      </c>
      <c r="K2211" s="12">
        <v>1414</v>
      </c>
      <c r="L2211" s="10" t="s">
        <v>101</v>
      </c>
      <c r="M2211" s="10" t="s">
        <v>102</v>
      </c>
      <c r="N2211" s="124" t="s">
        <v>472</v>
      </c>
      <c r="O2211" s="124" t="s">
        <v>472</v>
      </c>
      <c r="P2211" s="21">
        <v>35</v>
      </c>
      <c r="Q2211" s="10" t="s">
        <v>54</v>
      </c>
      <c r="R2211" s="10" t="s">
        <v>28</v>
      </c>
      <c r="S2211" s="10"/>
      <c r="T2211" s="10"/>
      <c r="U2211" s="10" t="s">
        <v>3226</v>
      </c>
      <c r="V2211" s="10" t="s">
        <v>3226</v>
      </c>
      <c r="W2211" s="50">
        <f>+J2211/$W$2</f>
        <v>1.4074139822391543E-3</v>
      </c>
      <c r="AC2211" s="47"/>
    </row>
    <row r="2212" spans="1:29">
      <c r="A2212" s="10" t="s">
        <v>151</v>
      </c>
      <c r="B2212" s="10" t="s">
        <v>381</v>
      </c>
      <c r="C2212" s="124">
        <v>46384</v>
      </c>
      <c r="D2212" s="124" t="s">
        <v>492</v>
      </c>
      <c r="E2212" s="21">
        <v>0.93541781000000002</v>
      </c>
      <c r="F2212" s="10"/>
      <c r="G2212" s="14">
        <v>40000000</v>
      </c>
      <c r="H2212" s="14">
        <v>37416712.229999997</v>
      </c>
      <c r="I2212" s="14">
        <v>40000000</v>
      </c>
      <c r="J2212" s="14">
        <v>37416712.229999997</v>
      </c>
      <c r="K2212" s="12">
        <v>54029683</v>
      </c>
      <c r="L2212" s="10" t="s">
        <v>101</v>
      </c>
      <c r="M2212" s="10" t="s">
        <v>102</v>
      </c>
      <c r="N2212" s="124" t="s">
        <v>486</v>
      </c>
      <c r="O2212" s="124" t="s">
        <v>486</v>
      </c>
      <c r="P2212" s="21">
        <v>28</v>
      </c>
      <c r="Q2212" s="10" t="s">
        <v>54</v>
      </c>
      <c r="R2212" s="10" t="s">
        <v>28</v>
      </c>
      <c r="S2212" s="10"/>
      <c r="T2212" s="10"/>
      <c r="U2212" s="10" t="s">
        <v>2812</v>
      </c>
      <c r="V2212" s="10" t="s">
        <v>2812</v>
      </c>
      <c r="W2212" s="50">
        <f>+J2212/$W$2</f>
        <v>4.9743905570615184E-4</v>
      </c>
    </row>
    <row r="2213" spans="1:29">
      <c r="A2213" s="10" t="s">
        <v>1189</v>
      </c>
      <c r="B2213" s="10" t="s">
        <v>381</v>
      </c>
      <c r="C2213" s="124">
        <v>46384</v>
      </c>
      <c r="D2213" s="124" t="s">
        <v>492</v>
      </c>
      <c r="E2213" s="21">
        <v>0.92475322999999998</v>
      </c>
      <c r="F2213" s="10"/>
      <c r="G2213" s="14">
        <v>706225.7</v>
      </c>
      <c r="H2213" s="14">
        <v>653084.5</v>
      </c>
      <c r="I2213" s="14">
        <v>706225.7</v>
      </c>
      <c r="J2213" s="14">
        <v>653084.5</v>
      </c>
      <c r="K2213" s="12">
        <v>124049</v>
      </c>
      <c r="L2213" s="10" t="s">
        <v>101</v>
      </c>
      <c r="M2213" s="10" t="s">
        <v>102</v>
      </c>
      <c r="N2213" s="124" t="s">
        <v>677</v>
      </c>
      <c r="O2213" s="124" t="s">
        <v>677</v>
      </c>
      <c r="P2213" s="21">
        <v>33</v>
      </c>
      <c r="Q2213" s="10" t="s">
        <v>54</v>
      </c>
      <c r="R2213" s="10" t="s">
        <v>28</v>
      </c>
      <c r="S2213" s="10"/>
      <c r="T2213" s="10"/>
      <c r="U2213" s="10" t="s">
        <v>3308</v>
      </c>
      <c r="V2213" s="10" t="s">
        <v>3308</v>
      </c>
      <c r="W2213" s="50">
        <f>+J2213/$W$2</f>
        <v>8.6824768295876647E-6</v>
      </c>
    </row>
    <row r="2214" spans="1:29">
      <c r="A2214" s="10" t="s">
        <v>385</v>
      </c>
      <c r="B2214" s="10" t="s">
        <v>381</v>
      </c>
      <c r="C2214" s="124">
        <v>46384</v>
      </c>
      <c r="D2214" s="124" t="s">
        <v>492</v>
      </c>
      <c r="E2214" s="21">
        <v>0.92475315999999996</v>
      </c>
      <c r="F2214" s="10"/>
      <c r="G2214" s="14">
        <v>25000000</v>
      </c>
      <c r="H2214" s="14">
        <v>23118829.059999999</v>
      </c>
      <c r="I2214" s="14">
        <v>25000000</v>
      </c>
      <c r="J2214" s="14">
        <v>23118829.059999999</v>
      </c>
      <c r="K2214" s="12">
        <v>4298</v>
      </c>
      <c r="L2214" s="10" t="s">
        <v>101</v>
      </c>
      <c r="M2214" s="10" t="s">
        <v>102</v>
      </c>
      <c r="N2214" s="124" t="s">
        <v>472</v>
      </c>
      <c r="O2214" s="124" t="s">
        <v>472</v>
      </c>
      <c r="P2214" s="21">
        <v>33</v>
      </c>
      <c r="Q2214" s="10" t="s">
        <v>54</v>
      </c>
      <c r="R2214" s="10" t="s">
        <v>28</v>
      </c>
      <c r="S2214" s="10"/>
      <c r="T2214" s="10"/>
      <c r="U2214" s="10" t="s">
        <v>3217</v>
      </c>
      <c r="V2214" s="10" t="s">
        <v>3217</v>
      </c>
      <c r="W2214" s="50">
        <f>+J2214/$W$2</f>
        <v>3.0735486394279445E-4</v>
      </c>
    </row>
    <row r="2215" spans="1:29">
      <c r="A2215" s="10" t="s">
        <v>404</v>
      </c>
      <c r="B2215" s="10" t="s">
        <v>381</v>
      </c>
      <c r="C2215" s="124">
        <v>46384</v>
      </c>
      <c r="D2215" s="124" t="s">
        <v>492</v>
      </c>
      <c r="E2215" s="21">
        <v>0.93975295000000003</v>
      </c>
      <c r="F2215" s="10"/>
      <c r="G2215" s="14">
        <v>20000000</v>
      </c>
      <c r="H2215" s="14">
        <v>18795058.949999999</v>
      </c>
      <c r="I2215" s="14">
        <v>20000000</v>
      </c>
      <c r="J2215" s="14">
        <v>18795058.949999999</v>
      </c>
      <c r="K2215" s="12">
        <v>79700363</v>
      </c>
      <c r="L2215" s="10" t="s">
        <v>101</v>
      </c>
      <c r="M2215" s="10" t="s">
        <v>102</v>
      </c>
      <c r="N2215" s="124" t="s">
        <v>361</v>
      </c>
      <c r="O2215" s="124" t="s">
        <v>361</v>
      </c>
      <c r="P2215" s="21">
        <v>26</v>
      </c>
      <c r="Q2215" s="10" t="s">
        <v>54</v>
      </c>
      <c r="R2215" s="10" t="s">
        <v>28</v>
      </c>
      <c r="S2215" s="10"/>
      <c r="T2215" s="10"/>
      <c r="U2215" s="10" t="s">
        <v>1034</v>
      </c>
      <c r="V2215" s="10" t="s">
        <v>1034</v>
      </c>
      <c r="W2215" s="50">
        <f>+J2215/$W$2</f>
        <v>2.4987220465974807E-4</v>
      </c>
    </row>
    <row r="2216" spans="1:29">
      <c r="A2216" s="10" t="s">
        <v>666</v>
      </c>
      <c r="B2216" s="10" t="s">
        <v>381</v>
      </c>
      <c r="C2216" s="124">
        <v>46384</v>
      </c>
      <c r="D2216" s="124" t="s">
        <v>492</v>
      </c>
      <c r="E2216" s="21">
        <v>0.92475306999999995</v>
      </c>
      <c r="F2216" s="10"/>
      <c r="G2216" s="14">
        <v>9356284.2599999998</v>
      </c>
      <c r="H2216" s="14">
        <v>8652252.6300000008</v>
      </c>
      <c r="I2216" s="14">
        <v>9356284.2599999998</v>
      </c>
      <c r="J2216" s="14">
        <v>8652252.6300000008</v>
      </c>
      <c r="K2216" s="12">
        <v>90002090</v>
      </c>
      <c r="L2216" s="10" t="s">
        <v>101</v>
      </c>
      <c r="M2216" s="10" t="s">
        <v>102</v>
      </c>
      <c r="N2216" s="124" t="s">
        <v>435</v>
      </c>
      <c r="O2216" s="124" t="s">
        <v>435</v>
      </c>
      <c r="P2216" s="21">
        <v>33</v>
      </c>
      <c r="Q2216" s="10" t="s">
        <v>54</v>
      </c>
      <c r="R2216" s="10" t="s">
        <v>28</v>
      </c>
      <c r="S2216" s="10"/>
      <c r="T2216" s="10"/>
      <c r="U2216" s="10" t="s">
        <v>1303</v>
      </c>
      <c r="V2216" s="10" t="s">
        <v>1303</v>
      </c>
      <c r="W2216" s="50">
        <f>+J2216/$W$2</f>
        <v>1.1502796802513907E-4</v>
      </c>
    </row>
    <row r="2217" spans="1:29">
      <c r="A2217" s="10" t="s">
        <v>2915</v>
      </c>
      <c r="B2217" s="10" t="s">
        <v>381</v>
      </c>
      <c r="C2217" s="124">
        <v>46384</v>
      </c>
      <c r="D2217" s="124" t="s">
        <v>492</v>
      </c>
      <c r="E2217" s="21">
        <v>0.93975288999999995</v>
      </c>
      <c r="F2217" s="10"/>
      <c r="G2217" s="14">
        <v>8752704.4100000001</v>
      </c>
      <c r="H2217" s="14">
        <v>8225379.2300000004</v>
      </c>
      <c r="I2217" s="14">
        <v>8752704.4100000001</v>
      </c>
      <c r="J2217" s="14">
        <v>8225379.2300000004</v>
      </c>
      <c r="K2217" s="12">
        <v>69934207</v>
      </c>
      <c r="L2217" s="10" t="s">
        <v>101</v>
      </c>
      <c r="M2217" s="10" t="s">
        <v>102</v>
      </c>
      <c r="N2217" s="124" t="s">
        <v>531</v>
      </c>
      <c r="O2217" s="124" t="s">
        <v>531</v>
      </c>
      <c r="P2217" s="21">
        <v>26</v>
      </c>
      <c r="Q2217" s="10" t="s">
        <v>54</v>
      </c>
      <c r="R2217" s="10" t="s">
        <v>28</v>
      </c>
      <c r="S2217" s="10"/>
      <c r="T2217" s="10"/>
      <c r="U2217" s="10" t="s">
        <v>3376</v>
      </c>
      <c r="V2217" s="10" t="s">
        <v>3376</v>
      </c>
      <c r="W2217" s="50">
        <f>+J2217/$W$2</f>
        <v>1.0935287023202454E-4</v>
      </c>
    </row>
    <row r="2218" spans="1:29">
      <c r="A2218" s="10" t="s">
        <v>427</v>
      </c>
      <c r="B2218" s="10" t="s">
        <v>381</v>
      </c>
      <c r="C2218" s="124">
        <v>46384</v>
      </c>
      <c r="D2218" s="124" t="s">
        <v>492</v>
      </c>
      <c r="E2218" s="21">
        <v>0.93758028000000004</v>
      </c>
      <c r="F2218" s="10"/>
      <c r="G2218" s="14">
        <v>250000000</v>
      </c>
      <c r="H2218" s="14">
        <v>234395070.78</v>
      </c>
      <c r="I2218" s="14">
        <v>250000000</v>
      </c>
      <c r="J2218" s="14">
        <v>234395070.78</v>
      </c>
      <c r="K2218" s="12">
        <v>13199</v>
      </c>
      <c r="L2218" s="10" t="s">
        <v>101</v>
      </c>
      <c r="M2218" s="10" t="s">
        <v>102</v>
      </c>
      <c r="N2218" s="124" t="s">
        <v>422</v>
      </c>
      <c r="O2218" s="124" t="s">
        <v>422</v>
      </c>
      <c r="P2218" s="21">
        <v>27</v>
      </c>
      <c r="Q2218" s="10" t="s">
        <v>54</v>
      </c>
      <c r="R2218" s="10" t="s">
        <v>28</v>
      </c>
      <c r="S2218" s="10"/>
      <c r="T2218" s="10"/>
      <c r="U2218" s="10" t="s">
        <v>2711</v>
      </c>
      <c r="V2218" s="10" t="s">
        <v>2711</v>
      </c>
      <c r="W2218" s="50">
        <f>+J2218/$W$2</f>
        <v>3.1161813992169629E-3</v>
      </c>
    </row>
    <row r="2219" spans="1:29">
      <c r="A2219" s="10" t="s">
        <v>3511</v>
      </c>
      <c r="B2219" s="10" t="s">
        <v>381</v>
      </c>
      <c r="C2219" s="124">
        <v>46384</v>
      </c>
      <c r="D2219" s="124" t="s">
        <v>492</v>
      </c>
      <c r="E2219" s="21">
        <v>0.92475300000000005</v>
      </c>
      <c r="F2219" s="10"/>
      <c r="G2219" s="14">
        <v>60000000</v>
      </c>
      <c r="H2219" s="14">
        <v>55485179.75</v>
      </c>
      <c r="I2219" s="14">
        <v>60000000</v>
      </c>
      <c r="J2219" s="14">
        <v>55485179.75</v>
      </c>
      <c r="K2219" s="12">
        <v>20865</v>
      </c>
      <c r="L2219" s="10" t="s">
        <v>101</v>
      </c>
      <c r="M2219" s="10" t="s">
        <v>102</v>
      </c>
      <c r="N2219" s="124" t="s">
        <v>678</v>
      </c>
      <c r="O2219" s="124" t="s">
        <v>678</v>
      </c>
      <c r="P2219" s="21">
        <v>33</v>
      </c>
      <c r="Q2219" s="10" t="s">
        <v>54</v>
      </c>
      <c r="R2219" s="10" t="s">
        <v>28</v>
      </c>
      <c r="S2219" s="10"/>
      <c r="T2219" s="10"/>
      <c r="U2219" s="10" t="s">
        <v>3492</v>
      </c>
      <c r="V2219" s="10" t="s">
        <v>3492</v>
      </c>
      <c r="W2219" s="50">
        <f>+J2219/$W$2</f>
        <v>7.3765154059678595E-4</v>
      </c>
    </row>
    <row r="2220" spans="1:29">
      <c r="A2220" s="10" t="s">
        <v>477</v>
      </c>
      <c r="B2220" s="10" t="s">
        <v>381</v>
      </c>
      <c r="C2220" s="124">
        <v>46385</v>
      </c>
      <c r="D2220" s="124" t="s">
        <v>492</v>
      </c>
      <c r="E2220" s="21">
        <v>0.93041057999999999</v>
      </c>
      <c r="F2220" s="10"/>
      <c r="G2220" s="14">
        <v>18000000</v>
      </c>
      <c r="H2220" s="14">
        <v>16747390.43</v>
      </c>
      <c r="I2220" s="14">
        <v>18000000</v>
      </c>
      <c r="J2220" s="14">
        <v>16747390.43</v>
      </c>
      <c r="K2220" s="12">
        <v>40200423</v>
      </c>
      <c r="L2220" s="10" t="s">
        <v>101</v>
      </c>
      <c r="M2220" s="10" t="s">
        <v>102</v>
      </c>
      <c r="N2220" s="124" t="s">
        <v>422</v>
      </c>
      <c r="O2220" s="124" t="s">
        <v>422</v>
      </c>
      <c r="P2220" s="21">
        <v>30</v>
      </c>
      <c r="Q2220" s="10" t="s">
        <v>54</v>
      </c>
      <c r="R2220" s="10" t="s">
        <v>28</v>
      </c>
      <c r="S2220" s="10"/>
      <c r="T2220" s="10"/>
      <c r="U2220" s="10" t="s">
        <v>2716</v>
      </c>
      <c r="V2220" s="10" t="s">
        <v>2716</v>
      </c>
      <c r="W2220" s="50">
        <f>+J2220/$W$2</f>
        <v>2.2264933460300037E-4</v>
      </c>
    </row>
    <row r="2221" spans="1:29">
      <c r="A2221" s="10" t="s">
        <v>353</v>
      </c>
      <c r="B2221" s="10" t="s">
        <v>381</v>
      </c>
      <c r="C2221" s="124">
        <v>46385</v>
      </c>
      <c r="D2221" s="124" t="s">
        <v>492</v>
      </c>
      <c r="E2221" s="21">
        <v>0.91763879000000004</v>
      </c>
      <c r="F2221" s="10"/>
      <c r="G2221" s="14">
        <v>3105640.28</v>
      </c>
      <c r="H2221" s="14">
        <v>2849855.98</v>
      </c>
      <c r="I2221" s="14">
        <v>3105640.28</v>
      </c>
      <c r="J2221" s="14">
        <v>2849855.98</v>
      </c>
      <c r="K2221" s="12">
        <v>3401</v>
      </c>
      <c r="L2221" s="10" t="s">
        <v>101</v>
      </c>
      <c r="M2221" s="10" t="s">
        <v>102</v>
      </c>
      <c r="N2221" s="124" t="s">
        <v>551</v>
      </c>
      <c r="O2221" s="124" t="s">
        <v>551</v>
      </c>
      <c r="P2221" s="21">
        <v>36</v>
      </c>
      <c r="Q2221" s="10" t="s">
        <v>54</v>
      </c>
      <c r="R2221" s="10" t="s">
        <v>28</v>
      </c>
      <c r="S2221" s="10"/>
      <c r="T2221" s="10"/>
      <c r="U2221" s="10" t="s">
        <v>2236</v>
      </c>
      <c r="V2221" s="10" t="s">
        <v>2236</v>
      </c>
      <c r="W2221" s="50">
        <f>+J2221/$W$2</f>
        <v>3.7887606449107036E-5</v>
      </c>
    </row>
    <row r="2222" spans="1:29">
      <c r="A2222" s="10" t="s">
        <v>208</v>
      </c>
      <c r="B2222" s="10" t="s">
        <v>381</v>
      </c>
      <c r="C2222" s="124">
        <v>46385</v>
      </c>
      <c r="D2222" s="124" t="s">
        <v>492</v>
      </c>
      <c r="E2222" s="21">
        <v>0.92398046</v>
      </c>
      <c r="F2222" s="10"/>
      <c r="G2222" s="14">
        <v>2170000</v>
      </c>
      <c r="H2222" s="14">
        <v>2005037.6</v>
      </c>
      <c r="I2222" s="14">
        <v>2170000</v>
      </c>
      <c r="J2222" s="14">
        <v>2005037.6</v>
      </c>
      <c r="K2222" s="12">
        <v>260749</v>
      </c>
      <c r="L2222" s="10" t="s">
        <v>101</v>
      </c>
      <c r="M2222" s="10" t="s">
        <v>102</v>
      </c>
      <c r="N2222" s="124" t="s">
        <v>533</v>
      </c>
      <c r="O2222" s="124" t="s">
        <v>533</v>
      </c>
      <c r="P2222" s="21">
        <v>33</v>
      </c>
      <c r="Q2222" s="10" t="s">
        <v>54</v>
      </c>
      <c r="R2222" s="10" t="s">
        <v>28</v>
      </c>
      <c r="S2222" s="10"/>
      <c r="T2222" s="10"/>
      <c r="U2222" s="10" t="s">
        <v>1869</v>
      </c>
      <c r="V2222" s="10" t="s">
        <v>1869</v>
      </c>
      <c r="W2222" s="50">
        <f>+J2222/$W$2</f>
        <v>2.6656110357009023E-5</v>
      </c>
    </row>
    <row r="2223" spans="1:29">
      <c r="A2223" s="10" t="s">
        <v>1667</v>
      </c>
      <c r="B2223" s="10" t="s">
        <v>381</v>
      </c>
      <c r="C2223" s="124">
        <v>46385</v>
      </c>
      <c r="D2223" s="124" t="s">
        <v>492</v>
      </c>
      <c r="E2223" s="21">
        <v>0.93041054999999995</v>
      </c>
      <c r="F2223" s="10"/>
      <c r="G2223" s="14">
        <v>50000000</v>
      </c>
      <c r="H2223" s="14">
        <v>46520527.460000001</v>
      </c>
      <c r="I2223" s="14">
        <v>50000000</v>
      </c>
      <c r="J2223" s="14">
        <v>46520527.460000001</v>
      </c>
      <c r="K2223" s="12">
        <v>196469</v>
      </c>
      <c r="L2223" s="10" t="s">
        <v>101</v>
      </c>
      <c r="M2223" s="10" t="s">
        <v>102</v>
      </c>
      <c r="N2223" s="124" t="s">
        <v>163</v>
      </c>
      <c r="O2223" s="124" t="s">
        <v>163</v>
      </c>
      <c r="P2223" s="21">
        <v>30</v>
      </c>
      <c r="Q2223" s="10" t="s">
        <v>54</v>
      </c>
      <c r="R2223" s="10" t="s">
        <v>28</v>
      </c>
      <c r="S2223" s="10"/>
      <c r="T2223" s="10"/>
      <c r="U2223" s="10" t="s">
        <v>1614</v>
      </c>
      <c r="V2223" s="10" t="s">
        <v>1614</v>
      </c>
      <c r="W2223" s="50">
        <f>+J2223/$W$2</f>
        <v>6.1847035379288082E-4</v>
      </c>
    </row>
    <row r="2224" spans="1:29">
      <c r="A2224" s="10" t="s">
        <v>404</v>
      </c>
      <c r="B2224" s="10" t="s">
        <v>381</v>
      </c>
      <c r="C2224" s="124">
        <v>46385</v>
      </c>
      <c r="D2224" s="124" t="s">
        <v>492</v>
      </c>
      <c r="E2224" s="21">
        <v>0.93912424999999999</v>
      </c>
      <c r="F2224" s="10"/>
      <c r="G2224" s="14">
        <v>20000000</v>
      </c>
      <c r="H2224" s="14">
        <v>18782484.989999998</v>
      </c>
      <c r="I2224" s="14">
        <v>20000000</v>
      </c>
      <c r="J2224" s="14">
        <v>18782484.989999998</v>
      </c>
      <c r="K2224" s="12">
        <v>79700364</v>
      </c>
      <c r="L2224" s="10" t="s">
        <v>101</v>
      </c>
      <c r="M2224" s="10" t="s">
        <v>102</v>
      </c>
      <c r="N2224" s="124" t="s">
        <v>361</v>
      </c>
      <c r="O2224" s="124" t="s">
        <v>361</v>
      </c>
      <c r="P2224" s="21">
        <v>26</v>
      </c>
      <c r="Q2224" s="10" t="s">
        <v>54</v>
      </c>
      <c r="R2224" s="10" t="s">
        <v>28</v>
      </c>
      <c r="S2224" s="10"/>
      <c r="T2224" s="10"/>
      <c r="U2224" s="10" t="s">
        <v>1038</v>
      </c>
      <c r="V2224" s="10" t="s">
        <v>1038</v>
      </c>
      <c r="W2224" s="50">
        <f>+J2224/$W$2</f>
        <v>2.4970503928320621E-4</v>
      </c>
    </row>
    <row r="2225" spans="1:29">
      <c r="A2225" s="10" t="s">
        <v>1728</v>
      </c>
      <c r="B2225" s="10" t="s">
        <v>381</v>
      </c>
      <c r="C2225" s="124">
        <v>46385</v>
      </c>
      <c r="D2225" s="124" t="s">
        <v>492</v>
      </c>
      <c r="E2225" s="21">
        <v>0.92398049999999998</v>
      </c>
      <c r="F2225" s="10"/>
      <c r="G2225" s="14">
        <v>20000194</v>
      </c>
      <c r="H2225" s="14">
        <v>18479789.199999999</v>
      </c>
      <c r="I2225" s="14">
        <v>20000194</v>
      </c>
      <c r="J2225" s="14">
        <v>18479789.199999999</v>
      </c>
      <c r="K2225" s="12">
        <v>733</v>
      </c>
      <c r="L2225" s="10" t="s">
        <v>101</v>
      </c>
      <c r="M2225" s="10" t="s">
        <v>102</v>
      </c>
      <c r="N2225" s="124" t="s">
        <v>425</v>
      </c>
      <c r="O2225" s="124" t="s">
        <v>425</v>
      </c>
      <c r="P2225" s="21">
        <v>33</v>
      </c>
      <c r="Q2225" s="10" t="s">
        <v>54</v>
      </c>
      <c r="R2225" s="10" t="s">
        <v>28</v>
      </c>
      <c r="S2225" s="10"/>
      <c r="T2225" s="10"/>
      <c r="U2225" s="10" t="s">
        <v>1716</v>
      </c>
      <c r="V2225" s="10" t="s">
        <v>1716</v>
      </c>
      <c r="W2225" s="50">
        <f>+J2225/$W$2</f>
        <v>2.456808292719615E-4</v>
      </c>
    </row>
    <row r="2226" spans="1:29">
      <c r="A2226" s="10" t="s">
        <v>3577</v>
      </c>
      <c r="B2226" s="10" t="s">
        <v>381</v>
      </c>
      <c r="C2226" s="124">
        <v>46385</v>
      </c>
      <c r="D2226" s="124" t="s">
        <v>492</v>
      </c>
      <c r="E2226" s="21">
        <v>0.93041041999999996</v>
      </c>
      <c r="F2226" s="10"/>
      <c r="G2226" s="14">
        <v>3535037.55</v>
      </c>
      <c r="H2226" s="14">
        <v>3289035.76</v>
      </c>
      <c r="I2226" s="14">
        <v>3535037.55</v>
      </c>
      <c r="J2226" s="14">
        <v>3289035.76</v>
      </c>
      <c r="K2226" s="12">
        <v>3658347</v>
      </c>
      <c r="L2226" s="10" t="s">
        <v>101</v>
      </c>
      <c r="M2226" s="10" t="s">
        <v>102</v>
      </c>
      <c r="N2226" s="124" t="s">
        <v>492</v>
      </c>
      <c r="O2226" s="124" t="s">
        <v>492</v>
      </c>
      <c r="P2226" s="21">
        <v>30</v>
      </c>
      <c r="Q2226" s="10" t="s">
        <v>54</v>
      </c>
      <c r="R2226" s="10" t="s">
        <v>28</v>
      </c>
      <c r="S2226" s="10"/>
      <c r="T2226" s="10"/>
      <c r="U2226" s="10" t="s">
        <v>3551</v>
      </c>
      <c r="V2226" s="10" t="s">
        <v>3551</v>
      </c>
      <c r="W2226" s="50">
        <f>+J2226/$W$2</f>
        <v>4.3726312258038966E-5</v>
      </c>
    </row>
    <row r="2227" spans="1:29">
      <c r="A2227" s="10" t="s">
        <v>477</v>
      </c>
      <c r="B2227" s="10" t="s">
        <v>381</v>
      </c>
      <c r="C2227" s="124">
        <v>46386</v>
      </c>
      <c r="D2227" s="124" t="s">
        <v>492</v>
      </c>
      <c r="E2227" s="21">
        <v>0.92969948999999996</v>
      </c>
      <c r="F2227" s="10"/>
      <c r="G2227" s="14">
        <v>10000000</v>
      </c>
      <c r="H2227" s="14">
        <v>9296994.9199999999</v>
      </c>
      <c r="I2227" s="14">
        <v>10000000</v>
      </c>
      <c r="J2227" s="14">
        <v>9296994.9199999999</v>
      </c>
      <c r="K2227" s="12">
        <v>1328672</v>
      </c>
      <c r="L2227" s="10" t="s">
        <v>101</v>
      </c>
      <c r="M2227" s="10" t="s">
        <v>102</v>
      </c>
      <c r="N2227" s="124" t="s">
        <v>420</v>
      </c>
      <c r="O2227" s="124" t="s">
        <v>420</v>
      </c>
      <c r="P2227" s="21">
        <v>30</v>
      </c>
      <c r="Q2227" s="10" t="s">
        <v>54</v>
      </c>
      <c r="R2227" s="10" t="s">
        <v>28</v>
      </c>
      <c r="S2227" s="10"/>
      <c r="T2227" s="10"/>
      <c r="U2227" s="10" t="s">
        <v>2638</v>
      </c>
      <c r="V2227" s="10" t="s">
        <v>2638</v>
      </c>
      <c r="W2227" s="50">
        <f>+J2227/$W$2</f>
        <v>1.2359953876978281E-4</v>
      </c>
    </row>
    <row r="2228" spans="1:29">
      <c r="A2228" s="10" t="s">
        <v>675</v>
      </c>
      <c r="B2228" s="10" t="s">
        <v>381</v>
      </c>
      <c r="C2228" s="124">
        <v>46386</v>
      </c>
      <c r="D2228" s="124" t="s">
        <v>492</v>
      </c>
      <c r="E2228" s="21">
        <v>0.92969957999999997</v>
      </c>
      <c r="F2228" s="10"/>
      <c r="G2228" s="14">
        <v>15000000</v>
      </c>
      <c r="H2228" s="14">
        <v>13945493.75</v>
      </c>
      <c r="I2228" s="14">
        <v>15000000</v>
      </c>
      <c r="J2228" s="14">
        <v>13945493.75</v>
      </c>
      <c r="K2228" s="12">
        <v>90004194</v>
      </c>
      <c r="L2228" s="10" t="s">
        <v>101</v>
      </c>
      <c r="M2228" s="10" t="s">
        <v>102</v>
      </c>
      <c r="N2228" s="124" t="s">
        <v>434</v>
      </c>
      <c r="O2228" s="124" t="s">
        <v>434</v>
      </c>
      <c r="P2228" s="21">
        <v>30</v>
      </c>
      <c r="Q2228" s="10" t="s">
        <v>54</v>
      </c>
      <c r="R2228" s="10" t="s">
        <v>28</v>
      </c>
      <c r="S2228" s="10"/>
      <c r="T2228" s="10"/>
      <c r="U2228" s="10" t="s">
        <v>2936</v>
      </c>
      <c r="V2228" s="10" t="s">
        <v>2936</v>
      </c>
      <c r="W2228" s="50">
        <f>+J2228/$W$2</f>
        <v>1.8539932636823348E-4</v>
      </c>
    </row>
    <row r="2229" spans="1:29">
      <c r="A2229" s="10" t="s">
        <v>2772</v>
      </c>
      <c r="B2229" s="10" t="s">
        <v>381</v>
      </c>
      <c r="C2229" s="124">
        <v>46386</v>
      </c>
      <c r="D2229" s="124" t="s">
        <v>492</v>
      </c>
      <c r="E2229" s="21">
        <v>0.92752604000000005</v>
      </c>
      <c r="F2229" s="10"/>
      <c r="G2229" s="14">
        <v>47373027.109999999</v>
      </c>
      <c r="H2229" s="14">
        <v>43939716.200000003</v>
      </c>
      <c r="I2229" s="14">
        <v>47373027.109999999</v>
      </c>
      <c r="J2229" s="14">
        <v>43939716.200000003</v>
      </c>
      <c r="K2229" s="12">
        <v>11412588</v>
      </c>
      <c r="L2229" s="10" t="s">
        <v>101</v>
      </c>
      <c r="M2229" s="10" t="s">
        <v>102</v>
      </c>
      <c r="N2229" s="124" t="s">
        <v>422</v>
      </c>
      <c r="O2229" s="124" t="s">
        <v>422</v>
      </c>
      <c r="P2229" s="21">
        <v>31</v>
      </c>
      <c r="Q2229" s="10" t="s">
        <v>54</v>
      </c>
      <c r="R2229" s="10" t="s">
        <v>28</v>
      </c>
      <c r="S2229" s="10"/>
      <c r="T2229" s="10"/>
      <c r="U2229" s="10" t="s">
        <v>2756</v>
      </c>
      <c r="V2229" s="10" t="s">
        <v>2756</v>
      </c>
      <c r="W2229" s="50">
        <f>+J2229/$W$2</f>
        <v>5.8415958088908521E-4</v>
      </c>
    </row>
    <row r="2230" spans="1:29">
      <c r="A2230" s="10" t="s">
        <v>3145</v>
      </c>
      <c r="B2230" s="10" t="s">
        <v>381</v>
      </c>
      <c r="C2230" s="124">
        <v>46386</v>
      </c>
      <c r="D2230" s="124" t="s">
        <v>492</v>
      </c>
      <c r="E2230" s="21">
        <v>0.92320946000000004</v>
      </c>
      <c r="F2230" s="10"/>
      <c r="G2230" s="14">
        <v>5000000</v>
      </c>
      <c r="H2230" s="14">
        <v>4616047.28</v>
      </c>
      <c r="I2230" s="14">
        <v>5000000</v>
      </c>
      <c r="J2230" s="14">
        <v>4616047.28</v>
      </c>
      <c r="K2230" s="12">
        <v>354</v>
      </c>
      <c r="L2230" s="10" t="s">
        <v>101</v>
      </c>
      <c r="M2230" s="10" t="s">
        <v>102</v>
      </c>
      <c r="N2230" s="124" t="s">
        <v>532</v>
      </c>
      <c r="O2230" s="124" t="s">
        <v>532</v>
      </c>
      <c r="P2230" s="21">
        <v>33</v>
      </c>
      <c r="Q2230" s="10" t="s">
        <v>54</v>
      </c>
      <c r="R2230" s="10" t="s">
        <v>28</v>
      </c>
      <c r="S2230" s="10"/>
      <c r="T2230" s="10"/>
      <c r="U2230" s="10" t="s">
        <v>3116</v>
      </c>
      <c r="V2230" s="10" t="s">
        <v>3116</v>
      </c>
      <c r="W2230" s="50">
        <f>+J2230/$W$2</f>
        <v>6.1368358233706614E-5</v>
      </c>
    </row>
    <row r="2231" spans="1:29">
      <c r="A2231" s="10" t="s">
        <v>3265</v>
      </c>
      <c r="B2231" s="10" t="s">
        <v>381</v>
      </c>
      <c r="C2231" s="124">
        <v>46386</v>
      </c>
      <c r="D2231" s="124" t="s">
        <v>492</v>
      </c>
      <c r="E2231" s="21">
        <v>0.92752595000000004</v>
      </c>
      <c r="F2231" s="10"/>
      <c r="G2231" s="14">
        <v>1112906.07</v>
      </c>
      <c r="H2231" s="14">
        <v>1032249.26</v>
      </c>
      <c r="I2231" s="14">
        <v>1112906.07</v>
      </c>
      <c r="J2231" s="14">
        <v>1032249.26</v>
      </c>
      <c r="K2231" s="12">
        <v>877</v>
      </c>
      <c r="L2231" s="10" t="s">
        <v>101</v>
      </c>
      <c r="M2231" s="10" t="s">
        <v>102</v>
      </c>
      <c r="N2231" s="124" t="s">
        <v>472</v>
      </c>
      <c r="O2231" s="124" t="s">
        <v>472</v>
      </c>
      <c r="P2231" s="21">
        <v>31</v>
      </c>
      <c r="Q2231" s="10" t="s">
        <v>54</v>
      </c>
      <c r="R2231" s="10" t="s">
        <v>28</v>
      </c>
      <c r="S2231" s="10"/>
      <c r="T2231" s="10"/>
      <c r="U2231" s="10" t="s">
        <v>3197</v>
      </c>
      <c r="V2231" s="10" t="s">
        <v>3197</v>
      </c>
      <c r="W2231" s="50">
        <f>+J2231/$W$2</f>
        <v>1.3723308824982086E-5</v>
      </c>
    </row>
    <row r="2232" spans="1:29">
      <c r="A2232" s="10" t="s">
        <v>3461</v>
      </c>
      <c r="B2232" s="10" t="s">
        <v>381</v>
      </c>
      <c r="C2232" s="124">
        <v>46386</v>
      </c>
      <c r="D2232" s="124" t="s">
        <v>492</v>
      </c>
      <c r="E2232" s="21">
        <v>0.92969963</v>
      </c>
      <c r="F2232" s="10"/>
      <c r="G2232" s="14">
        <v>750000</v>
      </c>
      <c r="H2232" s="14">
        <v>697274.72</v>
      </c>
      <c r="I2232" s="14">
        <v>750000</v>
      </c>
      <c r="J2232" s="14">
        <v>697274.72</v>
      </c>
      <c r="K2232" s="12">
        <v>69995922</v>
      </c>
      <c r="L2232" s="10" t="s">
        <v>101</v>
      </c>
      <c r="M2232" s="10" t="s">
        <v>102</v>
      </c>
      <c r="N2232" s="124" t="s">
        <v>531</v>
      </c>
      <c r="O2232" s="124" t="s">
        <v>531</v>
      </c>
      <c r="P2232" s="21">
        <v>30</v>
      </c>
      <c r="Q2232" s="10" t="s">
        <v>54</v>
      </c>
      <c r="R2232" s="10" t="s">
        <v>28</v>
      </c>
      <c r="S2232" s="10"/>
      <c r="T2232" s="10"/>
      <c r="U2232" s="10" t="s">
        <v>3437</v>
      </c>
      <c r="V2232" s="10" t="s">
        <v>3437</v>
      </c>
      <c r="W2232" s="50">
        <f>+J2232/$W$2</f>
        <v>9.2699667504851602E-6</v>
      </c>
    </row>
    <row r="2233" spans="1:29">
      <c r="A2233" s="10" t="s">
        <v>576</v>
      </c>
      <c r="B2233" s="10" t="s">
        <v>381</v>
      </c>
      <c r="C2233" s="124">
        <v>46386</v>
      </c>
      <c r="D2233" s="124" t="s">
        <v>492</v>
      </c>
      <c r="E2233" s="21">
        <v>0.92969955999999998</v>
      </c>
      <c r="F2233" s="10"/>
      <c r="G2233" s="14">
        <v>50000000</v>
      </c>
      <c r="H2233" s="14">
        <v>46484978.189999998</v>
      </c>
      <c r="I2233" s="14">
        <v>50000000</v>
      </c>
      <c r="J2233" s="14">
        <v>46484978.189999998</v>
      </c>
      <c r="K2233" s="12">
        <v>68015</v>
      </c>
      <c r="L2233" s="10" t="s">
        <v>101</v>
      </c>
      <c r="M2233" s="10" t="s">
        <v>102</v>
      </c>
      <c r="N2233" s="124" t="s">
        <v>363</v>
      </c>
      <c r="O2233" s="124" t="s">
        <v>363</v>
      </c>
      <c r="P2233" s="21">
        <v>30</v>
      </c>
      <c r="Q2233" s="10" t="s">
        <v>54</v>
      </c>
      <c r="R2233" s="10" t="s">
        <v>28</v>
      </c>
      <c r="S2233" s="10"/>
      <c r="T2233" s="10"/>
      <c r="U2233" s="10" t="s">
        <v>1186</v>
      </c>
      <c r="V2233" s="10" t="s">
        <v>1186</v>
      </c>
      <c r="W2233" s="50">
        <f>+J2233/$W$2</f>
        <v>6.1799774157641606E-4</v>
      </c>
      <c r="AC2233" s="47"/>
    </row>
    <row r="2234" spans="1:29">
      <c r="A2234" s="10" t="s">
        <v>2465</v>
      </c>
      <c r="B2234" s="10" t="s">
        <v>381</v>
      </c>
      <c r="C2234" s="124">
        <v>46386</v>
      </c>
      <c r="D2234" s="124" t="s">
        <v>492</v>
      </c>
      <c r="E2234" s="21">
        <v>0.92536258999999998</v>
      </c>
      <c r="F2234" s="10"/>
      <c r="G2234" s="14">
        <v>4000000</v>
      </c>
      <c r="H2234" s="14">
        <v>3701450.37</v>
      </c>
      <c r="I2234" s="14">
        <v>4000000</v>
      </c>
      <c r="J2234" s="14">
        <v>3701450.37</v>
      </c>
      <c r="K2234" s="12">
        <v>725</v>
      </c>
      <c r="L2234" s="10" t="s">
        <v>101</v>
      </c>
      <c r="M2234" s="10" t="s">
        <v>102</v>
      </c>
      <c r="N2234" s="124" t="s">
        <v>420</v>
      </c>
      <c r="O2234" s="124" t="s">
        <v>420</v>
      </c>
      <c r="P2234" s="21">
        <v>32</v>
      </c>
      <c r="Q2234" s="10" t="s">
        <v>54</v>
      </c>
      <c r="R2234" s="10" t="s">
        <v>28</v>
      </c>
      <c r="S2234" s="10"/>
      <c r="T2234" s="10"/>
      <c r="U2234" s="10" t="s">
        <v>2646</v>
      </c>
      <c r="V2234" s="10" t="s">
        <v>2646</v>
      </c>
      <c r="W2234" s="50">
        <f>+J2234/$W$2</f>
        <v>4.9209186672465337E-5</v>
      </c>
    </row>
    <row r="2235" spans="1:29">
      <c r="A2235" s="10" t="s">
        <v>208</v>
      </c>
      <c r="B2235" s="10" t="s">
        <v>381</v>
      </c>
      <c r="C2235" s="124">
        <v>46386</v>
      </c>
      <c r="D2235" s="124" t="s">
        <v>492</v>
      </c>
      <c r="E2235" s="21">
        <v>0.92320937999999997</v>
      </c>
      <c r="F2235" s="10"/>
      <c r="G2235" s="14">
        <v>2170000</v>
      </c>
      <c r="H2235" s="14">
        <v>2003364.36</v>
      </c>
      <c r="I2235" s="14">
        <v>2170000</v>
      </c>
      <c r="J2235" s="14">
        <v>2003364.36</v>
      </c>
      <c r="K2235" s="12">
        <v>260750</v>
      </c>
      <c r="L2235" s="10" t="s">
        <v>101</v>
      </c>
      <c r="M2235" s="10" t="s">
        <v>102</v>
      </c>
      <c r="N2235" s="124" t="s">
        <v>533</v>
      </c>
      <c r="O2235" s="124" t="s">
        <v>533</v>
      </c>
      <c r="P2235" s="21">
        <v>33</v>
      </c>
      <c r="Q2235" s="10" t="s">
        <v>54</v>
      </c>
      <c r="R2235" s="10" t="s">
        <v>28</v>
      </c>
      <c r="S2235" s="10"/>
      <c r="T2235" s="10"/>
      <c r="U2235" s="10" t="s">
        <v>1855</v>
      </c>
      <c r="V2235" s="10" t="s">
        <v>1855</v>
      </c>
      <c r="W2235" s="50">
        <f>+J2235/$W$2</f>
        <v>2.6633865352679051E-5</v>
      </c>
    </row>
    <row r="2236" spans="1:29">
      <c r="A2236" s="10" t="s">
        <v>494</v>
      </c>
      <c r="B2236" s="10" t="s">
        <v>381</v>
      </c>
      <c r="C2236" s="124">
        <v>46386</v>
      </c>
      <c r="D2236" s="124" t="s">
        <v>492</v>
      </c>
      <c r="E2236" s="21">
        <v>0.93628160999999999</v>
      </c>
      <c r="F2236" s="10"/>
      <c r="G2236" s="14">
        <v>3400000</v>
      </c>
      <c r="H2236" s="14">
        <v>3183357.46</v>
      </c>
      <c r="I2236" s="14">
        <v>3400000</v>
      </c>
      <c r="J2236" s="14">
        <v>3183357.46</v>
      </c>
      <c r="K2236" s="12">
        <v>68062415</v>
      </c>
      <c r="L2236" s="10" t="s">
        <v>101</v>
      </c>
      <c r="M2236" s="10" t="s">
        <v>102</v>
      </c>
      <c r="N2236" s="124" t="s">
        <v>394</v>
      </c>
      <c r="O2236" s="124" t="s">
        <v>394</v>
      </c>
      <c r="P2236" s="21">
        <v>27</v>
      </c>
      <c r="Q2236" s="10" t="s">
        <v>54</v>
      </c>
      <c r="R2236" s="10" t="s">
        <v>28</v>
      </c>
      <c r="S2236" s="10"/>
      <c r="T2236" s="10"/>
      <c r="U2236" s="10" t="s">
        <v>809</v>
      </c>
      <c r="V2236" s="10" t="s">
        <v>809</v>
      </c>
      <c r="W2236" s="50">
        <f>+J2236/$W$2</f>
        <v>4.2321364826060085E-5</v>
      </c>
    </row>
    <row r="2237" spans="1:29">
      <c r="A2237" s="10" t="s">
        <v>561</v>
      </c>
      <c r="B2237" s="10" t="s">
        <v>381</v>
      </c>
      <c r="C2237" s="124">
        <v>46386</v>
      </c>
      <c r="D2237" s="124" t="s">
        <v>492</v>
      </c>
      <c r="E2237" s="21">
        <v>0.93188324</v>
      </c>
      <c r="F2237" s="10"/>
      <c r="G2237" s="14">
        <v>14000000</v>
      </c>
      <c r="H2237" s="14">
        <v>13046365.300000001</v>
      </c>
      <c r="I2237" s="14">
        <v>14000000</v>
      </c>
      <c r="J2237" s="14">
        <v>13046365.300000001</v>
      </c>
      <c r="K2237" s="12">
        <v>119</v>
      </c>
      <c r="L2237" s="10" t="s">
        <v>101</v>
      </c>
      <c r="M2237" s="10" t="s">
        <v>102</v>
      </c>
      <c r="N2237" s="124" t="s">
        <v>394</v>
      </c>
      <c r="O2237" s="124" t="s">
        <v>394</v>
      </c>
      <c r="P2237" s="21">
        <v>29</v>
      </c>
      <c r="Q2237" s="10" t="s">
        <v>54</v>
      </c>
      <c r="R2237" s="10" t="s">
        <v>28</v>
      </c>
      <c r="S2237" s="10"/>
      <c r="T2237" s="10"/>
      <c r="U2237" s="10" t="s">
        <v>816</v>
      </c>
      <c r="V2237" s="10" t="s">
        <v>816</v>
      </c>
      <c r="W2237" s="50">
        <f>+J2237/$W$2</f>
        <v>1.7344580131297945E-4</v>
      </c>
    </row>
    <row r="2238" spans="1:29">
      <c r="A2238" s="10" t="s">
        <v>267</v>
      </c>
      <c r="B2238" s="10" t="s">
        <v>381</v>
      </c>
      <c r="C2238" s="124">
        <v>46386</v>
      </c>
      <c r="D2238" s="124" t="s">
        <v>492</v>
      </c>
      <c r="E2238" s="21">
        <v>0.93407728999999995</v>
      </c>
      <c r="F2238" s="10"/>
      <c r="G2238" s="14">
        <v>50000000</v>
      </c>
      <c r="H2238" s="14">
        <v>46703864.649999999</v>
      </c>
      <c r="I2238" s="14">
        <v>50000000</v>
      </c>
      <c r="J2238" s="14">
        <v>46703864.649999999</v>
      </c>
      <c r="K2238" s="12">
        <v>40665395</v>
      </c>
      <c r="L2238" s="10" t="s">
        <v>101</v>
      </c>
      <c r="M2238" s="10" t="s">
        <v>102</v>
      </c>
      <c r="N2238" s="124" t="s">
        <v>391</v>
      </c>
      <c r="O2238" s="124" t="s">
        <v>391</v>
      </c>
      <c r="P2238" s="21">
        <v>28</v>
      </c>
      <c r="Q2238" s="10" t="s">
        <v>54</v>
      </c>
      <c r="R2238" s="10" t="s">
        <v>28</v>
      </c>
      <c r="S2238" s="10"/>
      <c r="T2238" s="10"/>
      <c r="U2238" s="10" t="s">
        <v>1286</v>
      </c>
      <c r="V2238" s="10" t="s">
        <v>1286</v>
      </c>
      <c r="W2238" s="50">
        <f>+J2238/$W$2</f>
        <v>6.2090774268233802E-4</v>
      </c>
    </row>
    <row r="2239" spans="1:29">
      <c r="A2239" s="10" t="s">
        <v>1546</v>
      </c>
      <c r="B2239" s="10" t="s">
        <v>381</v>
      </c>
      <c r="C2239" s="124">
        <v>46386</v>
      </c>
      <c r="D2239" s="124" t="s">
        <v>492</v>
      </c>
      <c r="E2239" s="21">
        <v>0.92536257</v>
      </c>
      <c r="F2239" s="10"/>
      <c r="G2239" s="14">
        <v>20000000</v>
      </c>
      <c r="H2239" s="14">
        <v>18507251.48</v>
      </c>
      <c r="I2239" s="14">
        <v>20000000</v>
      </c>
      <c r="J2239" s="14">
        <v>18507251.48</v>
      </c>
      <c r="K2239" s="12">
        <v>53980</v>
      </c>
      <c r="L2239" s="10" t="s">
        <v>101</v>
      </c>
      <c r="M2239" s="10" t="s">
        <v>102</v>
      </c>
      <c r="N2239" s="124" t="s">
        <v>322</v>
      </c>
      <c r="O2239" s="124" t="s">
        <v>322</v>
      </c>
      <c r="P2239" s="21">
        <v>32</v>
      </c>
      <c r="Q2239" s="10" t="s">
        <v>54</v>
      </c>
      <c r="R2239" s="10" t="s">
        <v>28</v>
      </c>
      <c r="S2239" s="10"/>
      <c r="T2239" s="10"/>
      <c r="U2239" s="10" t="s">
        <v>1549</v>
      </c>
      <c r="V2239" s="10" t="s">
        <v>1549</v>
      </c>
      <c r="W2239" s="50">
        <f>+J2239/$W$2</f>
        <v>2.4604592844333623E-4</v>
      </c>
    </row>
    <row r="2240" spans="1:29">
      <c r="A2240" s="10" t="s">
        <v>1667</v>
      </c>
      <c r="B2240" s="10" t="s">
        <v>381</v>
      </c>
      <c r="C2240" s="124">
        <v>46386</v>
      </c>
      <c r="D2240" s="124" t="s">
        <v>492</v>
      </c>
      <c r="E2240" s="21">
        <v>0.92969953999999999</v>
      </c>
      <c r="F2240" s="10"/>
      <c r="G2240" s="14">
        <v>50000000</v>
      </c>
      <c r="H2240" s="14">
        <v>46484976.990000002</v>
      </c>
      <c r="I2240" s="14">
        <v>50000000</v>
      </c>
      <c r="J2240" s="14">
        <v>46484976.990000002</v>
      </c>
      <c r="K2240" s="12">
        <v>196468</v>
      </c>
      <c r="L2240" s="10" t="s">
        <v>101</v>
      </c>
      <c r="M2240" s="10" t="s">
        <v>102</v>
      </c>
      <c r="N2240" s="124" t="s">
        <v>163</v>
      </c>
      <c r="O2240" s="124" t="s">
        <v>163</v>
      </c>
      <c r="P2240" s="21">
        <v>30</v>
      </c>
      <c r="Q2240" s="10" t="s">
        <v>54</v>
      </c>
      <c r="R2240" s="10" t="s">
        <v>28</v>
      </c>
      <c r="S2240" s="10"/>
      <c r="T2240" s="10"/>
      <c r="U2240" s="10" t="s">
        <v>1615</v>
      </c>
      <c r="V2240" s="10" t="s">
        <v>1615</v>
      </c>
      <c r="W2240" s="50">
        <f>+J2240/$W$2</f>
        <v>6.179977256229335E-4</v>
      </c>
    </row>
    <row r="2241" spans="1:23">
      <c r="A2241" s="10" t="s">
        <v>1724</v>
      </c>
      <c r="B2241" s="10" t="s">
        <v>381</v>
      </c>
      <c r="C2241" s="124">
        <v>46386</v>
      </c>
      <c r="D2241" s="124" t="s">
        <v>492</v>
      </c>
      <c r="E2241" s="21">
        <v>0.91469548000000001</v>
      </c>
      <c r="F2241" s="10"/>
      <c r="G2241" s="14">
        <v>25000000</v>
      </c>
      <c r="H2241" s="14">
        <v>22867386.879999999</v>
      </c>
      <c r="I2241" s="14">
        <v>25000000</v>
      </c>
      <c r="J2241" s="14">
        <v>22867386.879999999</v>
      </c>
      <c r="K2241" s="12">
        <v>40</v>
      </c>
      <c r="L2241" s="10" t="s">
        <v>101</v>
      </c>
      <c r="M2241" s="10" t="s">
        <v>102</v>
      </c>
      <c r="N2241" s="124" t="s">
        <v>425</v>
      </c>
      <c r="O2241" s="124" t="s">
        <v>425</v>
      </c>
      <c r="P2241" s="21">
        <v>37</v>
      </c>
      <c r="Q2241" s="10" t="s">
        <v>54</v>
      </c>
      <c r="R2241" s="10" t="s">
        <v>28</v>
      </c>
      <c r="S2241" s="10"/>
      <c r="T2241" s="10"/>
      <c r="U2241" s="10" t="s">
        <v>1697</v>
      </c>
      <c r="V2241" s="10" t="s">
        <v>1697</v>
      </c>
      <c r="W2241" s="50">
        <f>+J2241/$W$2</f>
        <v>3.0401204857689461E-4</v>
      </c>
    </row>
    <row r="2242" spans="1:23">
      <c r="A2242" s="10" t="s">
        <v>2165</v>
      </c>
      <c r="B2242" s="10" t="s">
        <v>381</v>
      </c>
      <c r="C2242" s="124">
        <v>46386</v>
      </c>
      <c r="D2242" s="124" t="s">
        <v>492</v>
      </c>
      <c r="E2242" s="21">
        <v>0.92536273999999996</v>
      </c>
      <c r="F2242" s="10"/>
      <c r="G2242" s="14">
        <v>6535955.1799999997</v>
      </c>
      <c r="H2242" s="14">
        <v>6048129.4100000001</v>
      </c>
      <c r="I2242" s="14">
        <v>6535955.1799999997</v>
      </c>
      <c r="J2242" s="14">
        <v>6048129.4100000001</v>
      </c>
      <c r="K2242" s="12">
        <v>30000340</v>
      </c>
      <c r="L2242" s="10" t="s">
        <v>101</v>
      </c>
      <c r="M2242" s="10" t="s">
        <v>102</v>
      </c>
      <c r="N2242" s="124" t="s">
        <v>416</v>
      </c>
      <c r="O2242" s="124" t="s">
        <v>416</v>
      </c>
      <c r="P2242" s="21">
        <v>32</v>
      </c>
      <c r="Q2242" s="10" t="s">
        <v>54</v>
      </c>
      <c r="R2242" s="10" t="s">
        <v>28</v>
      </c>
      <c r="S2242" s="10"/>
      <c r="T2242" s="10"/>
      <c r="U2242" s="10" t="s">
        <v>2142</v>
      </c>
      <c r="V2242" s="10" t="s">
        <v>2142</v>
      </c>
      <c r="W2242" s="50">
        <f>+J2242/$W$2</f>
        <v>8.0407272664827773E-5</v>
      </c>
    </row>
    <row r="2243" spans="1:23">
      <c r="A2243" s="10" t="s">
        <v>2320</v>
      </c>
      <c r="B2243" s="10" t="s">
        <v>381</v>
      </c>
      <c r="C2243" s="124">
        <v>46386</v>
      </c>
      <c r="D2243" s="124" t="s">
        <v>492</v>
      </c>
      <c r="E2243" s="21">
        <v>0.92752599000000002</v>
      </c>
      <c r="F2243" s="10"/>
      <c r="G2243" s="14">
        <v>25000000</v>
      </c>
      <c r="H2243" s="14">
        <v>23188149.73</v>
      </c>
      <c r="I2243" s="14">
        <v>25000000</v>
      </c>
      <c r="J2243" s="14">
        <v>23188149.73</v>
      </c>
      <c r="K2243" s="12">
        <v>14384930</v>
      </c>
      <c r="L2243" s="10" t="s">
        <v>101</v>
      </c>
      <c r="M2243" s="10" t="s">
        <v>102</v>
      </c>
      <c r="N2243" s="124" t="s">
        <v>536</v>
      </c>
      <c r="O2243" s="124" t="s">
        <v>536</v>
      </c>
      <c r="P2243" s="21">
        <v>31</v>
      </c>
      <c r="Q2243" s="10" t="s">
        <v>54</v>
      </c>
      <c r="R2243" s="10" t="s">
        <v>28</v>
      </c>
      <c r="S2243" s="10"/>
      <c r="T2243" s="10"/>
      <c r="U2243" s="10" t="s">
        <v>2314</v>
      </c>
      <c r="V2243" s="10" t="s">
        <v>2314</v>
      </c>
      <c r="W2243" s="50">
        <f>+J2243/$W$2</f>
        <v>3.0827645236065844E-4</v>
      </c>
    </row>
    <row r="2244" spans="1:23">
      <c r="A2244" s="10" t="s">
        <v>1063</v>
      </c>
      <c r="B2244" s="10" t="s">
        <v>381</v>
      </c>
      <c r="C2244" s="124">
        <v>46386</v>
      </c>
      <c r="D2244" s="124" t="s">
        <v>492</v>
      </c>
      <c r="E2244" s="21">
        <v>0.92320946000000004</v>
      </c>
      <c r="F2244" s="10"/>
      <c r="G2244" s="14">
        <v>11666666.67</v>
      </c>
      <c r="H2244" s="14">
        <v>10770777</v>
      </c>
      <c r="I2244" s="14">
        <v>11666666.67</v>
      </c>
      <c r="J2244" s="14">
        <v>10770777</v>
      </c>
      <c r="K2244" s="12">
        <v>69879082</v>
      </c>
      <c r="L2244" s="10" t="s">
        <v>101</v>
      </c>
      <c r="M2244" s="10" t="s">
        <v>102</v>
      </c>
      <c r="N2244" s="124" t="s">
        <v>532</v>
      </c>
      <c r="O2244" s="124" t="s">
        <v>532</v>
      </c>
      <c r="P2244" s="21">
        <v>33</v>
      </c>
      <c r="Q2244" s="10" t="s">
        <v>54</v>
      </c>
      <c r="R2244" s="10" t="s">
        <v>28</v>
      </c>
      <c r="S2244" s="10"/>
      <c r="T2244" s="10"/>
      <c r="U2244" s="10" t="s">
        <v>3091</v>
      </c>
      <c r="V2244" s="10" t="s">
        <v>3091</v>
      </c>
      <c r="W2244" s="50">
        <f>+J2244/$W$2</f>
        <v>1.4319283605590966E-4</v>
      </c>
    </row>
    <row r="2245" spans="1:23">
      <c r="A2245" s="10" t="s">
        <v>1189</v>
      </c>
      <c r="B2245" s="10" t="s">
        <v>381</v>
      </c>
      <c r="C2245" s="124">
        <v>46386</v>
      </c>
      <c r="D2245" s="124" t="s">
        <v>492</v>
      </c>
      <c r="E2245" s="21">
        <v>0.92320946999999998</v>
      </c>
      <c r="F2245" s="10"/>
      <c r="G2245" s="14">
        <v>204483.81</v>
      </c>
      <c r="H2245" s="14">
        <v>188781.39</v>
      </c>
      <c r="I2245" s="14">
        <v>204483.81</v>
      </c>
      <c r="J2245" s="14">
        <v>188781.39</v>
      </c>
      <c r="K2245" s="12">
        <v>124583</v>
      </c>
      <c r="L2245" s="10" t="s">
        <v>101</v>
      </c>
      <c r="M2245" s="10" t="s">
        <v>102</v>
      </c>
      <c r="N2245" s="124" t="s">
        <v>492</v>
      </c>
      <c r="O2245" s="124" t="s">
        <v>492</v>
      </c>
      <c r="P2245" s="21">
        <v>33</v>
      </c>
      <c r="Q2245" s="10" t="s">
        <v>54</v>
      </c>
      <c r="R2245" s="10" t="s">
        <v>28</v>
      </c>
      <c r="S2245" s="10"/>
      <c r="T2245" s="10"/>
      <c r="U2245" s="10" t="s">
        <v>3538</v>
      </c>
      <c r="V2245" s="10" t="s">
        <v>3538</v>
      </c>
      <c r="W2245" s="50">
        <f>+J2245/$W$2</f>
        <v>2.5097671810192289E-6</v>
      </c>
    </row>
    <row r="2246" spans="1:23">
      <c r="A2246" s="10" t="s">
        <v>385</v>
      </c>
      <c r="B2246" s="10" t="s">
        <v>381</v>
      </c>
      <c r="C2246" s="124">
        <v>46386</v>
      </c>
      <c r="D2246" s="124" t="s">
        <v>492</v>
      </c>
      <c r="E2246" s="21">
        <v>0.92320926999999997</v>
      </c>
      <c r="F2246" s="10"/>
      <c r="G2246" s="14">
        <v>25000000</v>
      </c>
      <c r="H2246" s="14">
        <v>23080231.640000001</v>
      </c>
      <c r="I2246" s="14">
        <v>25000000</v>
      </c>
      <c r="J2246" s="14">
        <v>23080231.640000001</v>
      </c>
      <c r="K2246" s="12">
        <v>4299</v>
      </c>
      <c r="L2246" s="10" t="s">
        <v>101</v>
      </c>
      <c r="M2246" s="10" t="s">
        <v>102</v>
      </c>
      <c r="N2246" s="124" t="s">
        <v>472</v>
      </c>
      <c r="O2246" s="124" t="s">
        <v>472</v>
      </c>
      <c r="P2246" s="21">
        <v>33</v>
      </c>
      <c r="Q2246" s="10" t="s">
        <v>54</v>
      </c>
      <c r="R2246" s="10" t="s">
        <v>28</v>
      </c>
      <c r="S2246" s="10"/>
      <c r="T2246" s="10"/>
      <c r="U2246" s="10" t="s">
        <v>3224</v>
      </c>
      <c r="V2246" s="10" t="s">
        <v>3224</v>
      </c>
      <c r="W2246" s="50">
        <f>+J2246/$W$2</f>
        <v>3.0684172788638547E-4</v>
      </c>
    </row>
    <row r="2247" spans="1:23">
      <c r="A2247" s="10" t="s">
        <v>404</v>
      </c>
      <c r="B2247" s="10" t="s">
        <v>381</v>
      </c>
      <c r="C2247" s="124">
        <v>46386</v>
      </c>
      <c r="D2247" s="124" t="s">
        <v>492</v>
      </c>
      <c r="E2247" s="21">
        <v>0.93407731999999999</v>
      </c>
      <c r="F2247" s="10"/>
      <c r="G2247" s="14">
        <v>21138534</v>
      </c>
      <c r="H2247" s="14">
        <v>19745025.170000002</v>
      </c>
      <c r="I2247" s="14">
        <v>21138534</v>
      </c>
      <c r="J2247" s="14">
        <v>19745025.170000002</v>
      </c>
      <c r="K2247" s="12">
        <v>69612979</v>
      </c>
      <c r="L2247" s="10" t="s">
        <v>101</v>
      </c>
      <c r="M2247" s="10" t="s">
        <v>102</v>
      </c>
      <c r="N2247" s="124" t="s">
        <v>434</v>
      </c>
      <c r="O2247" s="124" t="s">
        <v>434</v>
      </c>
      <c r="P2247" s="21">
        <v>28</v>
      </c>
      <c r="Q2247" s="10" t="s">
        <v>54</v>
      </c>
      <c r="R2247" s="10" t="s">
        <v>28</v>
      </c>
      <c r="S2247" s="10"/>
      <c r="T2247" s="10"/>
      <c r="U2247" s="10" t="s">
        <v>2987</v>
      </c>
      <c r="V2247" s="10" t="s">
        <v>2987</v>
      </c>
      <c r="W2247" s="50">
        <f>+J2247/$W$2</f>
        <v>2.6250159594684954E-4</v>
      </c>
    </row>
    <row r="2248" spans="1:23">
      <c r="A2248" s="10" t="s">
        <v>392</v>
      </c>
      <c r="B2248" s="10" t="s">
        <v>381</v>
      </c>
      <c r="C2248" s="124">
        <v>46386</v>
      </c>
      <c r="D2248" s="124" t="s">
        <v>492</v>
      </c>
      <c r="E2248" s="21">
        <v>0.92536271999999997</v>
      </c>
      <c r="F2248" s="10"/>
      <c r="G2248" s="14">
        <v>2833000</v>
      </c>
      <c r="H2248" s="14">
        <v>2621552.59</v>
      </c>
      <c r="I2248" s="14">
        <v>2833000</v>
      </c>
      <c r="J2248" s="14">
        <v>2621552.59</v>
      </c>
      <c r="K2248" s="12">
        <v>90000057</v>
      </c>
      <c r="L2248" s="10" t="s">
        <v>101</v>
      </c>
      <c r="M2248" s="10" t="s">
        <v>102</v>
      </c>
      <c r="N2248" s="124" t="s">
        <v>531</v>
      </c>
      <c r="O2248" s="124" t="s">
        <v>531</v>
      </c>
      <c r="P2248" s="21">
        <v>32</v>
      </c>
      <c r="Q2248" s="10" t="s">
        <v>54</v>
      </c>
      <c r="R2248" s="10" t="s">
        <v>28</v>
      </c>
      <c r="S2248" s="10"/>
      <c r="T2248" s="10"/>
      <c r="U2248" s="10" t="s">
        <v>3401</v>
      </c>
      <c r="V2248" s="10" t="s">
        <v>3401</v>
      </c>
      <c r="W2248" s="50">
        <f>+J2248/$W$2</f>
        <v>3.4852411319240506E-5</v>
      </c>
    </row>
    <row r="2249" spans="1:23">
      <c r="A2249" s="10" t="s">
        <v>465</v>
      </c>
      <c r="B2249" s="10" t="s">
        <v>381</v>
      </c>
      <c r="C2249" s="124">
        <v>46386</v>
      </c>
      <c r="D2249" s="124" t="s">
        <v>492</v>
      </c>
      <c r="E2249" s="21">
        <v>0.92320930999999995</v>
      </c>
      <c r="F2249" s="10"/>
      <c r="G2249" s="14">
        <v>25000000</v>
      </c>
      <c r="H2249" s="14">
        <v>23080232.829999998</v>
      </c>
      <c r="I2249" s="14">
        <v>25000000</v>
      </c>
      <c r="J2249" s="14">
        <v>23080232.829999998</v>
      </c>
      <c r="K2249" s="12">
        <v>14422599</v>
      </c>
      <c r="L2249" s="10" t="s">
        <v>101</v>
      </c>
      <c r="M2249" s="10" t="s">
        <v>102</v>
      </c>
      <c r="N2249" s="124" t="s">
        <v>390</v>
      </c>
      <c r="O2249" s="124" t="s">
        <v>390</v>
      </c>
      <c r="P2249" s="21">
        <v>33</v>
      </c>
      <c r="Q2249" s="10" t="s">
        <v>54</v>
      </c>
      <c r="R2249" s="10" t="s">
        <v>28</v>
      </c>
      <c r="S2249" s="10"/>
      <c r="T2249" s="10"/>
      <c r="U2249" s="10" t="s">
        <v>2051</v>
      </c>
      <c r="V2249" s="10" t="s">
        <v>2051</v>
      </c>
      <c r="W2249" s="50">
        <f>+J2249/$W$2</f>
        <v>3.068417437069223E-4</v>
      </c>
    </row>
    <row r="2250" spans="1:23">
      <c r="A2250" s="10" t="s">
        <v>465</v>
      </c>
      <c r="B2250" s="10" t="s">
        <v>381</v>
      </c>
      <c r="C2250" s="124">
        <v>46386</v>
      </c>
      <c r="D2250" s="124" t="s">
        <v>492</v>
      </c>
      <c r="E2250" s="21">
        <v>0.92536257</v>
      </c>
      <c r="F2250" s="10"/>
      <c r="G2250" s="14">
        <v>10000000</v>
      </c>
      <c r="H2250" s="14">
        <v>9253625.6500000004</v>
      </c>
      <c r="I2250" s="14">
        <v>10000000</v>
      </c>
      <c r="J2250" s="14">
        <v>9253625.6500000004</v>
      </c>
      <c r="K2250" s="12">
        <v>14422581</v>
      </c>
      <c r="L2250" s="10" t="s">
        <v>101</v>
      </c>
      <c r="M2250" s="10" t="s">
        <v>102</v>
      </c>
      <c r="N2250" s="124" t="s">
        <v>164</v>
      </c>
      <c r="O2250" s="124" t="s">
        <v>164</v>
      </c>
      <c r="P2250" s="21">
        <v>32</v>
      </c>
      <c r="Q2250" s="10" t="s">
        <v>54</v>
      </c>
      <c r="R2250" s="10" t="s">
        <v>28</v>
      </c>
      <c r="S2250" s="10"/>
      <c r="T2250" s="10"/>
      <c r="U2250" s="10" t="s">
        <v>1980</v>
      </c>
      <c r="V2250" s="10" t="s">
        <v>1980</v>
      </c>
      <c r="W2250" s="50">
        <f>+J2250/$W$2</f>
        <v>1.2302296302515691E-4</v>
      </c>
    </row>
    <row r="2251" spans="1:23">
      <c r="A2251" s="10" t="s">
        <v>2915</v>
      </c>
      <c r="B2251" s="10" t="s">
        <v>381</v>
      </c>
      <c r="C2251" s="124">
        <v>46386</v>
      </c>
      <c r="D2251" s="124" t="s">
        <v>492</v>
      </c>
      <c r="E2251" s="21">
        <v>0.93407731999999999</v>
      </c>
      <c r="F2251" s="10"/>
      <c r="G2251" s="14">
        <v>5000000</v>
      </c>
      <c r="H2251" s="14">
        <v>4670386.59</v>
      </c>
      <c r="I2251" s="14">
        <v>5000000</v>
      </c>
      <c r="J2251" s="14">
        <v>4670386.59</v>
      </c>
      <c r="K2251" s="12">
        <v>15</v>
      </c>
      <c r="L2251" s="10" t="s">
        <v>101</v>
      </c>
      <c r="M2251" s="10" t="s">
        <v>102</v>
      </c>
      <c r="N2251" s="124" t="s">
        <v>434</v>
      </c>
      <c r="O2251" s="124" t="s">
        <v>434</v>
      </c>
      <c r="P2251" s="21">
        <v>28</v>
      </c>
      <c r="Q2251" s="10" t="s">
        <v>54</v>
      </c>
      <c r="R2251" s="10" t="s">
        <v>28</v>
      </c>
      <c r="S2251" s="10"/>
      <c r="T2251" s="10"/>
      <c r="U2251" s="10" t="s">
        <v>2983</v>
      </c>
      <c r="V2251" s="10" t="s">
        <v>2983</v>
      </c>
      <c r="W2251" s="50">
        <f>+J2251/$W$2</f>
        <v>6.2090775930054905E-5</v>
      </c>
    </row>
    <row r="2252" spans="1:23">
      <c r="A2252" s="10" t="s">
        <v>3576</v>
      </c>
      <c r="B2252" s="10" t="s">
        <v>381</v>
      </c>
      <c r="C2252" s="124">
        <v>46386</v>
      </c>
      <c r="D2252" s="124" t="s">
        <v>492</v>
      </c>
      <c r="E2252" s="21">
        <v>0.92536275999999995</v>
      </c>
      <c r="F2252" s="10"/>
      <c r="G2252" s="14">
        <v>11145337.859999999</v>
      </c>
      <c r="H2252" s="14">
        <v>10313480.57</v>
      </c>
      <c r="I2252" s="14">
        <v>11145337.859999999</v>
      </c>
      <c r="J2252" s="14">
        <v>10313480.57</v>
      </c>
      <c r="K2252" s="12">
        <v>17</v>
      </c>
      <c r="L2252" s="10" t="s">
        <v>101</v>
      </c>
      <c r="M2252" s="10" t="s">
        <v>102</v>
      </c>
      <c r="N2252" s="124" t="s">
        <v>492</v>
      </c>
      <c r="O2252" s="124" t="s">
        <v>492</v>
      </c>
      <c r="P2252" s="21">
        <v>32</v>
      </c>
      <c r="Q2252" s="10" t="s">
        <v>54</v>
      </c>
      <c r="R2252" s="10" t="s">
        <v>28</v>
      </c>
      <c r="S2252" s="10"/>
      <c r="T2252" s="10"/>
      <c r="U2252" s="10" t="s">
        <v>3544</v>
      </c>
      <c r="V2252" s="10" t="s">
        <v>3544</v>
      </c>
      <c r="W2252" s="50">
        <f>+J2252/$W$2</f>
        <v>1.371132771967909E-4</v>
      </c>
    </row>
    <row r="2253" spans="1:23">
      <c r="A2253" s="10" t="s">
        <v>675</v>
      </c>
      <c r="B2253" s="10" t="s">
        <v>381</v>
      </c>
      <c r="C2253" s="124">
        <v>46391</v>
      </c>
      <c r="D2253" s="124" t="s">
        <v>492</v>
      </c>
      <c r="E2253" s="21">
        <v>0.92616092999999999</v>
      </c>
      <c r="F2253" s="10"/>
      <c r="G2253" s="14">
        <v>15000000</v>
      </c>
      <c r="H2253" s="14">
        <v>13892413.91</v>
      </c>
      <c r="I2253" s="14">
        <v>15000000</v>
      </c>
      <c r="J2253" s="14">
        <v>13892413.91</v>
      </c>
      <c r="K2253" s="12">
        <v>90004195</v>
      </c>
      <c r="L2253" s="10" t="s">
        <v>101</v>
      </c>
      <c r="M2253" s="10" t="s">
        <v>102</v>
      </c>
      <c r="N2253" s="124" t="s">
        <v>434</v>
      </c>
      <c r="O2253" s="124" t="s">
        <v>434</v>
      </c>
      <c r="P2253" s="21">
        <v>30</v>
      </c>
      <c r="Q2253" s="10" t="s">
        <v>54</v>
      </c>
      <c r="R2253" s="10" t="s">
        <v>28</v>
      </c>
      <c r="S2253" s="10"/>
      <c r="T2253" s="10"/>
      <c r="U2253" s="10" t="s">
        <v>2932</v>
      </c>
      <c r="V2253" s="10" t="s">
        <v>2932</v>
      </c>
      <c r="W2253" s="50">
        <f>+J2253/$W$2</f>
        <v>1.8469365278247512E-4</v>
      </c>
    </row>
    <row r="2254" spans="1:23">
      <c r="A2254" s="10" t="s">
        <v>3145</v>
      </c>
      <c r="B2254" s="10" t="s">
        <v>381</v>
      </c>
      <c r="C2254" s="124">
        <v>46391</v>
      </c>
      <c r="D2254" s="124" t="s">
        <v>492</v>
      </c>
      <c r="E2254" s="21">
        <v>0.91937243999999996</v>
      </c>
      <c r="F2254" s="10"/>
      <c r="G2254" s="14">
        <v>7500000</v>
      </c>
      <c r="H2254" s="14">
        <v>6895293.2999999998</v>
      </c>
      <c r="I2254" s="14">
        <v>7500000</v>
      </c>
      <c r="J2254" s="14">
        <v>6895293.2999999998</v>
      </c>
      <c r="K2254" s="12">
        <v>339</v>
      </c>
      <c r="L2254" s="10" t="s">
        <v>101</v>
      </c>
      <c r="M2254" s="10" t="s">
        <v>102</v>
      </c>
      <c r="N2254" s="124" t="s">
        <v>532</v>
      </c>
      <c r="O2254" s="124" t="s">
        <v>532</v>
      </c>
      <c r="P2254" s="21">
        <v>33</v>
      </c>
      <c r="Q2254" s="10" t="s">
        <v>54</v>
      </c>
      <c r="R2254" s="10" t="s">
        <v>28</v>
      </c>
      <c r="S2254" s="10"/>
      <c r="T2254" s="10"/>
      <c r="U2254" s="10" t="s">
        <v>3114</v>
      </c>
      <c r="V2254" s="10" t="s">
        <v>3114</v>
      </c>
      <c r="W2254" s="50">
        <f>+J2254/$W$2</f>
        <v>9.1669951301035415E-5</v>
      </c>
    </row>
    <row r="2255" spans="1:23">
      <c r="A2255" s="10" t="s">
        <v>1471</v>
      </c>
      <c r="B2255" s="10" t="s">
        <v>381</v>
      </c>
      <c r="C2255" s="124">
        <v>46391</v>
      </c>
      <c r="D2255" s="124" t="s">
        <v>492</v>
      </c>
      <c r="E2255" s="21">
        <v>0.91047418999999996</v>
      </c>
      <c r="F2255" s="10"/>
      <c r="G2255" s="14">
        <v>25000000</v>
      </c>
      <c r="H2255" s="14">
        <v>22761854.870000001</v>
      </c>
      <c r="I2255" s="14">
        <v>25000000</v>
      </c>
      <c r="J2255" s="14">
        <v>22761854.870000001</v>
      </c>
      <c r="K2255" s="12">
        <v>1117</v>
      </c>
      <c r="L2255" s="10" t="s">
        <v>101</v>
      </c>
      <c r="M2255" s="10" t="s">
        <v>102</v>
      </c>
      <c r="N2255" s="124" t="s">
        <v>397</v>
      </c>
      <c r="O2255" s="124" t="s">
        <v>397</v>
      </c>
      <c r="P2255" s="21">
        <v>37</v>
      </c>
      <c r="Q2255" s="10" t="s">
        <v>54</v>
      </c>
      <c r="R2255" s="10" t="s">
        <v>28</v>
      </c>
      <c r="S2255" s="10"/>
      <c r="T2255" s="10"/>
      <c r="U2255" s="10" t="s">
        <v>1444</v>
      </c>
      <c r="V2255" s="10" t="s">
        <v>1444</v>
      </c>
      <c r="W2255" s="50">
        <f>+J2255/$W$2</f>
        <v>3.0260904600738824E-4</v>
      </c>
    </row>
    <row r="2256" spans="1:23">
      <c r="A2256" s="10" t="s">
        <v>208</v>
      </c>
      <c r="B2256" s="10" t="s">
        <v>381</v>
      </c>
      <c r="C2256" s="124">
        <v>46391</v>
      </c>
      <c r="D2256" s="124" t="s">
        <v>492</v>
      </c>
      <c r="E2256" s="21">
        <v>0.91937239000000004</v>
      </c>
      <c r="F2256" s="10"/>
      <c r="G2256" s="14">
        <v>2170000</v>
      </c>
      <c r="H2256" s="14">
        <v>1995038.09</v>
      </c>
      <c r="I2256" s="14">
        <v>2170000</v>
      </c>
      <c r="J2256" s="14">
        <v>1995038.09</v>
      </c>
      <c r="K2256" s="12">
        <v>260751</v>
      </c>
      <c r="L2256" s="10" t="s">
        <v>101</v>
      </c>
      <c r="M2256" s="10" t="s">
        <v>102</v>
      </c>
      <c r="N2256" s="124" t="s">
        <v>533</v>
      </c>
      <c r="O2256" s="124" t="s">
        <v>533</v>
      </c>
      <c r="P2256" s="21">
        <v>33</v>
      </c>
      <c r="Q2256" s="10" t="s">
        <v>54</v>
      </c>
      <c r="R2256" s="10" t="s">
        <v>28</v>
      </c>
      <c r="S2256" s="10"/>
      <c r="T2256" s="10"/>
      <c r="U2256" s="10" t="s">
        <v>1870</v>
      </c>
      <c r="V2256" s="10" t="s">
        <v>1870</v>
      </c>
      <c r="W2256" s="50">
        <f>+J2256/$W$2</f>
        <v>2.6523171183162101E-5</v>
      </c>
    </row>
    <row r="2257" spans="1:29">
      <c r="A2257" s="10" t="s">
        <v>494</v>
      </c>
      <c r="B2257" s="10" t="s">
        <v>381</v>
      </c>
      <c r="C2257" s="124">
        <v>46391</v>
      </c>
      <c r="D2257" s="124" t="s">
        <v>492</v>
      </c>
      <c r="E2257" s="21">
        <v>0.93536980999999997</v>
      </c>
      <c r="F2257" s="10"/>
      <c r="G2257" s="14">
        <v>25000000</v>
      </c>
      <c r="H2257" s="14">
        <v>23384245.25</v>
      </c>
      <c r="I2257" s="14">
        <v>25000000</v>
      </c>
      <c r="J2257" s="14">
        <v>23384245.25</v>
      </c>
      <c r="K2257" s="12">
        <v>9508926</v>
      </c>
      <c r="L2257" s="10" t="s">
        <v>101</v>
      </c>
      <c r="M2257" s="10" t="s">
        <v>102</v>
      </c>
      <c r="N2257" s="124" t="s">
        <v>319</v>
      </c>
      <c r="O2257" s="124" t="s">
        <v>319</v>
      </c>
      <c r="P2257" s="21">
        <v>26</v>
      </c>
      <c r="Q2257" s="10" t="s">
        <v>54</v>
      </c>
      <c r="R2257" s="10" t="s">
        <v>28</v>
      </c>
      <c r="S2257" s="10"/>
      <c r="T2257" s="10"/>
      <c r="U2257" s="10" t="s">
        <v>998</v>
      </c>
      <c r="V2257" s="10" t="s">
        <v>998</v>
      </c>
      <c r="W2257" s="50">
        <f>+J2257/$W$2</f>
        <v>3.1088345774631061E-4</v>
      </c>
    </row>
    <row r="2258" spans="1:29">
      <c r="A2258" s="10" t="s">
        <v>1667</v>
      </c>
      <c r="B2258" s="10" t="s">
        <v>381</v>
      </c>
      <c r="C2258" s="124">
        <v>46391</v>
      </c>
      <c r="D2258" s="124" t="s">
        <v>492</v>
      </c>
      <c r="E2258" s="21">
        <v>0.92616091</v>
      </c>
      <c r="F2258" s="10"/>
      <c r="G2258" s="14">
        <v>50000000</v>
      </c>
      <c r="H2258" s="14">
        <v>46308045.359999999</v>
      </c>
      <c r="I2258" s="14">
        <v>50000000</v>
      </c>
      <c r="J2258" s="14">
        <v>46308045.359999999</v>
      </c>
      <c r="K2258" s="12">
        <v>196472</v>
      </c>
      <c r="L2258" s="10" t="s">
        <v>101</v>
      </c>
      <c r="M2258" s="10" t="s">
        <v>102</v>
      </c>
      <c r="N2258" s="124" t="s">
        <v>163</v>
      </c>
      <c r="O2258" s="124" t="s">
        <v>163</v>
      </c>
      <c r="P2258" s="21">
        <v>30</v>
      </c>
      <c r="Q2258" s="10" t="s">
        <v>54</v>
      </c>
      <c r="R2258" s="10" t="s">
        <v>28</v>
      </c>
      <c r="S2258" s="10"/>
      <c r="T2258" s="10"/>
      <c r="U2258" s="10" t="s">
        <v>1616</v>
      </c>
      <c r="V2258" s="10" t="s">
        <v>1616</v>
      </c>
      <c r="W2258" s="50">
        <f>+J2258/$W$2</f>
        <v>6.1564549589171772E-4</v>
      </c>
    </row>
    <row r="2259" spans="1:29">
      <c r="A2259" s="10" t="s">
        <v>3575</v>
      </c>
      <c r="B2259" s="10" t="s">
        <v>381</v>
      </c>
      <c r="C2259" s="124">
        <v>46391</v>
      </c>
      <c r="D2259" s="124" t="s">
        <v>492</v>
      </c>
      <c r="E2259" s="21">
        <v>0.92162418999999995</v>
      </c>
      <c r="F2259" s="10"/>
      <c r="G2259" s="14">
        <v>10386286.039999999</v>
      </c>
      <c r="H2259" s="14">
        <v>9572252.5</v>
      </c>
      <c r="I2259" s="14">
        <v>10386286.039999999</v>
      </c>
      <c r="J2259" s="14">
        <v>9572252.5</v>
      </c>
      <c r="K2259" s="12">
        <v>54595091</v>
      </c>
      <c r="L2259" s="10" t="s">
        <v>101</v>
      </c>
      <c r="M2259" s="10" t="s">
        <v>102</v>
      </c>
      <c r="N2259" s="124" t="s">
        <v>492</v>
      </c>
      <c r="O2259" s="124" t="s">
        <v>492</v>
      </c>
      <c r="P2259" s="21">
        <v>32</v>
      </c>
      <c r="Q2259" s="10" t="s">
        <v>54</v>
      </c>
      <c r="R2259" s="10" t="s">
        <v>28</v>
      </c>
      <c r="S2259" s="10"/>
      <c r="T2259" s="10"/>
      <c r="U2259" s="10" t="s">
        <v>3540</v>
      </c>
      <c r="V2259" s="10" t="s">
        <v>3540</v>
      </c>
      <c r="W2259" s="50">
        <f>+J2259/$W$2</f>
        <v>1.2725896960992427E-4</v>
      </c>
    </row>
    <row r="2260" spans="1:29">
      <c r="A2260" s="10" t="s">
        <v>3580</v>
      </c>
      <c r="B2260" s="10" t="s">
        <v>381</v>
      </c>
      <c r="C2260" s="124">
        <v>46391</v>
      </c>
      <c r="D2260" s="124" t="s">
        <v>492</v>
      </c>
      <c r="E2260" s="21">
        <v>0.92616098000000002</v>
      </c>
      <c r="F2260" s="10"/>
      <c r="G2260" s="14">
        <v>5890000</v>
      </c>
      <c r="H2260" s="14">
        <v>5455088.1900000004</v>
      </c>
      <c r="I2260" s="14">
        <v>5890000</v>
      </c>
      <c r="J2260" s="14">
        <v>5455088.1900000004</v>
      </c>
      <c r="K2260" s="12">
        <v>1029</v>
      </c>
      <c r="L2260" s="10" t="s">
        <v>101</v>
      </c>
      <c r="M2260" s="10" t="s">
        <v>102</v>
      </c>
      <c r="N2260" s="124" t="s">
        <v>492</v>
      </c>
      <c r="O2260" s="124" t="s">
        <v>492</v>
      </c>
      <c r="P2260" s="21">
        <v>30</v>
      </c>
      <c r="Q2260" s="10" t="s">
        <v>54</v>
      </c>
      <c r="R2260" s="10" t="s">
        <v>28</v>
      </c>
      <c r="S2260" s="10"/>
      <c r="T2260" s="10"/>
      <c r="U2260" s="10" t="s">
        <v>3563</v>
      </c>
      <c r="V2260" s="10" t="s">
        <v>3563</v>
      </c>
      <c r="W2260" s="50">
        <f>+J2260/$W$2</f>
        <v>7.2523045353292434E-5</v>
      </c>
    </row>
    <row r="2261" spans="1:29">
      <c r="A2261" s="10" t="s">
        <v>3145</v>
      </c>
      <c r="B2261" s="10" t="s">
        <v>381</v>
      </c>
      <c r="C2261" s="124">
        <v>46392</v>
      </c>
      <c r="D2261" s="124" t="s">
        <v>492</v>
      </c>
      <c r="E2261" s="21">
        <v>0.91860881000000005</v>
      </c>
      <c r="F2261" s="10"/>
      <c r="G2261" s="14">
        <v>7500000</v>
      </c>
      <c r="H2261" s="14">
        <v>6889566.0700000003</v>
      </c>
      <c r="I2261" s="14">
        <v>7500000</v>
      </c>
      <c r="J2261" s="14">
        <v>6889566.0700000003</v>
      </c>
      <c r="K2261" s="12">
        <v>340</v>
      </c>
      <c r="L2261" s="10" t="s">
        <v>101</v>
      </c>
      <c r="M2261" s="10" t="s">
        <v>102</v>
      </c>
      <c r="N2261" s="124" t="s">
        <v>532</v>
      </c>
      <c r="O2261" s="124" t="s">
        <v>532</v>
      </c>
      <c r="P2261" s="21">
        <v>33</v>
      </c>
      <c r="Q2261" s="10" t="s">
        <v>54</v>
      </c>
      <c r="R2261" s="10" t="s">
        <v>28</v>
      </c>
      <c r="S2261" s="10"/>
      <c r="T2261" s="10"/>
      <c r="U2261" s="10" t="s">
        <v>3115</v>
      </c>
      <c r="V2261" s="10" t="s">
        <v>3115</v>
      </c>
      <c r="W2261" s="50">
        <f>+J2261/$W$2</f>
        <v>9.1593810247660675E-5</v>
      </c>
      <c r="AC2261" s="47"/>
    </row>
    <row r="2262" spans="1:29">
      <c r="A2262" s="10" t="s">
        <v>208</v>
      </c>
      <c r="B2262" s="10" t="s">
        <v>381</v>
      </c>
      <c r="C2262" s="124">
        <v>46392</v>
      </c>
      <c r="D2262" s="124" t="s">
        <v>492</v>
      </c>
      <c r="E2262" s="21">
        <v>0.91860876999999996</v>
      </c>
      <c r="F2262" s="10"/>
      <c r="G2262" s="14">
        <v>2260000</v>
      </c>
      <c r="H2262" s="14">
        <v>2076055.82</v>
      </c>
      <c r="I2262" s="14">
        <v>2260000</v>
      </c>
      <c r="J2262" s="14">
        <v>2076055.82</v>
      </c>
      <c r="K2262" s="12">
        <v>260752</v>
      </c>
      <c r="L2262" s="10" t="s">
        <v>101</v>
      </c>
      <c r="M2262" s="10" t="s">
        <v>102</v>
      </c>
      <c r="N2262" s="124" t="s">
        <v>533</v>
      </c>
      <c r="O2262" s="124" t="s">
        <v>533</v>
      </c>
      <c r="P2262" s="21">
        <v>33</v>
      </c>
      <c r="Q2262" s="10" t="s">
        <v>54</v>
      </c>
      <c r="R2262" s="10" t="s">
        <v>28</v>
      </c>
      <c r="S2262" s="10"/>
      <c r="T2262" s="10"/>
      <c r="U2262" s="10" t="s">
        <v>1856</v>
      </c>
      <c r="V2262" s="10" t="s">
        <v>1856</v>
      </c>
      <c r="W2262" s="50">
        <f>+J2262/$W$2</f>
        <v>2.7600266970170963E-5</v>
      </c>
    </row>
    <row r="2263" spans="1:29">
      <c r="A2263" s="10" t="s">
        <v>762</v>
      </c>
      <c r="B2263" s="10" t="s">
        <v>381</v>
      </c>
      <c r="C2263" s="124">
        <v>46392</v>
      </c>
      <c r="D2263" s="124" t="s">
        <v>492</v>
      </c>
      <c r="E2263" s="21">
        <v>0.92545650000000002</v>
      </c>
      <c r="F2263" s="10"/>
      <c r="G2263" s="14">
        <v>83000000</v>
      </c>
      <c r="H2263" s="14">
        <v>76812889.670000002</v>
      </c>
      <c r="I2263" s="14">
        <v>83000000</v>
      </c>
      <c r="J2263" s="14">
        <v>76812889.670000002</v>
      </c>
      <c r="K2263" s="12">
        <v>68158884</v>
      </c>
      <c r="L2263" s="10" t="s">
        <v>101</v>
      </c>
      <c r="M2263" s="10" t="s">
        <v>102</v>
      </c>
      <c r="N2263" s="124" t="s">
        <v>530</v>
      </c>
      <c r="O2263" s="124" t="s">
        <v>530</v>
      </c>
      <c r="P2263" s="21">
        <v>30</v>
      </c>
      <c r="Q2263" s="10" t="s">
        <v>54</v>
      </c>
      <c r="R2263" s="10" t="s">
        <v>28</v>
      </c>
      <c r="S2263" s="10"/>
      <c r="T2263" s="10"/>
      <c r="U2263" s="10" t="s">
        <v>850</v>
      </c>
      <c r="V2263" s="10" t="s">
        <v>850</v>
      </c>
      <c r="W2263" s="50">
        <f>+J2263/$W$2</f>
        <v>1.0211942478706027E-3</v>
      </c>
    </row>
    <row r="2264" spans="1:29">
      <c r="A2264" s="10" t="s">
        <v>1667</v>
      </c>
      <c r="B2264" s="10" t="s">
        <v>381</v>
      </c>
      <c r="C2264" s="124">
        <v>46392</v>
      </c>
      <c r="D2264" s="124" t="s">
        <v>492</v>
      </c>
      <c r="E2264" s="21">
        <v>0.92545655999999998</v>
      </c>
      <c r="F2264" s="10"/>
      <c r="G2264" s="14">
        <v>50000000</v>
      </c>
      <c r="H2264" s="14">
        <v>46272827.75</v>
      </c>
      <c r="I2264" s="14">
        <v>50000000</v>
      </c>
      <c r="J2264" s="14">
        <v>46272827.75</v>
      </c>
      <c r="K2264" s="12">
        <v>196467</v>
      </c>
      <c r="L2264" s="10" t="s">
        <v>101</v>
      </c>
      <c r="M2264" s="10" t="s">
        <v>102</v>
      </c>
      <c r="N2264" s="124" t="s">
        <v>163</v>
      </c>
      <c r="O2264" s="124" t="s">
        <v>163</v>
      </c>
      <c r="P2264" s="21">
        <v>30</v>
      </c>
      <c r="Q2264" s="10" t="s">
        <v>54</v>
      </c>
      <c r="R2264" s="10" t="s">
        <v>28</v>
      </c>
      <c r="S2264" s="10"/>
      <c r="T2264" s="10"/>
      <c r="U2264" s="10" t="s">
        <v>1617</v>
      </c>
      <c r="V2264" s="10" t="s">
        <v>1617</v>
      </c>
      <c r="W2264" s="50">
        <f>+J2264/$W$2</f>
        <v>6.1517729295194738E-4</v>
      </c>
    </row>
    <row r="2265" spans="1:29">
      <c r="A2265" s="10" t="s">
        <v>273</v>
      </c>
      <c r="B2265" s="10" t="s">
        <v>381</v>
      </c>
      <c r="C2265" s="124">
        <v>46392</v>
      </c>
      <c r="D2265" s="124" t="s">
        <v>492</v>
      </c>
      <c r="E2265" s="21">
        <v>0.93007850000000003</v>
      </c>
      <c r="F2265" s="10"/>
      <c r="G2265" s="14">
        <v>7000000</v>
      </c>
      <c r="H2265" s="14">
        <v>6510549.5099999998</v>
      </c>
      <c r="I2265" s="14">
        <v>7000000</v>
      </c>
      <c r="J2265" s="14">
        <v>6510549.5099999998</v>
      </c>
      <c r="K2265" s="12">
        <v>67768341</v>
      </c>
      <c r="L2265" s="10" t="s">
        <v>101</v>
      </c>
      <c r="M2265" s="10" t="s">
        <v>102</v>
      </c>
      <c r="N2265" s="124" t="s">
        <v>395</v>
      </c>
      <c r="O2265" s="124" t="s">
        <v>395</v>
      </c>
      <c r="P2265" s="21">
        <v>28</v>
      </c>
      <c r="Q2265" s="10" t="s">
        <v>54</v>
      </c>
      <c r="R2265" s="10" t="s">
        <v>28</v>
      </c>
      <c r="S2265" s="10"/>
      <c r="T2265" s="10"/>
      <c r="U2265" s="10" t="s">
        <v>823</v>
      </c>
      <c r="V2265" s="10" t="s">
        <v>823</v>
      </c>
      <c r="W2265" s="50">
        <f>+J2265/$W$2</f>
        <v>8.6554948507365151E-5</v>
      </c>
    </row>
    <row r="2266" spans="1:29">
      <c r="A2266" s="10" t="s">
        <v>469</v>
      </c>
      <c r="B2266" s="10" t="s">
        <v>381</v>
      </c>
      <c r="C2266" s="124">
        <v>46392</v>
      </c>
      <c r="D2266" s="124" t="s">
        <v>492</v>
      </c>
      <c r="E2266" s="21">
        <v>0.91860881000000005</v>
      </c>
      <c r="F2266" s="10"/>
      <c r="G2266" s="14">
        <v>6222591.4500000002</v>
      </c>
      <c r="H2266" s="14">
        <v>5716127.3399999999</v>
      </c>
      <c r="I2266" s="14">
        <v>6222591.4500000002</v>
      </c>
      <c r="J2266" s="14">
        <v>5716127.3399999999</v>
      </c>
      <c r="K2266" s="12">
        <v>90000228</v>
      </c>
      <c r="L2266" s="10" t="s">
        <v>101</v>
      </c>
      <c r="M2266" s="10" t="s">
        <v>102</v>
      </c>
      <c r="N2266" s="124" t="s">
        <v>435</v>
      </c>
      <c r="O2266" s="124" t="s">
        <v>435</v>
      </c>
      <c r="P2266" s="21">
        <v>33</v>
      </c>
      <c r="Q2266" s="10" t="s">
        <v>54</v>
      </c>
      <c r="R2266" s="10" t="s">
        <v>28</v>
      </c>
      <c r="S2266" s="10"/>
      <c r="T2266" s="10"/>
      <c r="U2266" s="10" t="s">
        <v>1298</v>
      </c>
      <c r="V2266" s="10" t="s">
        <v>1298</v>
      </c>
      <c r="W2266" s="50">
        <f>+J2266/$W$2</f>
        <v>7.5993448297306953E-5</v>
      </c>
    </row>
    <row r="2267" spans="1:29">
      <c r="A2267" s="10" t="s">
        <v>477</v>
      </c>
      <c r="B2267" s="10" t="s">
        <v>381</v>
      </c>
      <c r="C2267" s="124">
        <v>46393</v>
      </c>
      <c r="D2267" s="124" t="s">
        <v>492</v>
      </c>
      <c r="E2267" s="21">
        <v>0.92475304999999997</v>
      </c>
      <c r="F2267" s="10"/>
      <c r="G2267" s="14">
        <v>10000000</v>
      </c>
      <c r="H2267" s="14">
        <v>9247530.4900000002</v>
      </c>
      <c r="I2267" s="14">
        <v>10000000</v>
      </c>
      <c r="J2267" s="14">
        <v>9247530.4900000002</v>
      </c>
      <c r="K2267" s="12">
        <v>1328673</v>
      </c>
      <c r="L2267" s="10" t="s">
        <v>101</v>
      </c>
      <c r="M2267" s="10" t="s">
        <v>102</v>
      </c>
      <c r="N2267" s="124" t="s">
        <v>420</v>
      </c>
      <c r="O2267" s="124" t="s">
        <v>420</v>
      </c>
      <c r="P2267" s="21">
        <v>30</v>
      </c>
      <c r="Q2267" s="10" t="s">
        <v>54</v>
      </c>
      <c r="R2267" s="10" t="s">
        <v>28</v>
      </c>
      <c r="S2267" s="10"/>
      <c r="T2267" s="10"/>
      <c r="U2267" s="10" t="s">
        <v>2637</v>
      </c>
      <c r="V2267" s="10" t="s">
        <v>2637</v>
      </c>
      <c r="W2267" s="50">
        <f>+J2267/$W$2</f>
        <v>1.2294193050107674E-4</v>
      </c>
    </row>
    <row r="2268" spans="1:29">
      <c r="A2268" s="10" t="s">
        <v>477</v>
      </c>
      <c r="B2268" s="10" t="s">
        <v>381</v>
      </c>
      <c r="C2268" s="124">
        <v>46393</v>
      </c>
      <c r="D2268" s="124" t="s">
        <v>492</v>
      </c>
      <c r="E2268" s="21">
        <v>0.92475304999999997</v>
      </c>
      <c r="F2268" s="10"/>
      <c r="G2268" s="14">
        <v>10000000</v>
      </c>
      <c r="H2268" s="14">
        <v>9247530.4900000002</v>
      </c>
      <c r="I2268" s="14">
        <v>10000000</v>
      </c>
      <c r="J2268" s="14">
        <v>9247530.4900000002</v>
      </c>
      <c r="K2268" s="12">
        <v>1328674</v>
      </c>
      <c r="L2268" s="10" t="s">
        <v>101</v>
      </c>
      <c r="M2268" s="10" t="s">
        <v>102</v>
      </c>
      <c r="N2268" s="124" t="s">
        <v>420</v>
      </c>
      <c r="O2268" s="124" t="s">
        <v>420</v>
      </c>
      <c r="P2268" s="21">
        <v>30</v>
      </c>
      <c r="Q2268" s="10" t="s">
        <v>54</v>
      </c>
      <c r="R2268" s="10" t="s">
        <v>28</v>
      </c>
      <c r="S2268" s="10"/>
      <c r="T2268" s="10"/>
      <c r="U2268" s="10" t="s">
        <v>2639</v>
      </c>
      <c r="V2268" s="10" t="s">
        <v>2639</v>
      </c>
      <c r="W2268" s="50">
        <f>+J2268/$W$2</f>
        <v>1.2294193050107674E-4</v>
      </c>
    </row>
    <row r="2269" spans="1:29">
      <c r="A2269" s="10" t="s">
        <v>675</v>
      </c>
      <c r="B2269" s="10" t="s">
        <v>381</v>
      </c>
      <c r="C2269" s="124">
        <v>46393</v>
      </c>
      <c r="D2269" s="124" t="s">
        <v>492</v>
      </c>
      <c r="E2269" s="21">
        <v>0.92475313999999997</v>
      </c>
      <c r="F2269" s="10"/>
      <c r="G2269" s="14">
        <v>15000000</v>
      </c>
      <c r="H2269" s="14">
        <v>13871297.09</v>
      </c>
      <c r="I2269" s="14">
        <v>15000000</v>
      </c>
      <c r="J2269" s="14">
        <v>13871297.09</v>
      </c>
      <c r="K2269" s="12">
        <v>90004196</v>
      </c>
      <c r="L2269" s="10" t="s">
        <v>101</v>
      </c>
      <c r="M2269" s="10" t="s">
        <v>102</v>
      </c>
      <c r="N2269" s="124" t="s">
        <v>434</v>
      </c>
      <c r="O2269" s="124" t="s">
        <v>434</v>
      </c>
      <c r="P2269" s="21">
        <v>30</v>
      </c>
      <c r="Q2269" s="10" t="s">
        <v>54</v>
      </c>
      <c r="R2269" s="10" t="s">
        <v>28</v>
      </c>
      <c r="S2269" s="10"/>
      <c r="T2269" s="10"/>
      <c r="U2269" s="10" t="s">
        <v>2935</v>
      </c>
      <c r="V2269" s="10" t="s">
        <v>2935</v>
      </c>
      <c r="W2269" s="50">
        <f>+J2269/$W$2</f>
        <v>1.8441291376575586E-4</v>
      </c>
    </row>
    <row r="2270" spans="1:29">
      <c r="A2270" s="10" t="s">
        <v>2774</v>
      </c>
      <c r="B2270" s="10" t="s">
        <v>381</v>
      </c>
      <c r="C2270" s="124">
        <v>46393</v>
      </c>
      <c r="D2270" s="124" t="s">
        <v>492</v>
      </c>
      <c r="E2270" s="21">
        <v>0.92707852999999996</v>
      </c>
      <c r="F2270" s="10"/>
      <c r="G2270" s="14">
        <v>14617599.810000001</v>
      </c>
      <c r="H2270" s="14">
        <v>13551662.949999999</v>
      </c>
      <c r="I2270" s="14">
        <v>14617599.810000001</v>
      </c>
      <c r="J2270" s="14">
        <v>13551662.949999999</v>
      </c>
      <c r="K2270" s="12">
        <v>14061</v>
      </c>
      <c r="L2270" s="10" t="s">
        <v>101</v>
      </c>
      <c r="M2270" s="10" t="s">
        <v>102</v>
      </c>
      <c r="N2270" s="124" t="s">
        <v>532</v>
      </c>
      <c r="O2270" s="124" t="s">
        <v>532</v>
      </c>
      <c r="P2270" s="21">
        <v>29</v>
      </c>
      <c r="Q2270" s="10" t="s">
        <v>54</v>
      </c>
      <c r="R2270" s="10" t="s">
        <v>28</v>
      </c>
      <c r="S2270" s="10"/>
      <c r="T2270" s="10"/>
      <c r="U2270" s="10" t="s">
        <v>3076</v>
      </c>
      <c r="V2270" s="10" t="s">
        <v>3076</v>
      </c>
      <c r="W2270" s="50">
        <f>+J2270/$W$2</f>
        <v>1.8016351569476324E-4</v>
      </c>
    </row>
    <row r="2271" spans="1:29">
      <c r="A2271" s="10" t="s">
        <v>2774</v>
      </c>
      <c r="B2271" s="10" t="s">
        <v>381</v>
      </c>
      <c r="C2271" s="124">
        <v>46393</v>
      </c>
      <c r="D2271" s="124" t="s">
        <v>492</v>
      </c>
      <c r="E2271" s="21">
        <v>0.92707852999999996</v>
      </c>
      <c r="F2271" s="10"/>
      <c r="G2271" s="14">
        <v>41084332.299999997</v>
      </c>
      <c r="H2271" s="14">
        <v>38088402.399999999</v>
      </c>
      <c r="I2271" s="14">
        <v>41084332.299999997</v>
      </c>
      <c r="J2271" s="14">
        <v>38088402.399999999</v>
      </c>
      <c r="K2271" s="12">
        <v>14058</v>
      </c>
      <c r="L2271" s="10" t="s">
        <v>101</v>
      </c>
      <c r="M2271" s="10" t="s">
        <v>102</v>
      </c>
      <c r="N2271" s="124" t="s">
        <v>532</v>
      </c>
      <c r="O2271" s="124" t="s">
        <v>532</v>
      </c>
      <c r="P2271" s="21">
        <v>29</v>
      </c>
      <c r="Q2271" s="10" t="s">
        <v>54</v>
      </c>
      <c r="R2271" s="10" t="s">
        <v>28</v>
      </c>
      <c r="S2271" s="10"/>
      <c r="T2271" s="10"/>
      <c r="U2271" s="10" t="s">
        <v>3077</v>
      </c>
      <c r="V2271" s="10" t="s">
        <v>3077</v>
      </c>
      <c r="W2271" s="50">
        <f>+J2271/$W$2</f>
        <v>5.0636888689597006E-4</v>
      </c>
    </row>
    <row r="2272" spans="1:29">
      <c r="A2272" s="10" t="s">
        <v>2774</v>
      </c>
      <c r="B2272" s="10" t="s">
        <v>381</v>
      </c>
      <c r="C2272" s="124">
        <v>46393</v>
      </c>
      <c r="D2272" s="124" t="s">
        <v>492</v>
      </c>
      <c r="E2272" s="21">
        <v>0.92707852999999996</v>
      </c>
      <c r="F2272" s="10"/>
      <c r="G2272" s="14">
        <v>41084332.299999997</v>
      </c>
      <c r="H2272" s="14">
        <v>38088402.399999999</v>
      </c>
      <c r="I2272" s="14">
        <v>41084332.299999997</v>
      </c>
      <c r="J2272" s="14">
        <v>38088402.399999999</v>
      </c>
      <c r="K2272" s="12">
        <v>14057</v>
      </c>
      <c r="L2272" s="10" t="s">
        <v>101</v>
      </c>
      <c r="M2272" s="10" t="s">
        <v>102</v>
      </c>
      <c r="N2272" s="124" t="s">
        <v>532</v>
      </c>
      <c r="O2272" s="124" t="s">
        <v>532</v>
      </c>
      <c r="P2272" s="21">
        <v>29</v>
      </c>
      <c r="Q2272" s="10" t="s">
        <v>54</v>
      </c>
      <c r="R2272" s="10" t="s">
        <v>28</v>
      </c>
      <c r="S2272" s="10"/>
      <c r="T2272" s="10"/>
      <c r="U2272" s="10" t="s">
        <v>3078</v>
      </c>
      <c r="V2272" s="10" t="s">
        <v>3078</v>
      </c>
      <c r="W2272" s="50">
        <f>+J2272/$W$2</f>
        <v>5.0636888689597006E-4</v>
      </c>
      <c r="AC2272" s="47"/>
    </row>
    <row r="2273" spans="1:29">
      <c r="A2273" s="10" t="s">
        <v>2774</v>
      </c>
      <c r="B2273" s="10" t="s">
        <v>381</v>
      </c>
      <c r="C2273" s="124">
        <v>46393</v>
      </c>
      <c r="D2273" s="124" t="s">
        <v>492</v>
      </c>
      <c r="E2273" s="21">
        <v>0.92707852999999996</v>
      </c>
      <c r="F2273" s="10"/>
      <c r="G2273" s="14">
        <v>41084332.299999997</v>
      </c>
      <c r="H2273" s="14">
        <v>38088402.399999999</v>
      </c>
      <c r="I2273" s="14">
        <v>41084332.299999997</v>
      </c>
      <c r="J2273" s="14">
        <v>38088402.399999999</v>
      </c>
      <c r="K2273" s="12">
        <v>14056</v>
      </c>
      <c r="L2273" s="10" t="s">
        <v>101</v>
      </c>
      <c r="M2273" s="10" t="s">
        <v>102</v>
      </c>
      <c r="N2273" s="124" t="s">
        <v>532</v>
      </c>
      <c r="O2273" s="124" t="s">
        <v>532</v>
      </c>
      <c r="P2273" s="21">
        <v>29</v>
      </c>
      <c r="Q2273" s="10" t="s">
        <v>54</v>
      </c>
      <c r="R2273" s="10" t="s">
        <v>28</v>
      </c>
      <c r="S2273" s="10"/>
      <c r="T2273" s="10"/>
      <c r="U2273" s="10" t="s">
        <v>3079</v>
      </c>
      <c r="V2273" s="10" t="s">
        <v>3079</v>
      </c>
      <c r="W2273" s="50">
        <f>+J2273/$W$2</f>
        <v>5.0636888689597006E-4</v>
      </c>
    </row>
    <row r="2274" spans="1:29">
      <c r="A2274" s="10" t="s">
        <v>2919</v>
      </c>
      <c r="B2274" s="10" t="s">
        <v>381</v>
      </c>
      <c r="C2274" s="124">
        <v>46393</v>
      </c>
      <c r="D2274" s="124" t="s">
        <v>492</v>
      </c>
      <c r="E2274" s="21">
        <v>0.91329936</v>
      </c>
      <c r="F2274" s="10"/>
      <c r="G2274" s="14">
        <v>25000000</v>
      </c>
      <c r="H2274" s="14">
        <v>22832484.079999998</v>
      </c>
      <c r="I2274" s="14">
        <v>25000000</v>
      </c>
      <c r="J2274" s="14">
        <v>22832484.079999998</v>
      </c>
      <c r="K2274" s="12">
        <v>10685426</v>
      </c>
      <c r="L2274" s="10" t="s">
        <v>101</v>
      </c>
      <c r="M2274" s="10" t="s">
        <v>102</v>
      </c>
      <c r="N2274" s="124" t="s">
        <v>486</v>
      </c>
      <c r="O2274" s="124" t="s">
        <v>486</v>
      </c>
      <c r="P2274" s="21">
        <v>35</v>
      </c>
      <c r="Q2274" s="10" t="s">
        <v>54</v>
      </c>
      <c r="R2274" s="10" t="s">
        <v>28</v>
      </c>
      <c r="S2274" s="10"/>
      <c r="T2274" s="10"/>
      <c r="U2274" s="10" t="s">
        <v>2875</v>
      </c>
      <c r="V2274" s="10" t="s">
        <v>2875</v>
      </c>
      <c r="W2274" s="50">
        <f>+J2274/$W$2</f>
        <v>3.0354803090033405E-4</v>
      </c>
    </row>
    <row r="2275" spans="1:29">
      <c r="A2275" s="10" t="s">
        <v>763</v>
      </c>
      <c r="B2275" s="10" t="s">
        <v>381</v>
      </c>
      <c r="C2275" s="124">
        <v>46393</v>
      </c>
      <c r="D2275" s="124" t="s">
        <v>492</v>
      </c>
      <c r="E2275" s="21">
        <v>0.93176439</v>
      </c>
      <c r="F2275" s="10"/>
      <c r="G2275" s="14">
        <v>22500000</v>
      </c>
      <c r="H2275" s="14">
        <v>20964698.890000001</v>
      </c>
      <c r="I2275" s="14">
        <v>22500000</v>
      </c>
      <c r="J2275" s="14">
        <v>20964698.890000001</v>
      </c>
      <c r="K2275" s="12">
        <v>80314059</v>
      </c>
      <c r="L2275" s="10" t="s">
        <v>101</v>
      </c>
      <c r="M2275" s="10" t="s">
        <v>102</v>
      </c>
      <c r="N2275" s="124" t="s">
        <v>436</v>
      </c>
      <c r="O2275" s="124" t="s">
        <v>436</v>
      </c>
      <c r="P2275" s="21">
        <v>27</v>
      </c>
      <c r="Q2275" s="10" t="s">
        <v>54</v>
      </c>
      <c r="R2275" s="10" t="s">
        <v>28</v>
      </c>
      <c r="S2275" s="10"/>
      <c r="T2275" s="10"/>
      <c r="U2275" s="10" t="s">
        <v>1931</v>
      </c>
      <c r="V2275" s="10" t="s">
        <v>1931</v>
      </c>
      <c r="W2275" s="50">
        <f>+J2275/$W$2</f>
        <v>2.7871663215358385E-4</v>
      </c>
    </row>
    <row r="2276" spans="1:29">
      <c r="A2276" s="10" t="s">
        <v>1471</v>
      </c>
      <c r="B2276" s="10" t="s">
        <v>381</v>
      </c>
      <c r="C2276" s="124">
        <v>46393</v>
      </c>
      <c r="D2276" s="124" t="s">
        <v>492</v>
      </c>
      <c r="E2276" s="21">
        <v>0.90879675000000004</v>
      </c>
      <c r="F2276" s="10"/>
      <c r="G2276" s="14">
        <v>25000000</v>
      </c>
      <c r="H2276" s="14">
        <v>22719918.640000001</v>
      </c>
      <c r="I2276" s="14">
        <v>25000000</v>
      </c>
      <c r="J2276" s="14">
        <v>22719918.640000001</v>
      </c>
      <c r="K2276" s="12">
        <v>1118</v>
      </c>
      <c r="L2276" s="10" t="s">
        <v>101</v>
      </c>
      <c r="M2276" s="10" t="s">
        <v>102</v>
      </c>
      <c r="N2276" s="124" t="s">
        <v>397</v>
      </c>
      <c r="O2276" s="124" t="s">
        <v>397</v>
      </c>
      <c r="P2276" s="21">
        <v>37</v>
      </c>
      <c r="Q2276" s="10" t="s">
        <v>54</v>
      </c>
      <c r="R2276" s="10" t="s">
        <v>28</v>
      </c>
      <c r="S2276" s="10"/>
      <c r="T2276" s="10"/>
      <c r="U2276" s="10" t="s">
        <v>1445</v>
      </c>
      <c r="V2276" s="10" t="s">
        <v>1445</v>
      </c>
      <c r="W2276" s="50">
        <f>+J2276/$W$2</f>
        <v>3.0205152191166207E-4</v>
      </c>
    </row>
    <row r="2277" spans="1:29">
      <c r="A2277" s="10" t="s">
        <v>2244</v>
      </c>
      <c r="B2277" s="10" t="s">
        <v>381</v>
      </c>
      <c r="C2277" s="124">
        <v>46393</v>
      </c>
      <c r="D2277" s="124" t="s">
        <v>492</v>
      </c>
      <c r="E2277" s="21">
        <v>0.92243931000000001</v>
      </c>
      <c r="F2277" s="10"/>
      <c r="G2277" s="14">
        <v>1756706.4</v>
      </c>
      <c r="H2277" s="14">
        <v>1620455.04</v>
      </c>
      <c r="I2277" s="14">
        <v>1756706.4</v>
      </c>
      <c r="J2277" s="14">
        <v>1620455.04</v>
      </c>
      <c r="K2277" s="12">
        <v>503</v>
      </c>
      <c r="L2277" s="10" t="s">
        <v>101</v>
      </c>
      <c r="M2277" s="10" t="s">
        <v>102</v>
      </c>
      <c r="N2277" s="124" t="s">
        <v>431</v>
      </c>
      <c r="O2277" s="124" t="s">
        <v>431</v>
      </c>
      <c r="P2277" s="21">
        <v>31</v>
      </c>
      <c r="Q2277" s="10" t="s">
        <v>54</v>
      </c>
      <c r="R2277" s="10" t="s">
        <v>28</v>
      </c>
      <c r="S2277" s="10"/>
      <c r="T2277" s="10"/>
      <c r="U2277" s="10" t="s">
        <v>2260</v>
      </c>
      <c r="V2277" s="10" t="s">
        <v>2260</v>
      </c>
      <c r="W2277" s="50">
        <f>+J2277/$W$2</f>
        <v>2.1543251046669384E-5</v>
      </c>
    </row>
    <row r="2278" spans="1:29">
      <c r="A2278" s="10" t="s">
        <v>2319</v>
      </c>
      <c r="B2278" s="10" t="s">
        <v>381</v>
      </c>
      <c r="C2278" s="124">
        <v>46393</v>
      </c>
      <c r="D2278" s="124" t="s">
        <v>492</v>
      </c>
      <c r="E2278" s="21">
        <v>0.92243936999999998</v>
      </c>
      <c r="F2278" s="10"/>
      <c r="G2278" s="14">
        <v>11820000</v>
      </c>
      <c r="H2278" s="14">
        <v>10903233.369999999</v>
      </c>
      <c r="I2278" s="14">
        <v>11820000</v>
      </c>
      <c r="J2278" s="14">
        <v>10903233.369999999</v>
      </c>
      <c r="K2278" s="12">
        <v>14310296</v>
      </c>
      <c r="L2278" s="10" t="s">
        <v>101</v>
      </c>
      <c r="M2278" s="10" t="s">
        <v>102</v>
      </c>
      <c r="N2278" s="124" t="s">
        <v>536</v>
      </c>
      <c r="O2278" s="124" t="s">
        <v>536</v>
      </c>
      <c r="P2278" s="21">
        <v>31</v>
      </c>
      <c r="Q2278" s="10" t="s">
        <v>54</v>
      </c>
      <c r="R2278" s="10" t="s">
        <v>28</v>
      </c>
      <c r="S2278" s="10"/>
      <c r="T2278" s="10"/>
      <c r="U2278" s="10" t="s">
        <v>2305</v>
      </c>
      <c r="V2278" s="10" t="s">
        <v>2305</v>
      </c>
      <c r="W2278" s="50">
        <f>+J2278/$W$2</f>
        <v>1.4495378638233186E-4</v>
      </c>
    </row>
    <row r="2279" spans="1:29">
      <c r="A2279" s="10" t="s">
        <v>2465</v>
      </c>
      <c r="B2279" s="10" t="s">
        <v>381</v>
      </c>
      <c r="C2279" s="124">
        <v>46393</v>
      </c>
      <c r="D2279" s="124" t="s">
        <v>492</v>
      </c>
      <c r="E2279" s="21">
        <v>0.92013721999999998</v>
      </c>
      <c r="F2279" s="10"/>
      <c r="G2279" s="14">
        <v>4000000</v>
      </c>
      <c r="H2279" s="14">
        <v>3680548.87</v>
      </c>
      <c r="I2279" s="14">
        <v>4000000</v>
      </c>
      <c r="J2279" s="14">
        <v>3680548.87</v>
      </c>
      <c r="K2279" s="12">
        <v>726</v>
      </c>
      <c r="L2279" s="10" t="s">
        <v>101</v>
      </c>
      <c r="M2279" s="10" t="s">
        <v>102</v>
      </c>
      <c r="N2279" s="124" t="s">
        <v>420</v>
      </c>
      <c r="O2279" s="124" t="s">
        <v>420</v>
      </c>
      <c r="P2279" s="21">
        <v>32</v>
      </c>
      <c r="Q2279" s="10" t="s">
        <v>54</v>
      </c>
      <c r="R2279" s="10" t="s">
        <v>28</v>
      </c>
      <c r="S2279" s="10"/>
      <c r="T2279" s="10"/>
      <c r="U2279" s="10" t="s">
        <v>2645</v>
      </c>
      <c r="V2279" s="10" t="s">
        <v>2645</v>
      </c>
      <c r="W2279" s="50">
        <f>+J2279/$W$2</f>
        <v>4.8931310242304113E-5</v>
      </c>
    </row>
    <row r="2280" spans="1:29">
      <c r="A2280" s="10" t="s">
        <v>2238</v>
      </c>
      <c r="B2280" s="10" t="s">
        <v>125</v>
      </c>
      <c r="C2280" s="124">
        <v>46393</v>
      </c>
      <c r="D2280" s="124" t="s">
        <v>492</v>
      </c>
      <c r="E2280" s="21">
        <v>0.97876229000000003</v>
      </c>
      <c r="F2280" s="10" t="s">
        <v>3573</v>
      </c>
      <c r="G2280" s="14">
        <v>415000</v>
      </c>
      <c r="H2280" s="14">
        <v>406186.35</v>
      </c>
      <c r="I2280" s="14">
        <v>632447449.71000004</v>
      </c>
      <c r="J2280" s="14">
        <v>619015713.64999998</v>
      </c>
      <c r="K2280" s="12">
        <v>163818</v>
      </c>
      <c r="L2280" s="10" t="s">
        <v>101</v>
      </c>
      <c r="M2280" s="10" t="s">
        <v>102</v>
      </c>
      <c r="N2280" s="124" t="s">
        <v>551</v>
      </c>
      <c r="O2280" s="124" t="s">
        <v>551</v>
      </c>
      <c r="P2280" s="21">
        <v>8</v>
      </c>
      <c r="Q2280" s="10" t="s">
        <v>54</v>
      </c>
      <c r="R2280" s="10" t="s">
        <v>28</v>
      </c>
      <c r="S2280" s="10"/>
      <c r="T2280" s="10"/>
      <c r="U2280" s="10" t="s">
        <v>2237</v>
      </c>
      <c r="V2280" s="10" t="s">
        <v>2237</v>
      </c>
      <c r="W2280" s="50">
        <f>+J2280/$W$2</f>
        <v>8.2295470048926248E-3</v>
      </c>
    </row>
    <row r="2281" spans="1:29">
      <c r="A2281" s="10" t="s">
        <v>561</v>
      </c>
      <c r="B2281" s="10" t="s">
        <v>381</v>
      </c>
      <c r="C2281" s="124">
        <v>46393</v>
      </c>
      <c r="D2281" s="124" t="s">
        <v>492</v>
      </c>
      <c r="E2281" s="21">
        <v>0.92707839000000003</v>
      </c>
      <c r="F2281" s="10"/>
      <c r="G2281" s="14">
        <v>14000000</v>
      </c>
      <c r="H2281" s="14">
        <v>12979097.4</v>
      </c>
      <c r="I2281" s="14">
        <v>14000000</v>
      </c>
      <c r="J2281" s="14">
        <v>12979097.4</v>
      </c>
      <c r="K2281" s="12">
        <v>120</v>
      </c>
      <c r="L2281" s="10" t="s">
        <v>101</v>
      </c>
      <c r="M2281" s="10" t="s">
        <v>102</v>
      </c>
      <c r="N2281" s="124" t="s">
        <v>394</v>
      </c>
      <c r="O2281" s="124" t="s">
        <v>394</v>
      </c>
      <c r="P2281" s="21">
        <v>29</v>
      </c>
      <c r="Q2281" s="10" t="s">
        <v>54</v>
      </c>
      <c r="R2281" s="10" t="s">
        <v>28</v>
      </c>
      <c r="S2281" s="10"/>
      <c r="T2281" s="10"/>
      <c r="U2281" s="10" t="s">
        <v>810</v>
      </c>
      <c r="V2281" s="10" t="s">
        <v>810</v>
      </c>
      <c r="W2281" s="50">
        <f>+J2281/$W$2</f>
        <v>1.7255150358714912E-4</v>
      </c>
    </row>
    <row r="2282" spans="1:29">
      <c r="A2282" s="10" t="s">
        <v>181</v>
      </c>
      <c r="B2282" s="10" t="s">
        <v>381</v>
      </c>
      <c r="C2282" s="124">
        <v>46393</v>
      </c>
      <c r="D2282" s="124" t="s">
        <v>492</v>
      </c>
      <c r="E2282" s="21">
        <v>0.92243931999999995</v>
      </c>
      <c r="F2282" s="10"/>
      <c r="G2282" s="14">
        <v>72849722.840000004</v>
      </c>
      <c r="H2282" s="14">
        <v>67199449.150000006</v>
      </c>
      <c r="I2282" s="14">
        <v>72849722.840000004</v>
      </c>
      <c r="J2282" s="14">
        <v>67199449.150000006</v>
      </c>
      <c r="K2282" s="12">
        <v>30416620</v>
      </c>
      <c r="L2282" s="10" t="s">
        <v>101</v>
      </c>
      <c r="M2282" s="10" t="s">
        <v>102</v>
      </c>
      <c r="N2282" s="124" t="s">
        <v>164</v>
      </c>
      <c r="O2282" s="124" t="s">
        <v>164</v>
      </c>
      <c r="P2282" s="21">
        <v>31</v>
      </c>
      <c r="Q2282" s="10" t="s">
        <v>54</v>
      </c>
      <c r="R2282" s="10" t="s">
        <v>28</v>
      </c>
      <c r="S2282" s="10"/>
      <c r="T2282" s="10"/>
      <c r="U2282" s="10" t="s">
        <v>2015</v>
      </c>
      <c r="V2282" s="10" t="s">
        <v>2015</v>
      </c>
      <c r="W2282" s="50">
        <f>+J2282/$W$2</f>
        <v>8.9338770129428809E-4</v>
      </c>
    </row>
    <row r="2283" spans="1:29">
      <c r="A2283" s="10" t="s">
        <v>401</v>
      </c>
      <c r="B2283" s="10" t="s">
        <v>381</v>
      </c>
      <c r="C2283" s="124">
        <v>46393</v>
      </c>
      <c r="D2283" s="124" t="s">
        <v>492</v>
      </c>
      <c r="E2283" s="21">
        <v>0.91784652</v>
      </c>
      <c r="F2283" s="10"/>
      <c r="G2283" s="14">
        <v>25000000</v>
      </c>
      <c r="H2283" s="14">
        <v>22946162.93</v>
      </c>
      <c r="I2283" s="14">
        <v>25000000</v>
      </c>
      <c r="J2283" s="14">
        <v>22946162.93</v>
      </c>
      <c r="K2283" s="12">
        <v>2369</v>
      </c>
      <c r="L2283" s="10" t="s">
        <v>101</v>
      </c>
      <c r="M2283" s="10" t="s">
        <v>102</v>
      </c>
      <c r="N2283" s="124" t="s">
        <v>472</v>
      </c>
      <c r="O2283" s="124" t="s">
        <v>472</v>
      </c>
      <c r="P2283" s="21">
        <v>33</v>
      </c>
      <c r="Q2283" s="10" t="s">
        <v>54</v>
      </c>
      <c r="R2283" s="10" t="s">
        <v>28</v>
      </c>
      <c r="S2283" s="10"/>
      <c r="T2283" s="10"/>
      <c r="U2283" s="10" t="s">
        <v>3227</v>
      </c>
      <c r="V2283" s="10" t="s">
        <v>3227</v>
      </c>
      <c r="W2283" s="50">
        <f>+J2283/$W$2</f>
        <v>3.0505934219487432E-4</v>
      </c>
      <c r="AC2283"/>
    </row>
    <row r="2284" spans="1:29">
      <c r="A2284" s="10" t="s">
        <v>1666</v>
      </c>
      <c r="B2284" s="10" t="s">
        <v>381</v>
      </c>
      <c r="C2284" s="124">
        <v>46393</v>
      </c>
      <c r="D2284" s="124" t="s">
        <v>492</v>
      </c>
      <c r="E2284" s="21">
        <v>0.92475309000000006</v>
      </c>
      <c r="F2284" s="10"/>
      <c r="G2284" s="14">
        <v>50000000</v>
      </c>
      <c r="H2284" s="14">
        <v>46237654.649999999</v>
      </c>
      <c r="I2284" s="14">
        <v>50000000</v>
      </c>
      <c r="J2284" s="14">
        <v>46237654.649999999</v>
      </c>
      <c r="K2284" s="12">
        <v>197099</v>
      </c>
      <c r="L2284" s="10" t="s">
        <v>101</v>
      </c>
      <c r="M2284" s="10" t="s">
        <v>102</v>
      </c>
      <c r="N2284" s="124" t="s">
        <v>163</v>
      </c>
      <c r="O2284" s="124" t="s">
        <v>163</v>
      </c>
      <c r="P2284" s="21">
        <v>30</v>
      </c>
      <c r="Q2284" s="10" t="s">
        <v>54</v>
      </c>
      <c r="R2284" s="10" t="s">
        <v>28</v>
      </c>
      <c r="S2284" s="10"/>
      <c r="T2284" s="10"/>
      <c r="U2284" s="10" t="s">
        <v>1611</v>
      </c>
      <c r="V2284" s="10" t="s">
        <v>1611</v>
      </c>
      <c r="W2284" s="50">
        <f>+J2284/$W$2</f>
        <v>6.1470968175343513E-4</v>
      </c>
    </row>
    <row r="2285" spans="1:29">
      <c r="A2285" s="10" t="s">
        <v>2087</v>
      </c>
      <c r="B2285" s="10" t="s">
        <v>381</v>
      </c>
      <c r="C2285" s="124">
        <v>46393</v>
      </c>
      <c r="D2285" s="124" t="s">
        <v>492</v>
      </c>
      <c r="E2285" s="21">
        <v>0.92243938000000003</v>
      </c>
      <c r="F2285" s="10"/>
      <c r="G2285" s="14">
        <v>8523313</v>
      </c>
      <c r="H2285" s="14">
        <v>7862239.5800000001</v>
      </c>
      <c r="I2285" s="14">
        <v>8523313</v>
      </c>
      <c r="J2285" s="14">
        <v>7862239.5800000001</v>
      </c>
      <c r="K2285" s="12">
        <v>13680135</v>
      </c>
      <c r="L2285" s="10" t="s">
        <v>101</v>
      </c>
      <c r="M2285" s="10" t="s">
        <v>102</v>
      </c>
      <c r="N2285" s="124" t="s">
        <v>390</v>
      </c>
      <c r="O2285" s="124" t="s">
        <v>390</v>
      </c>
      <c r="P2285" s="21">
        <v>31</v>
      </c>
      <c r="Q2285" s="10" t="s">
        <v>54</v>
      </c>
      <c r="R2285" s="10" t="s">
        <v>28</v>
      </c>
      <c r="S2285" s="10"/>
      <c r="T2285" s="10"/>
      <c r="U2285" s="10" t="s">
        <v>2071</v>
      </c>
      <c r="V2285" s="10" t="s">
        <v>2071</v>
      </c>
      <c r="W2285" s="50">
        <f>+J2285/$W$2</f>
        <v>1.0452508516435017E-4</v>
      </c>
      <c r="AC2285" s="47"/>
    </row>
    <row r="2286" spans="1:29">
      <c r="A2286" s="10" t="s">
        <v>2125</v>
      </c>
      <c r="B2286" s="10" t="s">
        <v>381</v>
      </c>
      <c r="C2286" s="124">
        <v>46393</v>
      </c>
      <c r="D2286" s="124" t="s">
        <v>492</v>
      </c>
      <c r="E2286" s="21">
        <v>0.92243944</v>
      </c>
      <c r="F2286" s="10"/>
      <c r="G2286" s="14">
        <v>80000000</v>
      </c>
      <c r="H2286" s="14">
        <v>73795155.219999999</v>
      </c>
      <c r="I2286" s="14">
        <v>80000000</v>
      </c>
      <c r="J2286" s="14">
        <v>73795155.219999999</v>
      </c>
      <c r="K2286" s="12">
        <v>3037</v>
      </c>
      <c r="L2286" s="10" t="s">
        <v>101</v>
      </c>
      <c r="M2286" s="10" t="s">
        <v>102</v>
      </c>
      <c r="N2286" s="124" t="s">
        <v>421</v>
      </c>
      <c r="O2286" s="124" t="s">
        <v>421</v>
      </c>
      <c r="P2286" s="21">
        <v>31</v>
      </c>
      <c r="Q2286" s="10" t="s">
        <v>54</v>
      </c>
      <c r="R2286" s="10" t="s">
        <v>28</v>
      </c>
      <c r="S2286" s="10"/>
      <c r="T2286" s="10"/>
      <c r="U2286" s="10" t="s">
        <v>2089</v>
      </c>
      <c r="V2286" s="10" t="s">
        <v>2089</v>
      </c>
      <c r="W2286" s="50">
        <f>+J2286/$W$2</f>
        <v>9.8107476954892542E-4</v>
      </c>
    </row>
    <row r="2287" spans="1:29">
      <c r="A2287" s="10" t="s">
        <v>2164</v>
      </c>
      <c r="B2287" s="10" t="s">
        <v>381</v>
      </c>
      <c r="C2287" s="124">
        <v>46393</v>
      </c>
      <c r="D2287" s="124" t="s">
        <v>492</v>
      </c>
      <c r="E2287" s="21">
        <v>0.92013714999999996</v>
      </c>
      <c r="F2287" s="10"/>
      <c r="G2287" s="14">
        <v>13000000</v>
      </c>
      <c r="H2287" s="14">
        <v>11961782.890000001</v>
      </c>
      <c r="I2287" s="14">
        <v>13000000</v>
      </c>
      <c r="J2287" s="14">
        <v>11961782.890000001</v>
      </c>
      <c r="K2287" s="12">
        <v>1308</v>
      </c>
      <c r="L2287" s="10" t="s">
        <v>101</v>
      </c>
      <c r="M2287" s="10" t="s">
        <v>102</v>
      </c>
      <c r="N2287" s="124" t="s">
        <v>416</v>
      </c>
      <c r="O2287" s="124" t="s">
        <v>416</v>
      </c>
      <c r="P2287" s="21">
        <v>32</v>
      </c>
      <c r="Q2287" s="10" t="s">
        <v>54</v>
      </c>
      <c r="R2287" s="10" t="s">
        <v>28</v>
      </c>
      <c r="S2287" s="10"/>
      <c r="T2287" s="10"/>
      <c r="U2287" s="10" t="s">
        <v>2137</v>
      </c>
      <c r="V2287" s="10" t="s">
        <v>2137</v>
      </c>
      <c r="W2287" s="50">
        <f>+J2287/$W$2</f>
        <v>1.590267458238301E-4</v>
      </c>
    </row>
    <row r="2288" spans="1:29">
      <c r="A2288" s="10" t="s">
        <v>127</v>
      </c>
      <c r="B2288" s="10" t="s">
        <v>125</v>
      </c>
      <c r="C2288" s="124">
        <v>46393</v>
      </c>
      <c r="D2288" s="124" t="s">
        <v>492</v>
      </c>
      <c r="E2288" s="21">
        <v>0.97876200000000002</v>
      </c>
      <c r="F2288" s="10" t="s">
        <v>3573</v>
      </c>
      <c r="G2288" s="14">
        <v>20000</v>
      </c>
      <c r="H2288" s="14">
        <v>19575.240000000002</v>
      </c>
      <c r="I2288" s="14">
        <v>30479395.170000002</v>
      </c>
      <c r="J2288" s="14">
        <v>29832073.77</v>
      </c>
      <c r="K2288" s="12">
        <v>159382</v>
      </c>
      <c r="L2288" s="10" t="s">
        <v>101</v>
      </c>
      <c r="M2288" s="10" t="s">
        <v>102</v>
      </c>
      <c r="N2288" s="124" t="s">
        <v>403</v>
      </c>
      <c r="O2288" s="124" t="s">
        <v>403</v>
      </c>
      <c r="P2288" s="21">
        <v>8</v>
      </c>
      <c r="Q2288" s="10" t="s">
        <v>54</v>
      </c>
      <c r="R2288" s="10" t="s">
        <v>28</v>
      </c>
      <c r="S2288" s="10"/>
      <c r="T2288" s="10"/>
      <c r="U2288" s="10" t="s">
        <v>1257</v>
      </c>
      <c r="V2288" s="10" t="s">
        <v>1257</v>
      </c>
      <c r="W2288" s="50">
        <f>+J2288/$W$2</f>
        <v>3.9660455773575228E-4</v>
      </c>
      <c r="AC2288" s="47"/>
    </row>
    <row r="2289" spans="1:23">
      <c r="A2289" s="10" t="s">
        <v>273</v>
      </c>
      <c r="B2289" s="10" t="s">
        <v>381</v>
      </c>
      <c r="C2289" s="124">
        <v>46393</v>
      </c>
      <c r="D2289" s="124" t="s">
        <v>492</v>
      </c>
      <c r="E2289" s="21">
        <v>0.92013732999999998</v>
      </c>
      <c r="F2289" s="10"/>
      <c r="G2289" s="14">
        <v>15000000</v>
      </c>
      <c r="H2289" s="14">
        <v>13802059.9</v>
      </c>
      <c r="I2289" s="14">
        <v>15000000</v>
      </c>
      <c r="J2289" s="14">
        <v>13802059.9</v>
      </c>
      <c r="K2289" s="12">
        <v>2201</v>
      </c>
      <c r="L2289" s="10" t="s">
        <v>101</v>
      </c>
      <c r="M2289" s="10" t="s">
        <v>102</v>
      </c>
      <c r="N2289" s="124" t="s">
        <v>551</v>
      </c>
      <c r="O2289" s="124" t="s">
        <v>551</v>
      </c>
      <c r="P2289" s="21">
        <v>32</v>
      </c>
      <c r="Q2289" s="10" t="s">
        <v>54</v>
      </c>
      <c r="R2289" s="10" t="s">
        <v>28</v>
      </c>
      <c r="S2289" s="10"/>
      <c r="T2289" s="10"/>
      <c r="U2289" s="10" t="s">
        <v>2175</v>
      </c>
      <c r="V2289" s="10" t="s">
        <v>2175</v>
      </c>
      <c r="W2289" s="50">
        <f>+J2289/$W$2</f>
        <v>1.8349243517849686E-4</v>
      </c>
    </row>
    <row r="2290" spans="1:23">
      <c r="A2290" s="10" t="s">
        <v>785</v>
      </c>
      <c r="B2290" s="10" t="s">
        <v>381</v>
      </c>
      <c r="C2290" s="124">
        <v>46393</v>
      </c>
      <c r="D2290" s="124" t="s">
        <v>492</v>
      </c>
      <c r="E2290" s="21">
        <v>0.92475304000000003</v>
      </c>
      <c r="F2290" s="10"/>
      <c r="G2290" s="14">
        <v>5600000</v>
      </c>
      <c r="H2290" s="14">
        <v>5178617.05</v>
      </c>
      <c r="I2290" s="14">
        <v>5600000</v>
      </c>
      <c r="J2290" s="14">
        <v>5178617.05</v>
      </c>
      <c r="K2290" s="12">
        <v>239</v>
      </c>
      <c r="L2290" s="10" t="s">
        <v>101</v>
      </c>
      <c r="M2290" s="10" t="s">
        <v>102</v>
      </c>
      <c r="N2290" s="124" t="s">
        <v>333</v>
      </c>
      <c r="O2290" s="124" t="s">
        <v>333</v>
      </c>
      <c r="P2290" s="21">
        <v>30</v>
      </c>
      <c r="Q2290" s="10" t="s">
        <v>54</v>
      </c>
      <c r="R2290" s="10" t="s">
        <v>28</v>
      </c>
      <c r="S2290" s="10"/>
      <c r="T2290" s="10"/>
      <c r="U2290" s="10" t="s">
        <v>777</v>
      </c>
      <c r="V2290" s="10" t="s">
        <v>777</v>
      </c>
      <c r="W2290" s="50">
        <f>+J2290/$W$2</f>
        <v>6.8847480756215504E-5</v>
      </c>
    </row>
    <row r="2291" spans="1:23">
      <c r="A2291" s="10" t="s">
        <v>2320</v>
      </c>
      <c r="B2291" s="10" t="s">
        <v>381</v>
      </c>
      <c r="C2291" s="124">
        <v>46393</v>
      </c>
      <c r="D2291" s="124" t="s">
        <v>492</v>
      </c>
      <c r="E2291" s="21">
        <v>0.92243936999999998</v>
      </c>
      <c r="F2291" s="10"/>
      <c r="G2291" s="14">
        <v>25000000</v>
      </c>
      <c r="H2291" s="14">
        <v>23060984.280000001</v>
      </c>
      <c r="I2291" s="14">
        <v>25000000</v>
      </c>
      <c r="J2291" s="14">
        <v>23060984.280000001</v>
      </c>
      <c r="K2291" s="12">
        <v>14384931</v>
      </c>
      <c r="L2291" s="10" t="s">
        <v>101</v>
      </c>
      <c r="M2291" s="10" t="s">
        <v>102</v>
      </c>
      <c r="N2291" s="124" t="s">
        <v>536</v>
      </c>
      <c r="O2291" s="124" t="s">
        <v>536</v>
      </c>
      <c r="P2291" s="21">
        <v>31</v>
      </c>
      <c r="Q2291" s="10" t="s">
        <v>54</v>
      </c>
      <c r="R2291" s="10" t="s">
        <v>28</v>
      </c>
      <c r="S2291" s="10"/>
      <c r="T2291" s="10"/>
      <c r="U2291" s="10" t="s">
        <v>2313</v>
      </c>
      <c r="V2291" s="10" t="s">
        <v>2313</v>
      </c>
      <c r="W2291" s="50">
        <f>+J2291/$W$2</f>
        <v>3.0658584253428979E-4</v>
      </c>
    </row>
    <row r="2292" spans="1:23">
      <c r="A2292" s="10" t="s">
        <v>1468</v>
      </c>
      <c r="B2292" s="10" t="s">
        <v>381</v>
      </c>
      <c r="C2292" s="124">
        <v>46393</v>
      </c>
      <c r="D2292" s="124" t="s">
        <v>492</v>
      </c>
      <c r="E2292" s="21">
        <v>0.91784653999999999</v>
      </c>
      <c r="F2292" s="10"/>
      <c r="G2292" s="14">
        <v>20007806.68</v>
      </c>
      <c r="H2292" s="14">
        <v>18364096.140000001</v>
      </c>
      <c r="I2292" s="14">
        <v>20007806.68</v>
      </c>
      <c r="J2292" s="14">
        <v>18364096.140000001</v>
      </c>
      <c r="K2292" s="12">
        <v>29851775</v>
      </c>
      <c r="L2292" s="10" t="s">
        <v>101</v>
      </c>
      <c r="M2292" s="10" t="s">
        <v>102</v>
      </c>
      <c r="N2292" s="124" t="s">
        <v>397</v>
      </c>
      <c r="O2292" s="124" t="s">
        <v>397</v>
      </c>
      <c r="P2292" s="21">
        <v>33</v>
      </c>
      <c r="Q2292" s="10" t="s">
        <v>54</v>
      </c>
      <c r="R2292" s="10" t="s">
        <v>28</v>
      </c>
      <c r="S2292" s="10"/>
      <c r="T2292" s="10"/>
      <c r="U2292" s="10" t="s">
        <v>1437</v>
      </c>
      <c r="V2292" s="10" t="s">
        <v>1437</v>
      </c>
      <c r="W2292" s="50">
        <f>+J2292/$W$2</f>
        <v>2.4414273992396122E-4</v>
      </c>
    </row>
    <row r="2293" spans="1:23">
      <c r="A2293" s="10" t="s">
        <v>471</v>
      </c>
      <c r="B2293" s="10" t="s">
        <v>381</v>
      </c>
      <c r="C2293" s="124">
        <v>46393</v>
      </c>
      <c r="D2293" s="124" t="s">
        <v>492</v>
      </c>
      <c r="E2293" s="21">
        <v>0.92475304999999997</v>
      </c>
      <c r="F2293" s="10"/>
      <c r="G2293" s="14">
        <v>7000000</v>
      </c>
      <c r="H2293" s="14">
        <v>6473271.3399999999</v>
      </c>
      <c r="I2293" s="14">
        <v>7000000</v>
      </c>
      <c r="J2293" s="14">
        <v>6473271.3399999999</v>
      </c>
      <c r="K2293" s="12">
        <v>3385318</v>
      </c>
      <c r="L2293" s="10" t="s">
        <v>101</v>
      </c>
      <c r="M2293" s="10" t="s">
        <v>102</v>
      </c>
      <c r="N2293" s="124" t="s">
        <v>420</v>
      </c>
      <c r="O2293" s="124" t="s">
        <v>420</v>
      </c>
      <c r="P2293" s="21">
        <v>30</v>
      </c>
      <c r="Q2293" s="10" t="s">
        <v>54</v>
      </c>
      <c r="R2293" s="10" t="s">
        <v>28</v>
      </c>
      <c r="S2293" s="10"/>
      <c r="T2293" s="10"/>
      <c r="U2293" s="10" t="s">
        <v>2629</v>
      </c>
      <c r="V2293" s="10" t="s">
        <v>2629</v>
      </c>
      <c r="W2293" s="50">
        <f>+J2293/$W$2</f>
        <v>8.6059351310870013E-5</v>
      </c>
    </row>
    <row r="2294" spans="1:23">
      <c r="A2294" s="10" t="s">
        <v>465</v>
      </c>
      <c r="B2294" s="10" t="s">
        <v>381</v>
      </c>
      <c r="C2294" s="124">
        <v>46393</v>
      </c>
      <c r="D2294" s="124" t="s">
        <v>492</v>
      </c>
      <c r="E2294" s="21">
        <v>0.91784655999999998</v>
      </c>
      <c r="F2294" s="10"/>
      <c r="G2294" s="14">
        <v>25000000</v>
      </c>
      <c r="H2294" s="14">
        <v>22946164.02</v>
      </c>
      <c r="I2294" s="14">
        <v>25000000</v>
      </c>
      <c r="J2294" s="14">
        <v>22946164.02</v>
      </c>
      <c r="K2294" s="12">
        <v>14422600</v>
      </c>
      <c r="L2294" s="10" t="s">
        <v>101</v>
      </c>
      <c r="M2294" s="10" t="s">
        <v>102</v>
      </c>
      <c r="N2294" s="124" t="s">
        <v>390</v>
      </c>
      <c r="O2294" s="124" t="s">
        <v>390</v>
      </c>
      <c r="P2294" s="21">
        <v>33</v>
      </c>
      <c r="Q2294" s="10" t="s">
        <v>54</v>
      </c>
      <c r="R2294" s="10" t="s">
        <v>28</v>
      </c>
      <c r="S2294" s="10"/>
      <c r="T2294" s="10"/>
      <c r="U2294" s="10" t="s">
        <v>2048</v>
      </c>
      <c r="V2294" s="10" t="s">
        <v>2048</v>
      </c>
      <c r="W2294" s="50">
        <f>+J2294/$W$2</f>
        <v>3.0505935668595431E-4</v>
      </c>
    </row>
    <row r="2295" spans="1:23">
      <c r="A2295" s="10" t="s">
        <v>465</v>
      </c>
      <c r="B2295" s="10" t="s">
        <v>381</v>
      </c>
      <c r="C2295" s="124">
        <v>46393</v>
      </c>
      <c r="D2295" s="124" t="s">
        <v>492</v>
      </c>
      <c r="E2295" s="21">
        <v>0.91784661999999995</v>
      </c>
      <c r="F2295" s="10"/>
      <c r="G2295" s="14">
        <v>25000000</v>
      </c>
      <c r="H2295" s="14">
        <v>22946165.559999999</v>
      </c>
      <c r="I2295" s="14">
        <v>25000000</v>
      </c>
      <c r="J2295" s="14">
        <v>22946165.559999999</v>
      </c>
      <c r="K2295" s="12">
        <v>14422660</v>
      </c>
      <c r="L2295" s="10" t="s">
        <v>101</v>
      </c>
      <c r="M2295" s="10" t="s">
        <v>102</v>
      </c>
      <c r="N2295" s="124" t="s">
        <v>421</v>
      </c>
      <c r="O2295" s="124" t="s">
        <v>421</v>
      </c>
      <c r="P2295" s="21">
        <v>33</v>
      </c>
      <c r="Q2295" s="10" t="s">
        <v>54</v>
      </c>
      <c r="R2295" s="10" t="s">
        <v>28</v>
      </c>
      <c r="S2295" s="10"/>
      <c r="T2295" s="10"/>
      <c r="U2295" s="10" t="s">
        <v>2104</v>
      </c>
      <c r="V2295" s="10" t="s">
        <v>2104</v>
      </c>
      <c r="W2295" s="50">
        <f>+J2295/$W$2</f>
        <v>3.0505937715959028E-4</v>
      </c>
    </row>
    <row r="2296" spans="1:23">
      <c r="A2296" s="10" t="s">
        <v>544</v>
      </c>
      <c r="B2296" s="10" t="s">
        <v>125</v>
      </c>
      <c r="C2296" s="124">
        <v>46393</v>
      </c>
      <c r="D2296" s="124" t="s">
        <v>492</v>
      </c>
      <c r="E2296" s="21">
        <v>0.97617080000000001</v>
      </c>
      <c r="F2296" s="10" t="s">
        <v>3573</v>
      </c>
      <c r="G2296" s="14">
        <v>125000</v>
      </c>
      <c r="H2296" s="14">
        <v>122021.35</v>
      </c>
      <c r="I2296" s="14">
        <v>190496219.78999999</v>
      </c>
      <c r="J2296" s="14">
        <v>185956847.27000001</v>
      </c>
      <c r="K2296" s="12">
        <v>163251</v>
      </c>
      <c r="L2296" s="10" t="s">
        <v>101</v>
      </c>
      <c r="M2296" s="10" t="s">
        <v>102</v>
      </c>
      <c r="N2296" s="124" t="s">
        <v>164</v>
      </c>
      <c r="O2296" s="124" t="s">
        <v>164</v>
      </c>
      <c r="P2296" s="21">
        <v>9</v>
      </c>
      <c r="Q2296" s="10" t="s">
        <v>54</v>
      </c>
      <c r="R2296" s="10" t="s">
        <v>28</v>
      </c>
      <c r="S2296" s="10"/>
      <c r="T2296" s="10"/>
      <c r="U2296" s="10" t="s">
        <v>2016</v>
      </c>
      <c r="V2296" s="10" t="s">
        <v>2016</v>
      </c>
      <c r="W2296" s="50">
        <f>+J2296/$W$2</f>
        <v>2.4722161033142683E-3</v>
      </c>
    </row>
    <row r="2297" spans="1:23">
      <c r="A2297" s="10" t="s">
        <v>426</v>
      </c>
      <c r="B2297" s="10" t="s">
        <v>381</v>
      </c>
      <c r="C2297" s="124">
        <v>46393</v>
      </c>
      <c r="D2297" s="124" t="s">
        <v>492</v>
      </c>
      <c r="E2297" s="21">
        <v>0.92475317999999995</v>
      </c>
      <c r="F2297" s="10"/>
      <c r="G2297" s="14">
        <v>5580000</v>
      </c>
      <c r="H2297" s="14">
        <v>5160122.72</v>
      </c>
      <c r="I2297" s="14">
        <v>5580000</v>
      </c>
      <c r="J2297" s="14">
        <v>5160122.72</v>
      </c>
      <c r="K2297" s="12">
        <v>11415147</v>
      </c>
      <c r="L2297" s="10" t="s">
        <v>101</v>
      </c>
      <c r="M2297" s="10" t="s">
        <v>102</v>
      </c>
      <c r="N2297" s="124" t="s">
        <v>486</v>
      </c>
      <c r="O2297" s="124" t="s">
        <v>486</v>
      </c>
      <c r="P2297" s="21">
        <v>30</v>
      </c>
      <c r="Q2297" s="10" t="s">
        <v>54</v>
      </c>
      <c r="R2297" s="10" t="s">
        <v>28</v>
      </c>
      <c r="S2297" s="10"/>
      <c r="T2297" s="10"/>
      <c r="U2297" s="10" t="s">
        <v>2803</v>
      </c>
      <c r="V2297" s="10" t="s">
        <v>2803</v>
      </c>
      <c r="W2297" s="50">
        <f>+J2297/$W$2</f>
        <v>6.8601606613277258E-5</v>
      </c>
    </row>
    <row r="2298" spans="1:23">
      <c r="A2298" s="10" t="s">
        <v>477</v>
      </c>
      <c r="B2298" s="10" t="s">
        <v>381</v>
      </c>
      <c r="C2298" s="124">
        <v>46394</v>
      </c>
      <c r="D2298" s="124" t="s">
        <v>492</v>
      </c>
      <c r="E2298" s="21">
        <v>0.92405068999999995</v>
      </c>
      <c r="F2298" s="10"/>
      <c r="G2298" s="14">
        <v>5000000</v>
      </c>
      <c r="H2298" s="14">
        <v>4620253.45</v>
      </c>
      <c r="I2298" s="14">
        <v>5000000</v>
      </c>
      <c r="J2298" s="14">
        <v>4620253.45</v>
      </c>
      <c r="K2298" s="12">
        <v>60078055</v>
      </c>
      <c r="L2298" s="10" t="s">
        <v>101</v>
      </c>
      <c r="M2298" s="10" t="s">
        <v>102</v>
      </c>
      <c r="N2298" s="124" t="s">
        <v>677</v>
      </c>
      <c r="O2298" s="124" t="s">
        <v>677</v>
      </c>
      <c r="P2298" s="21">
        <v>30</v>
      </c>
      <c r="Q2298" s="10" t="s">
        <v>54</v>
      </c>
      <c r="R2298" s="10" t="s">
        <v>28</v>
      </c>
      <c r="S2298" s="10"/>
      <c r="T2298" s="10"/>
      <c r="U2298" s="10" t="s">
        <v>3288</v>
      </c>
      <c r="V2298" s="10" t="s">
        <v>3288</v>
      </c>
      <c r="W2298" s="50">
        <f>+J2298/$W$2</f>
        <v>6.1424277450234188E-5</v>
      </c>
    </row>
    <row r="2299" spans="1:23">
      <c r="A2299" s="10" t="s">
        <v>675</v>
      </c>
      <c r="B2299" s="10" t="s">
        <v>381</v>
      </c>
      <c r="C2299" s="124">
        <v>46394</v>
      </c>
      <c r="D2299" s="124" t="s">
        <v>492</v>
      </c>
      <c r="E2299" s="21">
        <v>0.92405068999999995</v>
      </c>
      <c r="F2299" s="10"/>
      <c r="G2299" s="14">
        <v>25000000</v>
      </c>
      <c r="H2299" s="14">
        <v>23101267.23</v>
      </c>
      <c r="I2299" s="14">
        <v>25000000</v>
      </c>
      <c r="J2299" s="14">
        <v>23101267.23</v>
      </c>
      <c r="K2299" s="12">
        <v>90004233</v>
      </c>
      <c r="L2299" s="10" t="s">
        <v>101</v>
      </c>
      <c r="M2299" s="10" t="s">
        <v>102</v>
      </c>
      <c r="N2299" s="124" t="s">
        <v>677</v>
      </c>
      <c r="O2299" s="124" t="s">
        <v>677</v>
      </c>
      <c r="P2299" s="21">
        <v>30</v>
      </c>
      <c r="Q2299" s="10" t="s">
        <v>54</v>
      </c>
      <c r="R2299" s="10" t="s">
        <v>28</v>
      </c>
      <c r="S2299" s="10"/>
      <c r="T2299" s="10"/>
      <c r="U2299" s="10" t="s">
        <v>3323</v>
      </c>
      <c r="V2299" s="10" t="s">
        <v>3323</v>
      </c>
      <c r="W2299" s="50">
        <f>+J2299/$W$2</f>
        <v>3.0712138698527953E-4</v>
      </c>
    </row>
    <row r="2300" spans="1:23">
      <c r="A2300" s="10" t="s">
        <v>404</v>
      </c>
      <c r="B2300" s="10" t="s">
        <v>381</v>
      </c>
      <c r="C2300" s="124">
        <v>46394</v>
      </c>
      <c r="D2300" s="124" t="s">
        <v>492</v>
      </c>
      <c r="E2300" s="21">
        <v>0.92405064000000003</v>
      </c>
      <c r="F2300" s="10"/>
      <c r="G2300" s="14">
        <v>10000000</v>
      </c>
      <c r="H2300" s="14">
        <v>9240506.4199999999</v>
      </c>
      <c r="I2300" s="14">
        <v>10000000</v>
      </c>
      <c r="J2300" s="14">
        <v>9240506.4199999999</v>
      </c>
      <c r="K2300" s="12">
        <v>195811</v>
      </c>
      <c r="L2300" s="10" t="s">
        <v>101</v>
      </c>
      <c r="M2300" s="10" t="s">
        <v>102</v>
      </c>
      <c r="N2300" s="124" t="s">
        <v>420</v>
      </c>
      <c r="O2300" s="124" t="s">
        <v>420</v>
      </c>
      <c r="P2300" s="21">
        <v>30</v>
      </c>
      <c r="Q2300" s="10" t="s">
        <v>54</v>
      </c>
      <c r="R2300" s="10" t="s">
        <v>28</v>
      </c>
      <c r="S2300" s="10"/>
      <c r="T2300" s="10"/>
      <c r="U2300" s="10" t="s">
        <v>2640</v>
      </c>
      <c r="V2300" s="10" t="s">
        <v>2640</v>
      </c>
      <c r="W2300" s="50">
        <f>+J2300/$W$2</f>
        <v>1.2284854851907535E-4</v>
      </c>
    </row>
    <row r="2301" spans="1:23">
      <c r="A2301" s="10" t="s">
        <v>2611</v>
      </c>
      <c r="B2301" s="10" t="s">
        <v>381</v>
      </c>
      <c r="C2301" s="124">
        <v>46395</v>
      </c>
      <c r="D2301" s="124" t="s">
        <v>492</v>
      </c>
      <c r="E2301" s="21">
        <v>0.91865507000000002</v>
      </c>
      <c r="F2301" s="10"/>
      <c r="G2301" s="14">
        <v>353613.17</v>
      </c>
      <c r="H2301" s="14">
        <v>324848.53000000003</v>
      </c>
      <c r="I2301" s="14">
        <v>353613.17</v>
      </c>
      <c r="J2301" s="14">
        <v>324848.53000000003</v>
      </c>
      <c r="K2301" s="12">
        <v>2861</v>
      </c>
      <c r="L2301" s="10" t="s">
        <v>101</v>
      </c>
      <c r="M2301" s="10" t="s">
        <v>102</v>
      </c>
      <c r="N2301" s="124" t="s">
        <v>423</v>
      </c>
      <c r="O2301" s="124" t="s">
        <v>423</v>
      </c>
      <c r="P2301" s="21">
        <v>32</v>
      </c>
      <c r="Q2301" s="10" t="s">
        <v>54</v>
      </c>
      <c r="R2301" s="10" t="s">
        <v>28</v>
      </c>
      <c r="S2301" s="10"/>
      <c r="T2301" s="10"/>
      <c r="U2301" s="10" t="s">
        <v>2542</v>
      </c>
      <c r="V2301" s="10" t="s">
        <v>2542</v>
      </c>
      <c r="W2301" s="50">
        <f>+J2301/$W$2</f>
        <v>4.3187211376944541E-6</v>
      </c>
    </row>
    <row r="2302" spans="1:23">
      <c r="A2302" s="10" t="s">
        <v>404</v>
      </c>
      <c r="B2302" s="10" t="s">
        <v>381</v>
      </c>
      <c r="C2302" s="124">
        <v>46395</v>
      </c>
      <c r="D2302" s="124" t="s">
        <v>492</v>
      </c>
      <c r="E2302" s="21">
        <v>0.92334936000000001</v>
      </c>
      <c r="F2302" s="10"/>
      <c r="G2302" s="14">
        <v>25000000</v>
      </c>
      <c r="H2302" s="14">
        <v>23083734.109999999</v>
      </c>
      <c r="I2302" s="14">
        <v>25000000</v>
      </c>
      <c r="J2302" s="14">
        <v>23083734.109999999</v>
      </c>
      <c r="K2302" s="12">
        <v>69741508</v>
      </c>
      <c r="L2302" s="10" t="s">
        <v>101</v>
      </c>
      <c r="M2302" s="10" t="s">
        <v>102</v>
      </c>
      <c r="N2302" s="124" t="s">
        <v>422</v>
      </c>
      <c r="O2302" s="124" t="s">
        <v>422</v>
      </c>
      <c r="P2302" s="21">
        <v>30</v>
      </c>
      <c r="Q2302" s="10" t="s">
        <v>54</v>
      </c>
      <c r="R2302" s="10" t="s">
        <v>28</v>
      </c>
      <c r="S2302" s="10"/>
      <c r="T2302" s="10"/>
      <c r="U2302" s="10" t="s">
        <v>2709</v>
      </c>
      <c r="V2302" s="10" t="s">
        <v>2709</v>
      </c>
      <c r="W2302" s="50">
        <f>+J2302/$W$2</f>
        <v>3.068882917148354E-4</v>
      </c>
    </row>
    <row r="2303" spans="1:23">
      <c r="A2303" s="10" t="s">
        <v>2288</v>
      </c>
      <c r="B2303" s="10" t="s">
        <v>381</v>
      </c>
      <c r="C2303" s="124">
        <v>46398</v>
      </c>
      <c r="D2303" s="124" t="s">
        <v>492</v>
      </c>
      <c r="E2303" s="21">
        <v>0.91884016000000002</v>
      </c>
      <c r="F2303" s="10"/>
      <c r="G2303" s="14">
        <v>9990457.7699999996</v>
      </c>
      <c r="H2303" s="14">
        <v>9179633.8100000005</v>
      </c>
      <c r="I2303" s="14">
        <v>9990457.7699999996</v>
      </c>
      <c r="J2303" s="14">
        <v>9179633.8100000005</v>
      </c>
      <c r="K2303" s="12">
        <v>3019</v>
      </c>
      <c r="L2303" s="10" t="s">
        <v>101</v>
      </c>
      <c r="M2303" s="10" t="s">
        <v>102</v>
      </c>
      <c r="N2303" s="124" t="s">
        <v>431</v>
      </c>
      <c r="O2303" s="124" t="s">
        <v>431</v>
      </c>
      <c r="P2303" s="21">
        <v>31</v>
      </c>
      <c r="Q2303" s="10" t="s">
        <v>54</v>
      </c>
      <c r="R2303" s="10" t="s">
        <v>28</v>
      </c>
      <c r="S2303" s="10"/>
      <c r="T2303" s="10"/>
      <c r="U2303" s="10" t="s">
        <v>2254</v>
      </c>
      <c r="V2303" s="10" t="s">
        <v>2254</v>
      </c>
      <c r="W2303" s="50">
        <f>+J2303/$W$2</f>
        <v>1.2203927341626471E-4</v>
      </c>
    </row>
    <row r="2304" spans="1:23">
      <c r="A2304" s="10" t="s">
        <v>427</v>
      </c>
      <c r="B2304" s="10" t="s">
        <v>381</v>
      </c>
      <c r="C2304" s="124">
        <v>46398</v>
      </c>
      <c r="D2304" s="124" t="s">
        <v>492</v>
      </c>
      <c r="E2304" s="21">
        <v>0.92125203</v>
      </c>
      <c r="F2304" s="10"/>
      <c r="G2304" s="14">
        <v>4000000</v>
      </c>
      <c r="H2304" s="14">
        <v>3685008.13</v>
      </c>
      <c r="I2304" s="14">
        <v>4000000</v>
      </c>
      <c r="J2304" s="14">
        <v>3685008.13</v>
      </c>
      <c r="K2304" s="12">
        <v>48</v>
      </c>
      <c r="L2304" s="10" t="s">
        <v>101</v>
      </c>
      <c r="M2304" s="10" t="s">
        <v>102</v>
      </c>
      <c r="N2304" s="124" t="s">
        <v>532</v>
      </c>
      <c r="O2304" s="124" t="s">
        <v>532</v>
      </c>
      <c r="P2304" s="21">
        <v>30</v>
      </c>
      <c r="Q2304" s="10" t="s">
        <v>54</v>
      </c>
      <c r="R2304" s="10" t="s">
        <v>28</v>
      </c>
      <c r="S2304" s="10"/>
      <c r="T2304" s="10"/>
      <c r="U2304" s="10" t="s">
        <v>3025</v>
      </c>
      <c r="V2304" s="10" t="s">
        <v>3025</v>
      </c>
      <c r="W2304" s="50">
        <f>+J2304/$W$2</f>
        <v>4.899059418125398E-5</v>
      </c>
    </row>
    <row r="2305" spans="1:23">
      <c r="A2305" s="10" t="s">
        <v>477</v>
      </c>
      <c r="B2305" s="10" t="s">
        <v>381</v>
      </c>
      <c r="C2305" s="124">
        <v>46399</v>
      </c>
      <c r="D2305" s="124" t="s">
        <v>492</v>
      </c>
      <c r="E2305" s="21">
        <v>0.92545659000000002</v>
      </c>
      <c r="F2305" s="10"/>
      <c r="G2305" s="14">
        <v>7000000</v>
      </c>
      <c r="H2305" s="14">
        <v>6478196.1600000001</v>
      </c>
      <c r="I2305" s="14">
        <v>7000000</v>
      </c>
      <c r="J2305" s="14">
        <v>6478196.1600000001</v>
      </c>
      <c r="K2305" s="12">
        <v>6484</v>
      </c>
      <c r="L2305" s="10" t="s">
        <v>101</v>
      </c>
      <c r="M2305" s="10" t="s">
        <v>102</v>
      </c>
      <c r="N2305" s="124" t="s">
        <v>422</v>
      </c>
      <c r="O2305" s="124" t="s">
        <v>422</v>
      </c>
      <c r="P2305" s="21">
        <v>28</v>
      </c>
      <c r="Q2305" s="10" t="s">
        <v>54</v>
      </c>
      <c r="R2305" s="10" t="s">
        <v>28</v>
      </c>
      <c r="S2305" s="10"/>
      <c r="T2305" s="10"/>
      <c r="U2305" s="10" t="s">
        <v>2728</v>
      </c>
      <c r="V2305" s="10" t="s">
        <v>2728</v>
      </c>
      <c r="W2305" s="50">
        <f>+J2305/$W$2</f>
        <v>8.6124824669279063E-5</v>
      </c>
    </row>
    <row r="2306" spans="1:23">
      <c r="A2306" s="10" t="s">
        <v>675</v>
      </c>
      <c r="B2306" s="10" t="s">
        <v>381</v>
      </c>
      <c r="C2306" s="124">
        <v>46399</v>
      </c>
      <c r="D2306" s="124" t="s">
        <v>492</v>
      </c>
      <c r="E2306" s="21">
        <v>0.92055485999999997</v>
      </c>
      <c r="F2306" s="10"/>
      <c r="G2306" s="14">
        <v>15000000</v>
      </c>
      <c r="H2306" s="14">
        <v>13808322.970000001</v>
      </c>
      <c r="I2306" s="14">
        <v>15000000</v>
      </c>
      <c r="J2306" s="14">
        <v>13808322.970000001</v>
      </c>
      <c r="K2306" s="12">
        <v>90004197</v>
      </c>
      <c r="L2306" s="10" t="s">
        <v>101</v>
      </c>
      <c r="M2306" s="10" t="s">
        <v>102</v>
      </c>
      <c r="N2306" s="124" t="s">
        <v>434</v>
      </c>
      <c r="O2306" s="124" t="s">
        <v>434</v>
      </c>
      <c r="P2306" s="21">
        <v>30</v>
      </c>
      <c r="Q2306" s="10" t="s">
        <v>54</v>
      </c>
      <c r="R2306" s="10" t="s">
        <v>28</v>
      </c>
      <c r="S2306" s="10"/>
      <c r="T2306" s="10"/>
      <c r="U2306" s="10" t="s">
        <v>2933</v>
      </c>
      <c r="V2306" s="10" t="s">
        <v>2933</v>
      </c>
      <c r="W2306" s="50">
        <f>+J2306/$W$2</f>
        <v>1.8357569999362736E-4</v>
      </c>
    </row>
    <row r="2307" spans="1:23">
      <c r="A2307" s="10" t="s">
        <v>763</v>
      </c>
      <c r="B2307" s="10" t="s">
        <v>381</v>
      </c>
      <c r="C2307" s="124">
        <v>46399</v>
      </c>
      <c r="D2307" s="124" t="s">
        <v>492</v>
      </c>
      <c r="E2307" s="21">
        <v>0.92545646000000004</v>
      </c>
      <c r="F2307" s="10"/>
      <c r="G2307" s="14">
        <v>71389290</v>
      </c>
      <c r="H2307" s="14">
        <v>66067679.850000001</v>
      </c>
      <c r="I2307" s="14">
        <v>71389290</v>
      </c>
      <c r="J2307" s="14">
        <v>66067679.850000001</v>
      </c>
      <c r="K2307" s="12">
        <v>155356</v>
      </c>
      <c r="L2307" s="10" t="s">
        <v>101</v>
      </c>
      <c r="M2307" s="10" t="s">
        <v>102</v>
      </c>
      <c r="N2307" s="124" t="s">
        <v>305</v>
      </c>
      <c r="O2307" s="124" t="s">
        <v>305</v>
      </c>
      <c r="P2307" s="21">
        <v>28</v>
      </c>
      <c r="Q2307" s="10" t="s">
        <v>54</v>
      </c>
      <c r="R2307" s="10" t="s">
        <v>28</v>
      </c>
      <c r="S2307" s="10"/>
      <c r="T2307" s="10"/>
      <c r="U2307" s="10" t="s">
        <v>757</v>
      </c>
      <c r="V2307" s="10" t="s">
        <v>757</v>
      </c>
      <c r="W2307" s="50">
        <f>+J2307/$W$2</f>
        <v>8.7834131644869964E-4</v>
      </c>
    </row>
    <row r="2308" spans="1:23">
      <c r="A2308" s="10" t="s">
        <v>1471</v>
      </c>
      <c r="B2308" s="10" t="s">
        <v>381</v>
      </c>
      <c r="C2308" s="124">
        <v>46399</v>
      </c>
      <c r="D2308" s="124" t="s">
        <v>492</v>
      </c>
      <c r="E2308" s="21">
        <v>0.90852526</v>
      </c>
      <c r="F2308" s="10"/>
      <c r="G2308" s="14">
        <v>25000000</v>
      </c>
      <c r="H2308" s="14">
        <v>22713131.48</v>
      </c>
      <c r="I2308" s="14">
        <v>25000000</v>
      </c>
      <c r="J2308" s="14">
        <v>22713131.48</v>
      </c>
      <c r="K2308" s="12">
        <v>380</v>
      </c>
      <c r="L2308" s="10" t="s">
        <v>101</v>
      </c>
      <c r="M2308" s="10" t="s">
        <v>102</v>
      </c>
      <c r="N2308" s="124" t="s">
        <v>486</v>
      </c>
      <c r="O2308" s="124" t="s">
        <v>486</v>
      </c>
      <c r="P2308" s="21">
        <v>35</v>
      </c>
      <c r="Q2308" s="10" t="s">
        <v>54</v>
      </c>
      <c r="R2308" s="10" t="s">
        <v>28</v>
      </c>
      <c r="S2308" s="10"/>
      <c r="T2308" s="10"/>
      <c r="U2308" s="10" t="s">
        <v>2861</v>
      </c>
      <c r="V2308" s="10" t="s">
        <v>2861</v>
      </c>
      <c r="W2308" s="50">
        <f>+J2308/$W$2</f>
        <v>3.0196128954595948E-4</v>
      </c>
    </row>
    <row r="2309" spans="1:23">
      <c r="A2309" s="10" t="s">
        <v>561</v>
      </c>
      <c r="B2309" s="10" t="s">
        <v>381</v>
      </c>
      <c r="C2309" s="124">
        <v>46399</v>
      </c>
      <c r="D2309" s="124" t="s">
        <v>492</v>
      </c>
      <c r="E2309" s="21">
        <v>0.92055500000000001</v>
      </c>
      <c r="F2309" s="10"/>
      <c r="G2309" s="14">
        <v>23167422.219999999</v>
      </c>
      <c r="H2309" s="14">
        <v>21326886.280000001</v>
      </c>
      <c r="I2309" s="14">
        <v>23167422.219999999</v>
      </c>
      <c r="J2309" s="14">
        <v>21326886.280000001</v>
      </c>
      <c r="K2309" s="12">
        <v>440</v>
      </c>
      <c r="L2309" s="10" t="s">
        <v>101</v>
      </c>
      <c r="M2309" s="10" t="s">
        <v>102</v>
      </c>
      <c r="N2309" s="124" t="s">
        <v>472</v>
      </c>
      <c r="O2309" s="124" t="s">
        <v>472</v>
      </c>
      <c r="P2309" s="21">
        <v>30</v>
      </c>
      <c r="Q2309" s="10" t="s">
        <v>54</v>
      </c>
      <c r="R2309" s="10" t="s">
        <v>28</v>
      </c>
      <c r="S2309" s="10"/>
      <c r="T2309" s="10"/>
      <c r="U2309" s="10" t="s">
        <v>3187</v>
      </c>
      <c r="V2309" s="10" t="s">
        <v>3187</v>
      </c>
      <c r="W2309" s="50">
        <f>+J2309/$W$2</f>
        <v>2.8353175733515504E-4</v>
      </c>
    </row>
    <row r="2310" spans="1:23">
      <c r="A2310" s="10" t="s">
        <v>273</v>
      </c>
      <c r="B2310" s="10" t="s">
        <v>381</v>
      </c>
      <c r="C2310" s="124">
        <v>46399</v>
      </c>
      <c r="D2310" s="124" t="s">
        <v>492</v>
      </c>
      <c r="E2310" s="21">
        <v>0.91570501000000004</v>
      </c>
      <c r="F2310" s="10"/>
      <c r="G2310" s="14">
        <v>15000000</v>
      </c>
      <c r="H2310" s="14">
        <v>13735575.199999999</v>
      </c>
      <c r="I2310" s="14">
        <v>15000000</v>
      </c>
      <c r="J2310" s="14">
        <v>13735575.199999999</v>
      </c>
      <c r="K2310" s="12">
        <v>2202</v>
      </c>
      <c r="L2310" s="10" t="s">
        <v>101</v>
      </c>
      <c r="M2310" s="10" t="s">
        <v>102</v>
      </c>
      <c r="N2310" s="124" t="s">
        <v>551</v>
      </c>
      <c r="O2310" s="124" t="s">
        <v>551</v>
      </c>
      <c r="P2310" s="21">
        <v>32</v>
      </c>
      <c r="Q2310" s="10" t="s">
        <v>54</v>
      </c>
      <c r="R2310" s="10" t="s">
        <v>28</v>
      </c>
      <c r="S2310" s="10"/>
      <c r="T2310" s="10"/>
      <c r="U2310" s="10" t="s">
        <v>2174</v>
      </c>
      <c r="V2310" s="10" t="s">
        <v>2174</v>
      </c>
      <c r="W2310" s="50">
        <f>+J2310/$W$2</f>
        <v>1.8260854975896525E-4</v>
      </c>
    </row>
    <row r="2311" spans="1:23">
      <c r="A2311" s="10" t="s">
        <v>404</v>
      </c>
      <c r="B2311" s="10" t="s">
        <v>381</v>
      </c>
      <c r="C2311" s="124">
        <v>46399</v>
      </c>
      <c r="D2311" s="124" t="s">
        <v>492</v>
      </c>
      <c r="E2311" s="21">
        <v>0.92055507000000003</v>
      </c>
      <c r="F2311" s="10"/>
      <c r="G2311" s="14">
        <v>25000000</v>
      </c>
      <c r="H2311" s="14">
        <v>23013876.739999998</v>
      </c>
      <c r="I2311" s="14">
        <v>25000000</v>
      </c>
      <c r="J2311" s="14">
        <v>23013876.739999998</v>
      </c>
      <c r="K2311" s="12">
        <v>69741520</v>
      </c>
      <c r="L2311" s="10" t="s">
        <v>101</v>
      </c>
      <c r="M2311" s="10" t="s">
        <v>102</v>
      </c>
      <c r="N2311" s="124" t="s">
        <v>422</v>
      </c>
      <c r="O2311" s="124" t="s">
        <v>422</v>
      </c>
      <c r="P2311" s="21">
        <v>30</v>
      </c>
      <c r="Q2311" s="10" t="s">
        <v>54</v>
      </c>
      <c r="R2311" s="10" t="s">
        <v>28</v>
      </c>
      <c r="S2311" s="10"/>
      <c r="T2311" s="10"/>
      <c r="U2311" s="10" t="s">
        <v>2710</v>
      </c>
      <c r="V2311" s="10" t="s">
        <v>2710</v>
      </c>
      <c r="W2311" s="50">
        <f>+J2311/$W$2</f>
        <v>3.0595956810188646E-4</v>
      </c>
    </row>
    <row r="2312" spans="1:23">
      <c r="A2312" s="10" t="s">
        <v>477</v>
      </c>
      <c r="B2312" s="10" t="s">
        <v>381</v>
      </c>
      <c r="C2312" s="124">
        <v>46400</v>
      </c>
      <c r="D2312" s="124" t="s">
        <v>492</v>
      </c>
      <c r="E2312" s="21">
        <v>0.91985890999999997</v>
      </c>
      <c r="F2312" s="10"/>
      <c r="G2312" s="14">
        <v>15000000</v>
      </c>
      <c r="H2312" s="14">
        <v>13797883.619999999</v>
      </c>
      <c r="I2312" s="14">
        <v>15000000</v>
      </c>
      <c r="J2312" s="14">
        <v>13797883.619999999</v>
      </c>
      <c r="K2312" s="12">
        <v>90000067</v>
      </c>
      <c r="L2312" s="10" t="s">
        <v>101</v>
      </c>
      <c r="M2312" s="10" t="s">
        <v>102</v>
      </c>
      <c r="N2312" s="124" t="s">
        <v>348</v>
      </c>
      <c r="O2312" s="124" t="s">
        <v>348</v>
      </c>
      <c r="P2312" s="21">
        <v>30</v>
      </c>
      <c r="Q2312" s="10" t="s">
        <v>54</v>
      </c>
      <c r="R2312" s="10" t="s">
        <v>28</v>
      </c>
      <c r="S2312" s="10"/>
      <c r="T2312" s="10"/>
      <c r="U2312" s="10" t="s">
        <v>1885</v>
      </c>
      <c r="V2312" s="10" t="s">
        <v>1885</v>
      </c>
      <c r="W2312" s="50">
        <f>+J2312/$W$2</f>
        <v>1.8343691333663124E-4</v>
      </c>
    </row>
    <row r="2313" spans="1:23">
      <c r="A2313" s="10" t="s">
        <v>180</v>
      </c>
      <c r="B2313" s="10" t="s">
        <v>381</v>
      </c>
      <c r="C2313" s="124">
        <v>46400</v>
      </c>
      <c r="D2313" s="124" t="s">
        <v>492</v>
      </c>
      <c r="E2313" s="21">
        <v>0.93231182000000001</v>
      </c>
      <c r="F2313" s="10"/>
      <c r="G2313" s="14">
        <v>710169.09</v>
      </c>
      <c r="H2313" s="14">
        <v>662099.04</v>
      </c>
      <c r="I2313" s="14">
        <v>710169.09</v>
      </c>
      <c r="J2313" s="14">
        <v>662099.04</v>
      </c>
      <c r="K2313" s="12">
        <v>681501</v>
      </c>
      <c r="L2313" s="10" t="s">
        <v>101</v>
      </c>
      <c r="M2313" s="10" t="s">
        <v>102</v>
      </c>
      <c r="N2313" s="124" t="s">
        <v>486</v>
      </c>
      <c r="O2313" s="124" t="s">
        <v>486</v>
      </c>
      <c r="P2313" s="21">
        <v>25</v>
      </c>
      <c r="Q2313" s="10" t="s">
        <v>54</v>
      </c>
      <c r="R2313" s="10" t="s">
        <v>28</v>
      </c>
      <c r="S2313" s="10"/>
      <c r="T2313" s="10"/>
      <c r="U2313" s="10" t="s">
        <v>2876</v>
      </c>
      <c r="V2313" s="10" t="s">
        <v>2876</v>
      </c>
      <c r="W2313" s="50">
        <f>+J2313/$W$2</f>
        <v>8.8023212519853658E-6</v>
      </c>
    </row>
    <row r="2314" spans="1:23">
      <c r="A2314" s="10" t="s">
        <v>180</v>
      </c>
      <c r="B2314" s="10" t="s">
        <v>381</v>
      </c>
      <c r="C2314" s="124">
        <v>46400</v>
      </c>
      <c r="D2314" s="124" t="s">
        <v>492</v>
      </c>
      <c r="E2314" s="21">
        <v>0.93231182000000001</v>
      </c>
      <c r="F2314" s="10"/>
      <c r="G2314" s="14">
        <v>994204.24</v>
      </c>
      <c r="H2314" s="14">
        <v>926908.36</v>
      </c>
      <c r="I2314" s="14">
        <v>994204.24</v>
      </c>
      <c r="J2314" s="14">
        <v>926908.36</v>
      </c>
      <c r="K2314" s="12">
        <v>681633</v>
      </c>
      <c r="L2314" s="10" t="s">
        <v>101</v>
      </c>
      <c r="M2314" s="10" t="s">
        <v>102</v>
      </c>
      <c r="N2314" s="124" t="s">
        <v>486</v>
      </c>
      <c r="O2314" s="124" t="s">
        <v>486</v>
      </c>
      <c r="P2314" s="21">
        <v>25</v>
      </c>
      <c r="Q2314" s="10" t="s">
        <v>54</v>
      </c>
      <c r="R2314" s="10" t="s">
        <v>28</v>
      </c>
      <c r="S2314" s="10"/>
      <c r="T2314" s="10"/>
      <c r="U2314" s="10" t="s">
        <v>2877</v>
      </c>
      <c r="V2314" s="10" t="s">
        <v>2877</v>
      </c>
      <c r="W2314" s="50">
        <f>+J2314/$W$2</f>
        <v>1.2322846980522583E-5</v>
      </c>
    </row>
    <row r="2315" spans="1:23">
      <c r="A2315" s="10" t="s">
        <v>576</v>
      </c>
      <c r="B2315" s="10" t="s">
        <v>381</v>
      </c>
      <c r="C2315" s="124">
        <v>46400</v>
      </c>
      <c r="D2315" s="124" t="s">
        <v>492</v>
      </c>
      <c r="E2315" s="21">
        <v>0.92479990000000001</v>
      </c>
      <c r="F2315" s="10"/>
      <c r="G2315" s="14">
        <v>50000000</v>
      </c>
      <c r="H2315" s="14">
        <v>46239994.880000003</v>
      </c>
      <c r="I2315" s="14">
        <v>50000000</v>
      </c>
      <c r="J2315" s="14">
        <v>46239994.880000003</v>
      </c>
      <c r="K2315" s="12">
        <v>68037</v>
      </c>
      <c r="L2315" s="10" t="s">
        <v>101</v>
      </c>
      <c r="M2315" s="10" t="s">
        <v>102</v>
      </c>
      <c r="N2315" s="124" t="s">
        <v>322</v>
      </c>
      <c r="O2315" s="124" t="s">
        <v>322</v>
      </c>
      <c r="P2315" s="21">
        <v>28</v>
      </c>
      <c r="Q2315" s="10" t="s">
        <v>54</v>
      </c>
      <c r="R2315" s="10" t="s">
        <v>28</v>
      </c>
      <c r="S2315" s="10"/>
      <c r="T2315" s="10"/>
      <c r="U2315" s="10" t="s">
        <v>1527</v>
      </c>
      <c r="V2315" s="10" t="s">
        <v>1527</v>
      </c>
      <c r="W2315" s="50">
        <f>+J2315/$W$2</f>
        <v>6.1474079410222149E-4</v>
      </c>
    </row>
    <row r="2316" spans="1:23">
      <c r="A2316" s="10" t="s">
        <v>2613</v>
      </c>
      <c r="B2316" s="10" t="s">
        <v>381</v>
      </c>
      <c r="C2316" s="124">
        <v>46400</v>
      </c>
      <c r="D2316" s="124" t="s">
        <v>492</v>
      </c>
      <c r="E2316" s="21">
        <v>0.91497044999999999</v>
      </c>
      <c r="F2316" s="10"/>
      <c r="G2316" s="14">
        <v>1102078.1599999999</v>
      </c>
      <c r="H2316" s="14">
        <v>1008368.95</v>
      </c>
      <c r="I2316" s="14">
        <v>1102078.1599999999</v>
      </c>
      <c r="J2316" s="14">
        <v>1008368.95</v>
      </c>
      <c r="K2316" s="12">
        <v>717</v>
      </c>
      <c r="L2316" s="10" t="s">
        <v>101</v>
      </c>
      <c r="M2316" s="10" t="s">
        <v>102</v>
      </c>
      <c r="N2316" s="124" t="s">
        <v>423</v>
      </c>
      <c r="O2316" s="124" t="s">
        <v>423</v>
      </c>
      <c r="P2316" s="21">
        <v>32</v>
      </c>
      <c r="Q2316" s="10" t="s">
        <v>54</v>
      </c>
      <c r="R2316" s="10" t="s">
        <v>28</v>
      </c>
      <c r="S2316" s="10"/>
      <c r="T2316" s="10"/>
      <c r="U2316" s="10" t="s">
        <v>2547</v>
      </c>
      <c r="V2316" s="10" t="s">
        <v>2547</v>
      </c>
      <c r="W2316" s="50">
        <f>+J2316/$W$2</f>
        <v>1.3405830400278435E-5</v>
      </c>
    </row>
    <row r="2317" spans="1:23">
      <c r="A2317" s="10" t="s">
        <v>2614</v>
      </c>
      <c r="B2317" s="10" t="s">
        <v>381</v>
      </c>
      <c r="C2317" s="124">
        <v>46400</v>
      </c>
      <c r="D2317" s="124" t="s">
        <v>492</v>
      </c>
      <c r="E2317" s="21">
        <v>0.91497044999999999</v>
      </c>
      <c r="F2317" s="10"/>
      <c r="G2317" s="14">
        <v>8123170.71</v>
      </c>
      <c r="H2317" s="14">
        <v>7432461.1500000004</v>
      </c>
      <c r="I2317" s="14">
        <v>8123170.71</v>
      </c>
      <c r="J2317" s="14">
        <v>7432461.1500000004</v>
      </c>
      <c r="K2317" s="12">
        <v>11246</v>
      </c>
      <c r="L2317" s="10" t="s">
        <v>101</v>
      </c>
      <c r="M2317" s="10" t="s">
        <v>102</v>
      </c>
      <c r="N2317" s="124" t="s">
        <v>423</v>
      </c>
      <c r="O2317" s="124" t="s">
        <v>423</v>
      </c>
      <c r="P2317" s="21">
        <v>32</v>
      </c>
      <c r="Q2317" s="10" t="s">
        <v>54</v>
      </c>
      <c r="R2317" s="10" t="s">
        <v>28</v>
      </c>
      <c r="S2317" s="10"/>
      <c r="T2317" s="10"/>
      <c r="U2317" s="10" t="s">
        <v>2554</v>
      </c>
      <c r="V2317" s="10" t="s">
        <v>2554</v>
      </c>
      <c r="W2317" s="50">
        <f>+J2317/$W$2</f>
        <v>9.8811366249980647E-5</v>
      </c>
    </row>
    <row r="2318" spans="1:23">
      <c r="A2318" s="10" t="s">
        <v>2615</v>
      </c>
      <c r="B2318" s="10" t="s">
        <v>381</v>
      </c>
      <c r="C2318" s="124">
        <v>46400</v>
      </c>
      <c r="D2318" s="124" t="s">
        <v>492</v>
      </c>
      <c r="E2318" s="21">
        <v>0.91497044000000005</v>
      </c>
      <c r="F2318" s="10"/>
      <c r="G2318" s="14">
        <v>1129854.56</v>
      </c>
      <c r="H2318" s="14">
        <v>1033783.53</v>
      </c>
      <c r="I2318" s="14">
        <v>1129854.56</v>
      </c>
      <c r="J2318" s="14">
        <v>1033783.53</v>
      </c>
      <c r="K2318" s="12">
        <v>1023</v>
      </c>
      <c r="L2318" s="10" t="s">
        <v>101</v>
      </c>
      <c r="M2318" s="10" t="s">
        <v>102</v>
      </c>
      <c r="N2318" s="124" t="s">
        <v>423</v>
      </c>
      <c r="O2318" s="124" t="s">
        <v>423</v>
      </c>
      <c r="P2318" s="21">
        <v>32</v>
      </c>
      <c r="Q2318" s="10" t="s">
        <v>54</v>
      </c>
      <c r="R2318" s="10" t="s">
        <v>28</v>
      </c>
      <c r="S2318" s="10"/>
      <c r="T2318" s="10"/>
      <c r="U2318" s="10" t="s">
        <v>2559</v>
      </c>
      <c r="V2318" s="10" t="s">
        <v>2559</v>
      </c>
      <c r="W2318" s="50">
        <f>+J2318/$W$2</f>
        <v>1.3743706283083344E-5</v>
      </c>
    </row>
    <row r="2319" spans="1:23">
      <c r="A2319" s="10" t="s">
        <v>561</v>
      </c>
      <c r="B2319" s="10" t="s">
        <v>381</v>
      </c>
      <c r="C2319" s="124">
        <v>46400</v>
      </c>
      <c r="D2319" s="124" t="s">
        <v>492</v>
      </c>
      <c r="E2319" s="21">
        <v>0.92232283000000004</v>
      </c>
      <c r="F2319" s="10"/>
      <c r="G2319" s="14">
        <v>14000000</v>
      </c>
      <c r="H2319" s="14">
        <v>12912519.6</v>
      </c>
      <c r="I2319" s="14">
        <v>14000000</v>
      </c>
      <c r="J2319" s="14">
        <v>12912519.6</v>
      </c>
      <c r="K2319" s="12">
        <v>121</v>
      </c>
      <c r="L2319" s="10" t="s">
        <v>101</v>
      </c>
      <c r="M2319" s="10" t="s">
        <v>102</v>
      </c>
      <c r="N2319" s="124" t="s">
        <v>394</v>
      </c>
      <c r="O2319" s="124" t="s">
        <v>394</v>
      </c>
      <c r="P2319" s="21">
        <v>29</v>
      </c>
      <c r="Q2319" s="10" t="s">
        <v>54</v>
      </c>
      <c r="R2319" s="10" t="s">
        <v>28</v>
      </c>
      <c r="S2319" s="10"/>
      <c r="T2319" s="10"/>
      <c r="U2319" s="10" t="s">
        <v>811</v>
      </c>
      <c r="V2319" s="10" t="s">
        <v>811</v>
      </c>
      <c r="W2319" s="50">
        <f>+J2319/$W$2</f>
        <v>1.7166638044326051E-4</v>
      </c>
    </row>
    <row r="2320" spans="1:23">
      <c r="A2320" s="10" t="s">
        <v>1605</v>
      </c>
      <c r="B2320" s="10" t="s">
        <v>381</v>
      </c>
      <c r="C2320" s="124">
        <v>46400</v>
      </c>
      <c r="D2320" s="124" t="s">
        <v>492</v>
      </c>
      <c r="E2320" s="21">
        <v>0.91740822</v>
      </c>
      <c r="F2320" s="10"/>
      <c r="G2320" s="14">
        <v>10000000</v>
      </c>
      <c r="H2320" s="14">
        <v>9174082.1899999995</v>
      </c>
      <c r="I2320" s="14">
        <v>10000000</v>
      </c>
      <c r="J2320" s="14">
        <v>9174082.1899999995</v>
      </c>
      <c r="K2320" s="12">
        <v>141</v>
      </c>
      <c r="L2320" s="10" t="s">
        <v>101</v>
      </c>
      <c r="M2320" s="10" t="s">
        <v>102</v>
      </c>
      <c r="N2320" s="124" t="s">
        <v>325</v>
      </c>
      <c r="O2320" s="124" t="s">
        <v>325</v>
      </c>
      <c r="P2320" s="21">
        <v>31</v>
      </c>
      <c r="Q2320" s="10" t="s">
        <v>54</v>
      </c>
      <c r="R2320" s="10" t="s">
        <v>28</v>
      </c>
      <c r="S2320" s="10"/>
      <c r="T2320" s="10"/>
      <c r="U2320" s="10" t="s">
        <v>1601</v>
      </c>
      <c r="V2320" s="10" t="s">
        <v>1601</v>
      </c>
      <c r="W2320" s="50">
        <f>+J2320/$W$2</f>
        <v>1.2196546702212018E-4</v>
      </c>
    </row>
    <row r="2321" spans="1:23">
      <c r="A2321" s="10" t="s">
        <v>1468</v>
      </c>
      <c r="B2321" s="10" t="s">
        <v>381</v>
      </c>
      <c r="C2321" s="124">
        <v>46400</v>
      </c>
      <c r="D2321" s="124" t="s">
        <v>492</v>
      </c>
      <c r="E2321" s="21">
        <v>0.91497052000000001</v>
      </c>
      <c r="F2321" s="10"/>
      <c r="G2321" s="14">
        <v>17200000</v>
      </c>
      <c r="H2321" s="14">
        <v>15737492.859999999</v>
      </c>
      <c r="I2321" s="14">
        <v>17200000</v>
      </c>
      <c r="J2321" s="14">
        <v>15737492.859999999</v>
      </c>
      <c r="K2321" s="12">
        <v>40780955</v>
      </c>
      <c r="L2321" s="10" t="s">
        <v>101</v>
      </c>
      <c r="M2321" s="10" t="s">
        <v>102</v>
      </c>
      <c r="N2321" s="124" t="s">
        <v>420</v>
      </c>
      <c r="O2321" s="124" t="s">
        <v>420</v>
      </c>
      <c r="P2321" s="21">
        <v>32</v>
      </c>
      <c r="Q2321" s="10" t="s">
        <v>54</v>
      </c>
      <c r="R2321" s="10" t="s">
        <v>28</v>
      </c>
      <c r="S2321" s="10"/>
      <c r="T2321" s="10"/>
      <c r="U2321" s="10" t="s">
        <v>2681</v>
      </c>
      <c r="V2321" s="10" t="s">
        <v>2681</v>
      </c>
      <c r="W2321" s="50">
        <f>+J2321/$W$2</f>
        <v>2.0922318185893449E-4</v>
      </c>
    </row>
    <row r="2322" spans="1:23">
      <c r="A2322" s="10" t="s">
        <v>471</v>
      </c>
      <c r="B2322" s="10" t="s">
        <v>381</v>
      </c>
      <c r="C2322" s="124">
        <v>46400</v>
      </c>
      <c r="D2322" s="124" t="s">
        <v>492</v>
      </c>
      <c r="E2322" s="21">
        <v>0.91985896</v>
      </c>
      <c r="F2322" s="10"/>
      <c r="G2322" s="14">
        <v>7000000</v>
      </c>
      <c r="H2322" s="14">
        <v>6439012.7199999997</v>
      </c>
      <c r="I2322" s="14">
        <v>7000000</v>
      </c>
      <c r="J2322" s="14">
        <v>6439012.7199999997</v>
      </c>
      <c r="K2322" s="12">
        <v>3385319</v>
      </c>
      <c r="L2322" s="10" t="s">
        <v>101</v>
      </c>
      <c r="M2322" s="10" t="s">
        <v>102</v>
      </c>
      <c r="N2322" s="124" t="s">
        <v>420</v>
      </c>
      <c r="O2322" s="124" t="s">
        <v>420</v>
      </c>
      <c r="P2322" s="21">
        <v>30</v>
      </c>
      <c r="Q2322" s="10" t="s">
        <v>54</v>
      </c>
      <c r="R2322" s="10" t="s">
        <v>28</v>
      </c>
      <c r="S2322" s="10"/>
      <c r="T2322" s="10"/>
      <c r="U2322" s="10" t="s">
        <v>2630</v>
      </c>
      <c r="V2322" s="10" t="s">
        <v>2630</v>
      </c>
      <c r="W2322" s="50">
        <f>+J2322/$W$2</f>
        <v>8.5603897729650966E-5</v>
      </c>
    </row>
    <row r="2323" spans="1:23">
      <c r="A2323" s="10" t="s">
        <v>222</v>
      </c>
      <c r="B2323" s="10" t="s">
        <v>381</v>
      </c>
      <c r="C2323" s="124">
        <v>46400</v>
      </c>
      <c r="D2323" s="124" t="s">
        <v>492</v>
      </c>
      <c r="E2323" s="21">
        <v>0.91254568000000003</v>
      </c>
      <c r="F2323" s="10"/>
      <c r="G2323" s="14">
        <v>25000000</v>
      </c>
      <c r="H2323" s="14">
        <v>22813641.890000001</v>
      </c>
      <c r="I2323" s="14">
        <v>25000000</v>
      </c>
      <c r="J2323" s="14">
        <v>22813641.890000001</v>
      </c>
      <c r="K2323" s="12">
        <v>475890</v>
      </c>
      <c r="L2323" s="10" t="s">
        <v>101</v>
      </c>
      <c r="M2323" s="10" t="s">
        <v>102</v>
      </c>
      <c r="N2323" s="124" t="s">
        <v>548</v>
      </c>
      <c r="O2323" s="124" t="s">
        <v>548</v>
      </c>
      <c r="P2323" s="21">
        <v>33</v>
      </c>
      <c r="Q2323" s="10" t="s">
        <v>54</v>
      </c>
      <c r="R2323" s="10" t="s">
        <v>28</v>
      </c>
      <c r="S2323" s="10"/>
      <c r="T2323" s="10"/>
      <c r="U2323" s="10" t="s">
        <v>1376</v>
      </c>
      <c r="V2323" s="10" t="s">
        <v>1376</v>
      </c>
      <c r="W2323" s="50">
        <f>+J2323/$W$2</f>
        <v>3.032975321086866E-4</v>
      </c>
    </row>
    <row r="2324" spans="1:23">
      <c r="A2324" s="10" t="s">
        <v>2915</v>
      </c>
      <c r="B2324" s="10" t="s">
        <v>381</v>
      </c>
      <c r="C2324" s="124">
        <v>46400</v>
      </c>
      <c r="D2324" s="124" t="s">
        <v>492</v>
      </c>
      <c r="E2324" s="21">
        <v>0.92979418000000003</v>
      </c>
      <c r="F2324" s="10"/>
      <c r="G2324" s="14">
        <v>3729055.13</v>
      </c>
      <c r="H2324" s="14">
        <v>3467253.7599999998</v>
      </c>
      <c r="I2324" s="14">
        <v>3729055.13</v>
      </c>
      <c r="J2324" s="14">
        <v>3467253.7599999998</v>
      </c>
      <c r="K2324" s="12">
        <v>3032</v>
      </c>
      <c r="L2324" s="10" t="s">
        <v>101</v>
      </c>
      <c r="M2324" s="10" t="s">
        <v>102</v>
      </c>
      <c r="N2324" s="124" t="s">
        <v>532</v>
      </c>
      <c r="O2324" s="124" t="s">
        <v>532</v>
      </c>
      <c r="P2324" s="21">
        <v>26</v>
      </c>
      <c r="Q2324" s="10" t="s">
        <v>54</v>
      </c>
      <c r="R2324" s="10" t="s">
        <v>28</v>
      </c>
      <c r="S2324" s="10"/>
      <c r="T2324" s="10"/>
      <c r="U2324" s="10" t="s">
        <v>3009</v>
      </c>
      <c r="V2324" s="10" t="s">
        <v>3009</v>
      </c>
      <c r="W2324" s="50">
        <f>+J2324/$W$2</f>
        <v>4.6095643723745862E-5</v>
      </c>
    </row>
    <row r="2325" spans="1:23">
      <c r="A2325" s="10" t="s">
        <v>675</v>
      </c>
      <c r="B2325" s="10" t="s">
        <v>381</v>
      </c>
      <c r="C2325" s="124">
        <v>46401</v>
      </c>
      <c r="D2325" s="124" t="s">
        <v>492</v>
      </c>
      <c r="E2325" s="21">
        <v>0.91916401999999997</v>
      </c>
      <c r="F2325" s="10"/>
      <c r="G2325" s="14">
        <v>25000000</v>
      </c>
      <c r="H2325" s="14">
        <v>22979100.379999999</v>
      </c>
      <c r="I2325" s="14">
        <v>25000000</v>
      </c>
      <c r="J2325" s="14">
        <v>22979100.379999999</v>
      </c>
      <c r="K2325" s="12">
        <v>90004234</v>
      </c>
      <c r="L2325" s="10" t="s">
        <v>101</v>
      </c>
      <c r="M2325" s="10" t="s">
        <v>102</v>
      </c>
      <c r="N2325" s="124" t="s">
        <v>677</v>
      </c>
      <c r="O2325" s="124" t="s">
        <v>677</v>
      </c>
      <c r="P2325" s="21">
        <v>30</v>
      </c>
      <c r="Q2325" s="10" t="s">
        <v>54</v>
      </c>
      <c r="R2325" s="10" t="s">
        <v>28</v>
      </c>
      <c r="S2325" s="10"/>
      <c r="T2325" s="10"/>
      <c r="U2325" s="10" t="s">
        <v>3322</v>
      </c>
      <c r="V2325" s="10" t="s">
        <v>3322</v>
      </c>
      <c r="W2325" s="50">
        <f>+J2325/$W$2</f>
        <v>3.0549723139060731E-4</v>
      </c>
    </row>
    <row r="2326" spans="1:23">
      <c r="A2326" s="10" t="s">
        <v>2610</v>
      </c>
      <c r="B2326" s="10" t="s">
        <v>381</v>
      </c>
      <c r="C2326" s="124">
        <v>46401</v>
      </c>
      <c r="D2326" s="124" t="s">
        <v>492</v>
      </c>
      <c r="E2326" s="21">
        <v>0.91423725</v>
      </c>
      <c r="F2326" s="10"/>
      <c r="G2326" s="14">
        <v>1869225</v>
      </c>
      <c r="H2326" s="14">
        <v>1708915.13</v>
      </c>
      <c r="I2326" s="14">
        <v>1869225</v>
      </c>
      <c r="J2326" s="14">
        <v>1708915.13</v>
      </c>
      <c r="K2326" s="12">
        <v>7</v>
      </c>
      <c r="L2326" s="10" t="s">
        <v>101</v>
      </c>
      <c r="M2326" s="10" t="s">
        <v>102</v>
      </c>
      <c r="N2326" s="124" t="s">
        <v>423</v>
      </c>
      <c r="O2326" s="124" t="s">
        <v>423</v>
      </c>
      <c r="P2326" s="21">
        <v>32</v>
      </c>
      <c r="Q2326" s="10" t="s">
        <v>54</v>
      </c>
      <c r="R2326" s="10" t="s">
        <v>28</v>
      </c>
      <c r="S2326" s="10"/>
      <c r="T2326" s="10"/>
      <c r="U2326" s="10" t="s">
        <v>2534</v>
      </c>
      <c r="V2326" s="10" t="s">
        <v>2534</v>
      </c>
      <c r="W2326" s="50">
        <f>+J2326/$W$2</f>
        <v>2.2719289800870774E-5</v>
      </c>
    </row>
    <row r="2327" spans="1:23">
      <c r="A2327" s="10" t="s">
        <v>494</v>
      </c>
      <c r="B2327" s="10" t="s">
        <v>381</v>
      </c>
      <c r="C2327" s="124">
        <v>46401</v>
      </c>
      <c r="D2327" s="124" t="s">
        <v>492</v>
      </c>
      <c r="E2327" s="21">
        <v>0.92917881000000002</v>
      </c>
      <c r="F2327" s="10"/>
      <c r="G2327" s="14">
        <v>25000000</v>
      </c>
      <c r="H2327" s="14">
        <v>23229470.359999999</v>
      </c>
      <c r="I2327" s="14">
        <v>25000000</v>
      </c>
      <c r="J2327" s="14">
        <v>23229470.359999999</v>
      </c>
      <c r="K2327" s="12">
        <v>9508927</v>
      </c>
      <c r="L2327" s="10" t="s">
        <v>101</v>
      </c>
      <c r="M2327" s="10" t="s">
        <v>102</v>
      </c>
      <c r="N2327" s="124" t="s">
        <v>319</v>
      </c>
      <c r="O2327" s="124" t="s">
        <v>319</v>
      </c>
      <c r="P2327" s="21">
        <v>26</v>
      </c>
      <c r="Q2327" s="10" t="s">
        <v>54</v>
      </c>
      <c r="R2327" s="10" t="s">
        <v>28</v>
      </c>
      <c r="S2327" s="10"/>
      <c r="T2327" s="10"/>
      <c r="U2327" s="10" t="s">
        <v>1000</v>
      </c>
      <c r="V2327" s="10" t="s">
        <v>1000</v>
      </c>
      <c r="W2327" s="50">
        <f>+J2327/$W$2</f>
        <v>3.0882579231981987E-4</v>
      </c>
    </row>
    <row r="2328" spans="1:23">
      <c r="A2328" s="10" t="s">
        <v>2166</v>
      </c>
      <c r="B2328" s="10" t="s">
        <v>381</v>
      </c>
      <c r="C2328" s="124">
        <v>46401</v>
      </c>
      <c r="D2328" s="124" t="s">
        <v>492</v>
      </c>
      <c r="E2328" s="21">
        <v>0.91423723000000001</v>
      </c>
      <c r="F2328" s="10"/>
      <c r="G2328" s="14">
        <v>4000000</v>
      </c>
      <c r="H2328" s="14">
        <v>3656948.93</v>
      </c>
      <c r="I2328" s="14">
        <v>4000000</v>
      </c>
      <c r="J2328" s="14">
        <v>3656948.93</v>
      </c>
      <c r="K2328" s="12">
        <v>14390481</v>
      </c>
      <c r="L2328" s="10" t="s">
        <v>101</v>
      </c>
      <c r="M2328" s="10" t="s">
        <v>102</v>
      </c>
      <c r="N2328" s="124" t="s">
        <v>416</v>
      </c>
      <c r="O2328" s="124" t="s">
        <v>416</v>
      </c>
      <c r="P2328" s="21">
        <v>32</v>
      </c>
      <c r="Q2328" s="10" t="s">
        <v>54</v>
      </c>
      <c r="R2328" s="10" t="s">
        <v>28</v>
      </c>
      <c r="S2328" s="10"/>
      <c r="T2328" s="10"/>
      <c r="U2328" s="10" t="s">
        <v>2144</v>
      </c>
      <c r="V2328" s="10" t="s">
        <v>2144</v>
      </c>
      <c r="W2328" s="50">
        <f>+J2328/$W$2</f>
        <v>4.8617559215860127E-5</v>
      </c>
    </row>
    <row r="2329" spans="1:23">
      <c r="A2329" s="10" t="s">
        <v>464</v>
      </c>
      <c r="B2329" s="10" t="s">
        <v>125</v>
      </c>
      <c r="C2329" s="124">
        <v>46401</v>
      </c>
      <c r="D2329" s="124" t="s">
        <v>492</v>
      </c>
      <c r="E2329" s="21">
        <v>0.97708501999999997</v>
      </c>
      <c r="F2329" s="10" t="s">
        <v>3573</v>
      </c>
      <c r="G2329" s="14">
        <v>18230</v>
      </c>
      <c r="H2329" s="14">
        <v>17812.259999999998</v>
      </c>
      <c r="I2329" s="14">
        <v>27781968.690000001</v>
      </c>
      <c r="J2329" s="14">
        <v>27145345.57</v>
      </c>
      <c r="K2329" s="12">
        <v>146448</v>
      </c>
      <c r="L2329" s="10" t="s">
        <v>101</v>
      </c>
      <c r="M2329" s="10" t="s">
        <v>102</v>
      </c>
      <c r="N2329" s="124" t="s">
        <v>301</v>
      </c>
      <c r="O2329" s="124" t="s">
        <v>301</v>
      </c>
      <c r="P2329" s="21">
        <v>8</v>
      </c>
      <c r="Q2329" s="10" t="s">
        <v>54</v>
      </c>
      <c r="R2329" s="10" t="s">
        <v>28</v>
      </c>
      <c r="S2329" s="10"/>
      <c r="T2329" s="10"/>
      <c r="U2329" s="10" t="s">
        <v>459</v>
      </c>
      <c r="V2329" s="10" t="s">
        <v>459</v>
      </c>
      <c r="W2329" s="50">
        <f>+J2329/$W$2</f>
        <v>3.6088566478407487E-4</v>
      </c>
    </row>
    <row r="2330" spans="1:23">
      <c r="A2330" s="10" t="s">
        <v>477</v>
      </c>
      <c r="B2330" s="10" t="s">
        <v>381</v>
      </c>
      <c r="C2330" s="124">
        <v>46402</v>
      </c>
      <c r="D2330" s="124" t="s">
        <v>492</v>
      </c>
      <c r="E2330" s="21">
        <v>0.91598082000000003</v>
      </c>
      <c r="F2330" s="10"/>
      <c r="G2330" s="14">
        <v>3700000</v>
      </c>
      <c r="H2330" s="14">
        <v>3389129.04</v>
      </c>
      <c r="I2330" s="14">
        <v>3700000</v>
      </c>
      <c r="J2330" s="14">
        <v>3389129.04</v>
      </c>
      <c r="K2330" s="12">
        <v>164545</v>
      </c>
      <c r="L2330" s="10" t="s">
        <v>101</v>
      </c>
      <c r="M2330" s="10" t="s">
        <v>102</v>
      </c>
      <c r="N2330" s="124" t="s">
        <v>486</v>
      </c>
      <c r="O2330" s="124" t="s">
        <v>486</v>
      </c>
      <c r="P2330" s="21">
        <v>31</v>
      </c>
      <c r="Q2330" s="10" t="s">
        <v>54</v>
      </c>
      <c r="R2330" s="10" t="s">
        <v>28</v>
      </c>
      <c r="S2330" s="10"/>
      <c r="T2330" s="10"/>
      <c r="U2330" s="10" t="s">
        <v>2787</v>
      </c>
      <c r="V2330" s="10" t="s">
        <v>2787</v>
      </c>
      <c r="W2330" s="50">
        <f>+J2330/$W$2</f>
        <v>4.5057009257274803E-5</v>
      </c>
    </row>
    <row r="2331" spans="1:23">
      <c r="A2331" s="10" t="s">
        <v>1471</v>
      </c>
      <c r="B2331" s="10" t="s">
        <v>381</v>
      </c>
      <c r="C2331" s="124">
        <v>46402</v>
      </c>
      <c r="D2331" s="124" t="s">
        <v>492</v>
      </c>
      <c r="E2331" s="21">
        <v>0.90615701000000004</v>
      </c>
      <c r="F2331" s="10"/>
      <c r="G2331" s="14">
        <v>25000000</v>
      </c>
      <c r="H2331" s="14">
        <v>22653925.16</v>
      </c>
      <c r="I2331" s="14">
        <v>25000000</v>
      </c>
      <c r="J2331" s="14">
        <v>22653925.16</v>
      </c>
      <c r="K2331" s="12">
        <v>381</v>
      </c>
      <c r="L2331" s="10" t="s">
        <v>101</v>
      </c>
      <c r="M2331" s="10" t="s">
        <v>102</v>
      </c>
      <c r="N2331" s="124" t="s">
        <v>486</v>
      </c>
      <c r="O2331" s="124" t="s">
        <v>486</v>
      </c>
      <c r="P2331" s="21">
        <v>35</v>
      </c>
      <c r="Q2331" s="10" t="s">
        <v>54</v>
      </c>
      <c r="R2331" s="10" t="s">
        <v>28</v>
      </c>
      <c r="S2331" s="10"/>
      <c r="T2331" s="10"/>
      <c r="U2331" s="10" t="s">
        <v>2858</v>
      </c>
      <c r="V2331" s="10" t="s">
        <v>2858</v>
      </c>
      <c r="W2331" s="50">
        <f>+J2331/$W$2</f>
        <v>3.0117416705022551E-4</v>
      </c>
    </row>
    <row r="2332" spans="1:23">
      <c r="A2332" s="10" t="s">
        <v>2466</v>
      </c>
      <c r="B2332" s="10" t="s">
        <v>381</v>
      </c>
      <c r="C2332" s="124">
        <v>46402</v>
      </c>
      <c r="D2332" s="124" t="s">
        <v>492</v>
      </c>
      <c r="E2332" s="21">
        <v>0.91350492000000005</v>
      </c>
      <c r="F2332" s="10"/>
      <c r="G2332" s="14">
        <v>9084444.3200000003</v>
      </c>
      <c r="H2332" s="14">
        <v>8298684.6200000001</v>
      </c>
      <c r="I2332" s="14">
        <v>9084444.3200000003</v>
      </c>
      <c r="J2332" s="14">
        <v>8298684.6200000001</v>
      </c>
      <c r="K2332" s="12">
        <v>2608</v>
      </c>
      <c r="L2332" s="10" t="s">
        <v>101</v>
      </c>
      <c r="M2332" s="10" t="s">
        <v>102</v>
      </c>
      <c r="N2332" s="124" t="s">
        <v>483</v>
      </c>
      <c r="O2332" s="124" t="s">
        <v>483</v>
      </c>
      <c r="P2332" s="21">
        <v>32</v>
      </c>
      <c r="Q2332" s="10" t="s">
        <v>54</v>
      </c>
      <c r="R2332" s="10" t="s">
        <v>28</v>
      </c>
      <c r="S2332" s="10"/>
      <c r="T2332" s="10"/>
      <c r="U2332" s="10" t="s">
        <v>2451</v>
      </c>
      <c r="V2332" s="10" t="s">
        <v>2451</v>
      </c>
      <c r="W2332" s="50">
        <f>+J2332/$W$2</f>
        <v>1.1032743378415122E-4</v>
      </c>
    </row>
    <row r="2333" spans="1:23">
      <c r="A2333" s="10" t="s">
        <v>477</v>
      </c>
      <c r="B2333" s="10" t="s">
        <v>381</v>
      </c>
      <c r="C2333" s="124">
        <v>46405</v>
      </c>
      <c r="D2333" s="124" t="s">
        <v>492</v>
      </c>
      <c r="E2333" s="21">
        <v>0.91639481</v>
      </c>
      <c r="F2333" s="10"/>
      <c r="G2333" s="14">
        <v>16000000</v>
      </c>
      <c r="H2333" s="14">
        <v>14662316.960000001</v>
      </c>
      <c r="I2333" s="14">
        <v>16000000</v>
      </c>
      <c r="J2333" s="14">
        <v>14662316.960000001</v>
      </c>
      <c r="K2333" s="12">
        <v>11005432</v>
      </c>
      <c r="L2333" s="10" t="s">
        <v>101</v>
      </c>
      <c r="M2333" s="10" t="s">
        <v>102</v>
      </c>
      <c r="N2333" s="124" t="s">
        <v>486</v>
      </c>
      <c r="O2333" s="124" t="s">
        <v>486</v>
      </c>
      <c r="P2333" s="21">
        <v>30</v>
      </c>
      <c r="Q2333" s="10" t="s">
        <v>54</v>
      </c>
      <c r="R2333" s="10" t="s">
        <v>28</v>
      </c>
      <c r="S2333" s="10"/>
      <c r="T2333" s="10"/>
      <c r="U2333" s="10" t="s">
        <v>2791</v>
      </c>
      <c r="V2333" s="10" t="s">
        <v>2791</v>
      </c>
      <c r="W2333" s="50">
        <f>+J2333/$W$2</f>
        <v>1.9492918186432269E-4</v>
      </c>
    </row>
    <row r="2334" spans="1:23">
      <c r="A2334" s="10" t="s">
        <v>3261</v>
      </c>
      <c r="B2334" s="10" t="s">
        <v>381</v>
      </c>
      <c r="C2334" s="124">
        <v>46405</v>
      </c>
      <c r="D2334" s="124" t="s">
        <v>492</v>
      </c>
      <c r="E2334" s="21">
        <v>0.90879690000000002</v>
      </c>
      <c r="F2334" s="10"/>
      <c r="G2334" s="14">
        <v>6006148</v>
      </c>
      <c r="H2334" s="14">
        <v>5458368.6699999999</v>
      </c>
      <c r="I2334" s="14">
        <v>6006148</v>
      </c>
      <c r="J2334" s="14">
        <v>5458368.6699999999</v>
      </c>
      <c r="K2334" s="12">
        <v>1370643</v>
      </c>
      <c r="L2334" s="10" t="s">
        <v>101</v>
      </c>
      <c r="M2334" s="10" t="s">
        <v>102</v>
      </c>
      <c r="N2334" s="124" t="s">
        <v>472</v>
      </c>
      <c r="O2334" s="124" t="s">
        <v>472</v>
      </c>
      <c r="P2334" s="21">
        <v>33</v>
      </c>
      <c r="Q2334" s="10" t="s">
        <v>54</v>
      </c>
      <c r="R2334" s="10" t="s">
        <v>28</v>
      </c>
      <c r="S2334" s="10"/>
      <c r="T2334" s="10"/>
      <c r="U2334" s="10" t="s">
        <v>3246</v>
      </c>
      <c r="V2334" s="10" t="s">
        <v>3246</v>
      </c>
      <c r="W2334" s="50">
        <f>+J2334/$W$2</f>
        <v>7.2566657920410354E-5</v>
      </c>
    </row>
    <row r="2335" spans="1:23">
      <c r="A2335" s="10" t="s">
        <v>180</v>
      </c>
      <c r="B2335" s="10" t="s">
        <v>381</v>
      </c>
      <c r="C2335" s="124">
        <v>46405</v>
      </c>
      <c r="D2335" s="124" t="s">
        <v>492</v>
      </c>
      <c r="E2335" s="21">
        <v>0.92412092999999995</v>
      </c>
      <c r="F2335" s="10"/>
      <c r="G2335" s="14">
        <v>2493401.42</v>
      </c>
      <c r="H2335" s="14">
        <v>2304204.44</v>
      </c>
      <c r="I2335" s="14">
        <v>2493401.42</v>
      </c>
      <c r="J2335" s="14">
        <v>2304204.44</v>
      </c>
      <c r="K2335" s="12">
        <v>677251</v>
      </c>
      <c r="L2335" s="10" t="s">
        <v>101</v>
      </c>
      <c r="M2335" s="10" t="s">
        <v>102</v>
      </c>
      <c r="N2335" s="124" t="s">
        <v>551</v>
      </c>
      <c r="O2335" s="124" t="s">
        <v>551</v>
      </c>
      <c r="P2335" s="21">
        <v>27</v>
      </c>
      <c r="Q2335" s="10" t="s">
        <v>54</v>
      </c>
      <c r="R2335" s="10" t="s">
        <v>28</v>
      </c>
      <c r="S2335" s="10"/>
      <c r="T2335" s="10"/>
      <c r="U2335" s="10" t="s">
        <v>2209</v>
      </c>
      <c r="V2335" s="10" t="s">
        <v>2209</v>
      </c>
      <c r="W2335" s="50">
        <f>+J2335/$W$2</f>
        <v>3.0633404499621443E-5</v>
      </c>
    </row>
    <row r="2336" spans="1:23">
      <c r="A2336" s="10" t="s">
        <v>180</v>
      </c>
      <c r="B2336" s="10" t="s">
        <v>381</v>
      </c>
      <c r="C2336" s="124">
        <v>46405</v>
      </c>
      <c r="D2336" s="124" t="s">
        <v>492</v>
      </c>
      <c r="E2336" s="21">
        <v>0.92412092999999995</v>
      </c>
      <c r="F2336" s="10"/>
      <c r="G2336" s="14">
        <v>2493401.42</v>
      </c>
      <c r="H2336" s="14">
        <v>2304204.44</v>
      </c>
      <c r="I2336" s="14">
        <v>2493401.42</v>
      </c>
      <c r="J2336" s="14">
        <v>2304204.44</v>
      </c>
      <c r="K2336" s="12">
        <v>677265</v>
      </c>
      <c r="L2336" s="10" t="s">
        <v>101</v>
      </c>
      <c r="M2336" s="10" t="s">
        <v>102</v>
      </c>
      <c r="N2336" s="124" t="s">
        <v>551</v>
      </c>
      <c r="O2336" s="124" t="s">
        <v>551</v>
      </c>
      <c r="P2336" s="21">
        <v>27</v>
      </c>
      <c r="Q2336" s="10" t="s">
        <v>54</v>
      </c>
      <c r="R2336" s="10" t="s">
        <v>28</v>
      </c>
      <c r="S2336" s="10"/>
      <c r="T2336" s="10"/>
      <c r="U2336" s="10" t="s">
        <v>2211</v>
      </c>
      <c r="V2336" s="10" t="s">
        <v>2211</v>
      </c>
      <c r="W2336" s="50">
        <f>+J2336/$W$2</f>
        <v>3.0633404499621443E-5</v>
      </c>
    </row>
    <row r="2337" spans="1:29">
      <c r="A2337" s="10" t="s">
        <v>180</v>
      </c>
      <c r="B2337" s="10" t="s">
        <v>381</v>
      </c>
      <c r="C2337" s="124">
        <v>46405</v>
      </c>
      <c r="D2337" s="124" t="s">
        <v>492</v>
      </c>
      <c r="E2337" s="21">
        <v>0.92412092999999995</v>
      </c>
      <c r="F2337" s="10"/>
      <c r="G2337" s="14">
        <v>2493401.42</v>
      </c>
      <c r="H2337" s="14">
        <v>2304204.44</v>
      </c>
      <c r="I2337" s="14">
        <v>2493401.42</v>
      </c>
      <c r="J2337" s="14">
        <v>2304204.44</v>
      </c>
      <c r="K2337" s="12">
        <v>677245</v>
      </c>
      <c r="L2337" s="10" t="s">
        <v>101</v>
      </c>
      <c r="M2337" s="10" t="s">
        <v>102</v>
      </c>
      <c r="N2337" s="124" t="s">
        <v>551</v>
      </c>
      <c r="O2337" s="124" t="s">
        <v>551</v>
      </c>
      <c r="P2337" s="21">
        <v>27</v>
      </c>
      <c r="Q2337" s="10" t="s">
        <v>54</v>
      </c>
      <c r="R2337" s="10" t="s">
        <v>28</v>
      </c>
      <c r="S2337" s="10"/>
      <c r="T2337" s="10"/>
      <c r="U2337" s="10" t="s">
        <v>2212</v>
      </c>
      <c r="V2337" s="10" t="s">
        <v>2212</v>
      </c>
      <c r="W2337" s="50">
        <f>+J2337/$W$2</f>
        <v>3.0633404499621443E-5</v>
      </c>
    </row>
    <row r="2338" spans="1:29">
      <c r="A2338" s="10" t="s">
        <v>180</v>
      </c>
      <c r="B2338" s="10" t="s">
        <v>381</v>
      </c>
      <c r="C2338" s="124">
        <v>46405</v>
      </c>
      <c r="D2338" s="124" t="s">
        <v>492</v>
      </c>
      <c r="E2338" s="21">
        <v>0.92412092999999995</v>
      </c>
      <c r="F2338" s="10"/>
      <c r="G2338" s="14">
        <v>2493401.42</v>
      </c>
      <c r="H2338" s="14">
        <v>2304204.44</v>
      </c>
      <c r="I2338" s="14">
        <v>2493401.42</v>
      </c>
      <c r="J2338" s="14">
        <v>2304204.44</v>
      </c>
      <c r="K2338" s="12">
        <v>670019</v>
      </c>
      <c r="L2338" s="10" t="s">
        <v>101</v>
      </c>
      <c r="M2338" s="10" t="s">
        <v>102</v>
      </c>
      <c r="N2338" s="124" t="s">
        <v>551</v>
      </c>
      <c r="O2338" s="124" t="s">
        <v>551</v>
      </c>
      <c r="P2338" s="21">
        <v>27</v>
      </c>
      <c r="Q2338" s="10" t="s">
        <v>54</v>
      </c>
      <c r="R2338" s="10" t="s">
        <v>28</v>
      </c>
      <c r="S2338" s="10"/>
      <c r="T2338" s="10"/>
      <c r="U2338" s="10" t="s">
        <v>2218</v>
      </c>
      <c r="V2338" s="10" t="s">
        <v>2218</v>
      </c>
      <c r="W2338" s="50">
        <f>+J2338/$W$2</f>
        <v>3.0633404499621443E-5</v>
      </c>
    </row>
    <row r="2339" spans="1:29">
      <c r="A2339" s="10" t="s">
        <v>2620</v>
      </c>
      <c r="B2339" s="10" t="s">
        <v>381</v>
      </c>
      <c r="C2339" s="124">
        <v>46405</v>
      </c>
      <c r="D2339" s="124" t="s">
        <v>492</v>
      </c>
      <c r="E2339" s="21">
        <v>0.91131547999999996</v>
      </c>
      <c r="F2339" s="10"/>
      <c r="G2339" s="14">
        <v>1566916.35</v>
      </c>
      <c r="H2339" s="14">
        <v>1427955.12</v>
      </c>
      <c r="I2339" s="14">
        <v>1566916.35</v>
      </c>
      <c r="J2339" s="14">
        <v>1427955.12</v>
      </c>
      <c r="K2339" s="12">
        <v>1183</v>
      </c>
      <c r="L2339" s="10" t="s">
        <v>101</v>
      </c>
      <c r="M2339" s="10" t="s">
        <v>102</v>
      </c>
      <c r="N2339" s="124" t="s">
        <v>423</v>
      </c>
      <c r="O2339" s="124" t="s">
        <v>423</v>
      </c>
      <c r="P2339" s="21">
        <v>32</v>
      </c>
      <c r="Q2339" s="10" t="s">
        <v>54</v>
      </c>
      <c r="R2339" s="10" t="s">
        <v>28</v>
      </c>
      <c r="S2339" s="10"/>
      <c r="T2339" s="10"/>
      <c r="U2339" s="10" t="s">
        <v>2579</v>
      </c>
      <c r="V2339" s="10" t="s">
        <v>2579</v>
      </c>
      <c r="W2339" s="50">
        <f>+J2339/$W$2</f>
        <v>1.898404761266126E-5</v>
      </c>
      <c r="AC2339" s="47"/>
    </row>
    <row r="2340" spans="1:29">
      <c r="A2340" s="10" t="s">
        <v>404</v>
      </c>
      <c r="B2340" s="10" t="s">
        <v>381</v>
      </c>
      <c r="C2340" s="124">
        <v>46405</v>
      </c>
      <c r="D2340" s="124" t="s">
        <v>492</v>
      </c>
      <c r="E2340" s="21">
        <v>0.91639484999999998</v>
      </c>
      <c r="F2340" s="10"/>
      <c r="G2340" s="14">
        <v>51921649.450000003</v>
      </c>
      <c r="H2340" s="14">
        <v>47580731.950000003</v>
      </c>
      <c r="I2340" s="14">
        <v>51921649.450000003</v>
      </c>
      <c r="J2340" s="14">
        <v>47580731.950000003</v>
      </c>
      <c r="K2340" s="12">
        <v>22963</v>
      </c>
      <c r="L2340" s="10" t="s">
        <v>101</v>
      </c>
      <c r="M2340" s="10" t="s">
        <v>102</v>
      </c>
      <c r="N2340" s="124" t="s">
        <v>423</v>
      </c>
      <c r="O2340" s="124" t="s">
        <v>423</v>
      </c>
      <c r="P2340" s="21">
        <v>30</v>
      </c>
      <c r="Q2340" s="10" t="s">
        <v>54</v>
      </c>
      <c r="R2340" s="10" t="s">
        <v>28</v>
      </c>
      <c r="S2340" s="10"/>
      <c r="T2340" s="10"/>
      <c r="U2340" s="10" t="s">
        <v>2522</v>
      </c>
      <c r="V2340" s="10" t="s">
        <v>2522</v>
      </c>
      <c r="W2340" s="50">
        <f>+J2340/$W$2</f>
        <v>6.3256531534693669E-4</v>
      </c>
    </row>
    <row r="2341" spans="1:29">
      <c r="A2341" s="10" t="s">
        <v>477</v>
      </c>
      <c r="B2341" s="10" t="s">
        <v>381</v>
      </c>
      <c r="C2341" s="124">
        <v>46406</v>
      </c>
      <c r="D2341" s="124" t="s">
        <v>492</v>
      </c>
      <c r="E2341" s="21">
        <v>0.90805062000000003</v>
      </c>
      <c r="F2341" s="10"/>
      <c r="G2341" s="14">
        <v>10000000</v>
      </c>
      <c r="H2341" s="14">
        <v>9080506.1799999997</v>
      </c>
      <c r="I2341" s="14">
        <v>10000000</v>
      </c>
      <c r="J2341" s="14">
        <v>9080506.1799999997</v>
      </c>
      <c r="K2341" s="12">
        <v>2285690</v>
      </c>
      <c r="L2341" s="10" t="s">
        <v>101</v>
      </c>
      <c r="M2341" s="10" t="s">
        <v>102</v>
      </c>
      <c r="N2341" s="124" t="s">
        <v>551</v>
      </c>
      <c r="O2341" s="124" t="s">
        <v>551</v>
      </c>
      <c r="P2341" s="21">
        <v>33</v>
      </c>
      <c r="Q2341" s="10" t="s">
        <v>54</v>
      </c>
      <c r="R2341" s="10" t="s">
        <v>28</v>
      </c>
      <c r="S2341" s="10"/>
      <c r="T2341" s="10"/>
      <c r="U2341" s="10" t="s">
        <v>2189</v>
      </c>
      <c r="V2341" s="10" t="s">
        <v>2189</v>
      </c>
      <c r="W2341" s="50">
        <f>+J2341/$W$2</f>
        <v>1.2072141431740853E-4</v>
      </c>
    </row>
    <row r="2342" spans="1:29">
      <c r="A2342" s="10" t="s">
        <v>2919</v>
      </c>
      <c r="B2342" s="10" t="s">
        <v>381</v>
      </c>
      <c r="C2342" s="124">
        <v>46406</v>
      </c>
      <c r="D2342" s="124" t="s">
        <v>492</v>
      </c>
      <c r="E2342" s="21">
        <v>0.90301838999999995</v>
      </c>
      <c r="F2342" s="10"/>
      <c r="G2342" s="14">
        <v>25000000</v>
      </c>
      <c r="H2342" s="14">
        <v>22575459.629999999</v>
      </c>
      <c r="I2342" s="14">
        <v>25000000</v>
      </c>
      <c r="J2342" s="14">
        <v>22575459.629999999</v>
      </c>
      <c r="K2342" s="12">
        <v>10685427</v>
      </c>
      <c r="L2342" s="10" t="s">
        <v>101</v>
      </c>
      <c r="M2342" s="10" t="s">
        <v>102</v>
      </c>
      <c r="N2342" s="124" t="s">
        <v>486</v>
      </c>
      <c r="O2342" s="124" t="s">
        <v>486</v>
      </c>
      <c r="P2342" s="21">
        <v>35</v>
      </c>
      <c r="Q2342" s="10" t="s">
        <v>54</v>
      </c>
      <c r="R2342" s="10" t="s">
        <v>28</v>
      </c>
      <c r="S2342" s="10"/>
      <c r="T2342" s="10"/>
      <c r="U2342" s="10" t="s">
        <v>2874</v>
      </c>
      <c r="V2342" s="10" t="s">
        <v>2874</v>
      </c>
      <c r="W2342" s="50">
        <f>+J2342/$W$2</f>
        <v>3.001310016617554E-4</v>
      </c>
    </row>
    <row r="2343" spans="1:29">
      <c r="A2343" s="10" t="s">
        <v>576</v>
      </c>
      <c r="B2343" s="10" t="s">
        <v>381</v>
      </c>
      <c r="C2343" s="124">
        <v>46406</v>
      </c>
      <c r="D2343" s="124" t="s">
        <v>492</v>
      </c>
      <c r="E2343" s="21">
        <v>0.91570503999999997</v>
      </c>
      <c r="F2343" s="10"/>
      <c r="G2343" s="14">
        <v>50000000</v>
      </c>
      <c r="H2343" s="14">
        <v>45785251.850000001</v>
      </c>
      <c r="I2343" s="14">
        <v>50000000</v>
      </c>
      <c r="J2343" s="14">
        <v>45785251.850000001</v>
      </c>
      <c r="K2343" s="12">
        <v>68076</v>
      </c>
      <c r="L2343" s="10" t="s">
        <v>101</v>
      </c>
      <c r="M2343" s="10" t="s">
        <v>102</v>
      </c>
      <c r="N2343" s="124" t="s">
        <v>486</v>
      </c>
      <c r="O2343" s="124" t="s">
        <v>486</v>
      </c>
      <c r="P2343" s="21">
        <v>30</v>
      </c>
      <c r="Q2343" s="10" t="s">
        <v>54</v>
      </c>
      <c r="R2343" s="10" t="s">
        <v>28</v>
      </c>
      <c r="S2343" s="10"/>
      <c r="T2343" s="10"/>
      <c r="U2343" s="10" t="s">
        <v>2832</v>
      </c>
      <c r="V2343" s="10" t="s">
        <v>2832</v>
      </c>
      <c r="W2343" s="50">
        <f>+J2343/$W$2</f>
        <v>6.0869518159512395E-4</v>
      </c>
    </row>
    <row r="2344" spans="1:29">
      <c r="A2344" s="10" t="s">
        <v>1471</v>
      </c>
      <c r="B2344" s="10" t="s">
        <v>381</v>
      </c>
      <c r="C2344" s="124">
        <v>46406</v>
      </c>
      <c r="D2344" s="124" t="s">
        <v>492</v>
      </c>
      <c r="E2344" s="21">
        <v>0.90301838999999995</v>
      </c>
      <c r="F2344" s="10"/>
      <c r="G2344" s="14">
        <v>25000000</v>
      </c>
      <c r="H2344" s="14">
        <v>22575459.629999999</v>
      </c>
      <c r="I2344" s="14">
        <v>25000000</v>
      </c>
      <c r="J2344" s="14">
        <v>22575459.629999999</v>
      </c>
      <c r="K2344" s="12">
        <v>382</v>
      </c>
      <c r="L2344" s="10" t="s">
        <v>101</v>
      </c>
      <c r="M2344" s="10" t="s">
        <v>102</v>
      </c>
      <c r="N2344" s="124" t="s">
        <v>486</v>
      </c>
      <c r="O2344" s="124" t="s">
        <v>486</v>
      </c>
      <c r="P2344" s="21">
        <v>35</v>
      </c>
      <c r="Q2344" s="10" t="s">
        <v>54</v>
      </c>
      <c r="R2344" s="10" t="s">
        <v>28</v>
      </c>
      <c r="S2344" s="10"/>
      <c r="T2344" s="10"/>
      <c r="U2344" s="10" t="s">
        <v>2860</v>
      </c>
      <c r="V2344" s="10" t="s">
        <v>2860</v>
      </c>
      <c r="W2344" s="50">
        <f>+J2344/$W$2</f>
        <v>3.001310016617554E-4</v>
      </c>
    </row>
    <row r="2345" spans="1:29">
      <c r="A2345" s="10" t="s">
        <v>2421</v>
      </c>
      <c r="B2345" s="10" t="s">
        <v>381</v>
      </c>
      <c r="C2345" s="124">
        <v>46406</v>
      </c>
      <c r="D2345" s="124" t="s">
        <v>492</v>
      </c>
      <c r="E2345" s="21">
        <v>0.91058784999999998</v>
      </c>
      <c r="F2345" s="10"/>
      <c r="G2345" s="14">
        <v>108911054</v>
      </c>
      <c r="H2345" s="14">
        <v>99173082.739999995</v>
      </c>
      <c r="I2345" s="14">
        <v>108911054</v>
      </c>
      <c r="J2345" s="14">
        <v>99173082.739999995</v>
      </c>
      <c r="K2345" s="12">
        <v>90000136</v>
      </c>
      <c r="L2345" s="10" t="s">
        <v>101</v>
      </c>
      <c r="M2345" s="10" t="s">
        <v>102</v>
      </c>
      <c r="N2345" s="124" t="s">
        <v>552</v>
      </c>
      <c r="O2345" s="124" t="s">
        <v>552</v>
      </c>
      <c r="P2345" s="21">
        <v>32</v>
      </c>
      <c r="Q2345" s="10" t="s">
        <v>54</v>
      </c>
      <c r="R2345" s="10" t="s">
        <v>28</v>
      </c>
      <c r="S2345" s="10"/>
      <c r="T2345" s="10"/>
      <c r="U2345" s="10" t="s">
        <v>2374</v>
      </c>
      <c r="V2345" s="10" t="s">
        <v>2374</v>
      </c>
      <c r="W2345" s="50">
        <f>+J2345/$W$2</f>
        <v>1.3184633734361025E-3</v>
      </c>
    </row>
    <row r="2346" spans="1:29">
      <c r="A2346" s="10" t="s">
        <v>2624</v>
      </c>
      <c r="B2346" s="10" t="s">
        <v>381</v>
      </c>
      <c r="C2346" s="124">
        <v>46406</v>
      </c>
      <c r="D2346" s="124" t="s">
        <v>492</v>
      </c>
      <c r="E2346" s="21">
        <v>0.90805066999999995</v>
      </c>
      <c r="F2346" s="10"/>
      <c r="G2346" s="14">
        <v>520000000</v>
      </c>
      <c r="H2346" s="14">
        <v>472186347.72000003</v>
      </c>
      <c r="I2346" s="14">
        <v>520000000</v>
      </c>
      <c r="J2346" s="14">
        <v>472186347.72000003</v>
      </c>
      <c r="K2346" s="12">
        <v>91310541</v>
      </c>
      <c r="L2346" s="10" t="s">
        <v>101</v>
      </c>
      <c r="M2346" s="10" t="s">
        <v>102</v>
      </c>
      <c r="N2346" s="124" t="s">
        <v>423</v>
      </c>
      <c r="O2346" s="124" t="s">
        <v>423</v>
      </c>
      <c r="P2346" s="21">
        <v>33</v>
      </c>
      <c r="Q2346" s="10" t="s">
        <v>54</v>
      </c>
      <c r="R2346" s="10" t="s">
        <v>28</v>
      </c>
      <c r="S2346" s="10"/>
      <c r="T2346" s="10"/>
      <c r="U2346" s="10" t="s">
        <v>2593</v>
      </c>
      <c r="V2346" s="10" t="s">
        <v>2593</v>
      </c>
      <c r="W2346" s="50">
        <f>+J2346/$W$2</f>
        <v>6.2775138949500778E-3</v>
      </c>
    </row>
    <row r="2347" spans="1:29">
      <c r="A2347" s="10" t="s">
        <v>2699</v>
      </c>
      <c r="B2347" s="10" t="s">
        <v>381</v>
      </c>
      <c r="C2347" s="124">
        <v>46406</v>
      </c>
      <c r="D2347" s="124" t="s">
        <v>492</v>
      </c>
      <c r="E2347" s="21">
        <v>0.91058795000000003</v>
      </c>
      <c r="F2347" s="10"/>
      <c r="G2347" s="14">
        <v>1027513.96</v>
      </c>
      <c r="H2347" s="14">
        <v>935641.83</v>
      </c>
      <c r="I2347" s="14">
        <v>1027513.96</v>
      </c>
      <c r="J2347" s="14">
        <v>935641.83</v>
      </c>
      <c r="K2347" s="12">
        <v>3585517</v>
      </c>
      <c r="L2347" s="10" t="s">
        <v>101</v>
      </c>
      <c r="M2347" s="10" t="s">
        <v>102</v>
      </c>
      <c r="N2347" s="124" t="s">
        <v>420</v>
      </c>
      <c r="O2347" s="124" t="s">
        <v>420</v>
      </c>
      <c r="P2347" s="21">
        <v>32</v>
      </c>
      <c r="Q2347" s="10" t="s">
        <v>54</v>
      </c>
      <c r="R2347" s="10" t="s">
        <v>28</v>
      </c>
      <c r="S2347" s="10"/>
      <c r="T2347" s="10"/>
      <c r="U2347" s="10" t="s">
        <v>2659</v>
      </c>
      <c r="V2347" s="10" t="s">
        <v>2659</v>
      </c>
      <c r="W2347" s="50">
        <f>+J2347/$W$2</f>
        <v>1.243895469846245E-5</v>
      </c>
    </row>
    <row r="2348" spans="1:29">
      <c r="A2348" s="10" t="s">
        <v>494</v>
      </c>
      <c r="B2348" s="10" t="s">
        <v>381</v>
      </c>
      <c r="C2348" s="124">
        <v>46406</v>
      </c>
      <c r="D2348" s="124" t="s">
        <v>492</v>
      </c>
      <c r="E2348" s="21">
        <v>0.92348954999999999</v>
      </c>
      <c r="F2348" s="10"/>
      <c r="G2348" s="14">
        <v>2000000</v>
      </c>
      <c r="H2348" s="14">
        <v>1846979.1</v>
      </c>
      <c r="I2348" s="14">
        <v>2000000</v>
      </c>
      <c r="J2348" s="14">
        <v>1846979.1</v>
      </c>
      <c r="K2348" s="12">
        <v>113</v>
      </c>
      <c r="L2348" s="10" t="s">
        <v>101</v>
      </c>
      <c r="M2348" s="10" t="s">
        <v>102</v>
      </c>
      <c r="N2348" s="124" t="s">
        <v>394</v>
      </c>
      <c r="O2348" s="124" t="s">
        <v>394</v>
      </c>
      <c r="P2348" s="21">
        <v>27</v>
      </c>
      <c r="Q2348" s="10" t="s">
        <v>54</v>
      </c>
      <c r="R2348" s="10" t="s">
        <v>28</v>
      </c>
      <c r="S2348" s="10"/>
      <c r="T2348" s="10"/>
      <c r="U2348" s="10" t="s">
        <v>807</v>
      </c>
      <c r="V2348" s="10" t="s">
        <v>807</v>
      </c>
      <c r="W2348" s="50">
        <f>+J2348/$W$2</f>
        <v>2.4554790751399977E-5</v>
      </c>
    </row>
    <row r="2349" spans="1:29">
      <c r="A2349" s="10" t="s">
        <v>2163</v>
      </c>
      <c r="B2349" s="10" t="s">
        <v>381</v>
      </c>
      <c r="C2349" s="124">
        <v>46406</v>
      </c>
      <c r="D2349" s="124" t="s">
        <v>492</v>
      </c>
      <c r="E2349" s="21">
        <v>0.91058786999999997</v>
      </c>
      <c r="F2349" s="10"/>
      <c r="G2349" s="14">
        <v>2383603</v>
      </c>
      <c r="H2349" s="14">
        <v>2170479.98</v>
      </c>
      <c r="I2349" s="14">
        <v>2383603</v>
      </c>
      <c r="J2349" s="14">
        <v>2170479.98</v>
      </c>
      <c r="K2349" s="12">
        <v>111053</v>
      </c>
      <c r="L2349" s="10" t="s">
        <v>101</v>
      </c>
      <c r="M2349" s="10" t="s">
        <v>102</v>
      </c>
      <c r="N2349" s="124" t="s">
        <v>416</v>
      </c>
      <c r="O2349" s="124" t="s">
        <v>416</v>
      </c>
      <c r="P2349" s="21">
        <v>32</v>
      </c>
      <c r="Q2349" s="10" t="s">
        <v>54</v>
      </c>
      <c r="R2349" s="10" t="s">
        <v>28</v>
      </c>
      <c r="S2349" s="10"/>
      <c r="T2349" s="10"/>
      <c r="U2349" s="10" t="s">
        <v>2135</v>
      </c>
      <c r="V2349" s="10" t="s">
        <v>2135</v>
      </c>
      <c r="W2349" s="50">
        <f>+J2349/$W$2</f>
        <v>2.8855595463426089E-5</v>
      </c>
      <c r="AC2349" s="47"/>
    </row>
    <row r="2350" spans="1:29">
      <c r="A2350" s="10" t="s">
        <v>222</v>
      </c>
      <c r="B2350" s="10" t="s">
        <v>381</v>
      </c>
      <c r="C2350" s="124">
        <v>46406</v>
      </c>
      <c r="D2350" s="124" t="s">
        <v>492</v>
      </c>
      <c r="E2350" s="21">
        <v>0.90805071000000004</v>
      </c>
      <c r="F2350" s="10"/>
      <c r="G2350" s="14">
        <v>25000000</v>
      </c>
      <c r="H2350" s="14">
        <v>22701267.789999999</v>
      </c>
      <c r="I2350" s="14">
        <v>25000000</v>
      </c>
      <c r="J2350" s="14">
        <v>22701267.789999999</v>
      </c>
      <c r="K2350" s="12">
        <v>475892</v>
      </c>
      <c r="L2350" s="10" t="s">
        <v>101</v>
      </c>
      <c r="M2350" s="10" t="s">
        <v>102</v>
      </c>
      <c r="N2350" s="124" t="s">
        <v>325</v>
      </c>
      <c r="O2350" s="124" t="s">
        <v>325</v>
      </c>
      <c r="P2350" s="21">
        <v>33</v>
      </c>
      <c r="Q2350" s="10" t="s">
        <v>54</v>
      </c>
      <c r="R2350" s="10" t="s">
        <v>28</v>
      </c>
      <c r="S2350" s="10"/>
      <c r="T2350" s="10"/>
      <c r="U2350" s="10" t="s">
        <v>1593</v>
      </c>
      <c r="V2350" s="10" t="s">
        <v>1593</v>
      </c>
      <c r="W2350" s="50">
        <f>+J2350/$W$2</f>
        <v>3.0180356690281236E-4</v>
      </c>
    </row>
    <row r="2351" spans="1:29">
      <c r="A2351" s="10" t="s">
        <v>2915</v>
      </c>
      <c r="B2351" s="10" t="s">
        <v>381</v>
      </c>
      <c r="C2351" s="124">
        <v>46406</v>
      </c>
      <c r="D2351" s="124" t="s">
        <v>492</v>
      </c>
      <c r="E2351" s="21">
        <v>0.91570499999999999</v>
      </c>
      <c r="F2351" s="10"/>
      <c r="G2351" s="14">
        <v>20000000</v>
      </c>
      <c r="H2351" s="14">
        <v>18314099.91</v>
      </c>
      <c r="I2351" s="14">
        <v>20000000</v>
      </c>
      <c r="J2351" s="14">
        <v>18314099.91</v>
      </c>
      <c r="K2351" s="12">
        <v>68586588</v>
      </c>
      <c r="L2351" s="10" t="s">
        <v>101</v>
      </c>
      <c r="M2351" s="10" t="s">
        <v>102</v>
      </c>
      <c r="N2351" s="124" t="s">
        <v>434</v>
      </c>
      <c r="O2351" s="124" t="s">
        <v>434</v>
      </c>
      <c r="P2351" s="21">
        <v>30</v>
      </c>
      <c r="Q2351" s="10" t="s">
        <v>54</v>
      </c>
      <c r="R2351" s="10" t="s">
        <v>28</v>
      </c>
      <c r="S2351" s="10"/>
      <c r="T2351" s="10"/>
      <c r="U2351" s="10" t="s">
        <v>2978</v>
      </c>
      <c r="V2351" s="10" t="s">
        <v>2978</v>
      </c>
      <c r="W2351" s="50">
        <f>+J2351/$W$2</f>
        <v>2.4347806160355748E-4</v>
      </c>
    </row>
    <row r="2352" spans="1:29">
      <c r="A2352" s="10" t="s">
        <v>426</v>
      </c>
      <c r="B2352" s="10" t="s">
        <v>381</v>
      </c>
      <c r="C2352" s="124">
        <v>46406</v>
      </c>
      <c r="D2352" s="124" t="s">
        <v>492</v>
      </c>
      <c r="E2352" s="21">
        <v>0.91570503999999997</v>
      </c>
      <c r="F2352" s="10"/>
      <c r="G2352" s="14">
        <v>5580000</v>
      </c>
      <c r="H2352" s="14">
        <v>5109634.1100000003</v>
      </c>
      <c r="I2352" s="14">
        <v>5580000</v>
      </c>
      <c r="J2352" s="14">
        <v>5109634.1100000003</v>
      </c>
      <c r="K2352" s="12">
        <v>11415146</v>
      </c>
      <c r="L2352" s="10" t="s">
        <v>101</v>
      </c>
      <c r="M2352" s="10" t="s">
        <v>102</v>
      </c>
      <c r="N2352" s="124" t="s">
        <v>486</v>
      </c>
      <c r="O2352" s="124" t="s">
        <v>486</v>
      </c>
      <c r="P2352" s="21">
        <v>30</v>
      </c>
      <c r="Q2352" s="10" t="s">
        <v>54</v>
      </c>
      <c r="R2352" s="10" t="s">
        <v>28</v>
      </c>
      <c r="S2352" s="10"/>
      <c r="T2352" s="10"/>
      <c r="U2352" s="10" t="s">
        <v>2798</v>
      </c>
      <c r="V2352" s="10" t="s">
        <v>2798</v>
      </c>
      <c r="W2352" s="50">
        <f>+J2352/$W$2</f>
        <v>6.793038231307861E-5</v>
      </c>
    </row>
    <row r="2353" spans="1:29">
      <c r="A2353" s="10" t="s">
        <v>427</v>
      </c>
      <c r="B2353" s="10" t="s">
        <v>381</v>
      </c>
      <c r="C2353" s="124">
        <v>46406</v>
      </c>
      <c r="D2353" s="124" t="s">
        <v>492</v>
      </c>
      <c r="E2353" s="21">
        <v>0.91570503999999997</v>
      </c>
      <c r="F2353" s="10"/>
      <c r="G2353" s="14">
        <v>25000000</v>
      </c>
      <c r="H2353" s="14">
        <v>22892625.920000002</v>
      </c>
      <c r="I2353" s="14">
        <v>25000000</v>
      </c>
      <c r="J2353" s="14">
        <v>22892625.920000002</v>
      </c>
      <c r="K2353" s="12">
        <v>69808450</v>
      </c>
      <c r="L2353" s="10" t="s">
        <v>101</v>
      </c>
      <c r="M2353" s="10" t="s">
        <v>102</v>
      </c>
      <c r="N2353" s="124" t="s">
        <v>486</v>
      </c>
      <c r="O2353" s="124" t="s">
        <v>486</v>
      </c>
      <c r="P2353" s="21">
        <v>30</v>
      </c>
      <c r="Q2353" s="10" t="s">
        <v>54</v>
      </c>
      <c r="R2353" s="10" t="s">
        <v>28</v>
      </c>
      <c r="S2353" s="10"/>
      <c r="T2353" s="10"/>
      <c r="U2353" s="10" t="s">
        <v>2796</v>
      </c>
      <c r="V2353" s="10" t="s">
        <v>2796</v>
      </c>
      <c r="W2353" s="50">
        <f>+J2353/$W$2</f>
        <v>3.0434759073108916E-4</v>
      </c>
    </row>
    <row r="2354" spans="1:29">
      <c r="A2354" s="10" t="s">
        <v>2700</v>
      </c>
      <c r="B2354" s="10" t="s">
        <v>381</v>
      </c>
      <c r="C2354" s="124">
        <v>46407</v>
      </c>
      <c r="D2354" s="124" t="s">
        <v>492</v>
      </c>
      <c r="E2354" s="21">
        <v>0.90986151000000004</v>
      </c>
      <c r="F2354" s="10"/>
      <c r="G2354" s="14">
        <v>21145734.48</v>
      </c>
      <c r="H2354" s="14">
        <v>19239690</v>
      </c>
      <c r="I2354" s="14">
        <v>21145734.48</v>
      </c>
      <c r="J2354" s="14">
        <v>19239690</v>
      </c>
      <c r="K2354" s="12">
        <v>1985962</v>
      </c>
      <c r="L2354" s="10" t="s">
        <v>101</v>
      </c>
      <c r="M2354" s="10" t="s">
        <v>102</v>
      </c>
      <c r="N2354" s="124" t="s">
        <v>420</v>
      </c>
      <c r="O2354" s="124" t="s">
        <v>420</v>
      </c>
      <c r="P2354" s="21">
        <v>32</v>
      </c>
      <c r="Q2354" s="10" t="s">
        <v>54</v>
      </c>
      <c r="R2354" s="10" t="s">
        <v>28</v>
      </c>
      <c r="S2354" s="10"/>
      <c r="T2354" s="10"/>
      <c r="U2354" s="10" t="s">
        <v>2663</v>
      </c>
      <c r="V2354" s="10" t="s">
        <v>2663</v>
      </c>
      <c r="W2354" s="50">
        <f>+J2354/$W$2</f>
        <v>2.5578338275284362E-4</v>
      </c>
    </row>
    <row r="2355" spans="1:29">
      <c r="A2355" s="10" t="s">
        <v>2993</v>
      </c>
      <c r="B2355" s="10" t="s">
        <v>381</v>
      </c>
      <c r="C2355" s="124">
        <v>46407</v>
      </c>
      <c r="D2355" s="124" t="s">
        <v>492</v>
      </c>
      <c r="E2355" s="21">
        <v>0.90986160999999999</v>
      </c>
      <c r="F2355" s="10"/>
      <c r="G2355" s="14">
        <v>45000000</v>
      </c>
      <c r="H2355" s="14">
        <v>40943772.539999999</v>
      </c>
      <c r="I2355" s="14">
        <v>45000000</v>
      </c>
      <c r="J2355" s="14">
        <v>40943772.539999999</v>
      </c>
      <c r="K2355" s="12">
        <v>51177</v>
      </c>
      <c r="L2355" s="10" t="s">
        <v>101</v>
      </c>
      <c r="M2355" s="10" t="s">
        <v>102</v>
      </c>
      <c r="N2355" s="124" t="s">
        <v>434</v>
      </c>
      <c r="O2355" s="124" t="s">
        <v>434</v>
      </c>
      <c r="P2355" s="21">
        <v>32</v>
      </c>
      <c r="Q2355" s="10" t="s">
        <v>54</v>
      </c>
      <c r="R2355" s="10" t="s">
        <v>28</v>
      </c>
      <c r="S2355" s="10"/>
      <c r="T2355" s="10"/>
      <c r="U2355" s="10" t="s">
        <v>2962</v>
      </c>
      <c r="V2355" s="10" t="s">
        <v>2962</v>
      </c>
      <c r="W2355" s="50">
        <f>+J2355/$W$2</f>
        <v>5.4432980172467371E-4</v>
      </c>
    </row>
    <row r="2356" spans="1:29">
      <c r="A2356" s="10" t="s">
        <v>2993</v>
      </c>
      <c r="B2356" s="10" t="s">
        <v>381</v>
      </c>
      <c r="C2356" s="124">
        <v>46407</v>
      </c>
      <c r="D2356" s="124" t="s">
        <v>492</v>
      </c>
      <c r="E2356" s="21">
        <v>0.90986157000000001</v>
      </c>
      <c r="F2356" s="10"/>
      <c r="G2356" s="14">
        <v>55000000</v>
      </c>
      <c r="H2356" s="14">
        <v>50042386.409999996</v>
      </c>
      <c r="I2356" s="14">
        <v>55000000</v>
      </c>
      <c r="J2356" s="14">
        <v>50042386.409999996</v>
      </c>
      <c r="K2356" s="12">
        <v>51408</v>
      </c>
      <c r="L2356" s="10" t="s">
        <v>101</v>
      </c>
      <c r="M2356" s="10" t="s">
        <v>102</v>
      </c>
      <c r="N2356" s="124" t="s">
        <v>677</v>
      </c>
      <c r="O2356" s="124" t="s">
        <v>677</v>
      </c>
      <c r="P2356" s="21">
        <v>32</v>
      </c>
      <c r="Q2356" s="10" t="s">
        <v>54</v>
      </c>
      <c r="R2356" s="10" t="s">
        <v>28</v>
      </c>
      <c r="S2356" s="10"/>
      <c r="T2356" s="10"/>
      <c r="U2356" s="10" t="s">
        <v>3343</v>
      </c>
      <c r="V2356" s="10" t="s">
        <v>3343</v>
      </c>
      <c r="W2356" s="50">
        <f>+J2356/$W$2</f>
        <v>6.6529194997293239E-4</v>
      </c>
    </row>
    <row r="2357" spans="1:29">
      <c r="A2357" s="10" t="s">
        <v>561</v>
      </c>
      <c r="B2357" s="10" t="s">
        <v>381</v>
      </c>
      <c r="C2357" s="124">
        <v>46407</v>
      </c>
      <c r="D2357" s="124" t="s">
        <v>492</v>
      </c>
      <c r="E2357" s="21">
        <v>0.91761581000000003</v>
      </c>
      <c r="F2357" s="10"/>
      <c r="G2357" s="14">
        <v>14000000</v>
      </c>
      <c r="H2357" s="14">
        <v>12846621.369999999</v>
      </c>
      <c r="I2357" s="14">
        <v>14000000</v>
      </c>
      <c r="J2357" s="14">
        <v>12846621.369999999</v>
      </c>
      <c r="K2357" s="12">
        <v>122</v>
      </c>
      <c r="L2357" s="10" t="s">
        <v>101</v>
      </c>
      <c r="M2357" s="10" t="s">
        <v>102</v>
      </c>
      <c r="N2357" s="124" t="s">
        <v>394</v>
      </c>
      <c r="O2357" s="124" t="s">
        <v>394</v>
      </c>
      <c r="P2357" s="21">
        <v>29</v>
      </c>
      <c r="Q2357" s="10" t="s">
        <v>54</v>
      </c>
      <c r="R2357" s="10" t="s">
        <v>28</v>
      </c>
      <c r="S2357" s="10"/>
      <c r="T2357" s="10"/>
      <c r="U2357" s="10" t="s">
        <v>815</v>
      </c>
      <c r="V2357" s="10" t="s">
        <v>815</v>
      </c>
      <c r="W2357" s="50">
        <f>+J2357/$W$2</f>
        <v>1.7079029188950392E-4</v>
      </c>
    </row>
    <row r="2358" spans="1:29">
      <c r="A2358" s="10" t="s">
        <v>1724</v>
      </c>
      <c r="B2358" s="10" t="s">
        <v>381</v>
      </c>
      <c r="C2358" s="124">
        <v>46407</v>
      </c>
      <c r="D2358" s="124" t="s">
        <v>492</v>
      </c>
      <c r="E2358" s="21">
        <v>0.89722478999999999</v>
      </c>
      <c r="F2358" s="10"/>
      <c r="G2358" s="14">
        <v>25000000</v>
      </c>
      <c r="H2358" s="14">
        <v>22430619.710000001</v>
      </c>
      <c r="I2358" s="14">
        <v>25000000</v>
      </c>
      <c r="J2358" s="14">
        <v>22430619.710000001</v>
      </c>
      <c r="K2358" s="12">
        <v>41</v>
      </c>
      <c r="L2358" s="10" t="s">
        <v>101</v>
      </c>
      <c r="M2358" s="10" t="s">
        <v>102</v>
      </c>
      <c r="N2358" s="124" t="s">
        <v>425</v>
      </c>
      <c r="O2358" s="124" t="s">
        <v>425</v>
      </c>
      <c r="P2358" s="21">
        <v>37</v>
      </c>
      <c r="Q2358" s="10" t="s">
        <v>54</v>
      </c>
      <c r="R2358" s="10" t="s">
        <v>28</v>
      </c>
      <c r="S2358" s="10"/>
      <c r="T2358" s="10"/>
      <c r="U2358" s="10" t="s">
        <v>1700</v>
      </c>
      <c r="V2358" s="10" t="s">
        <v>1700</v>
      </c>
      <c r="W2358" s="50">
        <f>+J2358/$W$2</f>
        <v>2.9820541737764005E-4</v>
      </c>
    </row>
    <row r="2359" spans="1:29">
      <c r="A2359" s="10" t="s">
        <v>1063</v>
      </c>
      <c r="B2359" s="10" t="s">
        <v>381</v>
      </c>
      <c r="C2359" s="124">
        <v>46407</v>
      </c>
      <c r="D2359" s="124" t="s">
        <v>492</v>
      </c>
      <c r="E2359" s="21">
        <v>0.90730571000000004</v>
      </c>
      <c r="F2359" s="10"/>
      <c r="G2359" s="14">
        <v>20858250</v>
      </c>
      <c r="H2359" s="14">
        <v>18924809.23</v>
      </c>
      <c r="I2359" s="14">
        <v>20858250</v>
      </c>
      <c r="J2359" s="14">
        <v>18924809.23</v>
      </c>
      <c r="K2359" s="12">
        <v>69879181</v>
      </c>
      <c r="L2359" s="10" t="s">
        <v>101</v>
      </c>
      <c r="M2359" s="10" t="s">
        <v>102</v>
      </c>
      <c r="N2359" s="124" t="s">
        <v>532</v>
      </c>
      <c r="O2359" s="124" t="s">
        <v>532</v>
      </c>
      <c r="P2359" s="21">
        <v>33</v>
      </c>
      <c r="Q2359" s="10" t="s">
        <v>54</v>
      </c>
      <c r="R2359" s="10" t="s">
        <v>28</v>
      </c>
      <c r="S2359" s="10"/>
      <c r="T2359" s="10"/>
      <c r="U2359" s="10" t="s">
        <v>3090</v>
      </c>
      <c r="V2359" s="10" t="s">
        <v>3090</v>
      </c>
      <c r="W2359" s="50">
        <f>+J2359/$W$2</f>
        <v>2.5159717868643609E-4</v>
      </c>
    </row>
    <row r="2360" spans="1:29">
      <c r="A2360" s="10" t="s">
        <v>1188</v>
      </c>
      <c r="B2360" s="10" t="s">
        <v>381</v>
      </c>
      <c r="C2360" s="124">
        <v>46407</v>
      </c>
      <c r="D2360" s="124" t="s">
        <v>492</v>
      </c>
      <c r="E2360" s="21">
        <v>0.92550332999999996</v>
      </c>
      <c r="F2360" s="10"/>
      <c r="G2360" s="14">
        <v>3948801</v>
      </c>
      <c r="H2360" s="14">
        <v>3654628.47</v>
      </c>
      <c r="I2360" s="14">
        <v>3948801</v>
      </c>
      <c r="J2360" s="14">
        <v>3654628.47</v>
      </c>
      <c r="K2360" s="12">
        <v>1016</v>
      </c>
      <c r="L2360" s="10" t="s">
        <v>101</v>
      </c>
      <c r="M2360" s="10" t="s">
        <v>102</v>
      </c>
      <c r="N2360" s="124" t="s">
        <v>363</v>
      </c>
      <c r="O2360" s="124" t="s">
        <v>363</v>
      </c>
      <c r="P2360" s="21">
        <v>26</v>
      </c>
      <c r="Q2360" s="10" t="s">
        <v>54</v>
      </c>
      <c r="R2360" s="10" t="s">
        <v>28</v>
      </c>
      <c r="S2360" s="10"/>
      <c r="T2360" s="10"/>
      <c r="U2360" s="10" t="s">
        <v>1176</v>
      </c>
      <c r="V2360" s="10" t="s">
        <v>1176</v>
      </c>
      <c r="W2360" s="50">
        <f>+J2360/$W$2</f>
        <v>4.8586709700699398E-5</v>
      </c>
    </row>
    <row r="2361" spans="1:29">
      <c r="A2361" s="10" t="s">
        <v>1468</v>
      </c>
      <c r="B2361" s="10" t="s">
        <v>381</v>
      </c>
      <c r="C2361" s="124">
        <v>46407</v>
      </c>
      <c r="D2361" s="124" t="s">
        <v>492</v>
      </c>
      <c r="E2361" s="21">
        <v>0.90986151000000004</v>
      </c>
      <c r="F2361" s="10"/>
      <c r="G2361" s="14">
        <v>18500000</v>
      </c>
      <c r="H2361" s="14">
        <v>16832438.02</v>
      </c>
      <c r="I2361" s="14">
        <v>18500000</v>
      </c>
      <c r="J2361" s="14">
        <v>16832438.02</v>
      </c>
      <c r="K2361" s="12">
        <v>40780954</v>
      </c>
      <c r="L2361" s="10" t="s">
        <v>101</v>
      </c>
      <c r="M2361" s="10" t="s">
        <v>102</v>
      </c>
      <c r="N2361" s="124" t="s">
        <v>420</v>
      </c>
      <c r="O2361" s="124" t="s">
        <v>420</v>
      </c>
      <c r="P2361" s="21">
        <v>32</v>
      </c>
      <c r="Q2361" s="10" t="s">
        <v>54</v>
      </c>
      <c r="R2361" s="10" t="s">
        <v>28</v>
      </c>
      <c r="S2361" s="10"/>
      <c r="T2361" s="10"/>
      <c r="U2361" s="10" t="s">
        <v>2683</v>
      </c>
      <c r="V2361" s="10" t="s">
        <v>2683</v>
      </c>
      <c r="W2361" s="50">
        <f>+J2361/$W$2</f>
        <v>2.2378000564110841E-4</v>
      </c>
    </row>
    <row r="2362" spans="1:29">
      <c r="A2362" s="10" t="s">
        <v>675</v>
      </c>
      <c r="B2362" s="10" t="s">
        <v>381</v>
      </c>
      <c r="C2362" s="124">
        <v>46408</v>
      </c>
      <c r="D2362" s="124" t="s">
        <v>492</v>
      </c>
      <c r="E2362" s="21">
        <v>0.91432875000000002</v>
      </c>
      <c r="F2362" s="10"/>
      <c r="G2362" s="14">
        <v>25000000</v>
      </c>
      <c r="H2362" s="14">
        <v>22858218.850000001</v>
      </c>
      <c r="I2362" s="14">
        <v>25000000</v>
      </c>
      <c r="J2362" s="14">
        <v>22858218.850000001</v>
      </c>
      <c r="K2362" s="12">
        <v>90004235</v>
      </c>
      <c r="L2362" s="10" t="s">
        <v>101</v>
      </c>
      <c r="M2362" s="10" t="s">
        <v>102</v>
      </c>
      <c r="N2362" s="124" t="s">
        <v>677</v>
      </c>
      <c r="O2362" s="124" t="s">
        <v>677</v>
      </c>
      <c r="P2362" s="21">
        <v>30</v>
      </c>
      <c r="Q2362" s="10" t="s">
        <v>54</v>
      </c>
      <c r="R2362" s="10" t="s">
        <v>28</v>
      </c>
      <c r="S2362" s="10"/>
      <c r="T2362" s="10"/>
      <c r="U2362" s="10" t="s">
        <v>3319</v>
      </c>
      <c r="V2362" s="10" t="s">
        <v>3319</v>
      </c>
      <c r="W2362" s="50">
        <f>+J2362/$W$2</f>
        <v>3.0389016357112899E-4</v>
      </c>
    </row>
    <row r="2363" spans="1:29">
      <c r="A2363" s="10" t="s">
        <v>1471</v>
      </c>
      <c r="B2363" s="10" t="s">
        <v>381</v>
      </c>
      <c r="C2363" s="124">
        <v>46409</v>
      </c>
      <c r="D2363" s="124" t="s">
        <v>492</v>
      </c>
      <c r="E2363" s="21">
        <v>0.90067872000000004</v>
      </c>
      <c r="F2363" s="10"/>
      <c r="G2363" s="14">
        <v>25000000</v>
      </c>
      <c r="H2363" s="14">
        <v>22516967.969999999</v>
      </c>
      <c r="I2363" s="14">
        <v>25000000</v>
      </c>
      <c r="J2363" s="14">
        <v>22516967.969999999</v>
      </c>
      <c r="K2363" s="12">
        <v>383</v>
      </c>
      <c r="L2363" s="10" t="s">
        <v>101</v>
      </c>
      <c r="M2363" s="10" t="s">
        <v>102</v>
      </c>
      <c r="N2363" s="124" t="s">
        <v>486</v>
      </c>
      <c r="O2363" s="124" t="s">
        <v>486</v>
      </c>
      <c r="P2363" s="21">
        <v>35</v>
      </c>
      <c r="Q2363" s="10" t="s">
        <v>54</v>
      </c>
      <c r="R2363" s="10" t="s">
        <v>28</v>
      </c>
      <c r="S2363" s="10"/>
      <c r="T2363" s="10"/>
      <c r="U2363" s="10" t="s">
        <v>2862</v>
      </c>
      <c r="V2363" s="10" t="s">
        <v>2862</v>
      </c>
      <c r="W2363" s="50">
        <f>+J2363/$W$2</f>
        <v>2.9935338026257331E-4</v>
      </c>
    </row>
    <row r="2364" spans="1:29">
      <c r="A2364" s="10" t="s">
        <v>1724</v>
      </c>
      <c r="B2364" s="10" t="s">
        <v>381</v>
      </c>
      <c r="C2364" s="124">
        <v>46409</v>
      </c>
      <c r="D2364" s="124" t="s">
        <v>492</v>
      </c>
      <c r="E2364" s="21">
        <v>0.89559577000000001</v>
      </c>
      <c r="F2364" s="10"/>
      <c r="G2364" s="14">
        <v>25000000</v>
      </c>
      <c r="H2364" s="14">
        <v>22389894.350000001</v>
      </c>
      <c r="I2364" s="14">
        <v>25000000</v>
      </c>
      <c r="J2364" s="14">
        <v>22389894.350000001</v>
      </c>
      <c r="K2364" s="12">
        <v>42</v>
      </c>
      <c r="L2364" s="10" t="s">
        <v>101</v>
      </c>
      <c r="M2364" s="10" t="s">
        <v>102</v>
      </c>
      <c r="N2364" s="124" t="s">
        <v>425</v>
      </c>
      <c r="O2364" s="124" t="s">
        <v>425</v>
      </c>
      <c r="P2364" s="21">
        <v>37</v>
      </c>
      <c r="Q2364" s="10" t="s">
        <v>54</v>
      </c>
      <c r="R2364" s="10" t="s">
        <v>28</v>
      </c>
      <c r="S2364" s="10"/>
      <c r="T2364" s="10"/>
      <c r="U2364" s="10" t="s">
        <v>1701</v>
      </c>
      <c r="V2364" s="10" t="s">
        <v>1701</v>
      </c>
      <c r="W2364" s="50">
        <f>+J2364/$W$2</f>
        <v>2.9766399127645929E-4</v>
      </c>
    </row>
    <row r="2365" spans="1:29">
      <c r="A2365" s="10" t="s">
        <v>1468</v>
      </c>
      <c r="B2365" s="10" t="s">
        <v>381</v>
      </c>
      <c r="C2365" s="124">
        <v>46409</v>
      </c>
      <c r="D2365" s="124" t="s">
        <v>492</v>
      </c>
      <c r="E2365" s="21">
        <v>0.90841236999999997</v>
      </c>
      <c r="F2365" s="10"/>
      <c r="G2365" s="14">
        <v>19500000</v>
      </c>
      <c r="H2365" s="14">
        <v>17714041.140000001</v>
      </c>
      <c r="I2365" s="14">
        <v>19500000</v>
      </c>
      <c r="J2365" s="14">
        <v>17714041.140000001</v>
      </c>
      <c r="K2365" s="12">
        <v>40780952</v>
      </c>
      <c r="L2365" s="10" t="s">
        <v>101</v>
      </c>
      <c r="M2365" s="10" t="s">
        <v>102</v>
      </c>
      <c r="N2365" s="124" t="s">
        <v>420</v>
      </c>
      <c r="O2365" s="124" t="s">
        <v>420</v>
      </c>
      <c r="P2365" s="21">
        <v>32</v>
      </c>
      <c r="Q2365" s="10" t="s">
        <v>54</v>
      </c>
      <c r="R2365" s="10" t="s">
        <v>28</v>
      </c>
      <c r="S2365" s="10"/>
      <c r="T2365" s="10"/>
      <c r="U2365" s="10" t="s">
        <v>2682</v>
      </c>
      <c r="V2365" s="10" t="s">
        <v>2682</v>
      </c>
      <c r="W2365" s="50">
        <f>+J2365/$W$2</f>
        <v>2.3550053899060942E-4</v>
      </c>
    </row>
    <row r="2366" spans="1:29">
      <c r="A2366" s="10" t="s">
        <v>562</v>
      </c>
      <c r="B2366" s="10" t="s">
        <v>381</v>
      </c>
      <c r="C2366" s="124">
        <v>46409</v>
      </c>
      <c r="D2366" s="124" t="s">
        <v>492</v>
      </c>
      <c r="E2366" s="21">
        <v>0.91364226000000004</v>
      </c>
      <c r="F2366" s="10"/>
      <c r="G2366" s="14">
        <v>50000000</v>
      </c>
      <c r="H2366" s="14">
        <v>45682113.149999999</v>
      </c>
      <c r="I2366" s="14">
        <v>50000000</v>
      </c>
      <c r="J2366" s="14">
        <v>45682113.149999999</v>
      </c>
      <c r="K2366" s="12">
        <v>6856</v>
      </c>
      <c r="L2366" s="10" t="s">
        <v>101</v>
      </c>
      <c r="M2366" s="10" t="s">
        <v>102</v>
      </c>
      <c r="N2366" s="124" t="s">
        <v>420</v>
      </c>
      <c r="O2366" s="124" t="s">
        <v>420</v>
      </c>
      <c r="P2366" s="21">
        <v>30</v>
      </c>
      <c r="Q2366" s="10" t="s">
        <v>54</v>
      </c>
      <c r="R2366" s="10" t="s">
        <v>28</v>
      </c>
      <c r="S2366" s="10"/>
      <c r="T2366" s="10"/>
      <c r="U2366" s="10" t="s">
        <v>2677</v>
      </c>
      <c r="V2366" s="10" t="s">
        <v>2677</v>
      </c>
      <c r="W2366" s="50">
        <f>+J2366/$W$2</f>
        <v>6.0732399705011673E-4</v>
      </c>
      <c r="AC2366" s="47"/>
    </row>
    <row r="2367" spans="1:29">
      <c r="A2367" s="10" t="s">
        <v>222</v>
      </c>
      <c r="B2367" s="10" t="s">
        <v>381</v>
      </c>
      <c r="C2367" s="124">
        <v>46409</v>
      </c>
      <c r="D2367" s="124" t="s">
        <v>492</v>
      </c>
      <c r="E2367" s="21">
        <v>0.90581973000000005</v>
      </c>
      <c r="F2367" s="10"/>
      <c r="G2367" s="14">
        <v>25000000</v>
      </c>
      <c r="H2367" s="14">
        <v>22645493.260000002</v>
      </c>
      <c r="I2367" s="14">
        <v>25000000</v>
      </c>
      <c r="J2367" s="14">
        <v>22645493.260000002</v>
      </c>
      <c r="K2367" s="12">
        <v>475891</v>
      </c>
      <c r="L2367" s="10" t="s">
        <v>101</v>
      </c>
      <c r="M2367" s="10" t="s">
        <v>102</v>
      </c>
      <c r="N2367" s="124" t="s">
        <v>548</v>
      </c>
      <c r="O2367" s="124" t="s">
        <v>548</v>
      </c>
      <c r="P2367" s="21">
        <v>33</v>
      </c>
      <c r="Q2367" s="10" t="s">
        <v>54</v>
      </c>
      <c r="R2367" s="10" t="s">
        <v>28</v>
      </c>
      <c r="S2367" s="10"/>
      <c r="T2367" s="10"/>
      <c r="U2367" s="10" t="s">
        <v>1377</v>
      </c>
      <c r="V2367" s="10" t="s">
        <v>1377</v>
      </c>
      <c r="W2367" s="50">
        <f>+J2367/$W$2</f>
        <v>3.0106206857540431E-4</v>
      </c>
    </row>
    <row r="2368" spans="1:29">
      <c r="A2368" s="10" t="s">
        <v>426</v>
      </c>
      <c r="B2368" s="10" t="s">
        <v>381</v>
      </c>
      <c r="C2368" s="124">
        <v>46409</v>
      </c>
      <c r="D2368" s="124" t="s">
        <v>492</v>
      </c>
      <c r="E2368" s="21">
        <v>0.91495915000000005</v>
      </c>
      <c r="F2368" s="10"/>
      <c r="G2368" s="14">
        <v>5633315</v>
      </c>
      <c r="H2368" s="14">
        <v>5154253.12</v>
      </c>
      <c r="I2368" s="14">
        <v>5633315</v>
      </c>
      <c r="J2368" s="14">
        <v>5154253.12</v>
      </c>
      <c r="K2368" s="12">
        <v>69874671</v>
      </c>
      <c r="L2368" s="10" t="s">
        <v>101</v>
      </c>
      <c r="M2368" s="10" t="s">
        <v>102</v>
      </c>
      <c r="N2368" s="124" t="s">
        <v>472</v>
      </c>
      <c r="O2368" s="124" t="s">
        <v>472</v>
      </c>
      <c r="P2368" s="21">
        <v>29.5</v>
      </c>
      <c r="Q2368" s="10" t="s">
        <v>54</v>
      </c>
      <c r="R2368" s="10" t="s">
        <v>28</v>
      </c>
      <c r="S2368" s="10"/>
      <c r="T2368" s="10"/>
      <c r="U2368" s="10" t="s">
        <v>3163</v>
      </c>
      <c r="V2368" s="10" t="s">
        <v>3163</v>
      </c>
      <c r="W2368" s="50">
        <f>+J2368/$W$2</f>
        <v>6.8523572812139824E-5</v>
      </c>
    </row>
    <row r="2369" spans="1:23">
      <c r="A2369" s="10" t="s">
        <v>3261</v>
      </c>
      <c r="B2369" s="10" t="s">
        <v>381</v>
      </c>
      <c r="C2369" s="124">
        <v>46412</v>
      </c>
      <c r="D2369" s="124" t="s">
        <v>492</v>
      </c>
      <c r="E2369" s="21">
        <v>0.90359955000000003</v>
      </c>
      <c r="F2369" s="10"/>
      <c r="G2369" s="14">
        <v>6006148</v>
      </c>
      <c r="H2369" s="14">
        <v>5427152.6399999997</v>
      </c>
      <c r="I2369" s="14">
        <v>6006148</v>
      </c>
      <c r="J2369" s="14">
        <v>5427152.6399999997</v>
      </c>
      <c r="K2369" s="12">
        <v>1370646</v>
      </c>
      <c r="L2369" s="10" t="s">
        <v>101</v>
      </c>
      <c r="M2369" s="10" t="s">
        <v>102</v>
      </c>
      <c r="N2369" s="124" t="s">
        <v>472</v>
      </c>
      <c r="O2369" s="124" t="s">
        <v>472</v>
      </c>
      <c r="P2369" s="21">
        <v>33</v>
      </c>
      <c r="Q2369" s="10" t="s">
        <v>54</v>
      </c>
      <c r="R2369" s="10" t="s">
        <v>28</v>
      </c>
      <c r="S2369" s="10"/>
      <c r="T2369" s="10"/>
      <c r="U2369" s="10" t="s">
        <v>3248</v>
      </c>
      <c r="V2369" s="10" t="s">
        <v>3248</v>
      </c>
      <c r="W2369" s="50">
        <f>+J2369/$W$2</f>
        <v>7.2151654261332985E-5</v>
      </c>
    </row>
    <row r="2370" spans="1:23">
      <c r="A2370" s="10" t="s">
        <v>2618</v>
      </c>
      <c r="B2370" s="10" t="s">
        <v>381</v>
      </c>
      <c r="C2370" s="124">
        <v>46412</v>
      </c>
      <c r="D2370" s="124" t="s">
        <v>492</v>
      </c>
      <c r="E2370" s="21">
        <v>0.90624709000000003</v>
      </c>
      <c r="F2370" s="10"/>
      <c r="G2370" s="14">
        <v>1648012.48</v>
      </c>
      <c r="H2370" s="14">
        <v>1493506.52</v>
      </c>
      <c r="I2370" s="14">
        <v>1648012.48</v>
      </c>
      <c r="J2370" s="14">
        <v>1493506.52</v>
      </c>
      <c r="K2370" s="12">
        <v>3410389</v>
      </c>
      <c r="L2370" s="10" t="s">
        <v>101</v>
      </c>
      <c r="M2370" s="10" t="s">
        <v>102</v>
      </c>
      <c r="N2370" s="124" t="s">
        <v>423</v>
      </c>
      <c r="O2370" s="124" t="s">
        <v>423</v>
      </c>
      <c r="P2370" s="21">
        <v>32</v>
      </c>
      <c r="Q2370" s="10" t="s">
        <v>54</v>
      </c>
      <c r="R2370" s="10" t="s">
        <v>28</v>
      </c>
      <c r="S2370" s="10"/>
      <c r="T2370" s="10"/>
      <c r="U2370" s="10" t="s">
        <v>2571</v>
      </c>
      <c r="V2370" s="10" t="s">
        <v>2571</v>
      </c>
      <c r="W2370" s="50">
        <f>+J2370/$W$2</f>
        <v>1.9855525211114497E-5</v>
      </c>
    </row>
    <row r="2371" spans="1:23">
      <c r="A2371" s="10" t="s">
        <v>2993</v>
      </c>
      <c r="B2371" s="10" t="s">
        <v>381</v>
      </c>
      <c r="C2371" s="124">
        <v>46413</v>
      </c>
      <c r="D2371" s="124" t="s">
        <v>492</v>
      </c>
      <c r="E2371" s="21">
        <v>0.90552748999999999</v>
      </c>
      <c r="F2371" s="10"/>
      <c r="G2371" s="14">
        <v>45000000</v>
      </c>
      <c r="H2371" s="14">
        <v>40748737.030000001</v>
      </c>
      <c r="I2371" s="14">
        <v>45000000</v>
      </c>
      <c r="J2371" s="14">
        <v>40748737.030000001</v>
      </c>
      <c r="K2371" s="12">
        <v>51178</v>
      </c>
      <c r="L2371" s="10" t="s">
        <v>101</v>
      </c>
      <c r="M2371" s="10" t="s">
        <v>102</v>
      </c>
      <c r="N2371" s="124" t="s">
        <v>434</v>
      </c>
      <c r="O2371" s="124" t="s">
        <v>434</v>
      </c>
      <c r="P2371" s="21">
        <v>32</v>
      </c>
      <c r="Q2371" s="10" t="s">
        <v>54</v>
      </c>
      <c r="R2371" s="10" t="s">
        <v>28</v>
      </c>
      <c r="S2371" s="10"/>
      <c r="T2371" s="10"/>
      <c r="U2371" s="10" t="s">
        <v>2961</v>
      </c>
      <c r="V2371" s="10" t="s">
        <v>2961</v>
      </c>
      <c r="W2371" s="50">
        <f>+J2371/$W$2</f>
        <v>5.4173688871491494E-4</v>
      </c>
    </row>
    <row r="2372" spans="1:23">
      <c r="A2372" s="10" t="s">
        <v>2993</v>
      </c>
      <c r="B2372" s="10" t="s">
        <v>381</v>
      </c>
      <c r="C2372" s="124">
        <v>46413</v>
      </c>
      <c r="D2372" s="124" t="s">
        <v>492</v>
      </c>
      <c r="E2372" s="21">
        <v>0.90552745000000001</v>
      </c>
      <c r="F2372" s="10"/>
      <c r="G2372" s="14">
        <v>55000000</v>
      </c>
      <c r="H2372" s="14">
        <v>49804009.57</v>
      </c>
      <c r="I2372" s="14">
        <v>55000000</v>
      </c>
      <c r="J2372" s="14">
        <v>49804009.57</v>
      </c>
      <c r="K2372" s="12">
        <v>51410</v>
      </c>
      <c r="L2372" s="10" t="s">
        <v>101</v>
      </c>
      <c r="M2372" s="10" t="s">
        <v>102</v>
      </c>
      <c r="N2372" s="124" t="s">
        <v>677</v>
      </c>
      <c r="O2372" s="124" t="s">
        <v>677</v>
      </c>
      <c r="P2372" s="21">
        <v>32</v>
      </c>
      <c r="Q2372" s="10" t="s">
        <v>54</v>
      </c>
      <c r="R2372" s="10" t="s">
        <v>28</v>
      </c>
      <c r="S2372" s="10"/>
      <c r="T2372" s="10"/>
      <c r="U2372" s="10" t="s">
        <v>3337</v>
      </c>
      <c r="V2372" s="10" t="s">
        <v>3337</v>
      </c>
      <c r="W2372" s="50">
        <f>+J2372/$W$2</f>
        <v>6.6212283266880057E-4</v>
      </c>
    </row>
    <row r="2373" spans="1:23">
      <c r="A2373" s="10" t="s">
        <v>1471</v>
      </c>
      <c r="B2373" s="10" t="s">
        <v>381</v>
      </c>
      <c r="C2373" s="124">
        <v>46413</v>
      </c>
      <c r="D2373" s="124" t="s">
        <v>492</v>
      </c>
      <c r="E2373" s="21">
        <v>0.89757787</v>
      </c>
      <c r="F2373" s="10"/>
      <c r="G2373" s="14">
        <v>25000000</v>
      </c>
      <c r="H2373" s="14">
        <v>22439446.739999998</v>
      </c>
      <c r="I2373" s="14">
        <v>25000000</v>
      </c>
      <c r="J2373" s="14">
        <v>22439446.739999998</v>
      </c>
      <c r="K2373" s="12">
        <v>384</v>
      </c>
      <c r="L2373" s="10" t="s">
        <v>101</v>
      </c>
      <c r="M2373" s="10" t="s">
        <v>102</v>
      </c>
      <c r="N2373" s="124" t="s">
        <v>486</v>
      </c>
      <c r="O2373" s="124" t="s">
        <v>486</v>
      </c>
      <c r="P2373" s="21">
        <v>35</v>
      </c>
      <c r="Q2373" s="10" t="s">
        <v>54</v>
      </c>
      <c r="R2373" s="10" t="s">
        <v>28</v>
      </c>
      <c r="S2373" s="10"/>
      <c r="T2373" s="10"/>
      <c r="U2373" s="10" t="s">
        <v>2859</v>
      </c>
      <c r="V2373" s="10" t="s">
        <v>2859</v>
      </c>
      <c r="W2373" s="50">
        <f>+J2373/$W$2</f>
        <v>2.9832276893543855E-4</v>
      </c>
    </row>
    <row r="2374" spans="1:23">
      <c r="A2374" s="10" t="s">
        <v>267</v>
      </c>
      <c r="B2374" s="10" t="s">
        <v>381</v>
      </c>
      <c r="C2374" s="124">
        <v>46413</v>
      </c>
      <c r="D2374" s="124" t="s">
        <v>492</v>
      </c>
      <c r="E2374" s="21">
        <v>0.90552754999999996</v>
      </c>
      <c r="F2374" s="10"/>
      <c r="G2374" s="14">
        <v>50000000</v>
      </c>
      <c r="H2374" s="14">
        <v>45276377.289999999</v>
      </c>
      <c r="I2374" s="14">
        <v>50000000</v>
      </c>
      <c r="J2374" s="14">
        <v>45276377.289999999</v>
      </c>
      <c r="K2374" s="12">
        <v>29937729</v>
      </c>
      <c r="L2374" s="10" t="s">
        <v>101</v>
      </c>
      <c r="M2374" s="10" t="s">
        <v>102</v>
      </c>
      <c r="N2374" s="124" t="s">
        <v>425</v>
      </c>
      <c r="O2374" s="124" t="s">
        <v>425</v>
      </c>
      <c r="P2374" s="21">
        <v>32</v>
      </c>
      <c r="Q2374" s="10" t="s">
        <v>54</v>
      </c>
      <c r="R2374" s="10" t="s">
        <v>28</v>
      </c>
      <c r="S2374" s="10"/>
      <c r="T2374" s="10"/>
      <c r="U2374" s="10" t="s">
        <v>1702</v>
      </c>
      <c r="V2374" s="10" t="s">
        <v>1702</v>
      </c>
      <c r="W2374" s="50">
        <f>+J2374/$W$2</f>
        <v>6.0192991373718733E-4</v>
      </c>
    </row>
    <row r="2375" spans="1:23">
      <c r="A2375" s="10" t="s">
        <v>267</v>
      </c>
      <c r="B2375" s="10" t="s">
        <v>381</v>
      </c>
      <c r="C2375" s="124">
        <v>46413</v>
      </c>
      <c r="D2375" s="124" t="s">
        <v>492</v>
      </c>
      <c r="E2375" s="21">
        <v>0.91361923</v>
      </c>
      <c r="F2375" s="10"/>
      <c r="G2375" s="14">
        <v>50000000</v>
      </c>
      <c r="H2375" s="14">
        <v>45680961.350000001</v>
      </c>
      <c r="I2375" s="14">
        <v>50000000</v>
      </c>
      <c r="J2375" s="14">
        <v>45680961.350000001</v>
      </c>
      <c r="K2375" s="12">
        <v>29867211</v>
      </c>
      <c r="L2375" s="10" t="s">
        <v>101</v>
      </c>
      <c r="M2375" s="10" t="s">
        <v>102</v>
      </c>
      <c r="N2375" s="124" t="s">
        <v>414</v>
      </c>
      <c r="O2375" s="124" t="s">
        <v>414</v>
      </c>
      <c r="P2375" s="21">
        <v>29</v>
      </c>
      <c r="Q2375" s="10" t="s">
        <v>54</v>
      </c>
      <c r="R2375" s="10" t="s">
        <v>28</v>
      </c>
      <c r="S2375" s="10"/>
      <c r="T2375" s="10"/>
      <c r="U2375" s="10" t="s">
        <v>1485</v>
      </c>
      <c r="V2375" s="10" t="s">
        <v>1485</v>
      </c>
      <c r="W2375" s="50">
        <f>+J2375/$W$2</f>
        <v>6.0730868436575155E-4</v>
      </c>
    </row>
    <row r="2376" spans="1:23">
      <c r="A2376" s="10" t="s">
        <v>273</v>
      </c>
      <c r="B2376" s="10" t="s">
        <v>381</v>
      </c>
      <c r="C2376" s="124">
        <v>46413</v>
      </c>
      <c r="D2376" s="124" t="s">
        <v>492</v>
      </c>
      <c r="E2376" s="21">
        <v>0.90552752000000003</v>
      </c>
      <c r="F2376" s="10"/>
      <c r="G2376" s="14">
        <v>15000000</v>
      </c>
      <c r="H2376" s="14">
        <v>13582912.82</v>
      </c>
      <c r="I2376" s="14">
        <v>15000000</v>
      </c>
      <c r="J2376" s="14">
        <v>13582912.82</v>
      </c>
      <c r="K2376" s="12">
        <v>2203</v>
      </c>
      <c r="L2376" s="10" t="s">
        <v>101</v>
      </c>
      <c r="M2376" s="10" t="s">
        <v>102</v>
      </c>
      <c r="N2376" s="124" t="s">
        <v>551</v>
      </c>
      <c r="O2376" s="124" t="s">
        <v>551</v>
      </c>
      <c r="P2376" s="21">
        <v>32</v>
      </c>
      <c r="Q2376" s="10" t="s">
        <v>54</v>
      </c>
      <c r="R2376" s="10" t="s">
        <v>28</v>
      </c>
      <c r="S2376" s="10"/>
      <c r="T2376" s="10"/>
      <c r="U2376" s="10" t="s">
        <v>2176</v>
      </c>
      <c r="V2376" s="10" t="s">
        <v>2176</v>
      </c>
      <c r="W2376" s="50">
        <f>+J2376/$W$2</f>
        <v>1.8057896924204944E-4</v>
      </c>
    </row>
    <row r="2377" spans="1:23">
      <c r="A2377" s="10" t="s">
        <v>400</v>
      </c>
      <c r="B2377" s="10" t="s">
        <v>381</v>
      </c>
      <c r="C2377" s="124">
        <v>46413</v>
      </c>
      <c r="D2377" s="124" t="s">
        <v>492</v>
      </c>
      <c r="E2377" s="21">
        <v>0.91226056</v>
      </c>
      <c r="F2377" s="10"/>
      <c r="G2377" s="14">
        <v>50000000</v>
      </c>
      <c r="H2377" s="14">
        <v>45613027.799999997</v>
      </c>
      <c r="I2377" s="14">
        <v>50000000</v>
      </c>
      <c r="J2377" s="14">
        <v>45613027.799999997</v>
      </c>
      <c r="K2377" s="12">
        <v>60074597</v>
      </c>
      <c r="L2377" s="10" t="s">
        <v>101</v>
      </c>
      <c r="M2377" s="10" t="s">
        <v>102</v>
      </c>
      <c r="N2377" s="124" t="s">
        <v>422</v>
      </c>
      <c r="O2377" s="124" t="s">
        <v>422</v>
      </c>
      <c r="P2377" s="21">
        <v>29.5</v>
      </c>
      <c r="Q2377" s="10" t="s">
        <v>54</v>
      </c>
      <c r="R2377" s="10" t="s">
        <v>28</v>
      </c>
      <c r="S2377" s="10"/>
      <c r="T2377" s="10"/>
      <c r="U2377" s="10" t="s">
        <v>2706</v>
      </c>
      <c r="V2377" s="10" t="s">
        <v>2706</v>
      </c>
      <c r="W2377" s="50">
        <f>+J2377/$W$2</f>
        <v>6.0640553711018702E-4</v>
      </c>
    </row>
    <row r="2378" spans="1:23">
      <c r="A2378" s="10" t="s">
        <v>3577</v>
      </c>
      <c r="B2378" s="10" t="s">
        <v>381</v>
      </c>
      <c r="C2378" s="124">
        <v>46413</v>
      </c>
      <c r="D2378" s="124" t="s">
        <v>492</v>
      </c>
      <c r="E2378" s="21">
        <v>0.91090601000000004</v>
      </c>
      <c r="F2378" s="10"/>
      <c r="G2378" s="14">
        <v>3535037.55</v>
      </c>
      <c r="H2378" s="14">
        <v>3220086.96</v>
      </c>
      <c r="I2378" s="14">
        <v>3535037.55</v>
      </c>
      <c r="J2378" s="14">
        <v>3220086.96</v>
      </c>
      <c r="K2378" s="12">
        <v>3658348</v>
      </c>
      <c r="L2378" s="10" t="s">
        <v>101</v>
      </c>
      <c r="M2378" s="10" t="s">
        <v>102</v>
      </c>
      <c r="N2378" s="124" t="s">
        <v>492</v>
      </c>
      <c r="O2378" s="124" t="s">
        <v>492</v>
      </c>
      <c r="P2378" s="21">
        <v>30</v>
      </c>
      <c r="Q2378" s="10" t="s">
        <v>54</v>
      </c>
      <c r="R2378" s="10" t="s">
        <v>28</v>
      </c>
      <c r="S2378" s="10"/>
      <c r="T2378" s="10"/>
      <c r="U2378" s="10" t="s">
        <v>3553</v>
      </c>
      <c r="V2378" s="10" t="s">
        <v>3553</v>
      </c>
      <c r="W2378" s="50">
        <f>+J2378/$W$2</f>
        <v>4.2809667691481548E-5</v>
      </c>
    </row>
    <row r="2379" spans="1:23">
      <c r="A2379" s="10" t="s">
        <v>477</v>
      </c>
      <c r="B2379" s="10" t="s">
        <v>381</v>
      </c>
      <c r="C2379" s="124">
        <v>46414</v>
      </c>
      <c r="D2379" s="124" t="s">
        <v>492</v>
      </c>
      <c r="E2379" s="21">
        <v>0.91022462000000004</v>
      </c>
      <c r="F2379" s="10"/>
      <c r="G2379" s="14">
        <v>5000000</v>
      </c>
      <c r="H2379" s="14">
        <v>4551123.09</v>
      </c>
      <c r="I2379" s="14">
        <v>5000000</v>
      </c>
      <c r="J2379" s="14">
        <v>4551123.09</v>
      </c>
      <c r="K2379" s="12">
        <v>40810976</v>
      </c>
      <c r="L2379" s="10" t="s">
        <v>101</v>
      </c>
      <c r="M2379" s="10" t="s">
        <v>102</v>
      </c>
      <c r="N2379" s="124" t="s">
        <v>677</v>
      </c>
      <c r="O2379" s="124" t="s">
        <v>677</v>
      </c>
      <c r="P2379" s="21">
        <v>30</v>
      </c>
      <c r="Q2379" s="10" t="s">
        <v>54</v>
      </c>
      <c r="R2379" s="10" t="s">
        <v>28</v>
      </c>
      <c r="S2379" s="10"/>
      <c r="T2379" s="10"/>
      <c r="U2379" s="10" t="s">
        <v>3287</v>
      </c>
      <c r="V2379" s="10" t="s">
        <v>3287</v>
      </c>
      <c r="W2379" s="50">
        <f>+J2379/$W$2</f>
        <v>6.050521912176206E-5</v>
      </c>
    </row>
    <row r="2380" spans="1:23">
      <c r="A2380" s="10" t="s">
        <v>2993</v>
      </c>
      <c r="B2380" s="10" t="s">
        <v>381</v>
      </c>
      <c r="C2380" s="124">
        <v>46414</v>
      </c>
      <c r="D2380" s="124" t="s">
        <v>492</v>
      </c>
      <c r="E2380" s="21">
        <v>0.90480934999999996</v>
      </c>
      <c r="F2380" s="10"/>
      <c r="G2380" s="14">
        <v>45000000</v>
      </c>
      <c r="H2380" s="14">
        <v>40716420.799999997</v>
      </c>
      <c r="I2380" s="14">
        <v>45000000</v>
      </c>
      <c r="J2380" s="14">
        <v>40716420.799999997</v>
      </c>
      <c r="K2380" s="12">
        <v>51180</v>
      </c>
      <c r="L2380" s="10" t="s">
        <v>101</v>
      </c>
      <c r="M2380" s="10" t="s">
        <v>102</v>
      </c>
      <c r="N2380" s="124" t="s">
        <v>434</v>
      </c>
      <c r="O2380" s="124" t="s">
        <v>434</v>
      </c>
      <c r="P2380" s="21">
        <v>32</v>
      </c>
      <c r="Q2380" s="10" t="s">
        <v>54</v>
      </c>
      <c r="R2380" s="10" t="s">
        <v>28</v>
      </c>
      <c r="S2380" s="10"/>
      <c r="T2380" s="10"/>
      <c r="U2380" s="10" t="s">
        <v>2964</v>
      </c>
      <c r="V2380" s="10" t="s">
        <v>2964</v>
      </c>
      <c r="W2380" s="50">
        <f>+J2380/$W$2</f>
        <v>5.4130725837122327E-4</v>
      </c>
    </row>
    <row r="2381" spans="1:23">
      <c r="A2381" s="10" t="s">
        <v>2993</v>
      </c>
      <c r="B2381" s="10" t="s">
        <v>381</v>
      </c>
      <c r="C2381" s="124">
        <v>46414</v>
      </c>
      <c r="D2381" s="124" t="s">
        <v>492</v>
      </c>
      <c r="E2381" s="21">
        <v>0.90480930999999998</v>
      </c>
      <c r="F2381" s="10"/>
      <c r="G2381" s="14">
        <v>55000000</v>
      </c>
      <c r="H2381" s="14">
        <v>49764512.100000001</v>
      </c>
      <c r="I2381" s="14">
        <v>55000000</v>
      </c>
      <c r="J2381" s="14">
        <v>49764512.100000001</v>
      </c>
      <c r="K2381" s="12">
        <v>51411</v>
      </c>
      <c r="L2381" s="10" t="s">
        <v>101</v>
      </c>
      <c r="M2381" s="10" t="s">
        <v>102</v>
      </c>
      <c r="N2381" s="124" t="s">
        <v>677</v>
      </c>
      <c r="O2381" s="124" t="s">
        <v>677</v>
      </c>
      <c r="P2381" s="21">
        <v>32</v>
      </c>
      <c r="Q2381" s="10" t="s">
        <v>54</v>
      </c>
      <c r="R2381" s="10" t="s">
        <v>28</v>
      </c>
      <c r="S2381" s="10"/>
      <c r="T2381" s="10"/>
      <c r="U2381" s="10" t="s">
        <v>3340</v>
      </c>
      <c r="V2381" s="10" t="s">
        <v>3340</v>
      </c>
      <c r="W2381" s="50">
        <f>+J2381/$W$2</f>
        <v>6.6159773083572645E-4</v>
      </c>
    </row>
    <row r="2382" spans="1:23">
      <c r="A2382" s="10" t="s">
        <v>288</v>
      </c>
      <c r="B2382" s="10" t="s">
        <v>125</v>
      </c>
      <c r="C2382" s="124">
        <v>46414</v>
      </c>
      <c r="D2382" s="124" t="s">
        <v>492</v>
      </c>
      <c r="E2382" s="21">
        <v>0.96817103000000004</v>
      </c>
      <c r="F2382" s="10" t="s">
        <v>3573</v>
      </c>
      <c r="G2382" s="14">
        <v>13904</v>
      </c>
      <c r="H2382" s="14">
        <v>13461.45</v>
      </c>
      <c r="I2382" s="14">
        <v>21189275.52</v>
      </c>
      <c r="J2382" s="14">
        <v>20514842.699999999</v>
      </c>
      <c r="K2382" s="12">
        <v>134916</v>
      </c>
      <c r="L2382" s="10" t="s">
        <v>101</v>
      </c>
      <c r="M2382" s="10" t="s">
        <v>102</v>
      </c>
      <c r="N2382" s="124" t="s">
        <v>139</v>
      </c>
      <c r="O2382" s="124" t="s">
        <v>139</v>
      </c>
      <c r="P2382" s="21">
        <v>10</v>
      </c>
      <c r="Q2382" s="10" t="s">
        <v>54</v>
      </c>
      <c r="R2382" s="10" t="s">
        <v>28</v>
      </c>
      <c r="S2382" s="10"/>
      <c r="T2382" s="10"/>
      <c r="U2382" s="10" t="s">
        <v>286</v>
      </c>
      <c r="V2382" s="10" t="s">
        <v>286</v>
      </c>
      <c r="W2382" s="50">
        <f>+J2382/$W$2</f>
        <v>2.727359880771717E-4</v>
      </c>
    </row>
    <row r="2383" spans="1:23">
      <c r="A2383" s="10" t="s">
        <v>1605</v>
      </c>
      <c r="B2383" s="10" t="s">
        <v>381</v>
      </c>
      <c r="C2383" s="124">
        <v>46414</v>
      </c>
      <c r="D2383" s="124" t="s">
        <v>492</v>
      </c>
      <c r="E2383" s="21">
        <v>0.90750881999999999</v>
      </c>
      <c r="F2383" s="10"/>
      <c r="G2383" s="14">
        <v>10000000</v>
      </c>
      <c r="H2383" s="14">
        <v>9075088.1899999995</v>
      </c>
      <c r="I2383" s="14">
        <v>10000000</v>
      </c>
      <c r="J2383" s="14">
        <v>9075088.1899999995</v>
      </c>
      <c r="K2383" s="12">
        <v>142</v>
      </c>
      <c r="L2383" s="10" t="s">
        <v>101</v>
      </c>
      <c r="M2383" s="10" t="s">
        <v>102</v>
      </c>
      <c r="N2383" s="124" t="s">
        <v>325</v>
      </c>
      <c r="O2383" s="124" t="s">
        <v>325</v>
      </c>
      <c r="P2383" s="21">
        <v>31</v>
      </c>
      <c r="Q2383" s="10" t="s">
        <v>54</v>
      </c>
      <c r="R2383" s="10" t="s">
        <v>28</v>
      </c>
      <c r="S2383" s="10"/>
      <c r="T2383" s="10"/>
      <c r="U2383" s="10" t="s">
        <v>1600</v>
      </c>
      <c r="V2383" s="10" t="s">
        <v>1600</v>
      </c>
      <c r="W2383" s="50">
        <f>+J2383/$W$2</f>
        <v>1.2064938447649523E-4</v>
      </c>
    </row>
    <row r="2384" spans="1:23">
      <c r="A2384" s="10" t="s">
        <v>404</v>
      </c>
      <c r="B2384" s="10" t="s">
        <v>381</v>
      </c>
      <c r="C2384" s="124">
        <v>46414</v>
      </c>
      <c r="D2384" s="124" t="s">
        <v>492</v>
      </c>
      <c r="E2384" s="21">
        <v>0.91022449000000005</v>
      </c>
      <c r="F2384" s="10"/>
      <c r="G2384" s="14">
        <v>20000000</v>
      </c>
      <c r="H2384" s="14">
        <v>18204489.760000002</v>
      </c>
      <c r="I2384" s="14">
        <v>20000000</v>
      </c>
      <c r="J2384" s="14">
        <v>18204489.760000002</v>
      </c>
      <c r="K2384" s="12">
        <v>40808737</v>
      </c>
      <c r="L2384" s="10" t="s">
        <v>101</v>
      </c>
      <c r="M2384" s="10" t="s">
        <v>102</v>
      </c>
      <c r="N2384" s="124" t="s">
        <v>532</v>
      </c>
      <c r="O2384" s="124" t="s">
        <v>532</v>
      </c>
      <c r="P2384" s="21">
        <v>30</v>
      </c>
      <c r="Q2384" s="10" t="s">
        <v>54</v>
      </c>
      <c r="R2384" s="10" t="s">
        <v>28</v>
      </c>
      <c r="S2384" s="10"/>
      <c r="T2384" s="10"/>
      <c r="U2384" s="10" t="s">
        <v>3043</v>
      </c>
      <c r="V2384" s="10" t="s">
        <v>3043</v>
      </c>
      <c r="W2384" s="50">
        <f>+J2384/$W$2</f>
        <v>2.4202084192116933E-4</v>
      </c>
    </row>
    <row r="2385" spans="1:29">
      <c r="A2385" s="10" t="s">
        <v>1063</v>
      </c>
      <c r="B2385" s="10" t="s">
        <v>381</v>
      </c>
      <c r="C2385" s="124">
        <v>46414</v>
      </c>
      <c r="D2385" s="124" t="s">
        <v>492</v>
      </c>
      <c r="E2385" s="21">
        <v>0.89680610000000005</v>
      </c>
      <c r="F2385" s="10"/>
      <c r="G2385" s="14">
        <v>20858250</v>
      </c>
      <c r="H2385" s="14">
        <v>18705805.84</v>
      </c>
      <c r="I2385" s="14">
        <v>20858250</v>
      </c>
      <c r="J2385" s="14">
        <v>18705805.84</v>
      </c>
      <c r="K2385" s="12">
        <v>69879215</v>
      </c>
      <c r="L2385" s="10" t="s">
        <v>101</v>
      </c>
      <c r="M2385" s="10" t="s">
        <v>102</v>
      </c>
      <c r="N2385" s="124" t="s">
        <v>677</v>
      </c>
      <c r="O2385" s="124" t="s">
        <v>677</v>
      </c>
      <c r="P2385" s="21">
        <v>35</v>
      </c>
      <c r="Q2385" s="10" t="s">
        <v>54</v>
      </c>
      <c r="R2385" s="10" t="s">
        <v>28</v>
      </c>
      <c r="S2385" s="10"/>
      <c r="T2385" s="10"/>
      <c r="U2385" s="10" t="s">
        <v>3309</v>
      </c>
      <c r="V2385" s="10" t="s">
        <v>3309</v>
      </c>
      <c r="W2385" s="50">
        <f>+J2385/$W$2</f>
        <v>2.4868562304658222E-4</v>
      </c>
    </row>
    <row r="2386" spans="1:29">
      <c r="A2386" s="10" t="s">
        <v>1434</v>
      </c>
      <c r="B2386" s="10" t="s">
        <v>381</v>
      </c>
      <c r="C2386" s="124">
        <v>46414</v>
      </c>
      <c r="D2386" s="124" t="s">
        <v>492</v>
      </c>
      <c r="E2386" s="21">
        <v>0.89680599999999999</v>
      </c>
      <c r="F2386" s="10"/>
      <c r="G2386" s="14">
        <v>10000000</v>
      </c>
      <c r="H2386" s="14">
        <v>8968060</v>
      </c>
      <c r="I2386" s="14">
        <v>10000000</v>
      </c>
      <c r="J2386" s="14">
        <v>8968060</v>
      </c>
      <c r="K2386" s="12">
        <v>2285694</v>
      </c>
      <c r="L2386" s="10" t="s">
        <v>101</v>
      </c>
      <c r="M2386" s="10" t="s">
        <v>102</v>
      </c>
      <c r="N2386" s="124" t="s">
        <v>164</v>
      </c>
      <c r="O2386" s="124" t="s">
        <v>164</v>
      </c>
      <c r="P2386" s="21">
        <v>35</v>
      </c>
      <c r="Q2386" s="10" t="s">
        <v>54</v>
      </c>
      <c r="R2386" s="10" t="s">
        <v>28</v>
      </c>
      <c r="S2386" s="10"/>
      <c r="T2386" s="10"/>
      <c r="U2386" s="10" t="s">
        <v>2009</v>
      </c>
      <c r="V2386" s="10" t="s">
        <v>2009</v>
      </c>
      <c r="W2386" s="50">
        <f>+J2386/$W$2</f>
        <v>1.1922649083901386E-4</v>
      </c>
    </row>
    <row r="2387" spans="1:29">
      <c r="A2387" s="10" t="s">
        <v>1505</v>
      </c>
      <c r="B2387" s="10" t="s">
        <v>381</v>
      </c>
      <c r="C2387" s="124">
        <v>46414</v>
      </c>
      <c r="D2387" s="124" t="s">
        <v>492</v>
      </c>
      <c r="E2387" s="21">
        <v>0.90480914999999995</v>
      </c>
      <c r="F2387" s="10"/>
      <c r="G2387" s="14">
        <v>37500000</v>
      </c>
      <c r="H2387" s="14">
        <v>33930343.310000002</v>
      </c>
      <c r="I2387" s="14">
        <v>37500000</v>
      </c>
      <c r="J2387" s="14">
        <v>33930343.310000002</v>
      </c>
      <c r="K2387" s="12">
        <v>90000192</v>
      </c>
      <c r="L2387" s="10" t="s">
        <v>101</v>
      </c>
      <c r="M2387" s="10" t="s">
        <v>102</v>
      </c>
      <c r="N2387" s="124" t="s">
        <v>492</v>
      </c>
      <c r="O2387" s="124" t="s">
        <v>492</v>
      </c>
      <c r="P2387" s="21">
        <v>32</v>
      </c>
      <c r="Q2387" s="10" t="s">
        <v>54</v>
      </c>
      <c r="R2387" s="10" t="s">
        <v>28</v>
      </c>
      <c r="S2387" s="10"/>
      <c r="T2387" s="10"/>
      <c r="U2387" s="10" t="s">
        <v>3565</v>
      </c>
      <c r="V2387" s="10" t="s">
        <v>3565</v>
      </c>
      <c r="W2387" s="50">
        <f>+J2387/$W$2</f>
        <v>4.5108928417230825E-4</v>
      </c>
    </row>
    <row r="2388" spans="1:29">
      <c r="A2388" s="10" t="s">
        <v>1505</v>
      </c>
      <c r="B2388" s="10" t="s">
        <v>381</v>
      </c>
      <c r="C2388" s="124">
        <v>46414</v>
      </c>
      <c r="D2388" s="124" t="s">
        <v>492</v>
      </c>
      <c r="E2388" s="21">
        <v>0.90480914999999995</v>
      </c>
      <c r="F2388" s="10"/>
      <c r="G2388" s="14">
        <v>37500000</v>
      </c>
      <c r="H2388" s="14">
        <v>33930343.310000002</v>
      </c>
      <c r="I2388" s="14">
        <v>37500000</v>
      </c>
      <c r="J2388" s="14">
        <v>33930343.310000002</v>
      </c>
      <c r="K2388" s="12">
        <v>90000194</v>
      </c>
      <c r="L2388" s="10" t="s">
        <v>101</v>
      </c>
      <c r="M2388" s="10" t="s">
        <v>102</v>
      </c>
      <c r="N2388" s="124" t="s">
        <v>492</v>
      </c>
      <c r="O2388" s="124" t="s">
        <v>492</v>
      </c>
      <c r="P2388" s="21">
        <v>32</v>
      </c>
      <c r="Q2388" s="10" t="s">
        <v>54</v>
      </c>
      <c r="R2388" s="10" t="s">
        <v>28</v>
      </c>
      <c r="S2388" s="10"/>
      <c r="T2388" s="10"/>
      <c r="U2388" s="10" t="s">
        <v>3566</v>
      </c>
      <c r="V2388" s="10" t="s">
        <v>3566</v>
      </c>
      <c r="W2388" s="50">
        <f>+J2388/$W$2</f>
        <v>4.5108928417230825E-4</v>
      </c>
    </row>
    <row r="2389" spans="1:29">
      <c r="A2389" s="10" t="s">
        <v>1505</v>
      </c>
      <c r="B2389" s="10" t="s">
        <v>381</v>
      </c>
      <c r="C2389" s="124">
        <v>46414</v>
      </c>
      <c r="D2389" s="124" t="s">
        <v>492</v>
      </c>
      <c r="E2389" s="21">
        <v>0.90480914999999995</v>
      </c>
      <c r="F2389" s="10"/>
      <c r="G2389" s="14">
        <v>37500000</v>
      </c>
      <c r="H2389" s="14">
        <v>33930343.310000002</v>
      </c>
      <c r="I2389" s="14">
        <v>37500000</v>
      </c>
      <c r="J2389" s="14">
        <v>33930343.310000002</v>
      </c>
      <c r="K2389" s="12">
        <v>90000191</v>
      </c>
      <c r="L2389" s="10" t="s">
        <v>101</v>
      </c>
      <c r="M2389" s="10" t="s">
        <v>102</v>
      </c>
      <c r="N2389" s="124" t="s">
        <v>492</v>
      </c>
      <c r="O2389" s="124" t="s">
        <v>492</v>
      </c>
      <c r="P2389" s="21">
        <v>32</v>
      </c>
      <c r="Q2389" s="10" t="s">
        <v>54</v>
      </c>
      <c r="R2389" s="10" t="s">
        <v>28</v>
      </c>
      <c r="S2389" s="10"/>
      <c r="T2389" s="10"/>
      <c r="U2389" s="10" t="s">
        <v>3567</v>
      </c>
      <c r="V2389" s="10" t="s">
        <v>3567</v>
      </c>
      <c r="W2389" s="50">
        <f>+J2389/$W$2</f>
        <v>4.5108928417230825E-4</v>
      </c>
    </row>
    <row r="2390" spans="1:29">
      <c r="A2390" s="10" t="s">
        <v>562</v>
      </c>
      <c r="B2390" s="10" t="s">
        <v>381</v>
      </c>
      <c r="C2390" s="124">
        <v>46414</v>
      </c>
      <c r="D2390" s="124" t="s">
        <v>492</v>
      </c>
      <c r="E2390" s="21">
        <v>0.91022455999999996</v>
      </c>
      <c r="F2390" s="10"/>
      <c r="G2390" s="14">
        <v>50000000</v>
      </c>
      <c r="H2390" s="14">
        <v>45511228.210000001</v>
      </c>
      <c r="I2390" s="14">
        <v>50000000</v>
      </c>
      <c r="J2390" s="14">
        <v>45511228.210000001</v>
      </c>
      <c r="K2390" s="12">
        <v>6857</v>
      </c>
      <c r="L2390" s="10" t="s">
        <v>101</v>
      </c>
      <c r="M2390" s="10" t="s">
        <v>102</v>
      </c>
      <c r="N2390" s="124" t="s">
        <v>420</v>
      </c>
      <c r="O2390" s="124" t="s">
        <v>420</v>
      </c>
      <c r="P2390" s="21">
        <v>30</v>
      </c>
      <c r="Q2390" s="10" t="s">
        <v>54</v>
      </c>
      <c r="R2390" s="10" t="s">
        <v>28</v>
      </c>
      <c r="S2390" s="10"/>
      <c r="T2390" s="10"/>
      <c r="U2390" s="10" t="s">
        <v>2676</v>
      </c>
      <c r="V2390" s="10" t="s">
        <v>2676</v>
      </c>
      <c r="W2390" s="50">
        <f>+J2390/$W$2</f>
        <v>6.0505215545523052E-4</v>
      </c>
    </row>
    <row r="2391" spans="1:29">
      <c r="A2391" s="10" t="s">
        <v>562</v>
      </c>
      <c r="B2391" s="10" t="s">
        <v>381</v>
      </c>
      <c r="C2391" s="124">
        <v>46414</v>
      </c>
      <c r="D2391" s="124" t="s">
        <v>492</v>
      </c>
      <c r="E2391" s="21">
        <v>0.91022455999999996</v>
      </c>
      <c r="F2391" s="10"/>
      <c r="G2391" s="14">
        <v>50000000</v>
      </c>
      <c r="H2391" s="14">
        <v>45511228.210000001</v>
      </c>
      <c r="I2391" s="14">
        <v>50000000</v>
      </c>
      <c r="J2391" s="14">
        <v>45511228.210000001</v>
      </c>
      <c r="K2391" s="12">
        <v>6858</v>
      </c>
      <c r="L2391" s="10" t="s">
        <v>101</v>
      </c>
      <c r="M2391" s="10" t="s">
        <v>102</v>
      </c>
      <c r="N2391" s="124" t="s">
        <v>420</v>
      </c>
      <c r="O2391" s="124" t="s">
        <v>420</v>
      </c>
      <c r="P2391" s="21">
        <v>30</v>
      </c>
      <c r="Q2391" s="10" t="s">
        <v>54</v>
      </c>
      <c r="R2391" s="10" t="s">
        <v>28</v>
      </c>
      <c r="S2391" s="10"/>
      <c r="T2391" s="10"/>
      <c r="U2391" s="10" t="s">
        <v>2678</v>
      </c>
      <c r="V2391" s="10" t="s">
        <v>2678</v>
      </c>
      <c r="W2391" s="50">
        <f>+J2391/$W$2</f>
        <v>6.0505215545523052E-4</v>
      </c>
      <c r="AC2391" s="47"/>
    </row>
    <row r="2392" spans="1:29">
      <c r="A2392" s="10" t="s">
        <v>675</v>
      </c>
      <c r="B2392" s="10" t="s">
        <v>381</v>
      </c>
      <c r="C2392" s="124">
        <v>46415</v>
      </c>
      <c r="D2392" s="124" t="s">
        <v>492</v>
      </c>
      <c r="E2392" s="21">
        <v>0.90954409999999997</v>
      </c>
      <c r="F2392" s="10"/>
      <c r="G2392" s="14">
        <v>25000000</v>
      </c>
      <c r="H2392" s="14">
        <v>22738602.43</v>
      </c>
      <c r="I2392" s="14">
        <v>25000000</v>
      </c>
      <c r="J2392" s="14">
        <v>22738602.43</v>
      </c>
      <c r="K2392" s="12">
        <v>90004236</v>
      </c>
      <c r="L2392" s="10" t="s">
        <v>101</v>
      </c>
      <c r="M2392" s="10" t="s">
        <v>102</v>
      </c>
      <c r="N2392" s="124" t="s">
        <v>677</v>
      </c>
      <c r="O2392" s="124" t="s">
        <v>677</v>
      </c>
      <c r="P2392" s="21">
        <v>30</v>
      </c>
      <c r="Q2392" s="10" t="s">
        <v>54</v>
      </c>
      <c r="R2392" s="10" t="s">
        <v>28</v>
      </c>
      <c r="S2392" s="10"/>
      <c r="T2392" s="10"/>
      <c r="U2392" s="10" t="s">
        <v>3321</v>
      </c>
      <c r="V2392" s="10" t="s">
        <v>3321</v>
      </c>
      <c r="W2392" s="50">
        <f>+J2392/$W$2</f>
        <v>3.0229991484360871E-4</v>
      </c>
    </row>
    <row r="2393" spans="1:29">
      <c r="A2393" s="10" t="s">
        <v>494</v>
      </c>
      <c r="B2393" s="10" t="s">
        <v>381</v>
      </c>
      <c r="C2393" s="124">
        <v>46415</v>
      </c>
      <c r="D2393" s="124" t="s">
        <v>492</v>
      </c>
      <c r="E2393" s="21">
        <v>0.92064780999999996</v>
      </c>
      <c r="F2393" s="10"/>
      <c r="G2393" s="14">
        <v>25000000</v>
      </c>
      <c r="H2393" s="14">
        <v>23016195.280000001</v>
      </c>
      <c r="I2393" s="14">
        <v>25000000</v>
      </c>
      <c r="J2393" s="14">
        <v>23016195.280000001</v>
      </c>
      <c r="K2393" s="12">
        <v>9508928</v>
      </c>
      <c r="L2393" s="10" t="s">
        <v>101</v>
      </c>
      <c r="M2393" s="10" t="s">
        <v>102</v>
      </c>
      <c r="N2393" s="124" t="s">
        <v>319</v>
      </c>
      <c r="O2393" s="124" t="s">
        <v>319</v>
      </c>
      <c r="P2393" s="21">
        <v>26</v>
      </c>
      <c r="Q2393" s="10" t="s">
        <v>54</v>
      </c>
      <c r="R2393" s="10" t="s">
        <v>28</v>
      </c>
      <c r="S2393" s="10"/>
      <c r="T2393" s="10"/>
      <c r="U2393" s="10" t="s">
        <v>996</v>
      </c>
      <c r="V2393" s="10" t="s">
        <v>996</v>
      </c>
      <c r="W2393" s="50">
        <f>+J2393/$W$2</f>
        <v>3.0599039209147508E-4</v>
      </c>
    </row>
    <row r="2394" spans="1:29">
      <c r="A2394" s="10" t="s">
        <v>1505</v>
      </c>
      <c r="B2394" s="10" t="s">
        <v>381</v>
      </c>
      <c r="C2394" s="124">
        <v>46415</v>
      </c>
      <c r="D2394" s="124" t="s">
        <v>492</v>
      </c>
      <c r="E2394" s="21">
        <v>0.90409216999999997</v>
      </c>
      <c r="F2394" s="10"/>
      <c r="G2394" s="14">
        <v>37500000</v>
      </c>
      <c r="H2394" s="14">
        <v>33903456.270000003</v>
      </c>
      <c r="I2394" s="14">
        <v>37500000</v>
      </c>
      <c r="J2394" s="14">
        <v>33903456.270000003</v>
      </c>
      <c r="K2394" s="12">
        <v>90000193</v>
      </c>
      <c r="L2394" s="10" t="s">
        <v>101</v>
      </c>
      <c r="M2394" s="10" t="s">
        <v>102</v>
      </c>
      <c r="N2394" s="124" t="s">
        <v>492</v>
      </c>
      <c r="O2394" s="124" t="s">
        <v>492</v>
      </c>
      <c r="P2394" s="21">
        <v>32</v>
      </c>
      <c r="Q2394" s="10" t="s">
        <v>54</v>
      </c>
      <c r="R2394" s="10" t="s">
        <v>28</v>
      </c>
      <c r="S2394" s="10"/>
      <c r="T2394" s="10"/>
      <c r="U2394" s="10" t="s">
        <v>3568</v>
      </c>
      <c r="V2394" s="10" t="s">
        <v>3568</v>
      </c>
      <c r="W2394" s="50">
        <f>+J2394/$W$2</f>
        <v>4.5073183256870073E-4</v>
      </c>
    </row>
    <row r="2395" spans="1:29">
      <c r="A2395" s="10" t="s">
        <v>392</v>
      </c>
      <c r="B2395" s="10" t="s">
        <v>381</v>
      </c>
      <c r="C2395" s="124">
        <v>46415</v>
      </c>
      <c r="D2395" s="124" t="s">
        <v>492</v>
      </c>
      <c r="E2395" s="21">
        <v>0.90139055999999995</v>
      </c>
      <c r="F2395" s="10"/>
      <c r="G2395" s="14">
        <v>2000000</v>
      </c>
      <c r="H2395" s="14">
        <v>1802781.12</v>
      </c>
      <c r="I2395" s="14">
        <v>2000000</v>
      </c>
      <c r="J2395" s="14">
        <v>1802781.12</v>
      </c>
      <c r="K2395" s="12">
        <v>44</v>
      </c>
      <c r="L2395" s="10" t="s">
        <v>101</v>
      </c>
      <c r="M2395" s="10" t="s">
        <v>102</v>
      </c>
      <c r="N2395" s="124" t="s">
        <v>476</v>
      </c>
      <c r="O2395" s="124" t="s">
        <v>476</v>
      </c>
      <c r="P2395" s="21">
        <v>33</v>
      </c>
      <c r="Q2395" s="10" t="s">
        <v>54</v>
      </c>
      <c r="R2395" s="10" t="s">
        <v>28</v>
      </c>
      <c r="S2395" s="10"/>
      <c r="T2395" s="10"/>
      <c r="U2395" s="10" t="s">
        <v>1517</v>
      </c>
      <c r="V2395" s="10" t="s">
        <v>1517</v>
      </c>
      <c r="W2395" s="50">
        <f>+J2395/$W$2</f>
        <v>2.3967197664648449E-5</v>
      </c>
    </row>
    <row r="2396" spans="1:29">
      <c r="A2396" s="10" t="s">
        <v>427</v>
      </c>
      <c r="B2396" s="10" t="s">
        <v>381</v>
      </c>
      <c r="C2396" s="124">
        <v>46415</v>
      </c>
      <c r="D2396" s="124" t="s">
        <v>492</v>
      </c>
      <c r="E2396" s="21">
        <v>0.90954420000000002</v>
      </c>
      <c r="F2396" s="10"/>
      <c r="G2396" s="14">
        <v>20000000</v>
      </c>
      <c r="H2396" s="14">
        <v>18190884.030000001</v>
      </c>
      <c r="I2396" s="14">
        <v>20000000</v>
      </c>
      <c r="J2396" s="14">
        <v>18190884.030000001</v>
      </c>
      <c r="K2396" s="12">
        <v>40808736</v>
      </c>
      <c r="L2396" s="10" t="s">
        <v>101</v>
      </c>
      <c r="M2396" s="10" t="s">
        <v>102</v>
      </c>
      <c r="N2396" s="124" t="s">
        <v>532</v>
      </c>
      <c r="O2396" s="124" t="s">
        <v>532</v>
      </c>
      <c r="P2396" s="21">
        <v>30</v>
      </c>
      <c r="Q2396" s="10" t="s">
        <v>54</v>
      </c>
      <c r="R2396" s="10" t="s">
        <v>28</v>
      </c>
      <c r="S2396" s="10"/>
      <c r="T2396" s="10"/>
      <c r="U2396" s="10" t="s">
        <v>3042</v>
      </c>
      <c r="V2396" s="10" t="s">
        <v>3042</v>
      </c>
      <c r="W2396" s="50">
        <f>+J2396/$W$2</f>
        <v>2.4183995960735751E-4</v>
      </c>
    </row>
    <row r="2397" spans="1:29">
      <c r="A2397" s="10" t="s">
        <v>3576</v>
      </c>
      <c r="B2397" s="10" t="s">
        <v>381</v>
      </c>
      <c r="C2397" s="124">
        <v>46415</v>
      </c>
      <c r="D2397" s="124" t="s">
        <v>492</v>
      </c>
      <c r="E2397" s="21">
        <v>0.90409216999999997</v>
      </c>
      <c r="F2397" s="10"/>
      <c r="G2397" s="14">
        <v>11145337.859999999</v>
      </c>
      <c r="H2397" s="14">
        <v>10076412.66</v>
      </c>
      <c r="I2397" s="14">
        <v>11145337.859999999</v>
      </c>
      <c r="J2397" s="14">
        <v>10076412.66</v>
      </c>
      <c r="K2397" s="12">
        <v>18</v>
      </c>
      <c r="L2397" s="10" t="s">
        <v>101</v>
      </c>
      <c r="M2397" s="10" t="s">
        <v>102</v>
      </c>
      <c r="N2397" s="124" t="s">
        <v>492</v>
      </c>
      <c r="O2397" s="124" t="s">
        <v>492</v>
      </c>
      <c r="P2397" s="21">
        <v>32</v>
      </c>
      <c r="Q2397" s="10" t="s">
        <v>54</v>
      </c>
      <c r="R2397" s="10" t="s">
        <v>28</v>
      </c>
      <c r="S2397" s="10"/>
      <c r="T2397" s="10"/>
      <c r="U2397" s="10" t="s">
        <v>3542</v>
      </c>
      <c r="V2397" s="10" t="s">
        <v>3542</v>
      </c>
      <c r="W2397" s="50">
        <f>+J2397/$W$2</f>
        <v>1.3396156155262267E-4</v>
      </c>
    </row>
    <row r="2398" spans="1:29">
      <c r="A2398" s="10" t="s">
        <v>2705</v>
      </c>
      <c r="B2398" s="10" t="s">
        <v>381</v>
      </c>
      <c r="C2398" s="124">
        <v>46416</v>
      </c>
      <c r="D2398" s="124" t="s">
        <v>492</v>
      </c>
      <c r="E2398" s="21">
        <v>0.90337604000000005</v>
      </c>
      <c r="F2398" s="10"/>
      <c r="G2398" s="14">
        <v>5000000</v>
      </c>
      <c r="H2398" s="14">
        <v>4516880.1900000004</v>
      </c>
      <c r="I2398" s="14">
        <v>5000000</v>
      </c>
      <c r="J2398" s="14">
        <v>4516880.1900000004</v>
      </c>
      <c r="K2398" s="12">
        <v>1826</v>
      </c>
      <c r="L2398" s="10" t="s">
        <v>101</v>
      </c>
      <c r="M2398" s="10" t="s">
        <v>102</v>
      </c>
      <c r="N2398" s="124" t="s">
        <v>486</v>
      </c>
      <c r="O2398" s="124" t="s">
        <v>486</v>
      </c>
      <c r="P2398" s="21">
        <v>32</v>
      </c>
      <c r="Q2398" s="10" t="s">
        <v>54</v>
      </c>
      <c r="R2398" s="10" t="s">
        <v>28</v>
      </c>
      <c r="S2398" s="10"/>
      <c r="T2398" s="10"/>
      <c r="U2398" s="10" t="s">
        <v>2911</v>
      </c>
      <c r="V2398" s="10" t="s">
        <v>2911</v>
      </c>
      <c r="W2398" s="50">
        <f>+J2398/$W$2</f>
        <v>6.0049974531164846E-5</v>
      </c>
    </row>
    <row r="2399" spans="1:29">
      <c r="A2399" s="10" t="s">
        <v>562</v>
      </c>
      <c r="B2399" s="10" t="s">
        <v>381</v>
      </c>
      <c r="C2399" s="124">
        <v>46416</v>
      </c>
      <c r="D2399" s="124" t="s">
        <v>492</v>
      </c>
      <c r="E2399" s="21">
        <v>0.90886454000000005</v>
      </c>
      <c r="F2399" s="10"/>
      <c r="G2399" s="14">
        <v>50000000</v>
      </c>
      <c r="H2399" s="14">
        <v>45443227.229999997</v>
      </c>
      <c r="I2399" s="14">
        <v>50000000</v>
      </c>
      <c r="J2399" s="14">
        <v>45443227.229999997</v>
      </c>
      <c r="K2399" s="12">
        <v>6859</v>
      </c>
      <c r="L2399" s="10" t="s">
        <v>101</v>
      </c>
      <c r="M2399" s="10" t="s">
        <v>102</v>
      </c>
      <c r="N2399" s="124" t="s">
        <v>420</v>
      </c>
      <c r="O2399" s="124" t="s">
        <v>420</v>
      </c>
      <c r="P2399" s="21">
        <v>30</v>
      </c>
      <c r="Q2399" s="10" t="s">
        <v>54</v>
      </c>
      <c r="R2399" s="10" t="s">
        <v>28</v>
      </c>
      <c r="S2399" s="10"/>
      <c r="T2399" s="10"/>
      <c r="U2399" s="10" t="s">
        <v>2679</v>
      </c>
      <c r="V2399" s="10" t="s">
        <v>2679</v>
      </c>
      <c r="W2399" s="50">
        <f>+J2399/$W$2</f>
        <v>6.0414811174689059E-4</v>
      </c>
    </row>
    <row r="2400" spans="1:29">
      <c r="A2400" s="10" t="s">
        <v>2705</v>
      </c>
      <c r="B2400" s="10" t="s">
        <v>381</v>
      </c>
      <c r="C2400" s="124">
        <v>46419</v>
      </c>
      <c r="D2400" s="124" t="s">
        <v>492</v>
      </c>
      <c r="E2400" s="21">
        <v>0.90123474000000003</v>
      </c>
      <c r="F2400" s="10"/>
      <c r="G2400" s="14">
        <v>5000000</v>
      </c>
      <c r="H2400" s="14">
        <v>4506173.72</v>
      </c>
      <c r="I2400" s="14">
        <v>5000000</v>
      </c>
      <c r="J2400" s="14">
        <v>4506173.72</v>
      </c>
      <c r="K2400" s="12">
        <v>1827</v>
      </c>
      <c r="L2400" s="10" t="s">
        <v>101</v>
      </c>
      <c r="M2400" s="10" t="s">
        <v>102</v>
      </c>
      <c r="N2400" s="124" t="s">
        <v>486</v>
      </c>
      <c r="O2400" s="124" t="s">
        <v>486</v>
      </c>
      <c r="P2400" s="21">
        <v>32</v>
      </c>
      <c r="Q2400" s="10" t="s">
        <v>54</v>
      </c>
      <c r="R2400" s="10" t="s">
        <v>28</v>
      </c>
      <c r="S2400" s="10"/>
      <c r="T2400" s="10"/>
      <c r="U2400" s="10" t="s">
        <v>2912</v>
      </c>
      <c r="V2400" s="10" t="s">
        <v>2912</v>
      </c>
      <c r="W2400" s="50">
        <f>+J2400/$W$2</f>
        <v>5.9907636628945945E-5</v>
      </c>
    </row>
    <row r="2401" spans="1:29">
      <c r="A2401" s="10" t="s">
        <v>3261</v>
      </c>
      <c r="B2401" s="10" t="s">
        <v>381</v>
      </c>
      <c r="C2401" s="124">
        <v>46419</v>
      </c>
      <c r="D2401" s="124" t="s">
        <v>492</v>
      </c>
      <c r="E2401" s="21">
        <v>0.89846157000000004</v>
      </c>
      <c r="F2401" s="10"/>
      <c r="G2401" s="14">
        <v>6006148</v>
      </c>
      <c r="H2401" s="14">
        <v>5396293.1399999997</v>
      </c>
      <c r="I2401" s="14">
        <v>6006148</v>
      </c>
      <c r="J2401" s="14">
        <v>5396293.1399999997</v>
      </c>
      <c r="K2401" s="12">
        <v>1370652</v>
      </c>
      <c r="L2401" s="10" t="s">
        <v>101</v>
      </c>
      <c r="M2401" s="10" t="s">
        <v>102</v>
      </c>
      <c r="N2401" s="124" t="s">
        <v>472</v>
      </c>
      <c r="O2401" s="124" t="s">
        <v>472</v>
      </c>
      <c r="P2401" s="21">
        <v>33</v>
      </c>
      <c r="Q2401" s="10" t="s">
        <v>54</v>
      </c>
      <c r="R2401" s="10" t="s">
        <v>28</v>
      </c>
      <c r="S2401" s="10"/>
      <c r="T2401" s="10"/>
      <c r="U2401" s="10" t="s">
        <v>3250</v>
      </c>
      <c r="V2401" s="10" t="s">
        <v>3250</v>
      </c>
      <c r="W2401" s="50">
        <f>+J2401/$W$2</f>
        <v>7.1741390514876488E-5</v>
      </c>
    </row>
    <row r="2402" spans="1:29">
      <c r="A2402" s="10" t="s">
        <v>1546</v>
      </c>
      <c r="B2402" s="10" t="s">
        <v>381</v>
      </c>
      <c r="C2402" s="124">
        <v>46419</v>
      </c>
      <c r="D2402" s="124" t="s">
        <v>492</v>
      </c>
      <c r="E2402" s="21">
        <v>0.9012346</v>
      </c>
      <c r="F2402" s="10"/>
      <c r="G2402" s="14">
        <v>20000000</v>
      </c>
      <c r="H2402" s="14">
        <v>18024691.91</v>
      </c>
      <c r="I2402" s="14">
        <v>20000000</v>
      </c>
      <c r="J2402" s="14">
        <v>18024691.91</v>
      </c>
      <c r="K2402" s="12">
        <v>53979</v>
      </c>
      <c r="L2402" s="10" t="s">
        <v>101</v>
      </c>
      <c r="M2402" s="10" t="s">
        <v>102</v>
      </c>
      <c r="N2402" s="124" t="s">
        <v>322</v>
      </c>
      <c r="O2402" s="124" t="s">
        <v>322</v>
      </c>
      <c r="P2402" s="21">
        <v>32</v>
      </c>
      <c r="Q2402" s="10" t="s">
        <v>54</v>
      </c>
      <c r="R2402" s="10" t="s">
        <v>28</v>
      </c>
      <c r="S2402" s="10"/>
      <c r="T2402" s="10"/>
      <c r="U2402" s="10" t="s">
        <v>1548</v>
      </c>
      <c r="V2402" s="10" t="s">
        <v>1548</v>
      </c>
      <c r="W2402" s="50">
        <f>+J2402/$W$2</f>
        <v>2.3963050703091441E-4</v>
      </c>
    </row>
    <row r="2403" spans="1:29">
      <c r="A2403" s="10" t="s">
        <v>477</v>
      </c>
      <c r="B2403" s="10" t="s">
        <v>381</v>
      </c>
      <c r="C2403" s="124">
        <v>46420</v>
      </c>
      <c r="D2403" s="124" t="s">
        <v>492</v>
      </c>
      <c r="E2403" s="21">
        <v>0.89773241000000004</v>
      </c>
      <c r="F2403" s="10"/>
      <c r="G2403" s="14">
        <v>10000000</v>
      </c>
      <c r="H2403" s="14">
        <v>8977324.0700000003</v>
      </c>
      <c r="I2403" s="14">
        <v>10000000</v>
      </c>
      <c r="J2403" s="14">
        <v>8977324.0700000003</v>
      </c>
      <c r="K2403" s="12">
        <v>2285691</v>
      </c>
      <c r="L2403" s="10" t="s">
        <v>101</v>
      </c>
      <c r="M2403" s="10" t="s">
        <v>102</v>
      </c>
      <c r="N2403" s="124" t="s">
        <v>551</v>
      </c>
      <c r="O2403" s="124" t="s">
        <v>551</v>
      </c>
      <c r="P2403" s="21">
        <v>33</v>
      </c>
      <c r="Q2403" s="10" t="s">
        <v>54</v>
      </c>
      <c r="R2403" s="10" t="s">
        <v>28</v>
      </c>
      <c r="S2403" s="10"/>
      <c r="T2403" s="10"/>
      <c r="U2403" s="10" t="s">
        <v>2183</v>
      </c>
      <c r="V2403" s="10" t="s">
        <v>2183</v>
      </c>
      <c r="W2403" s="50">
        <f>+J2403/$W$2</f>
        <v>1.1934965265516887E-4</v>
      </c>
    </row>
    <row r="2404" spans="1:29">
      <c r="A2404" s="10" t="s">
        <v>2993</v>
      </c>
      <c r="B2404" s="10" t="s">
        <v>381</v>
      </c>
      <c r="C2404" s="124">
        <v>46420</v>
      </c>
      <c r="D2404" s="124" t="s">
        <v>492</v>
      </c>
      <c r="E2404" s="21">
        <v>0.90052310999999996</v>
      </c>
      <c r="F2404" s="10"/>
      <c r="G2404" s="14">
        <v>40000000</v>
      </c>
      <c r="H2404" s="14">
        <v>36020924.539999999</v>
      </c>
      <c r="I2404" s="14">
        <v>40000000</v>
      </c>
      <c r="J2404" s="14">
        <v>36020924.539999999</v>
      </c>
      <c r="K2404" s="12">
        <v>51181</v>
      </c>
      <c r="L2404" s="10" t="s">
        <v>101</v>
      </c>
      <c r="M2404" s="10" t="s">
        <v>102</v>
      </c>
      <c r="N2404" s="124" t="s">
        <v>434</v>
      </c>
      <c r="O2404" s="124" t="s">
        <v>434</v>
      </c>
      <c r="P2404" s="21">
        <v>32</v>
      </c>
      <c r="Q2404" s="10" t="s">
        <v>54</v>
      </c>
      <c r="R2404" s="10" t="s">
        <v>28</v>
      </c>
      <c r="S2404" s="10"/>
      <c r="T2404" s="10"/>
      <c r="U2404" s="10" t="s">
        <v>2965</v>
      </c>
      <c r="V2404" s="10" t="s">
        <v>2965</v>
      </c>
      <c r="W2404" s="50">
        <f>+J2404/$W$2</f>
        <v>4.7888266020534203E-4</v>
      </c>
    </row>
    <row r="2405" spans="1:29">
      <c r="A2405" s="10" t="s">
        <v>2993</v>
      </c>
      <c r="B2405" s="10" t="s">
        <v>381</v>
      </c>
      <c r="C2405" s="124">
        <v>46420</v>
      </c>
      <c r="D2405" s="124" t="s">
        <v>492</v>
      </c>
      <c r="E2405" s="21">
        <v>0.90052306999999998</v>
      </c>
      <c r="F2405" s="10"/>
      <c r="G2405" s="14">
        <v>55000000</v>
      </c>
      <c r="H2405" s="14">
        <v>49528768.93</v>
      </c>
      <c r="I2405" s="14">
        <v>55000000</v>
      </c>
      <c r="J2405" s="14">
        <v>49528768.93</v>
      </c>
      <c r="K2405" s="12">
        <v>51412</v>
      </c>
      <c r="L2405" s="10" t="s">
        <v>101</v>
      </c>
      <c r="M2405" s="10" t="s">
        <v>102</v>
      </c>
      <c r="N2405" s="124" t="s">
        <v>677</v>
      </c>
      <c r="O2405" s="124" t="s">
        <v>677</v>
      </c>
      <c r="P2405" s="21">
        <v>32</v>
      </c>
      <c r="Q2405" s="10" t="s">
        <v>54</v>
      </c>
      <c r="R2405" s="10" t="s">
        <v>28</v>
      </c>
      <c r="S2405" s="10"/>
      <c r="T2405" s="10"/>
      <c r="U2405" s="10" t="s">
        <v>3342</v>
      </c>
      <c r="V2405" s="10" t="s">
        <v>3342</v>
      </c>
      <c r="W2405" s="50">
        <f>+J2405/$W$2</f>
        <v>6.5846362703865491E-4</v>
      </c>
    </row>
    <row r="2406" spans="1:29">
      <c r="A2406" s="10" t="s">
        <v>267</v>
      </c>
      <c r="B2406" s="10" t="s">
        <v>381</v>
      </c>
      <c r="C2406" s="124">
        <v>46420</v>
      </c>
      <c r="D2406" s="124" t="s">
        <v>492</v>
      </c>
      <c r="E2406" s="21">
        <v>0.90052317000000004</v>
      </c>
      <c r="F2406" s="10"/>
      <c r="G2406" s="14">
        <v>50000000</v>
      </c>
      <c r="H2406" s="14">
        <v>45026158.340000004</v>
      </c>
      <c r="I2406" s="14">
        <v>50000000</v>
      </c>
      <c r="J2406" s="14">
        <v>45026158.340000004</v>
      </c>
      <c r="K2406" s="12">
        <v>29937730</v>
      </c>
      <c r="L2406" s="10" t="s">
        <v>101</v>
      </c>
      <c r="M2406" s="10" t="s">
        <v>102</v>
      </c>
      <c r="N2406" s="124" t="s">
        <v>425</v>
      </c>
      <c r="O2406" s="124" t="s">
        <v>425</v>
      </c>
      <c r="P2406" s="21">
        <v>32</v>
      </c>
      <c r="Q2406" s="10" t="s">
        <v>54</v>
      </c>
      <c r="R2406" s="10" t="s">
        <v>28</v>
      </c>
      <c r="S2406" s="10"/>
      <c r="T2406" s="10"/>
      <c r="U2406" s="10" t="s">
        <v>1703</v>
      </c>
      <c r="V2406" s="10" t="s">
        <v>1703</v>
      </c>
      <c r="W2406" s="50">
        <f>+J2406/$W$2</f>
        <v>5.9860336068670345E-4</v>
      </c>
    </row>
    <row r="2407" spans="1:29">
      <c r="A2407" s="10" t="s">
        <v>273</v>
      </c>
      <c r="B2407" s="10" t="s">
        <v>381</v>
      </c>
      <c r="C2407" s="124">
        <v>46420</v>
      </c>
      <c r="D2407" s="124" t="s">
        <v>492</v>
      </c>
      <c r="E2407" s="21">
        <v>0.90052314</v>
      </c>
      <c r="F2407" s="10"/>
      <c r="G2407" s="14">
        <v>10000000</v>
      </c>
      <c r="H2407" s="14">
        <v>9005231.4399999995</v>
      </c>
      <c r="I2407" s="14">
        <v>10000000</v>
      </c>
      <c r="J2407" s="14">
        <v>9005231.4399999995</v>
      </c>
      <c r="K2407" s="12">
        <v>2204</v>
      </c>
      <c r="L2407" s="10" t="s">
        <v>101</v>
      </c>
      <c r="M2407" s="10" t="s">
        <v>102</v>
      </c>
      <c r="N2407" s="124" t="s">
        <v>551</v>
      </c>
      <c r="O2407" s="124" t="s">
        <v>551</v>
      </c>
      <c r="P2407" s="21">
        <v>32</v>
      </c>
      <c r="Q2407" s="10" t="s">
        <v>54</v>
      </c>
      <c r="R2407" s="10" t="s">
        <v>28</v>
      </c>
      <c r="S2407" s="10"/>
      <c r="T2407" s="10"/>
      <c r="U2407" s="10" t="s">
        <v>2177</v>
      </c>
      <c r="V2407" s="10" t="s">
        <v>2177</v>
      </c>
      <c r="W2407" s="50">
        <f>+J2407/$W$2</f>
        <v>1.1972066910617899E-4</v>
      </c>
    </row>
    <row r="2408" spans="1:29">
      <c r="A2408" s="10" t="s">
        <v>426</v>
      </c>
      <c r="B2408" s="10" t="s">
        <v>381</v>
      </c>
      <c r="C2408" s="124">
        <v>46420</v>
      </c>
      <c r="D2408" s="124" t="s">
        <v>492</v>
      </c>
      <c r="E2408" s="21">
        <v>0.90615701000000004</v>
      </c>
      <c r="F2408" s="10"/>
      <c r="G2408" s="14">
        <v>5580000</v>
      </c>
      <c r="H2408" s="14">
        <v>5056356.0999999996</v>
      </c>
      <c r="I2408" s="14">
        <v>5580000</v>
      </c>
      <c r="J2408" s="14">
        <v>5056356.0999999996</v>
      </c>
      <c r="K2408" s="12">
        <v>11415145</v>
      </c>
      <c r="L2408" s="10" t="s">
        <v>101</v>
      </c>
      <c r="M2408" s="10" t="s">
        <v>102</v>
      </c>
      <c r="N2408" s="124" t="s">
        <v>486</v>
      </c>
      <c r="O2408" s="124" t="s">
        <v>486</v>
      </c>
      <c r="P2408" s="21">
        <v>30</v>
      </c>
      <c r="Q2408" s="10" t="s">
        <v>54</v>
      </c>
      <c r="R2408" s="10" t="s">
        <v>28</v>
      </c>
      <c r="S2408" s="10"/>
      <c r="T2408" s="10"/>
      <c r="U2408" s="10" t="s">
        <v>2806</v>
      </c>
      <c r="V2408" s="10" t="s">
        <v>2806</v>
      </c>
      <c r="W2408" s="50">
        <f>+J2408/$W$2</f>
        <v>6.7222074142617448E-5</v>
      </c>
    </row>
    <row r="2409" spans="1:29">
      <c r="A2409" s="10" t="s">
        <v>3575</v>
      </c>
      <c r="B2409" s="10" t="s">
        <v>381</v>
      </c>
      <c r="C2409" s="124">
        <v>46420</v>
      </c>
      <c r="D2409" s="124" t="s">
        <v>492</v>
      </c>
      <c r="E2409" s="21">
        <v>0.90052317000000004</v>
      </c>
      <c r="F2409" s="10"/>
      <c r="G2409" s="14">
        <v>10386286.039999999</v>
      </c>
      <c r="H2409" s="14">
        <v>9353091.2200000007</v>
      </c>
      <c r="I2409" s="14">
        <v>10386286.039999999</v>
      </c>
      <c r="J2409" s="14">
        <v>9353091.2200000007</v>
      </c>
      <c r="K2409" s="12">
        <v>54595092</v>
      </c>
      <c r="L2409" s="10" t="s">
        <v>101</v>
      </c>
      <c r="M2409" s="10" t="s">
        <v>102</v>
      </c>
      <c r="N2409" s="124" t="s">
        <v>492</v>
      </c>
      <c r="O2409" s="124" t="s">
        <v>492</v>
      </c>
      <c r="P2409" s="21">
        <v>32</v>
      </c>
      <c r="Q2409" s="10" t="s">
        <v>54</v>
      </c>
      <c r="R2409" s="10" t="s">
        <v>28</v>
      </c>
      <c r="S2409" s="10"/>
      <c r="T2409" s="10"/>
      <c r="U2409" s="10" t="s">
        <v>3539</v>
      </c>
      <c r="V2409" s="10" t="s">
        <v>3539</v>
      </c>
      <c r="W2409" s="50">
        <f>+J2409/$W$2</f>
        <v>1.2434531489059964E-4</v>
      </c>
    </row>
    <row r="2410" spans="1:29">
      <c r="A2410" s="10" t="s">
        <v>3261</v>
      </c>
      <c r="B2410" s="10" t="s">
        <v>381</v>
      </c>
      <c r="C2410" s="124">
        <v>46421</v>
      </c>
      <c r="D2410" s="124" t="s">
        <v>492</v>
      </c>
      <c r="E2410" s="21">
        <v>0.89700438999999998</v>
      </c>
      <c r="F2410" s="10"/>
      <c r="G2410" s="14">
        <v>6006148</v>
      </c>
      <c r="H2410" s="14">
        <v>5387541.1500000004</v>
      </c>
      <c r="I2410" s="14">
        <v>6006148</v>
      </c>
      <c r="J2410" s="14">
        <v>5387541.1500000004</v>
      </c>
      <c r="K2410" s="12">
        <v>1370653</v>
      </c>
      <c r="L2410" s="10" t="s">
        <v>101</v>
      </c>
      <c r="M2410" s="10" t="s">
        <v>102</v>
      </c>
      <c r="N2410" s="124" t="s">
        <v>472</v>
      </c>
      <c r="O2410" s="124" t="s">
        <v>472</v>
      </c>
      <c r="P2410" s="21">
        <v>33</v>
      </c>
      <c r="Q2410" s="10" t="s">
        <v>54</v>
      </c>
      <c r="R2410" s="10" t="s">
        <v>28</v>
      </c>
      <c r="S2410" s="10"/>
      <c r="T2410" s="10"/>
      <c r="U2410" s="10" t="s">
        <v>3252</v>
      </c>
      <c r="V2410" s="10" t="s">
        <v>3252</v>
      </c>
      <c r="W2410" s="50">
        <f>+J2410/$W$2</f>
        <v>7.162503658152212E-5</v>
      </c>
    </row>
    <row r="2411" spans="1:29">
      <c r="A2411" s="10" t="s">
        <v>308</v>
      </c>
      <c r="B2411" s="10" t="s">
        <v>381</v>
      </c>
      <c r="C2411" s="124">
        <v>46421</v>
      </c>
      <c r="D2411" s="124" t="s">
        <v>492</v>
      </c>
      <c r="E2411" s="21">
        <v>0.89143989999999995</v>
      </c>
      <c r="F2411" s="10"/>
      <c r="G2411" s="14">
        <v>32000000</v>
      </c>
      <c r="H2411" s="14">
        <v>28526076.780000001</v>
      </c>
      <c r="I2411" s="14">
        <v>32000000</v>
      </c>
      <c r="J2411" s="14">
        <v>28526076.780000001</v>
      </c>
      <c r="K2411" s="12">
        <v>90000140</v>
      </c>
      <c r="L2411" s="10" t="s">
        <v>101</v>
      </c>
      <c r="M2411" s="10" t="s">
        <v>102</v>
      </c>
      <c r="N2411" s="124" t="s">
        <v>420</v>
      </c>
      <c r="O2411" s="124" t="s">
        <v>420</v>
      </c>
      <c r="P2411" s="21">
        <v>35</v>
      </c>
      <c r="Q2411" s="10" t="s">
        <v>54</v>
      </c>
      <c r="R2411" s="10" t="s">
        <v>28</v>
      </c>
      <c r="S2411" s="10"/>
      <c r="T2411" s="10"/>
      <c r="U2411" s="10" t="s">
        <v>2675</v>
      </c>
      <c r="V2411" s="10" t="s">
        <v>2675</v>
      </c>
      <c r="W2411" s="50">
        <f>+J2411/$W$2</f>
        <v>3.7924189087535948E-4</v>
      </c>
    </row>
    <row r="2412" spans="1:29">
      <c r="A2412" s="10" t="s">
        <v>2125</v>
      </c>
      <c r="B2412" s="10" t="s">
        <v>381</v>
      </c>
      <c r="C2412" s="124">
        <v>46421</v>
      </c>
      <c r="D2412" s="124" t="s">
        <v>492</v>
      </c>
      <c r="E2412" s="21">
        <v>0.90263868999999997</v>
      </c>
      <c r="F2412" s="10"/>
      <c r="G2412" s="14">
        <v>60000000</v>
      </c>
      <c r="H2412" s="14">
        <v>54158321.369999997</v>
      </c>
      <c r="I2412" s="14">
        <v>60000000</v>
      </c>
      <c r="J2412" s="14">
        <v>54158321.369999997</v>
      </c>
      <c r="K2412" s="12">
        <v>3040</v>
      </c>
      <c r="L2412" s="10" t="s">
        <v>101</v>
      </c>
      <c r="M2412" s="10" t="s">
        <v>102</v>
      </c>
      <c r="N2412" s="124" t="s">
        <v>421</v>
      </c>
      <c r="O2412" s="124" t="s">
        <v>421</v>
      </c>
      <c r="P2412" s="21">
        <v>31</v>
      </c>
      <c r="Q2412" s="10" t="s">
        <v>54</v>
      </c>
      <c r="R2412" s="10" t="s">
        <v>28</v>
      </c>
      <c r="S2412" s="10"/>
      <c r="T2412" s="10"/>
      <c r="U2412" s="10" t="s">
        <v>2090</v>
      </c>
      <c r="V2412" s="10" t="s">
        <v>2090</v>
      </c>
      <c r="W2412" s="50">
        <f>+J2412/$W$2</f>
        <v>7.2001153055138722E-4</v>
      </c>
      <c r="AC2412" s="47"/>
    </row>
    <row r="2413" spans="1:29">
      <c r="A2413" s="10" t="s">
        <v>404</v>
      </c>
      <c r="B2413" s="10" t="s">
        <v>381</v>
      </c>
      <c r="C2413" s="124">
        <v>46421</v>
      </c>
      <c r="D2413" s="124" t="s">
        <v>492</v>
      </c>
      <c r="E2413" s="21">
        <v>0.90548264999999994</v>
      </c>
      <c r="F2413" s="10"/>
      <c r="G2413" s="14">
        <v>14000000</v>
      </c>
      <c r="H2413" s="14">
        <v>12676757.140000001</v>
      </c>
      <c r="I2413" s="14">
        <v>14000000</v>
      </c>
      <c r="J2413" s="14">
        <v>12676757.140000001</v>
      </c>
      <c r="K2413" s="12">
        <v>3385320</v>
      </c>
      <c r="L2413" s="10" t="s">
        <v>101</v>
      </c>
      <c r="M2413" s="10" t="s">
        <v>102</v>
      </c>
      <c r="N2413" s="124" t="s">
        <v>420</v>
      </c>
      <c r="O2413" s="124" t="s">
        <v>420</v>
      </c>
      <c r="P2413" s="21">
        <v>30</v>
      </c>
      <c r="Q2413" s="10" t="s">
        <v>54</v>
      </c>
      <c r="R2413" s="10" t="s">
        <v>28</v>
      </c>
      <c r="S2413" s="10"/>
      <c r="T2413" s="10"/>
      <c r="U2413" s="10" t="s">
        <v>2631</v>
      </c>
      <c r="V2413" s="10" t="s">
        <v>2631</v>
      </c>
      <c r="W2413" s="50">
        <f>+J2413/$W$2</f>
        <v>1.685320201939565E-4</v>
      </c>
    </row>
    <row r="2414" spans="1:29">
      <c r="A2414" s="10" t="s">
        <v>404</v>
      </c>
      <c r="B2414" s="10" t="s">
        <v>381</v>
      </c>
      <c r="C2414" s="124">
        <v>46421</v>
      </c>
      <c r="D2414" s="124" t="s">
        <v>492</v>
      </c>
      <c r="E2414" s="21">
        <v>0.90548255</v>
      </c>
      <c r="F2414" s="10"/>
      <c r="G2414" s="14">
        <v>13500000</v>
      </c>
      <c r="H2414" s="14">
        <v>12224014.470000001</v>
      </c>
      <c r="I2414" s="14">
        <v>13500000</v>
      </c>
      <c r="J2414" s="14">
        <v>12224014.470000001</v>
      </c>
      <c r="K2414" s="12">
        <v>166</v>
      </c>
      <c r="L2414" s="10" t="s">
        <v>101</v>
      </c>
      <c r="M2414" s="10" t="s">
        <v>102</v>
      </c>
      <c r="N2414" s="124" t="s">
        <v>486</v>
      </c>
      <c r="O2414" s="124" t="s">
        <v>486</v>
      </c>
      <c r="P2414" s="21">
        <v>30</v>
      </c>
      <c r="Q2414" s="10" t="s">
        <v>54</v>
      </c>
      <c r="R2414" s="10" t="s">
        <v>28</v>
      </c>
      <c r="S2414" s="10"/>
      <c r="T2414" s="10"/>
      <c r="U2414" s="10" t="s">
        <v>2830</v>
      </c>
      <c r="V2414" s="10" t="s">
        <v>2830</v>
      </c>
      <c r="W2414" s="50">
        <f>+J2414/$W$2</f>
        <v>1.6251300161054095E-4</v>
      </c>
    </row>
    <row r="2415" spans="1:29">
      <c r="A2415" s="10" t="s">
        <v>392</v>
      </c>
      <c r="B2415" s="10" t="s">
        <v>381</v>
      </c>
      <c r="C2415" s="124">
        <v>46421</v>
      </c>
      <c r="D2415" s="124" t="s">
        <v>492</v>
      </c>
      <c r="E2415" s="21">
        <v>0.89700431999999997</v>
      </c>
      <c r="F2415" s="10"/>
      <c r="G2415" s="14">
        <v>2000000</v>
      </c>
      <c r="H2415" s="14">
        <v>1794008.64</v>
      </c>
      <c r="I2415" s="14">
        <v>2000000</v>
      </c>
      <c r="J2415" s="14">
        <v>1794008.64</v>
      </c>
      <c r="K2415" s="12">
        <v>45</v>
      </c>
      <c r="L2415" s="10" t="s">
        <v>101</v>
      </c>
      <c r="M2415" s="10" t="s">
        <v>102</v>
      </c>
      <c r="N2415" s="124" t="s">
        <v>476</v>
      </c>
      <c r="O2415" s="124" t="s">
        <v>476</v>
      </c>
      <c r="P2415" s="21">
        <v>33</v>
      </c>
      <c r="Q2415" s="10" t="s">
        <v>54</v>
      </c>
      <c r="R2415" s="10" t="s">
        <v>28</v>
      </c>
      <c r="S2415" s="10"/>
      <c r="T2415" s="10"/>
      <c r="U2415" s="10" t="s">
        <v>1518</v>
      </c>
      <c r="V2415" s="10" t="s">
        <v>1518</v>
      </c>
      <c r="W2415" s="50">
        <f>+J2415/$W$2</f>
        <v>2.3850571325578966E-5</v>
      </c>
    </row>
    <row r="2416" spans="1:29">
      <c r="A2416" s="10" t="s">
        <v>427</v>
      </c>
      <c r="B2416" s="10" t="s">
        <v>381</v>
      </c>
      <c r="C2416" s="124">
        <v>46421</v>
      </c>
      <c r="D2416" s="124" t="s">
        <v>492</v>
      </c>
      <c r="E2416" s="21">
        <v>0.90548255</v>
      </c>
      <c r="F2416" s="10"/>
      <c r="G2416" s="14">
        <v>6441003</v>
      </c>
      <c r="H2416" s="14">
        <v>5832215.8399999999</v>
      </c>
      <c r="I2416" s="14">
        <v>6441003</v>
      </c>
      <c r="J2416" s="14">
        <v>5832215.8399999999</v>
      </c>
      <c r="K2416" s="12">
        <v>14097860</v>
      </c>
      <c r="L2416" s="10" t="s">
        <v>101</v>
      </c>
      <c r="M2416" s="10" t="s">
        <v>102</v>
      </c>
      <c r="N2416" s="124" t="s">
        <v>486</v>
      </c>
      <c r="O2416" s="124" t="s">
        <v>486</v>
      </c>
      <c r="P2416" s="21">
        <v>30</v>
      </c>
      <c r="Q2416" s="10" t="s">
        <v>54</v>
      </c>
      <c r="R2416" s="10" t="s">
        <v>28</v>
      </c>
      <c r="S2416" s="10"/>
      <c r="T2416" s="10"/>
      <c r="U2416" s="10" t="s">
        <v>2793</v>
      </c>
      <c r="V2416" s="10" t="s">
        <v>2793</v>
      </c>
      <c r="W2416" s="50">
        <f>+J2416/$W$2</f>
        <v>7.7536794849600863E-5</v>
      </c>
    </row>
    <row r="2417" spans="1:29">
      <c r="A2417" s="10" t="s">
        <v>427</v>
      </c>
      <c r="B2417" s="10" t="s">
        <v>381</v>
      </c>
      <c r="C2417" s="124">
        <v>46421</v>
      </c>
      <c r="D2417" s="124" t="s">
        <v>492</v>
      </c>
      <c r="E2417" s="21">
        <v>0.90548253999999995</v>
      </c>
      <c r="F2417" s="10"/>
      <c r="G2417" s="14">
        <v>961486.87</v>
      </c>
      <c r="H2417" s="14">
        <v>870609.57</v>
      </c>
      <c r="I2417" s="14">
        <v>961486.87</v>
      </c>
      <c r="J2417" s="14">
        <v>870609.57</v>
      </c>
      <c r="K2417" s="12">
        <v>285</v>
      </c>
      <c r="L2417" s="10" t="s">
        <v>101</v>
      </c>
      <c r="M2417" s="10" t="s">
        <v>102</v>
      </c>
      <c r="N2417" s="124" t="s">
        <v>486</v>
      </c>
      <c r="O2417" s="124" t="s">
        <v>486</v>
      </c>
      <c r="P2417" s="21">
        <v>30</v>
      </c>
      <c r="Q2417" s="10" t="s">
        <v>54</v>
      </c>
      <c r="R2417" s="10" t="s">
        <v>28</v>
      </c>
      <c r="S2417" s="10"/>
      <c r="T2417" s="10"/>
      <c r="U2417" s="10" t="s">
        <v>2794</v>
      </c>
      <c r="V2417" s="10" t="s">
        <v>2794</v>
      </c>
      <c r="W2417" s="50">
        <f>+J2417/$W$2</f>
        <v>1.1574378842465683E-5</v>
      </c>
    </row>
    <row r="2418" spans="1:29">
      <c r="A2418" s="10" t="s">
        <v>3261</v>
      </c>
      <c r="B2418" s="10" t="s">
        <v>381</v>
      </c>
      <c r="C2418" s="124">
        <v>46423</v>
      </c>
      <c r="D2418" s="124" t="s">
        <v>492</v>
      </c>
      <c r="E2418" s="21">
        <v>0.89555169000000001</v>
      </c>
      <c r="F2418" s="10"/>
      <c r="G2418" s="14">
        <v>6006148</v>
      </c>
      <c r="H2418" s="14">
        <v>5378815.9699999997</v>
      </c>
      <c r="I2418" s="14">
        <v>6006148</v>
      </c>
      <c r="J2418" s="14">
        <v>5378815.9699999997</v>
      </c>
      <c r="K2418" s="12">
        <v>1370657</v>
      </c>
      <c r="L2418" s="10" t="s">
        <v>101</v>
      </c>
      <c r="M2418" s="10" t="s">
        <v>102</v>
      </c>
      <c r="N2418" s="124" t="s">
        <v>472</v>
      </c>
      <c r="O2418" s="124" t="s">
        <v>472</v>
      </c>
      <c r="P2418" s="21">
        <v>33</v>
      </c>
      <c r="Q2418" s="10" t="s">
        <v>54</v>
      </c>
      <c r="R2418" s="10" t="s">
        <v>28</v>
      </c>
      <c r="S2418" s="10"/>
      <c r="T2418" s="10"/>
      <c r="U2418" s="10" t="s">
        <v>3242</v>
      </c>
      <c r="V2418" s="10" t="s">
        <v>3242</v>
      </c>
      <c r="W2418" s="50">
        <f>+J2418/$W$2</f>
        <v>7.1509039075557754E-5</v>
      </c>
    </row>
    <row r="2419" spans="1:29">
      <c r="A2419" s="10" t="s">
        <v>1471</v>
      </c>
      <c r="B2419" s="10" t="s">
        <v>381</v>
      </c>
      <c r="C2419" s="124">
        <v>46423</v>
      </c>
      <c r="D2419" s="124" t="s">
        <v>492</v>
      </c>
      <c r="E2419" s="21">
        <v>0.88991849000000001</v>
      </c>
      <c r="F2419" s="10"/>
      <c r="G2419" s="14">
        <v>25000000</v>
      </c>
      <c r="H2419" s="14">
        <v>22247962.190000001</v>
      </c>
      <c r="I2419" s="14">
        <v>25000000</v>
      </c>
      <c r="J2419" s="14">
        <v>22247962.190000001</v>
      </c>
      <c r="K2419" s="12">
        <v>1149</v>
      </c>
      <c r="L2419" s="10" t="s">
        <v>101</v>
      </c>
      <c r="M2419" s="10" t="s">
        <v>102</v>
      </c>
      <c r="N2419" s="124" t="s">
        <v>486</v>
      </c>
      <c r="O2419" s="124" t="s">
        <v>486</v>
      </c>
      <c r="P2419" s="21">
        <v>35</v>
      </c>
      <c r="Q2419" s="10" t="s">
        <v>54</v>
      </c>
      <c r="R2419" s="10" t="s">
        <v>28</v>
      </c>
      <c r="S2419" s="10"/>
      <c r="T2419" s="10"/>
      <c r="U2419" s="10" t="s">
        <v>2865</v>
      </c>
      <c r="V2419" s="10" t="s">
        <v>2865</v>
      </c>
      <c r="W2419" s="50">
        <f>+J2419/$W$2</f>
        <v>2.9577706440777181E-4</v>
      </c>
    </row>
    <row r="2420" spans="1:29">
      <c r="A2420" s="10" t="s">
        <v>2319</v>
      </c>
      <c r="B2420" s="10" t="s">
        <v>381</v>
      </c>
      <c r="C2420" s="124">
        <v>46423</v>
      </c>
      <c r="D2420" s="124" t="s">
        <v>492</v>
      </c>
      <c r="E2420" s="21">
        <v>0.90125686000000005</v>
      </c>
      <c r="F2420" s="10"/>
      <c r="G2420" s="14">
        <v>11820000</v>
      </c>
      <c r="H2420" s="14">
        <v>10652856.07</v>
      </c>
      <c r="I2420" s="14">
        <v>11820000</v>
      </c>
      <c r="J2420" s="14">
        <v>10652856.07</v>
      </c>
      <c r="K2420" s="12">
        <v>14310297</v>
      </c>
      <c r="L2420" s="10" t="s">
        <v>101</v>
      </c>
      <c r="M2420" s="10" t="s">
        <v>102</v>
      </c>
      <c r="N2420" s="124" t="s">
        <v>536</v>
      </c>
      <c r="O2420" s="124" t="s">
        <v>536</v>
      </c>
      <c r="P2420" s="21">
        <v>31</v>
      </c>
      <c r="Q2420" s="10" t="s">
        <v>54</v>
      </c>
      <c r="R2420" s="10" t="s">
        <v>28</v>
      </c>
      <c r="S2420" s="10"/>
      <c r="T2420" s="10"/>
      <c r="U2420" s="10" t="s">
        <v>2306</v>
      </c>
      <c r="V2420" s="10" t="s">
        <v>2306</v>
      </c>
      <c r="W2420" s="50">
        <f>+J2420/$W$2</f>
        <v>1.4162512813687555E-4</v>
      </c>
    </row>
    <row r="2421" spans="1:29">
      <c r="A2421" s="10" t="s">
        <v>222</v>
      </c>
      <c r="B2421" s="10" t="s">
        <v>381</v>
      </c>
      <c r="C2421" s="124">
        <v>46423</v>
      </c>
      <c r="D2421" s="124" t="s">
        <v>492</v>
      </c>
      <c r="E2421" s="21">
        <v>0.89555172000000005</v>
      </c>
      <c r="F2421" s="10"/>
      <c r="G2421" s="14">
        <v>25000000</v>
      </c>
      <c r="H2421" s="14">
        <v>22388793.100000001</v>
      </c>
      <c r="I2421" s="14">
        <v>25000000</v>
      </c>
      <c r="J2421" s="14">
        <v>22388793.100000001</v>
      </c>
      <c r="K2421" s="12">
        <v>1353268</v>
      </c>
      <c r="L2421" s="10" t="s">
        <v>101</v>
      </c>
      <c r="M2421" s="10" t="s">
        <v>102</v>
      </c>
      <c r="N2421" s="124" t="s">
        <v>536</v>
      </c>
      <c r="O2421" s="124" t="s">
        <v>536</v>
      </c>
      <c r="P2421" s="21">
        <v>33</v>
      </c>
      <c r="Q2421" s="10" t="s">
        <v>54</v>
      </c>
      <c r="R2421" s="10" t="s">
        <v>28</v>
      </c>
      <c r="S2421" s="10"/>
      <c r="T2421" s="10"/>
      <c r="U2421" s="10" t="s">
        <v>2303</v>
      </c>
      <c r="V2421" s="10" t="s">
        <v>2303</v>
      </c>
      <c r="W2421" s="50">
        <f>+J2421/$W$2</f>
        <v>2.9764935063254783E-4</v>
      </c>
      <c r="AC2421" s="47"/>
    </row>
    <row r="2422" spans="1:29">
      <c r="A2422" s="10" t="s">
        <v>2915</v>
      </c>
      <c r="B2422" s="10" t="s">
        <v>381</v>
      </c>
      <c r="C2422" s="124">
        <v>46423</v>
      </c>
      <c r="D2422" s="124" t="s">
        <v>492</v>
      </c>
      <c r="E2422" s="21">
        <v>0.90413690999999996</v>
      </c>
      <c r="F2422" s="10"/>
      <c r="G2422" s="14">
        <v>5000000</v>
      </c>
      <c r="H2422" s="14">
        <v>4520684.53</v>
      </c>
      <c r="I2422" s="14">
        <v>5000000</v>
      </c>
      <c r="J2422" s="14">
        <v>4520684.53</v>
      </c>
      <c r="K2422" s="12">
        <v>3897146</v>
      </c>
      <c r="L2422" s="10" t="s">
        <v>101</v>
      </c>
      <c r="M2422" s="10" t="s">
        <v>102</v>
      </c>
      <c r="N2422" s="124" t="s">
        <v>532</v>
      </c>
      <c r="O2422" s="124" t="s">
        <v>532</v>
      </c>
      <c r="P2422" s="21">
        <v>30</v>
      </c>
      <c r="Q2422" s="10" t="s">
        <v>54</v>
      </c>
      <c r="R2422" s="10" t="s">
        <v>28</v>
      </c>
      <c r="S2422" s="10"/>
      <c r="T2422" s="10"/>
      <c r="U2422" s="10" t="s">
        <v>3016</v>
      </c>
      <c r="V2422" s="10" t="s">
        <v>3016</v>
      </c>
      <c r="W2422" s="50">
        <f>+J2422/$W$2</f>
        <v>6.0100551591104061E-5</v>
      </c>
    </row>
    <row r="2423" spans="1:29">
      <c r="A2423" s="10" t="s">
        <v>1471</v>
      </c>
      <c r="B2423" s="10" t="s">
        <v>381</v>
      </c>
      <c r="C2423" s="124">
        <v>46428</v>
      </c>
      <c r="D2423" s="124" t="s">
        <v>492</v>
      </c>
      <c r="E2423" s="21">
        <v>0.88613748000000003</v>
      </c>
      <c r="F2423" s="10"/>
      <c r="G2423" s="14">
        <v>25000000</v>
      </c>
      <c r="H2423" s="14">
        <v>22153437.030000001</v>
      </c>
      <c r="I2423" s="14">
        <v>25000000</v>
      </c>
      <c r="J2423" s="14">
        <v>22153437.030000001</v>
      </c>
      <c r="K2423" s="12">
        <v>1150</v>
      </c>
      <c r="L2423" s="10" t="s">
        <v>101</v>
      </c>
      <c r="M2423" s="10" t="s">
        <v>102</v>
      </c>
      <c r="N2423" s="124" t="s">
        <v>486</v>
      </c>
      <c r="O2423" s="124" t="s">
        <v>486</v>
      </c>
      <c r="P2423" s="21">
        <v>35</v>
      </c>
      <c r="Q2423" s="10" t="s">
        <v>54</v>
      </c>
      <c r="R2423" s="10" t="s">
        <v>28</v>
      </c>
      <c r="S2423" s="10"/>
      <c r="T2423" s="10"/>
      <c r="U2423" s="10" t="s">
        <v>2864</v>
      </c>
      <c r="V2423" s="10" t="s">
        <v>2864</v>
      </c>
      <c r="W2423" s="50">
        <f>+J2423/$W$2</f>
        <v>2.9452039316306601E-4</v>
      </c>
    </row>
    <row r="2424" spans="1:29">
      <c r="A2424" s="10" t="s">
        <v>2164</v>
      </c>
      <c r="B2424" s="10" t="s">
        <v>381</v>
      </c>
      <c r="C2424" s="124">
        <v>46428</v>
      </c>
      <c r="D2424" s="124" t="s">
        <v>492</v>
      </c>
      <c r="E2424" s="21">
        <v>0.89487112999999996</v>
      </c>
      <c r="F2424" s="10"/>
      <c r="G2424" s="14">
        <v>13000000</v>
      </c>
      <c r="H2424" s="14">
        <v>11633324.75</v>
      </c>
      <c r="I2424" s="14">
        <v>13000000</v>
      </c>
      <c r="J2424" s="14">
        <v>11633324.75</v>
      </c>
      <c r="K2424" s="12">
        <v>1309</v>
      </c>
      <c r="L2424" s="10" t="s">
        <v>101</v>
      </c>
      <c r="M2424" s="10" t="s">
        <v>102</v>
      </c>
      <c r="N2424" s="124" t="s">
        <v>416</v>
      </c>
      <c r="O2424" s="124" t="s">
        <v>416</v>
      </c>
      <c r="P2424" s="21">
        <v>32</v>
      </c>
      <c r="Q2424" s="10" t="s">
        <v>54</v>
      </c>
      <c r="R2424" s="10" t="s">
        <v>28</v>
      </c>
      <c r="S2424" s="10"/>
      <c r="T2424" s="10"/>
      <c r="U2424" s="10" t="s">
        <v>2138</v>
      </c>
      <c r="V2424" s="10" t="s">
        <v>2138</v>
      </c>
      <c r="W2424" s="50">
        <f>+J2424/$W$2</f>
        <v>1.5466003647758247E-4</v>
      </c>
    </row>
    <row r="2425" spans="1:29">
      <c r="A2425" s="10" t="s">
        <v>785</v>
      </c>
      <c r="B2425" s="10" t="s">
        <v>381</v>
      </c>
      <c r="C2425" s="124">
        <v>46428</v>
      </c>
      <c r="D2425" s="124" t="s">
        <v>492</v>
      </c>
      <c r="E2425" s="21">
        <v>0.90078986000000005</v>
      </c>
      <c r="F2425" s="10"/>
      <c r="G2425" s="14">
        <v>12500000</v>
      </c>
      <c r="H2425" s="14">
        <v>11259873.310000001</v>
      </c>
      <c r="I2425" s="14">
        <v>12500000</v>
      </c>
      <c r="J2425" s="14">
        <v>11259873.310000001</v>
      </c>
      <c r="K2425" s="12">
        <v>240</v>
      </c>
      <c r="L2425" s="10" t="s">
        <v>101</v>
      </c>
      <c r="M2425" s="10" t="s">
        <v>102</v>
      </c>
      <c r="N2425" s="124" t="s">
        <v>333</v>
      </c>
      <c r="O2425" s="124" t="s">
        <v>333</v>
      </c>
      <c r="P2425" s="21">
        <v>30</v>
      </c>
      <c r="Q2425" s="10" t="s">
        <v>54</v>
      </c>
      <c r="R2425" s="10" t="s">
        <v>28</v>
      </c>
      <c r="S2425" s="10"/>
      <c r="T2425" s="10"/>
      <c r="U2425" s="10" t="s">
        <v>771</v>
      </c>
      <c r="V2425" s="10" t="s">
        <v>771</v>
      </c>
      <c r="W2425" s="50">
        <f>+J2425/$W$2</f>
        <v>1.4969516060811053E-4</v>
      </c>
    </row>
    <row r="2426" spans="1:29">
      <c r="A2426" s="10" t="s">
        <v>2770</v>
      </c>
      <c r="B2426" s="10" t="s">
        <v>381</v>
      </c>
      <c r="C2426" s="124">
        <v>46428</v>
      </c>
      <c r="D2426" s="124" t="s">
        <v>492</v>
      </c>
      <c r="E2426" s="21">
        <v>0.89194077000000005</v>
      </c>
      <c r="F2426" s="10"/>
      <c r="G2426" s="14">
        <v>27000000</v>
      </c>
      <c r="H2426" s="14">
        <v>24082400.670000002</v>
      </c>
      <c r="I2426" s="14">
        <v>27000000</v>
      </c>
      <c r="J2426" s="14">
        <v>24082400.670000002</v>
      </c>
      <c r="K2426" s="12">
        <v>80314322</v>
      </c>
      <c r="L2426" s="10" t="s">
        <v>101</v>
      </c>
      <c r="M2426" s="10" t="s">
        <v>102</v>
      </c>
      <c r="N2426" s="124" t="s">
        <v>422</v>
      </c>
      <c r="O2426" s="124" t="s">
        <v>422</v>
      </c>
      <c r="P2426" s="21">
        <v>33</v>
      </c>
      <c r="Q2426" s="10" t="s">
        <v>54</v>
      </c>
      <c r="R2426" s="10" t="s">
        <v>28</v>
      </c>
      <c r="S2426" s="10"/>
      <c r="T2426" s="10"/>
      <c r="U2426" s="10" t="s">
        <v>2739</v>
      </c>
      <c r="V2426" s="10" t="s">
        <v>2739</v>
      </c>
      <c r="W2426" s="50">
        <f>+J2426/$W$2</f>
        <v>3.2016513302355432E-4</v>
      </c>
    </row>
    <row r="2427" spans="1:29">
      <c r="A2427" s="10" t="s">
        <v>477</v>
      </c>
      <c r="B2427" s="10" t="s">
        <v>381</v>
      </c>
      <c r="C2427" s="124">
        <v>46429</v>
      </c>
      <c r="D2427" s="124" t="s">
        <v>492</v>
      </c>
      <c r="E2427" s="21">
        <v>0.89122230000000002</v>
      </c>
      <c r="F2427" s="10"/>
      <c r="G2427" s="14">
        <v>10000000</v>
      </c>
      <c r="H2427" s="14">
        <v>8912222.9600000009</v>
      </c>
      <c r="I2427" s="14">
        <v>10000000</v>
      </c>
      <c r="J2427" s="14">
        <v>8912222.9600000009</v>
      </c>
      <c r="K2427" s="12">
        <v>2285692</v>
      </c>
      <c r="L2427" s="10" t="s">
        <v>101</v>
      </c>
      <c r="M2427" s="10" t="s">
        <v>102</v>
      </c>
      <c r="N2427" s="124" t="s">
        <v>551</v>
      </c>
      <c r="O2427" s="124" t="s">
        <v>551</v>
      </c>
      <c r="P2427" s="21">
        <v>33</v>
      </c>
      <c r="Q2427" s="10" t="s">
        <v>54</v>
      </c>
      <c r="R2427" s="10" t="s">
        <v>28</v>
      </c>
      <c r="S2427" s="10"/>
      <c r="T2427" s="10"/>
      <c r="U2427" s="10" t="s">
        <v>2190</v>
      </c>
      <c r="V2427" s="10" t="s">
        <v>2190</v>
      </c>
      <c r="W2427" s="50">
        <f>+J2427/$W$2</f>
        <v>1.1848416146810894E-4</v>
      </c>
    </row>
    <row r="2428" spans="1:29">
      <c r="A2428" s="10" t="s">
        <v>477</v>
      </c>
      <c r="B2428" s="10" t="s">
        <v>381</v>
      </c>
      <c r="C2428" s="124">
        <v>46429</v>
      </c>
      <c r="D2428" s="124" t="s">
        <v>492</v>
      </c>
      <c r="E2428" s="21">
        <v>0.90012345000000005</v>
      </c>
      <c r="F2428" s="10"/>
      <c r="G2428" s="14">
        <v>5000000</v>
      </c>
      <c r="H2428" s="14">
        <v>4500617.2699999996</v>
      </c>
      <c r="I2428" s="14">
        <v>5000000</v>
      </c>
      <c r="J2428" s="14">
        <v>4500617.2699999996</v>
      </c>
      <c r="K2428" s="12">
        <v>40810975</v>
      </c>
      <c r="L2428" s="10" t="s">
        <v>101</v>
      </c>
      <c r="M2428" s="10" t="s">
        <v>102</v>
      </c>
      <c r="N2428" s="124" t="s">
        <v>677</v>
      </c>
      <c r="O2428" s="124" t="s">
        <v>677</v>
      </c>
      <c r="P2428" s="21">
        <v>30</v>
      </c>
      <c r="Q2428" s="10" t="s">
        <v>54</v>
      </c>
      <c r="R2428" s="10" t="s">
        <v>28</v>
      </c>
      <c r="S2428" s="10"/>
      <c r="T2428" s="10"/>
      <c r="U2428" s="10" t="s">
        <v>3286</v>
      </c>
      <c r="V2428" s="10" t="s">
        <v>3286</v>
      </c>
      <c r="W2428" s="50">
        <f>+J2428/$W$2</f>
        <v>5.9833766022034034E-5</v>
      </c>
    </row>
    <row r="2429" spans="1:29">
      <c r="A2429" s="10" t="s">
        <v>1471</v>
      </c>
      <c r="B2429" s="10" t="s">
        <v>381</v>
      </c>
      <c r="C2429" s="124">
        <v>46429</v>
      </c>
      <c r="D2429" s="124" t="s">
        <v>492</v>
      </c>
      <c r="E2429" s="21">
        <v>0.88538508000000005</v>
      </c>
      <c r="F2429" s="10"/>
      <c r="G2429" s="14">
        <v>25000000</v>
      </c>
      <c r="H2429" s="14">
        <v>22134627.050000001</v>
      </c>
      <c r="I2429" s="14">
        <v>25000000</v>
      </c>
      <c r="J2429" s="14">
        <v>22134627.050000001</v>
      </c>
      <c r="K2429" s="12">
        <v>1151</v>
      </c>
      <c r="L2429" s="10" t="s">
        <v>101</v>
      </c>
      <c r="M2429" s="10" t="s">
        <v>102</v>
      </c>
      <c r="N2429" s="124" t="s">
        <v>486</v>
      </c>
      <c r="O2429" s="124" t="s">
        <v>486</v>
      </c>
      <c r="P2429" s="21">
        <v>35</v>
      </c>
      <c r="Q2429" s="10" t="s">
        <v>54</v>
      </c>
      <c r="R2429" s="10" t="s">
        <v>28</v>
      </c>
      <c r="S2429" s="10"/>
      <c r="T2429" s="10"/>
      <c r="U2429" s="10" t="s">
        <v>2866</v>
      </c>
      <c r="V2429" s="10" t="s">
        <v>2866</v>
      </c>
      <c r="W2429" s="50">
        <f>+J2429/$W$2</f>
        <v>2.9427032258948015E-4</v>
      </c>
    </row>
    <row r="2430" spans="1:29">
      <c r="A2430" s="10" t="s">
        <v>763</v>
      </c>
      <c r="B2430" s="10" t="s">
        <v>381</v>
      </c>
      <c r="C2430" s="124">
        <v>46429</v>
      </c>
      <c r="D2430" s="124" t="s">
        <v>492</v>
      </c>
      <c r="E2430" s="21">
        <v>0.90615694999999996</v>
      </c>
      <c r="F2430" s="10"/>
      <c r="G2430" s="14">
        <v>74495580</v>
      </c>
      <c r="H2430" s="14">
        <v>67504687.579999998</v>
      </c>
      <c r="I2430" s="14">
        <v>74495580</v>
      </c>
      <c r="J2430" s="14">
        <v>67504687.579999998</v>
      </c>
      <c r="K2430" s="12">
        <v>155357</v>
      </c>
      <c r="L2430" s="10" t="s">
        <v>101</v>
      </c>
      <c r="M2430" s="10" t="s">
        <v>102</v>
      </c>
      <c r="N2430" s="124" t="s">
        <v>305</v>
      </c>
      <c r="O2430" s="124" t="s">
        <v>305</v>
      </c>
      <c r="P2430" s="21">
        <v>28</v>
      </c>
      <c r="Q2430" s="10" t="s">
        <v>54</v>
      </c>
      <c r="R2430" s="10" t="s">
        <v>28</v>
      </c>
      <c r="S2430" s="10"/>
      <c r="T2430" s="10"/>
      <c r="U2430" s="10" t="s">
        <v>755</v>
      </c>
      <c r="V2430" s="10" t="s">
        <v>755</v>
      </c>
      <c r="W2430" s="50">
        <f>+J2430/$W$2</f>
        <v>8.9744571460799352E-4</v>
      </c>
    </row>
    <row r="2431" spans="1:29">
      <c r="A2431" s="10" t="s">
        <v>1471</v>
      </c>
      <c r="B2431" s="10" t="s">
        <v>381</v>
      </c>
      <c r="C2431" s="124">
        <v>46429</v>
      </c>
      <c r="D2431" s="124" t="s">
        <v>492</v>
      </c>
      <c r="E2431" s="21">
        <v>0.88538508000000005</v>
      </c>
      <c r="F2431" s="10"/>
      <c r="G2431" s="14">
        <v>25000000</v>
      </c>
      <c r="H2431" s="14">
        <v>22134627.050000001</v>
      </c>
      <c r="I2431" s="14">
        <v>25000000</v>
      </c>
      <c r="J2431" s="14">
        <v>22134627.050000001</v>
      </c>
      <c r="K2431" s="12">
        <v>1152</v>
      </c>
      <c r="L2431" s="10" t="s">
        <v>101</v>
      </c>
      <c r="M2431" s="10" t="s">
        <v>102</v>
      </c>
      <c r="N2431" s="124" t="s">
        <v>486</v>
      </c>
      <c r="O2431" s="124" t="s">
        <v>486</v>
      </c>
      <c r="P2431" s="21">
        <v>35</v>
      </c>
      <c r="Q2431" s="10" t="s">
        <v>54</v>
      </c>
      <c r="R2431" s="10" t="s">
        <v>28</v>
      </c>
      <c r="S2431" s="10"/>
      <c r="T2431" s="10"/>
      <c r="U2431" s="10" t="s">
        <v>2863</v>
      </c>
      <c r="V2431" s="10" t="s">
        <v>2863</v>
      </c>
      <c r="W2431" s="50">
        <f>+J2431/$W$2</f>
        <v>2.9427032258948015E-4</v>
      </c>
      <c r="AC2431"/>
    </row>
    <row r="2432" spans="1:29">
      <c r="A2432" s="10" t="s">
        <v>404</v>
      </c>
      <c r="B2432" s="10" t="s">
        <v>381</v>
      </c>
      <c r="C2432" s="124">
        <v>46429</v>
      </c>
      <c r="D2432" s="124" t="s">
        <v>492</v>
      </c>
      <c r="E2432" s="21">
        <v>0.90012347000000004</v>
      </c>
      <c r="F2432" s="10"/>
      <c r="G2432" s="14">
        <v>5000000</v>
      </c>
      <c r="H2432" s="14">
        <v>4500617.33</v>
      </c>
      <c r="I2432" s="14">
        <v>5000000</v>
      </c>
      <c r="J2432" s="14">
        <v>4500617.33</v>
      </c>
      <c r="K2432" s="12">
        <v>1035</v>
      </c>
      <c r="L2432" s="10" t="s">
        <v>101</v>
      </c>
      <c r="M2432" s="10" t="s">
        <v>102</v>
      </c>
      <c r="N2432" s="124" t="s">
        <v>422</v>
      </c>
      <c r="O2432" s="124" t="s">
        <v>422</v>
      </c>
      <c r="P2432" s="21">
        <v>30</v>
      </c>
      <c r="Q2432" s="10" t="s">
        <v>54</v>
      </c>
      <c r="R2432" s="10" t="s">
        <v>28</v>
      </c>
      <c r="S2432" s="10"/>
      <c r="T2432" s="10"/>
      <c r="U2432" s="10" t="s">
        <v>2708</v>
      </c>
      <c r="V2432" s="10" t="s">
        <v>2708</v>
      </c>
      <c r="W2432" s="50">
        <f>+J2432/$W$2</f>
        <v>5.9833766819708169E-5</v>
      </c>
    </row>
    <row r="2433" spans="1:29">
      <c r="A2433" s="10" t="s">
        <v>3261</v>
      </c>
      <c r="B2433" s="10" t="s">
        <v>381</v>
      </c>
      <c r="C2433" s="124">
        <v>46430</v>
      </c>
      <c r="D2433" s="124" t="s">
        <v>492</v>
      </c>
      <c r="E2433" s="21">
        <v>0.89050456</v>
      </c>
      <c r="F2433" s="10"/>
      <c r="G2433" s="14">
        <v>6006148</v>
      </c>
      <c r="H2433" s="14">
        <v>5348502.1900000004</v>
      </c>
      <c r="I2433" s="14">
        <v>6006148</v>
      </c>
      <c r="J2433" s="14">
        <v>5348502.1900000004</v>
      </c>
      <c r="K2433" s="12">
        <v>1370659</v>
      </c>
      <c r="L2433" s="10" t="s">
        <v>101</v>
      </c>
      <c r="M2433" s="10" t="s">
        <v>102</v>
      </c>
      <c r="N2433" s="124" t="s">
        <v>472</v>
      </c>
      <c r="O2433" s="124" t="s">
        <v>472</v>
      </c>
      <c r="P2433" s="21">
        <v>33</v>
      </c>
      <c r="Q2433" s="10" t="s">
        <v>54</v>
      </c>
      <c r="R2433" s="10" t="s">
        <v>28</v>
      </c>
      <c r="S2433" s="10"/>
      <c r="T2433" s="10"/>
      <c r="U2433" s="10" t="s">
        <v>3245</v>
      </c>
      <c r="V2433" s="10" t="s">
        <v>3245</v>
      </c>
      <c r="W2433" s="50">
        <f>+J2433/$W$2</f>
        <v>7.1106030441196933E-5</v>
      </c>
    </row>
    <row r="2434" spans="1:29">
      <c r="A2434" s="10" t="s">
        <v>576</v>
      </c>
      <c r="B2434" s="10" t="s">
        <v>381</v>
      </c>
      <c r="C2434" s="124">
        <v>46430</v>
      </c>
      <c r="D2434" s="124" t="s">
        <v>492</v>
      </c>
      <c r="E2434" s="21">
        <v>0.90552745999999995</v>
      </c>
      <c r="F2434" s="10"/>
      <c r="G2434" s="14">
        <v>50000000</v>
      </c>
      <c r="H2434" s="14">
        <v>45276373.159999996</v>
      </c>
      <c r="I2434" s="14">
        <v>50000000</v>
      </c>
      <c r="J2434" s="14">
        <v>45276373.159999996</v>
      </c>
      <c r="K2434" s="12">
        <v>68036</v>
      </c>
      <c r="L2434" s="10" t="s">
        <v>101</v>
      </c>
      <c r="M2434" s="10" t="s">
        <v>102</v>
      </c>
      <c r="N2434" s="124" t="s">
        <v>322</v>
      </c>
      <c r="O2434" s="124" t="s">
        <v>322</v>
      </c>
      <c r="P2434" s="21">
        <v>28</v>
      </c>
      <c r="Q2434" s="10" t="s">
        <v>54</v>
      </c>
      <c r="R2434" s="10" t="s">
        <v>28</v>
      </c>
      <c r="S2434" s="10"/>
      <c r="T2434" s="10"/>
      <c r="U2434" s="10" t="s">
        <v>1526</v>
      </c>
      <c r="V2434" s="10" t="s">
        <v>1526</v>
      </c>
      <c r="W2434" s="50">
        <f>+J2434/$W$2</f>
        <v>6.0192985883061802E-4</v>
      </c>
    </row>
    <row r="2435" spans="1:29">
      <c r="A2435" s="10" t="s">
        <v>2288</v>
      </c>
      <c r="B2435" s="10" t="s">
        <v>381</v>
      </c>
      <c r="C2435" s="124">
        <v>46430</v>
      </c>
      <c r="D2435" s="124" t="s">
        <v>492</v>
      </c>
      <c r="E2435" s="21">
        <v>0.89645353999999999</v>
      </c>
      <c r="F2435" s="10"/>
      <c r="G2435" s="14">
        <v>9990457.7699999996</v>
      </c>
      <c r="H2435" s="14">
        <v>8955981.2300000004</v>
      </c>
      <c r="I2435" s="14">
        <v>9990457.7699999996</v>
      </c>
      <c r="J2435" s="14">
        <v>8955981.2300000004</v>
      </c>
      <c r="K2435" s="12">
        <v>3018</v>
      </c>
      <c r="L2435" s="10" t="s">
        <v>101</v>
      </c>
      <c r="M2435" s="10" t="s">
        <v>102</v>
      </c>
      <c r="N2435" s="124" t="s">
        <v>536</v>
      </c>
      <c r="O2435" s="124" t="s">
        <v>536</v>
      </c>
      <c r="P2435" s="21">
        <v>31</v>
      </c>
      <c r="Q2435" s="10" t="s">
        <v>54</v>
      </c>
      <c r="R2435" s="10" t="s">
        <v>28</v>
      </c>
      <c r="S2435" s="10"/>
      <c r="T2435" s="10"/>
      <c r="U2435" s="10" t="s">
        <v>2308</v>
      </c>
      <c r="V2435" s="10" t="s">
        <v>2308</v>
      </c>
      <c r="W2435" s="50">
        <f>+J2435/$W$2</f>
        <v>1.1906590880000526E-4</v>
      </c>
    </row>
    <row r="2436" spans="1:29">
      <c r="A2436" s="10" t="s">
        <v>2611</v>
      </c>
      <c r="B2436" s="10" t="s">
        <v>381</v>
      </c>
      <c r="C2436" s="124">
        <v>46430</v>
      </c>
      <c r="D2436" s="124" t="s">
        <v>492</v>
      </c>
      <c r="E2436" s="21">
        <v>0.89346932999999995</v>
      </c>
      <c r="F2436" s="10"/>
      <c r="G2436" s="14">
        <v>353613.17</v>
      </c>
      <c r="H2436" s="14">
        <v>315942.52</v>
      </c>
      <c r="I2436" s="14">
        <v>353613.17</v>
      </c>
      <c r="J2436" s="14">
        <v>315942.52</v>
      </c>
      <c r="K2436" s="12">
        <v>2860</v>
      </c>
      <c r="L2436" s="10" t="s">
        <v>101</v>
      </c>
      <c r="M2436" s="10" t="s">
        <v>102</v>
      </c>
      <c r="N2436" s="124" t="s">
        <v>423</v>
      </c>
      <c r="O2436" s="124" t="s">
        <v>423</v>
      </c>
      <c r="P2436" s="21">
        <v>32</v>
      </c>
      <c r="Q2436" s="10" t="s">
        <v>54</v>
      </c>
      <c r="R2436" s="10" t="s">
        <v>28</v>
      </c>
      <c r="S2436" s="10"/>
      <c r="T2436" s="10"/>
      <c r="U2436" s="10" t="s">
        <v>2539</v>
      </c>
      <c r="V2436" s="10" t="s">
        <v>2539</v>
      </c>
      <c r="W2436" s="50">
        <f>+J2436/$W$2</f>
        <v>4.2003195748506315E-6</v>
      </c>
    </row>
    <row r="2437" spans="1:29">
      <c r="A2437" s="10" t="s">
        <v>2614</v>
      </c>
      <c r="B2437" s="10" t="s">
        <v>381</v>
      </c>
      <c r="C2437" s="124">
        <v>46430</v>
      </c>
      <c r="D2437" s="124" t="s">
        <v>492</v>
      </c>
      <c r="E2437" s="21">
        <v>0.89346932000000001</v>
      </c>
      <c r="F2437" s="10"/>
      <c r="G2437" s="14">
        <v>8123170.71</v>
      </c>
      <c r="H2437" s="14">
        <v>7257803.7800000003</v>
      </c>
      <c r="I2437" s="14">
        <v>8123170.71</v>
      </c>
      <c r="J2437" s="14">
        <v>7257803.7800000003</v>
      </c>
      <c r="K2437" s="12">
        <v>11247</v>
      </c>
      <c r="L2437" s="10" t="s">
        <v>101</v>
      </c>
      <c r="M2437" s="10" t="s">
        <v>102</v>
      </c>
      <c r="N2437" s="124" t="s">
        <v>423</v>
      </c>
      <c r="O2437" s="124" t="s">
        <v>423</v>
      </c>
      <c r="P2437" s="21">
        <v>32</v>
      </c>
      <c r="Q2437" s="10" t="s">
        <v>54</v>
      </c>
      <c r="R2437" s="10" t="s">
        <v>28</v>
      </c>
      <c r="S2437" s="10"/>
      <c r="T2437" s="10"/>
      <c r="U2437" s="10" t="s">
        <v>2553</v>
      </c>
      <c r="V2437" s="10" t="s">
        <v>2553</v>
      </c>
      <c r="W2437" s="50">
        <f>+J2437/$W$2</f>
        <v>9.6489371824846199E-5</v>
      </c>
      <c r="AC2437" s="47"/>
    </row>
    <row r="2438" spans="1:29">
      <c r="A2438" s="10" t="s">
        <v>2915</v>
      </c>
      <c r="B2438" s="10" t="s">
        <v>381</v>
      </c>
      <c r="C2438" s="124">
        <v>46430</v>
      </c>
      <c r="D2438" s="124" t="s">
        <v>492</v>
      </c>
      <c r="E2438" s="21">
        <v>0.89945805000000001</v>
      </c>
      <c r="F2438" s="10"/>
      <c r="G2438" s="14">
        <v>3000000</v>
      </c>
      <c r="H2438" s="14">
        <v>2698374.16</v>
      </c>
      <c r="I2438" s="14">
        <v>3000000</v>
      </c>
      <c r="J2438" s="14">
        <v>2698374.16</v>
      </c>
      <c r="K2438" s="12">
        <v>3897147</v>
      </c>
      <c r="L2438" s="10" t="s">
        <v>101</v>
      </c>
      <c r="M2438" s="10" t="s">
        <v>102</v>
      </c>
      <c r="N2438" s="124" t="s">
        <v>532</v>
      </c>
      <c r="O2438" s="124" t="s">
        <v>532</v>
      </c>
      <c r="P2438" s="21">
        <v>30</v>
      </c>
      <c r="Q2438" s="10" t="s">
        <v>54</v>
      </c>
      <c r="R2438" s="10" t="s">
        <v>28</v>
      </c>
      <c r="S2438" s="10"/>
      <c r="T2438" s="10"/>
      <c r="U2438" s="10" t="s">
        <v>3015</v>
      </c>
      <c r="V2438" s="10" t="s">
        <v>3015</v>
      </c>
      <c r="W2438" s="50">
        <f>+J2438/$W$2</f>
        <v>3.5873720968355668E-5</v>
      </c>
    </row>
    <row r="2439" spans="1:29">
      <c r="A2439" s="10" t="s">
        <v>2615</v>
      </c>
      <c r="B2439" s="10" t="s">
        <v>381</v>
      </c>
      <c r="C2439" s="124">
        <v>46433</v>
      </c>
      <c r="D2439" s="124" t="s">
        <v>492</v>
      </c>
      <c r="E2439" s="21">
        <v>0.89137443999999999</v>
      </c>
      <c r="F2439" s="10"/>
      <c r="G2439" s="14">
        <v>1129854.56</v>
      </c>
      <c r="H2439" s="14">
        <v>1007123.48</v>
      </c>
      <c r="I2439" s="14">
        <v>1129854.56</v>
      </c>
      <c r="J2439" s="14">
        <v>1007123.48</v>
      </c>
      <c r="K2439" s="12">
        <v>1027</v>
      </c>
      <c r="L2439" s="10" t="s">
        <v>101</v>
      </c>
      <c r="M2439" s="10" t="s">
        <v>102</v>
      </c>
      <c r="N2439" s="124" t="s">
        <v>423</v>
      </c>
      <c r="O2439" s="124" t="s">
        <v>423</v>
      </c>
      <c r="P2439" s="21">
        <v>32</v>
      </c>
      <c r="Q2439" s="10" t="s">
        <v>54</v>
      </c>
      <c r="R2439" s="10" t="s">
        <v>28</v>
      </c>
      <c r="S2439" s="10"/>
      <c r="T2439" s="10"/>
      <c r="U2439" s="10" t="s">
        <v>2561</v>
      </c>
      <c r="V2439" s="10" t="s">
        <v>2561</v>
      </c>
      <c r="W2439" s="50">
        <f>+J2439/$W$2</f>
        <v>1.3389272413651978E-5</v>
      </c>
    </row>
    <row r="2440" spans="1:29">
      <c r="A2440" s="10" t="s">
        <v>464</v>
      </c>
      <c r="B2440" s="10" t="s">
        <v>125</v>
      </c>
      <c r="C2440" s="124">
        <v>46433</v>
      </c>
      <c r="D2440" s="124" t="s">
        <v>492</v>
      </c>
      <c r="E2440" s="21">
        <v>0.97043279999999998</v>
      </c>
      <c r="F2440" s="10" t="s">
        <v>3573</v>
      </c>
      <c r="G2440" s="14">
        <v>18230</v>
      </c>
      <c r="H2440" s="14">
        <v>17690.990000000002</v>
      </c>
      <c r="I2440" s="14">
        <v>27781968.690000001</v>
      </c>
      <c r="J2440" s="14">
        <v>26960533.760000002</v>
      </c>
      <c r="K2440" s="12">
        <v>146450</v>
      </c>
      <c r="L2440" s="10" t="s">
        <v>101</v>
      </c>
      <c r="M2440" s="10" t="s">
        <v>102</v>
      </c>
      <c r="N2440" s="124" t="s">
        <v>301</v>
      </c>
      <c r="O2440" s="124" t="s">
        <v>301</v>
      </c>
      <c r="P2440" s="21">
        <v>8</v>
      </c>
      <c r="Q2440" s="10" t="s">
        <v>54</v>
      </c>
      <c r="R2440" s="10" t="s">
        <v>28</v>
      </c>
      <c r="S2440" s="10"/>
      <c r="T2440" s="10"/>
      <c r="U2440" s="10" t="s">
        <v>461</v>
      </c>
      <c r="V2440" s="10" t="s">
        <v>461</v>
      </c>
      <c r="W2440" s="50">
        <f>+J2440/$W$2</f>
        <v>3.5842867145754646E-4</v>
      </c>
    </row>
    <row r="2441" spans="1:29">
      <c r="A2441" s="10" t="s">
        <v>477</v>
      </c>
      <c r="B2441" s="10" t="s">
        <v>381</v>
      </c>
      <c r="C2441" s="124">
        <v>46434</v>
      </c>
      <c r="D2441" s="124" t="s">
        <v>492</v>
      </c>
      <c r="E2441" s="21">
        <v>0.89373177999999998</v>
      </c>
      <c r="F2441" s="10"/>
      <c r="G2441" s="14">
        <v>3700000</v>
      </c>
      <c r="H2441" s="14">
        <v>3306807.6</v>
      </c>
      <c r="I2441" s="14">
        <v>3700000</v>
      </c>
      <c r="J2441" s="14">
        <v>3306807.6</v>
      </c>
      <c r="K2441" s="12">
        <v>164553</v>
      </c>
      <c r="L2441" s="10" t="s">
        <v>101</v>
      </c>
      <c r="M2441" s="10" t="s">
        <v>102</v>
      </c>
      <c r="N2441" s="124" t="s">
        <v>486</v>
      </c>
      <c r="O2441" s="124" t="s">
        <v>486</v>
      </c>
      <c r="P2441" s="21">
        <v>31</v>
      </c>
      <c r="Q2441" s="10" t="s">
        <v>54</v>
      </c>
      <c r="R2441" s="10" t="s">
        <v>28</v>
      </c>
      <c r="S2441" s="10"/>
      <c r="T2441" s="10"/>
      <c r="U2441" s="10" t="s">
        <v>2788</v>
      </c>
      <c r="V2441" s="10" t="s">
        <v>2788</v>
      </c>
      <c r="W2441" s="50">
        <f>+J2441/$W$2</f>
        <v>4.3962581207951487E-5</v>
      </c>
    </row>
    <row r="2442" spans="1:29">
      <c r="A2442" s="10" t="s">
        <v>2613</v>
      </c>
      <c r="B2442" s="10" t="s">
        <v>381</v>
      </c>
      <c r="C2442" s="124">
        <v>46434</v>
      </c>
      <c r="D2442" s="124" t="s">
        <v>492</v>
      </c>
      <c r="E2442" s="21">
        <v>0.89067856000000001</v>
      </c>
      <c r="F2442" s="10"/>
      <c r="G2442" s="14">
        <v>1264579.98</v>
      </c>
      <c r="H2442" s="14">
        <v>1126334.28</v>
      </c>
      <c r="I2442" s="14">
        <v>1264579.98</v>
      </c>
      <c r="J2442" s="14">
        <v>1126334.28</v>
      </c>
      <c r="K2442" s="12">
        <v>798</v>
      </c>
      <c r="L2442" s="10" t="s">
        <v>101</v>
      </c>
      <c r="M2442" s="10" t="s">
        <v>102</v>
      </c>
      <c r="N2442" s="124" t="s">
        <v>423</v>
      </c>
      <c r="O2442" s="124" t="s">
        <v>423</v>
      </c>
      <c r="P2442" s="21">
        <v>32</v>
      </c>
      <c r="Q2442" s="10" t="s">
        <v>54</v>
      </c>
      <c r="R2442" s="10" t="s">
        <v>28</v>
      </c>
      <c r="S2442" s="10"/>
      <c r="T2442" s="10"/>
      <c r="U2442" s="10" t="s">
        <v>2546</v>
      </c>
      <c r="V2442" s="10" t="s">
        <v>2546</v>
      </c>
      <c r="W2442" s="50">
        <f>+J2442/$W$2</f>
        <v>1.4974128598168085E-5</v>
      </c>
    </row>
    <row r="2443" spans="1:29">
      <c r="A2443" s="10" t="s">
        <v>267</v>
      </c>
      <c r="B2443" s="10" t="s">
        <v>381</v>
      </c>
      <c r="C2443" s="124">
        <v>46434</v>
      </c>
      <c r="D2443" s="124" t="s">
        <v>492</v>
      </c>
      <c r="E2443" s="21">
        <v>0.89067852999999997</v>
      </c>
      <c r="F2443" s="10"/>
      <c r="G2443" s="14">
        <v>50000000</v>
      </c>
      <c r="H2443" s="14">
        <v>44533926.289999999</v>
      </c>
      <c r="I2443" s="14">
        <v>50000000</v>
      </c>
      <c r="J2443" s="14">
        <v>44533926.289999999</v>
      </c>
      <c r="K2443" s="12">
        <v>40679255</v>
      </c>
      <c r="L2443" s="10" t="s">
        <v>101</v>
      </c>
      <c r="M2443" s="10" t="s">
        <v>102</v>
      </c>
      <c r="N2443" s="124" t="s">
        <v>436</v>
      </c>
      <c r="O2443" s="124" t="s">
        <v>436</v>
      </c>
      <c r="P2443" s="21">
        <v>32</v>
      </c>
      <c r="Q2443" s="10" t="s">
        <v>54</v>
      </c>
      <c r="R2443" s="10" t="s">
        <v>28</v>
      </c>
      <c r="S2443" s="10"/>
      <c r="T2443" s="10"/>
      <c r="U2443" s="10" t="s">
        <v>1927</v>
      </c>
      <c r="V2443" s="10" t="s">
        <v>1927</v>
      </c>
      <c r="W2443" s="50">
        <f>+J2443/$W$2</f>
        <v>5.9205934782327542E-4</v>
      </c>
    </row>
    <row r="2444" spans="1:29">
      <c r="A2444" s="10" t="s">
        <v>785</v>
      </c>
      <c r="B2444" s="10" t="s">
        <v>381</v>
      </c>
      <c r="C2444" s="124">
        <v>46434</v>
      </c>
      <c r="D2444" s="124" t="s">
        <v>492</v>
      </c>
      <c r="E2444" s="21">
        <v>0.89680592999999997</v>
      </c>
      <c r="F2444" s="10"/>
      <c r="G2444" s="14">
        <v>12500000</v>
      </c>
      <c r="H2444" s="14">
        <v>11210074.17</v>
      </c>
      <c r="I2444" s="14">
        <v>12500000</v>
      </c>
      <c r="J2444" s="14">
        <v>11210074.17</v>
      </c>
      <c r="K2444" s="12">
        <v>241</v>
      </c>
      <c r="L2444" s="10" t="s">
        <v>101</v>
      </c>
      <c r="M2444" s="10" t="s">
        <v>102</v>
      </c>
      <c r="N2444" s="124" t="s">
        <v>333</v>
      </c>
      <c r="O2444" s="124" t="s">
        <v>333</v>
      </c>
      <c r="P2444" s="21">
        <v>30</v>
      </c>
      <c r="Q2444" s="10" t="s">
        <v>54</v>
      </c>
      <c r="R2444" s="10" t="s">
        <v>28</v>
      </c>
      <c r="S2444" s="10"/>
      <c r="T2444" s="10"/>
      <c r="U2444" s="10" t="s">
        <v>773</v>
      </c>
      <c r="V2444" s="10" t="s">
        <v>773</v>
      </c>
      <c r="W2444" s="50">
        <f>+J2444/$W$2</f>
        <v>1.4903310251427519E-4</v>
      </c>
    </row>
    <row r="2445" spans="1:29">
      <c r="A2445" s="10" t="s">
        <v>477</v>
      </c>
      <c r="B2445" s="10" t="s">
        <v>381</v>
      </c>
      <c r="C2445" s="124">
        <v>46435</v>
      </c>
      <c r="D2445" s="124" t="s">
        <v>492</v>
      </c>
      <c r="E2445" s="21">
        <v>0.89614552000000003</v>
      </c>
      <c r="F2445" s="10"/>
      <c r="G2445" s="14">
        <v>35000000</v>
      </c>
      <c r="H2445" s="14">
        <v>31365093.350000001</v>
      </c>
      <c r="I2445" s="14">
        <v>35000000</v>
      </c>
      <c r="J2445" s="14">
        <v>31365093.350000001</v>
      </c>
      <c r="K2445" s="12">
        <v>509301</v>
      </c>
      <c r="L2445" s="10" t="s">
        <v>101</v>
      </c>
      <c r="M2445" s="10" t="s">
        <v>102</v>
      </c>
      <c r="N2445" s="124" t="s">
        <v>420</v>
      </c>
      <c r="O2445" s="124" t="s">
        <v>420</v>
      </c>
      <c r="P2445" s="21">
        <v>30</v>
      </c>
      <c r="Q2445" s="10" t="s">
        <v>54</v>
      </c>
      <c r="R2445" s="10" t="s">
        <v>28</v>
      </c>
      <c r="S2445" s="10"/>
      <c r="T2445" s="10"/>
      <c r="U2445" s="10" t="s">
        <v>2636</v>
      </c>
      <c r="V2445" s="10" t="s">
        <v>2636</v>
      </c>
      <c r="W2445" s="50">
        <f>+J2445/$W$2</f>
        <v>4.1698539204226885E-4</v>
      </c>
    </row>
    <row r="2446" spans="1:29">
      <c r="A2446" s="10" t="s">
        <v>2699</v>
      </c>
      <c r="B2446" s="10" t="s">
        <v>381</v>
      </c>
      <c r="C2446" s="124">
        <v>46435</v>
      </c>
      <c r="D2446" s="124" t="s">
        <v>492</v>
      </c>
      <c r="E2446" s="21">
        <v>0.88998361999999998</v>
      </c>
      <c r="F2446" s="10"/>
      <c r="G2446" s="14">
        <v>1027513.96</v>
      </c>
      <c r="H2446" s="14">
        <v>914470.59</v>
      </c>
      <c r="I2446" s="14">
        <v>1027513.96</v>
      </c>
      <c r="J2446" s="14">
        <v>914470.59</v>
      </c>
      <c r="K2446" s="12">
        <v>3585518</v>
      </c>
      <c r="L2446" s="10" t="s">
        <v>101</v>
      </c>
      <c r="M2446" s="10" t="s">
        <v>102</v>
      </c>
      <c r="N2446" s="124" t="s">
        <v>420</v>
      </c>
      <c r="O2446" s="124" t="s">
        <v>420</v>
      </c>
      <c r="P2446" s="21">
        <v>32</v>
      </c>
      <c r="Q2446" s="10" t="s">
        <v>54</v>
      </c>
      <c r="R2446" s="10" t="s">
        <v>28</v>
      </c>
      <c r="S2446" s="10"/>
      <c r="T2446" s="10"/>
      <c r="U2446" s="10" t="s">
        <v>2660</v>
      </c>
      <c r="V2446" s="10" t="s">
        <v>2660</v>
      </c>
      <c r="W2446" s="50">
        <f>+J2446/$W$2</f>
        <v>1.2157492191308108E-5</v>
      </c>
    </row>
    <row r="2447" spans="1:29">
      <c r="A2447" s="10" t="s">
        <v>2620</v>
      </c>
      <c r="B2447" s="10" t="s">
        <v>381</v>
      </c>
      <c r="C2447" s="124">
        <v>46435</v>
      </c>
      <c r="D2447" s="124" t="s">
        <v>492</v>
      </c>
      <c r="E2447" s="21">
        <v>0.88998354999999996</v>
      </c>
      <c r="F2447" s="10"/>
      <c r="G2447" s="14">
        <v>1566916.35</v>
      </c>
      <c r="H2447" s="14">
        <v>1394529.78</v>
      </c>
      <c r="I2447" s="14">
        <v>1566916.35</v>
      </c>
      <c r="J2447" s="14">
        <v>1394529.78</v>
      </c>
      <c r="K2447" s="12">
        <v>1184</v>
      </c>
      <c r="L2447" s="10" t="s">
        <v>101</v>
      </c>
      <c r="M2447" s="10" t="s">
        <v>102</v>
      </c>
      <c r="N2447" s="124" t="s">
        <v>423</v>
      </c>
      <c r="O2447" s="124" t="s">
        <v>423</v>
      </c>
      <c r="P2447" s="21">
        <v>32</v>
      </c>
      <c r="Q2447" s="10" t="s">
        <v>54</v>
      </c>
      <c r="R2447" s="10" t="s">
        <v>28</v>
      </c>
      <c r="S2447" s="10"/>
      <c r="T2447" s="10"/>
      <c r="U2447" s="10" t="s">
        <v>2581</v>
      </c>
      <c r="V2447" s="10" t="s">
        <v>2581</v>
      </c>
      <c r="W2447" s="50">
        <f>+J2447/$W$2</f>
        <v>1.853967212974735E-5</v>
      </c>
    </row>
    <row r="2448" spans="1:29">
      <c r="A2448" s="10" t="s">
        <v>1724</v>
      </c>
      <c r="B2448" s="10" t="s">
        <v>381</v>
      </c>
      <c r="C2448" s="124">
        <v>46435</v>
      </c>
      <c r="D2448" s="124" t="s">
        <v>492</v>
      </c>
      <c r="E2448" s="21">
        <v>0.87494318000000004</v>
      </c>
      <c r="F2448" s="10"/>
      <c r="G2448" s="14">
        <v>25000000</v>
      </c>
      <c r="H2448" s="14">
        <v>21873579.600000001</v>
      </c>
      <c r="I2448" s="14">
        <v>25000000</v>
      </c>
      <c r="J2448" s="14">
        <v>21873579.600000001</v>
      </c>
      <c r="K2448" s="12">
        <v>43</v>
      </c>
      <c r="L2448" s="10" t="s">
        <v>101</v>
      </c>
      <c r="M2448" s="10" t="s">
        <v>102</v>
      </c>
      <c r="N2448" s="124" t="s">
        <v>425</v>
      </c>
      <c r="O2448" s="124" t="s">
        <v>425</v>
      </c>
      <c r="P2448" s="21">
        <v>37</v>
      </c>
      <c r="Q2448" s="10" t="s">
        <v>54</v>
      </c>
      <c r="R2448" s="10" t="s">
        <v>28</v>
      </c>
      <c r="S2448" s="10"/>
      <c r="T2448" s="10"/>
      <c r="U2448" s="10" t="s">
        <v>1698</v>
      </c>
      <c r="V2448" s="10" t="s">
        <v>1698</v>
      </c>
      <c r="W2448" s="50">
        <f>+J2448/$W$2</f>
        <v>2.9079980930054445E-4</v>
      </c>
    </row>
    <row r="2449" spans="1:29">
      <c r="A2449" s="10" t="s">
        <v>404</v>
      </c>
      <c r="B2449" s="10" t="s">
        <v>381</v>
      </c>
      <c r="C2449" s="124">
        <v>46435</v>
      </c>
      <c r="D2449" s="124" t="s">
        <v>492</v>
      </c>
      <c r="E2449" s="21">
        <v>0.89614543000000002</v>
      </c>
      <c r="F2449" s="10"/>
      <c r="G2449" s="14">
        <v>13500000</v>
      </c>
      <c r="H2449" s="14">
        <v>12097963.279999999</v>
      </c>
      <c r="I2449" s="14">
        <v>13500000</v>
      </c>
      <c r="J2449" s="14">
        <v>12097963.279999999</v>
      </c>
      <c r="K2449" s="12">
        <v>163</v>
      </c>
      <c r="L2449" s="10" t="s">
        <v>101</v>
      </c>
      <c r="M2449" s="10" t="s">
        <v>102</v>
      </c>
      <c r="N2449" s="124" t="s">
        <v>486</v>
      </c>
      <c r="O2449" s="124" t="s">
        <v>486</v>
      </c>
      <c r="P2449" s="21">
        <v>30</v>
      </c>
      <c r="Q2449" s="10" t="s">
        <v>54</v>
      </c>
      <c r="R2449" s="10" t="s">
        <v>28</v>
      </c>
      <c r="S2449" s="10"/>
      <c r="T2449" s="10"/>
      <c r="U2449" s="10" t="s">
        <v>2831</v>
      </c>
      <c r="V2449" s="10" t="s">
        <v>2831</v>
      </c>
      <c r="W2449" s="50">
        <f>+J2449/$W$2</f>
        <v>1.6083720539042401E-4</v>
      </c>
      <c r="AC2449" s="47"/>
    </row>
    <row r="2450" spans="1:29">
      <c r="A2450" s="10" t="s">
        <v>392</v>
      </c>
      <c r="B2450" s="10" t="s">
        <v>381</v>
      </c>
      <c r="C2450" s="124">
        <v>46435</v>
      </c>
      <c r="D2450" s="124" t="s">
        <v>492</v>
      </c>
      <c r="E2450" s="21">
        <v>0.88998348999999999</v>
      </c>
      <c r="F2450" s="10"/>
      <c r="G2450" s="14">
        <v>2833000</v>
      </c>
      <c r="H2450" s="14">
        <v>2521323.2200000002</v>
      </c>
      <c r="I2450" s="14">
        <v>2833000</v>
      </c>
      <c r="J2450" s="14">
        <v>2521323.2200000002</v>
      </c>
      <c r="K2450" s="12">
        <v>90000058</v>
      </c>
      <c r="L2450" s="10" t="s">
        <v>101</v>
      </c>
      <c r="M2450" s="10" t="s">
        <v>102</v>
      </c>
      <c r="N2450" s="124" t="s">
        <v>531</v>
      </c>
      <c r="O2450" s="124" t="s">
        <v>531</v>
      </c>
      <c r="P2450" s="21">
        <v>32</v>
      </c>
      <c r="Q2450" s="10" t="s">
        <v>54</v>
      </c>
      <c r="R2450" s="10" t="s">
        <v>28</v>
      </c>
      <c r="S2450" s="10"/>
      <c r="T2450" s="10"/>
      <c r="U2450" s="10" t="s">
        <v>3396</v>
      </c>
      <c r="V2450" s="10" t="s">
        <v>3396</v>
      </c>
      <c r="W2450" s="50">
        <f>+J2450/$W$2</f>
        <v>3.3519905062134167E-5</v>
      </c>
    </row>
    <row r="2451" spans="1:29">
      <c r="A2451" s="10" t="s">
        <v>2915</v>
      </c>
      <c r="B2451" s="10" t="s">
        <v>381</v>
      </c>
      <c r="C2451" s="124">
        <v>46435</v>
      </c>
      <c r="D2451" s="124" t="s">
        <v>492</v>
      </c>
      <c r="E2451" s="21">
        <v>0.89614539000000004</v>
      </c>
      <c r="F2451" s="10"/>
      <c r="G2451" s="14">
        <v>20000000</v>
      </c>
      <c r="H2451" s="14">
        <v>17922907.75</v>
      </c>
      <c r="I2451" s="14">
        <v>20000000</v>
      </c>
      <c r="J2451" s="14">
        <v>17922907.75</v>
      </c>
      <c r="K2451" s="12">
        <v>68586589</v>
      </c>
      <c r="L2451" s="10" t="s">
        <v>101</v>
      </c>
      <c r="M2451" s="10" t="s">
        <v>102</v>
      </c>
      <c r="N2451" s="124" t="s">
        <v>434</v>
      </c>
      <c r="O2451" s="124" t="s">
        <v>434</v>
      </c>
      <c r="P2451" s="21">
        <v>30</v>
      </c>
      <c r="Q2451" s="10" t="s">
        <v>54</v>
      </c>
      <c r="R2451" s="10" t="s">
        <v>28</v>
      </c>
      <c r="S2451" s="10"/>
      <c r="T2451" s="10"/>
      <c r="U2451" s="10" t="s">
        <v>2979</v>
      </c>
      <c r="V2451" s="10" t="s">
        <v>2979</v>
      </c>
      <c r="W2451" s="50">
        <f>+J2451/$W$2</f>
        <v>2.3827733051115464E-4</v>
      </c>
    </row>
    <row r="2452" spans="1:29">
      <c r="A2452" s="10" t="s">
        <v>426</v>
      </c>
      <c r="B2452" s="10" t="s">
        <v>381</v>
      </c>
      <c r="C2452" s="124">
        <v>46435</v>
      </c>
      <c r="D2452" s="124" t="s">
        <v>492</v>
      </c>
      <c r="E2452" s="21">
        <v>0.89614543000000002</v>
      </c>
      <c r="F2452" s="10"/>
      <c r="G2452" s="14">
        <v>5580000</v>
      </c>
      <c r="H2452" s="14">
        <v>5000491.49</v>
      </c>
      <c r="I2452" s="14">
        <v>5580000</v>
      </c>
      <c r="J2452" s="14">
        <v>5000491.49</v>
      </c>
      <c r="K2452" s="12">
        <v>11415144</v>
      </c>
      <c r="L2452" s="10" t="s">
        <v>101</v>
      </c>
      <c r="M2452" s="10" t="s">
        <v>102</v>
      </c>
      <c r="N2452" s="124" t="s">
        <v>486</v>
      </c>
      <c r="O2452" s="124" t="s">
        <v>486</v>
      </c>
      <c r="P2452" s="21">
        <v>30</v>
      </c>
      <c r="Q2452" s="10" t="s">
        <v>54</v>
      </c>
      <c r="R2452" s="10" t="s">
        <v>28</v>
      </c>
      <c r="S2452" s="10"/>
      <c r="T2452" s="10"/>
      <c r="U2452" s="10" t="s">
        <v>2797</v>
      </c>
      <c r="V2452" s="10" t="s">
        <v>2797</v>
      </c>
      <c r="W2452" s="50">
        <f>+J2452/$W$2</f>
        <v>6.6479378240450203E-5</v>
      </c>
    </row>
    <row r="2453" spans="1:29">
      <c r="A2453" s="10" t="s">
        <v>2700</v>
      </c>
      <c r="B2453" s="10" t="s">
        <v>381</v>
      </c>
      <c r="C2453" s="124">
        <v>46436</v>
      </c>
      <c r="D2453" s="124" t="s">
        <v>492</v>
      </c>
      <c r="E2453" s="21">
        <v>0.88928967000000003</v>
      </c>
      <c r="F2453" s="10"/>
      <c r="G2453" s="14">
        <v>21145734.48</v>
      </c>
      <c r="H2453" s="14">
        <v>18804683.149999999</v>
      </c>
      <c r="I2453" s="14">
        <v>21145734.48</v>
      </c>
      <c r="J2453" s="14">
        <v>18804683.149999999</v>
      </c>
      <c r="K2453" s="12">
        <v>1985963</v>
      </c>
      <c r="L2453" s="10" t="s">
        <v>101</v>
      </c>
      <c r="M2453" s="10" t="s">
        <v>102</v>
      </c>
      <c r="N2453" s="124" t="s">
        <v>420</v>
      </c>
      <c r="O2453" s="124" t="s">
        <v>420</v>
      </c>
      <c r="P2453" s="21">
        <v>32</v>
      </c>
      <c r="Q2453" s="10" t="s">
        <v>54</v>
      </c>
      <c r="R2453" s="10" t="s">
        <v>28</v>
      </c>
      <c r="S2453" s="10"/>
      <c r="T2453" s="10"/>
      <c r="U2453" s="10" t="s">
        <v>2662</v>
      </c>
      <c r="V2453" s="10" t="s">
        <v>2662</v>
      </c>
      <c r="W2453" s="50">
        <f>+J2453/$W$2</f>
        <v>2.5000015424897167E-4</v>
      </c>
      <c r="AC2453" s="47"/>
    </row>
    <row r="2454" spans="1:29">
      <c r="A2454" s="10" t="s">
        <v>1188</v>
      </c>
      <c r="B2454" s="10" t="s">
        <v>381</v>
      </c>
      <c r="C2454" s="124">
        <v>46436</v>
      </c>
      <c r="D2454" s="124" t="s">
        <v>492</v>
      </c>
      <c r="E2454" s="21">
        <v>0.90814094000000001</v>
      </c>
      <c r="F2454" s="10"/>
      <c r="G2454" s="14">
        <v>3948801</v>
      </c>
      <c r="H2454" s="14">
        <v>3586067.85</v>
      </c>
      <c r="I2454" s="14">
        <v>3948801</v>
      </c>
      <c r="J2454" s="14">
        <v>3586067.85</v>
      </c>
      <c r="K2454" s="12">
        <v>1017</v>
      </c>
      <c r="L2454" s="10" t="s">
        <v>101</v>
      </c>
      <c r="M2454" s="10" t="s">
        <v>102</v>
      </c>
      <c r="N2454" s="124" t="s">
        <v>363</v>
      </c>
      <c r="O2454" s="124" t="s">
        <v>363</v>
      </c>
      <c r="P2454" s="21">
        <v>26</v>
      </c>
      <c r="Q2454" s="10" t="s">
        <v>54</v>
      </c>
      <c r="R2454" s="10" t="s">
        <v>28</v>
      </c>
      <c r="S2454" s="10"/>
      <c r="T2454" s="10"/>
      <c r="U2454" s="10" t="s">
        <v>1177</v>
      </c>
      <c r="V2454" s="10" t="s">
        <v>1177</v>
      </c>
      <c r="W2454" s="50">
        <f>+J2454/$W$2</f>
        <v>4.767522581986596E-5</v>
      </c>
    </row>
    <row r="2455" spans="1:29">
      <c r="A2455" s="10" t="s">
        <v>3261</v>
      </c>
      <c r="B2455" s="10" t="s">
        <v>381</v>
      </c>
      <c r="C2455" s="124">
        <v>46437</v>
      </c>
      <c r="D2455" s="124" t="s">
        <v>492</v>
      </c>
      <c r="E2455" s="21">
        <v>0.88551400999999996</v>
      </c>
      <c r="F2455" s="10"/>
      <c r="G2455" s="14">
        <v>6006148</v>
      </c>
      <c r="H2455" s="14">
        <v>5318528.17</v>
      </c>
      <c r="I2455" s="14">
        <v>6006148</v>
      </c>
      <c r="J2455" s="14">
        <v>5318528.17</v>
      </c>
      <c r="K2455" s="12">
        <v>1370661</v>
      </c>
      <c r="L2455" s="10" t="s">
        <v>101</v>
      </c>
      <c r="M2455" s="10" t="s">
        <v>102</v>
      </c>
      <c r="N2455" s="124" t="s">
        <v>472</v>
      </c>
      <c r="O2455" s="124" t="s">
        <v>472</v>
      </c>
      <c r="P2455" s="21">
        <v>33</v>
      </c>
      <c r="Q2455" s="10" t="s">
        <v>54</v>
      </c>
      <c r="R2455" s="10" t="s">
        <v>28</v>
      </c>
      <c r="S2455" s="10"/>
      <c r="T2455" s="10"/>
      <c r="U2455" s="10" t="s">
        <v>3247</v>
      </c>
      <c r="V2455" s="10" t="s">
        <v>3247</v>
      </c>
      <c r="W2455" s="50">
        <f>+J2455/$W$2</f>
        <v>7.0707538769537907E-5</v>
      </c>
    </row>
    <row r="2456" spans="1:29">
      <c r="A2456" s="10" t="s">
        <v>2915</v>
      </c>
      <c r="B2456" s="10" t="s">
        <v>381</v>
      </c>
      <c r="C2456" s="124">
        <v>46437</v>
      </c>
      <c r="D2456" s="124" t="s">
        <v>492</v>
      </c>
      <c r="E2456" s="21">
        <v>0.89482737000000001</v>
      </c>
      <c r="F2456" s="10"/>
      <c r="G2456" s="14">
        <v>5000000</v>
      </c>
      <c r="H2456" s="14">
        <v>4474136.8499999996</v>
      </c>
      <c r="I2456" s="14">
        <v>5000000</v>
      </c>
      <c r="J2456" s="14">
        <v>4474136.8499999996</v>
      </c>
      <c r="K2456" s="12">
        <v>3897148</v>
      </c>
      <c r="L2456" s="10" t="s">
        <v>101</v>
      </c>
      <c r="M2456" s="10" t="s">
        <v>102</v>
      </c>
      <c r="N2456" s="124" t="s">
        <v>532</v>
      </c>
      <c r="O2456" s="124" t="s">
        <v>532</v>
      </c>
      <c r="P2456" s="21">
        <v>30</v>
      </c>
      <c r="Q2456" s="10" t="s">
        <v>54</v>
      </c>
      <c r="R2456" s="10" t="s">
        <v>28</v>
      </c>
      <c r="S2456" s="10"/>
      <c r="T2456" s="10"/>
      <c r="U2456" s="10" t="s">
        <v>3013</v>
      </c>
      <c r="V2456" s="10" t="s">
        <v>3013</v>
      </c>
      <c r="W2456" s="50">
        <f>+J2456/$W$2</f>
        <v>5.9481720255999545E-5</v>
      </c>
    </row>
    <row r="2457" spans="1:29">
      <c r="A2457" s="10" t="s">
        <v>400</v>
      </c>
      <c r="B2457" s="10" t="s">
        <v>381</v>
      </c>
      <c r="C2457" s="124">
        <v>46440</v>
      </c>
      <c r="D2457" s="124" t="s">
        <v>492</v>
      </c>
      <c r="E2457" s="21">
        <v>0.88967973</v>
      </c>
      <c r="F2457" s="10"/>
      <c r="G2457" s="14">
        <v>40000000</v>
      </c>
      <c r="H2457" s="14">
        <v>35587189.369999997</v>
      </c>
      <c r="I2457" s="14">
        <v>40000000</v>
      </c>
      <c r="J2457" s="14">
        <v>35587189.369999997</v>
      </c>
      <c r="K2457" s="12">
        <v>14046</v>
      </c>
      <c r="L2457" s="10" t="s">
        <v>101</v>
      </c>
      <c r="M2457" s="10" t="s">
        <v>102</v>
      </c>
      <c r="N2457" s="124" t="s">
        <v>532</v>
      </c>
      <c r="O2457" s="124" t="s">
        <v>532</v>
      </c>
      <c r="P2457" s="21">
        <v>31</v>
      </c>
      <c r="Q2457" s="10" t="s">
        <v>54</v>
      </c>
      <c r="R2457" s="10" t="s">
        <v>28</v>
      </c>
      <c r="S2457" s="10"/>
      <c r="T2457" s="10"/>
      <c r="U2457" s="10" t="s">
        <v>3069</v>
      </c>
      <c r="V2457" s="10" t="s">
        <v>3069</v>
      </c>
      <c r="W2457" s="50">
        <f>+J2457/$W$2</f>
        <v>4.7311633813874529E-4</v>
      </c>
    </row>
    <row r="2458" spans="1:29">
      <c r="A2458" s="10" t="s">
        <v>400</v>
      </c>
      <c r="B2458" s="10" t="s">
        <v>381</v>
      </c>
      <c r="C2458" s="124">
        <v>46440</v>
      </c>
      <c r="D2458" s="124" t="s">
        <v>492</v>
      </c>
      <c r="E2458" s="21">
        <v>0.88967973</v>
      </c>
      <c r="F2458" s="10"/>
      <c r="G2458" s="14">
        <v>21076489.489999998</v>
      </c>
      <c r="H2458" s="14">
        <v>18751325.57</v>
      </c>
      <c r="I2458" s="14">
        <v>21076489.489999998</v>
      </c>
      <c r="J2458" s="14">
        <v>18751325.57</v>
      </c>
      <c r="K2458" s="12">
        <v>14049</v>
      </c>
      <c r="L2458" s="10" t="s">
        <v>101</v>
      </c>
      <c r="M2458" s="10" t="s">
        <v>102</v>
      </c>
      <c r="N2458" s="124" t="s">
        <v>532</v>
      </c>
      <c r="O2458" s="124" t="s">
        <v>532</v>
      </c>
      <c r="P2458" s="21">
        <v>31</v>
      </c>
      <c r="Q2458" s="10" t="s">
        <v>54</v>
      </c>
      <c r="R2458" s="10" t="s">
        <v>28</v>
      </c>
      <c r="S2458" s="10"/>
      <c r="T2458" s="10"/>
      <c r="U2458" s="10" t="s">
        <v>3071</v>
      </c>
      <c r="V2458" s="10" t="s">
        <v>3071</v>
      </c>
      <c r="W2458" s="50">
        <f>+J2458/$W$2</f>
        <v>2.4929078822966968E-4</v>
      </c>
    </row>
    <row r="2459" spans="1:29">
      <c r="A2459" s="10" t="s">
        <v>400</v>
      </c>
      <c r="B2459" s="10" t="s">
        <v>381</v>
      </c>
      <c r="C2459" s="124">
        <v>46440</v>
      </c>
      <c r="D2459" s="124" t="s">
        <v>492</v>
      </c>
      <c r="E2459" s="21">
        <v>0.88967973</v>
      </c>
      <c r="F2459" s="10"/>
      <c r="G2459" s="14">
        <v>3640499.43</v>
      </c>
      <c r="H2459" s="14">
        <v>3238878.57</v>
      </c>
      <c r="I2459" s="14">
        <v>3640499.43</v>
      </c>
      <c r="J2459" s="14">
        <v>3238878.57</v>
      </c>
      <c r="K2459" s="12">
        <v>14050</v>
      </c>
      <c r="L2459" s="10" t="s">
        <v>101</v>
      </c>
      <c r="M2459" s="10" t="s">
        <v>102</v>
      </c>
      <c r="N2459" s="124" t="s">
        <v>532</v>
      </c>
      <c r="O2459" s="124" t="s">
        <v>532</v>
      </c>
      <c r="P2459" s="21">
        <v>31</v>
      </c>
      <c r="Q2459" s="10" t="s">
        <v>54</v>
      </c>
      <c r="R2459" s="10" t="s">
        <v>28</v>
      </c>
      <c r="S2459" s="10"/>
      <c r="T2459" s="10"/>
      <c r="U2459" s="10" t="s">
        <v>3072</v>
      </c>
      <c r="V2459" s="10" t="s">
        <v>3072</v>
      </c>
      <c r="W2459" s="50">
        <f>+J2459/$W$2</f>
        <v>4.3059494043838163E-5</v>
      </c>
    </row>
    <row r="2460" spans="1:29">
      <c r="A2460" s="10" t="s">
        <v>400</v>
      </c>
      <c r="B2460" s="10" t="s">
        <v>381</v>
      </c>
      <c r="C2460" s="124">
        <v>46440</v>
      </c>
      <c r="D2460" s="124" t="s">
        <v>492</v>
      </c>
      <c r="E2460" s="21">
        <v>0.88967973</v>
      </c>
      <c r="F2460" s="10"/>
      <c r="G2460" s="14">
        <v>26701225.219999999</v>
      </c>
      <c r="H2460" s="14">
        <v>23755538.960000001</v>
      </c>
      <c r="I2460" s="14">
        <v>26701225.219999999</v>
      </c>
      <c r="J2460" s="14">
        <v>23755538.960000001</v>
      </c>
      <c r="K2460" s="12">
        <v>14047</v>
      </c>
      <c r="L2460" s="10" t="s">
        <v>101</v>
      </c>
      <c r="M2460" s="10" t="s">
        <v>102</v>
      </c>
      <c r="N2460" s="124" t="s">
        <v>532</v>
      </c>
      <c r="O2460" s="124" t="s">
        <v>532</v>
      </c>
      <c r="P2460" s="21">
        <v>31</v>
      </c>
      <c r="Q2460" s="10" t="s">
        <v>54</v>
      </c>
      <c r="R2460" s="10" t="s">
        <v>28</v>
      </c>
      <c r="S2460" s="10"/>
      <c r="T2460" s="10"/>
      <c r="U2460" s="10" t="s">
        <v>3073</v>
      </c>
      <c r="V2460" s="10" t="s">
        <v>3073</v>
      </c>
      <c r="W2460" s="50">
        <f>+J2460/$W$2</f>
        <v>3.1581964752580571E-4</v>
      </c>
    </row>
    <row r="2461" spans="1:29">
      <c r="A2461" s="10" t="s">
        <v>2993</v>
      </c>
      <c r="B2461" s="10" t="s">
        <v>381</v>
      </c>
      <c r="C2461" s="124">
        <v>46441</v>
      </c>
      <c r="D2461" s="124" t="s">
        <v>492</v>
      </c>
      <c r="E2461" s="21">
        <v>0.88583641000000002</v>
      </c>
      <c r="F2461" s="10"/>
      <c r="G2461" s="14">
        <v>75000000</v>
      </c>
      <c r="H2461" s="14">
        <v>66437730.890000001</v>
      </c>
      <c r="I2461" s="14">
        <v>75000000</v>
      </c>
      <c r="J2461" s="14">
        <v>66437730.890000001</v>
      </c>
      <c r="K2461" s="12">
        <v>51413</v>
      </c>
      <c r="L2461" s="10" t="s">
        <v>101</v>
      </c>
      <c r="M2461" s="10" t="s">
        <v>102</v>
      </c>
      <c r="N2461" s="124" t="s">
        <v>677</v>
      </c>
      <c r="O2461" s="124" t="s">
        <v>677</v>
      </c>
      <c r="P2461" s="21">
        <v>32</v>
      </c>
      <c r="Q2461" s="10" t="s">
        <v>54</v>
      </c>
      <c r="R2461" s="10" t="s">
        <v>28</v>
      </c>
      <c r="S2461" s="10"/>
      <c r="T2461" s="10"/>
      <c r="U2461" s="10" t="s">
        <v>3339</v>
      </c>
      <c r="V2461" s="10" t="s">
        <v>3339</v>
      </c>
      <c r="W2461" s="50">
        <f>+J2461/$W$2</f>
        <v>8.8326098546636094E-4</v>
      </c>
    </row>
    <row r="2462" spans="1:29">
      <c r="A2462" s="10" t="s">
        <v>2993</v>
      </c>
      <c r="B2462" s="10" t="s">
        <v>381</v>
      </c>
      <c r="C2462" s="124">
        <v>46441</v>
      </c>
      <c r="D2462" s="124" t="s">
        <v>492</v>
      </c>
      <c r="E2462" s="21">
        <v>0.88583643999999995</v>
      </c>
      <c r="F2462" s="10"/>
      <c r="G2462" s="14">
        <v>55000000</v>
      </c>
      <c r="H2462" s="14">
        <v>48721004.219999999</v>
      </c>
      <c r="I2462" s="14">
        <v>55000000</v>
      </c>
      <c r="J2462" s="14">
        <v>48721004.219999999</v>
      </c>
      <c r="K2462" s="12">
        <v>51556</v>
      </c>
      <c r="L2462" s="10" t="s">
        <v>101</v>
      </c>
      <c r="M2462" s="10" t="s">
        <v>102</v>
      </c>
      <c r="N2462" s="124" t="s">
        <v>678</v>
      </c>
      <c r="O2462" s="124" t="s">
        <v>678</v>
      </c>
      <c r="P2462" s="21">
        <v>32</v>
      </c>
      <c r="Q2462" s="10" t="s">
        <v>54</v>
      </c>
      <c r="R2462" s="10" t="s">
        <v>28</v>
      </c>
      <c r="S2462" s="10"/>
      <c r="T2462" s="10"/>
      <c r="U2462" s="10" t="s">
        <v>3503</v>
      </c>
      <c r="V2462" s="10" t="s">
        <v>3503</v>
      </c>
      <c r="W2462" s="50">
        <f>+J2462/$W$2</f>
        <v>6.4772474351235218E-4</v>
      </c>
    </row>
    <row r="2463" spans="1:29">
      <c r="A2463" s="10" t="s">
        <v>426</v>
      </c>
      <c r="B2463" s="10" t="s">
        <v>381</v>
      </c>
      <c r="C2463" s="124">
        <v>46441</v>
      </c>
      <c r="D2463" s="124" t="s">
        <v>492</v>
      </c>
      <c r="E2463" s="21">
        <v>0.89380824999999997</v>
      </c>
      <c r="F2463" s="10"/>
      <c r="G2463" s="14">
        <v>5633315</v>
      </c>
      <c r="H2463" s="14">
        <v>5035103.45</v>
      </c>
      <c r="I2463" s="14">
        <v>5633315</v>
      </c>
      <c r="J2463" s="14">
        <v>5035103.45</v>
      </c>
      <c r="K2463" s="12">
        <v>69874693</v>
      </c>
      <c r="L2463" s="10" t="s">
        <v>101</v>
      </c>
      <c r="M2463" s="10" t="s">
        <v>102</v>
      </c>
      <c r="N2463" s="124" t="s">
        <v>472</v>
      </c>
      <c r="O2463" s="124" t="s">
        <v>472</v>
      </c>
      <c r="P2463" s="21">
        <v>29.5</v>
      </c>
      <c r="Q2463" s="10" t="s">
        <v>54</v>
      </c>
      <c r="R2463" s="10" t="s">
        <v>28</v>
      </c>
      <c r="S2463" s="10"/>
      <c r="T2463" s="10"/>
      <c r="U2463" s="10" t="s">
        <v>3164</v>
      </c>
      <c r="V2463" s="10" t="s">
        <v>3164</v>
      </c>
      <c r="W2463" s="50">
        <f>+J2463/$W$2</f>
        <v>6.6939529324615597E-5</v>
      </c>
    </row>
    <row r="2464" spans="1:29">
      <c r="A2464" s="10" t="s">
        <v>477</v>
      </c>
      <c r="B2464" s="10" t="s">
        <v>381</v>
      </c>
      <c r="C2464" s="124">
        <v>46442</v>
      </c>
      <c r="D2464" s="124" t="s">
        <v>492</v>
      </c>
      <c r="E2464" s="21">
        <v>0.88198346999999999</v>
      </c>
      <c r="F2464" s="10"/>
      <c r="G2464" s="14">
        <v>10000000</v>
      </c>
      <c r="H2464" s="14">
        <v>8819834.6999999993</v>
      </c>
      <c r="I2464" s="14">
        <v>10000000</v>
      </c>
      <c r="J2464" s="14">
        <v>8819834.6999999993</v>
      </c>
      <c r="K2464" s="12">
        <v>69401185</v>
      </c>
      <c r="L2464" s="10" t="s">
        <v>101</v>
      </c>
      <c r="M2464" s="10" t="s">
        <v>102</v>
      </c>
      <c r="N2464" s="124" t="s">
        <v>551</v>
      </c>
      <c r="O2464" s="124" t="s">
        <v>551</v>
      </c>
      <c r="P2464" s="21">
        <v>33</v>
      </c>
      <c r="Q2464" s="10" t="s">
        <v>54</v>
      </c>
      <c r="R2464" s="10" t="s">
        <v>28</v>
      </c>
      <c r="S2464" s="10"/>
      <c r="T2464" s="10"/>
      <c r="U2464" s="10" t="s">
        <v>2187</v>
      </c>
      <c r="V2464" s="10" t="s">
        <v>2187</v>
      </c>
      <c r="W2464" s="50">
        <f>+J2464/$W$2</f>
        <v>1.1725589938751152E-4</v>
      </c>
    </row>
    <row r="2465" spans="1:23">
      <c r="A2465" s="10" t="s">
        <v>477</v>
      </c>
      <c r="B2465" s="10" t="s">
        <v>381</v>
      </c>
      <c r="C2465" s="124">
        <v>46444</v>
      </c>
      <c r="D2465" s="124" t="s">
        <v>492</v>
      </c>
      <c r="E2465" s="21">
        <v>0.88057920999999995</v>
      </c>
      <c r="F2465" s="10"/>
      <c r="G2465" s="14">
        <v>10000000</v>
      </c>
      <c r="H2465" s="14">
        <v>8805792.0500000007</v>
      </c>
      <c r="I2465" s="14">
        <v>10000000</v>
      </c>
      <c r="J2465" s="14">
        <v>8805792.0500000007</v>
      </c>
      <c r="K2465" s="12">
        <v>69401363</v>
      </c>
      <c r="L2465" s="10" t="s">
        <v>101</v>
      </c>
      <c r="M2465" s="10" t="s">
        <v>102</v>
      </c>
      <c r="N2465" s="124" t="s">
        <v>551</v>
      </c>
      <c r="O2465" s="124" t="s">
        <v>551</v>
      </c>
      <c r="P2465" s="21">
        <v>33</v>
      </c>
      <c r="Q2465" s="10" t="s">
        <v>54</v>
      </c>
      <c r="R2465" s="10" t="s">
        <v>28</v>
      </c>
      <c r="S2465" s="10"/>
      <c r="T2465" s="10"/>
      <c r="U2465" s="10" t="s">
        <v>2185</v>
      </c>
      <c r="V2465" s="10" t="s">
        <v>2185</v>
      </c>
      <c r="W2465" s="50">
        <f>+J2465/$W$2</f>
        <v>1.1706920841069152E-4</v>
      </c>
    </row>
    <row r="2466" spans="1:23">
      <c r="A2466" s="10" t="s">
        <v>2993</v>
      </c>
      <c r="B2466" s="10" t="s">
        <v>381</v>
      </c>
      <c r="C2466" s="124">
        <v>46444</v>
      </c>
      <c r="D2466" s="124" t="s">
        <v>492</v>
      </c>
      <c r="E2466" s="21">
        <v>0.88377740000000005</v>
      </c>
      <c r="F2466" s="10"/>
      <c r="G2466" s="14">
        <v>45000000</v>
      </c>
      <c r="H2466" s="14">
        <v>39769982.869999997</v>
      </c>
      <c r="I2466" s="14">
        <v>45000000</v>
      </c>
      <c r="J2466" s="14">
        <v>39769982.869999997</v>
      </c>
      <c r="K2466" s="12">
        <v>51558</v>
      </c>
      <c r="L2466" s="10" t="s">
        <v>101</v>
      </c>
      <c r="M2466" s="10" t="s">
        <v>102</v>
      </c>
      <c r="N2466" s="124" t="s">
        <v>678</v>
      </c>
      <c r="O2466" s="124" t="s">
        <v>678</v>
      </c>
      <c r="P2466" s="21">
        <v>32</v>
      </c>
      <c r="Q2466" s="10" t="s">
        <v>54</v>
      </c>
      <c r="R2466" s="10" t="s">
        <v>28</v>
      </c>
      <c r="S2466" s="10"/>
      <c r="T2466" s="10"/>
      <c r="U2466" s="10" t="s">
        <v>3505</v>
      </c>
      <c r="V2466" s="10" t="s">
        <v>3505</v>
      </c>
      <c r="W2466" s="50">
        <f>+J2466/$W$2</f>
        <v>5.2872477417833879E-4</v>
      </c>
    </row>
    <row r="2467" spans="1:23">
      <c r="A2467" s="10" t="s">
        <v>3261</v>
      </c>
      <c r="B2467" s="10" t="s">
        <v>381</v>
      </c>
      <c r="C2467" s="124">
        <v>46444</v>
      </c>
      <c r="D2467" s="124" t="s">
        <v>492</v>
      </c>
      <c r="E2467" s="21">
        <v>0.88057907000000002</v>
      </c>
      <c r="F2467" s="10"/>
      <c r="G2467" s="14">
        <v>6006148</v>
      </c>
      <c r="H2467" s="14">
        <v>5288888.25</v>
      </c>
      <c r="I2467" s="14">
        <v>6006148</v>
      </c>
      <c r="J2467" s="14">
        <v>5288888.25</v>
      </c>
      <c r="K2467" s="12">
        <v>1370662</v>
      </c>
      <c r="L2467" s="10" t="s">
        <v>101</v>
      </c>
      <c r="M2467" s="10" t="s">
        <v>102</v>
      </c>
      <c r="N2467" s="124" t="s">
        <v>472</v>
      </c>
      <c r="O2467" s="124" t="s">
        <v>472</v>
      </c>
      <c r="P2467" s="21">
        <v>33</v>
      </c>
      <c r="Q2467" s="10" t="s">
        <v>54</v>
      </c>
      <c r="R2467" s="10" t="s">
        <v>28</v>
      </c>
      <c r="S2467" s="10"/>
      <c r="T2467" s="10"/>
      <c r="U2467" s="10" t="s">
        <v>3249</v>
      </c>
      <c r="V2467" s="10" t="s">
        <v>3249</v>
      </c>
      <c r="W2467" s="50">
        <f>+J2467/$W$2</f>
        <v>7.0313488813321176E-5</v>
      </c>
    </row>
    <row r="2468" spans="1:23">
      <c r="A2468" s="10" t="s">
        <v>2915</v>
      </c>
      <c r="B2468" s="10" t="s">
        <v>381</v>
      </c>
      <c r="C2468" s="124">
        <v>46444</v>
      </c>
      <c r="D2468" s="124" t="s">
        <v>492</v>
      </c>
      <c r="E2468" s="21">
        <v>0.89024413000000002</v>
      </c>
      <c r="F2468" s="10"/>
      <c r="G2468" s="14">
        <v>5000000</v>
      </c>
      <c r="H2468" s="14">
        <v>4451220.6399999997</v>
      </c>
      <c r="I2468" s="14">
        <v>5000000</v>
      </c>
      <c r="J2468" s="14">
        <v>4451220.6399999997</v>
      </c>
      <c r="K2468" s="12">
        <v>3897149</v>
      </c>
      <c r="L2468" s="10" t="s">
        <v>101</v>
      </c>
      <c r="M2468" s="10" t="s">
        <v>102</v>
      </c>
      <c r="N2468" s="124" t="s">
        <v>532</v>
      </c>
      <c r="O2468" s="124" t="s">
        <v>532</v>
      </c>
      <c r="P2468" s="21">
        <v>30</v>
      </c>
      <c r="Q2468" s="10" t="s">
        <v>54</v>
      </c>
      <c r="R2468" s="10" t="s">
        <v>28</v>
      </c>
      <c r="S2468" s="10"/>
      <c r="T2468" s="10"/>
      <c r="U2468" s="10" t="s">
        <v>3011</v>
      </c>
      <c r="V2468" s="10" t="s">
        <v>3011</v>
      </c>
      <c r="W2468" s="50">
        <f>+J2468/$W$2</f>
        <v>5.9177059125093872E-5</v>
      </c>
    </row>
    <row r="2469" spans="1:23">
      <c r="A2469" s="10" t="s">
        <v>477</v>
      </c>
      <c r="B2469" s="10" t="s">
        <v>381</v>
      </c>
      <c r="C2469" s="124">
        <v>46448</v>
      </c>
      <c r="D2469" s="124" t="s">
        <v>492</v>
      </c>
      <c r="E2469" s="21">
        <v>0.88433406999999997</v>
      </c>
      <c r="F2469" s="10"/>
      <c r="G2469" s="14">
        <v>2000000</v>
      </c>
      <c r="H2469" s="14">
        <v>1768668.13</v>
      </c>
      <c r="I2469" s="14">
        <v>2000000</v>
      </c>
      <c r="J2469" s="14">
        <v>1768668.13</v>
      </c>
      <c r="K2469" s="12">
        <v>69223307</v>
      </c>
      <c r="L2469" s="10" t="s">
        <v>101</v>
      </c>
      <c r="M2469" s="10" t="s">
        <v>102</v>
      </c>
      <c r="N2469" s="124" t="s">
        <v>677</v>
      </c>
      <c r="O2469" s="124" t="s">
        <v>677</v>
      </c>
      <c r="P2469" s="21">
        <v>31</v>
      </c>
      <c r="Q2469" s="10" t="s">
        <v>54</v>
      </c>
      <c r="R2469" s="10" t="s">
        <v>28</v>
      </c>
      <c r="S2469" s="10"/>
      <c r="T2469" s="10"/>
      <c r="U2469" s="10" t="s">
        <v>3273</v>
      </c>
      <c r="V2469" s="10" t="s">
        <v>3273</v>
      </c>
      <c r="W2469" s="50">
        <f>+J2469/$W$2</f>
        <v>2.3513680171486449E-5</v>
      </c>
    </row>
    <row r="2470" spans="1:23">
      <c r="A2470" s="10" t="s">
        <v>477</v>
      </c>
      <c r="B2470" s="10" t="s">
        <v>381</v>
      </c>
      <c r="C2470" s="124">
        <v>46448</v>
      </c>
      <c r="D2470" s="124" t="s">
        <v>492</v>
      </c>
      <c r="E2470" s="21">
        <v>0.88764600999999999</v>
      </c>
      <c r="F2470" s="10"/>
      <c r="G2470" s="14">
        <v>5000000</v>
      </c>
      <c r="H2470" s="14">
        <v>4438230.07</v>
      </c>
      <c r="I2470" s="14">
        <v>5000000</v>
      </c>
      <c r="J2470" s="14">
        <v>4438230.07</v>
      </c>
      <c r="K2470" s="12">
        <v>40810974</v>
      </c>
      <c r="L2470" s="10" t="s">
        <v>101</v>
      </c>
      <c r="M2470" s="10" t="s">
        <v>102</v>
      </c>
      <c r="N2470" s="124" t="s">
        <v>677</v>
      </c>
      <c r="O2470" s="124" t="s">
        <v>677</v>
      </c>
      <c r="P2470" s="21">
        <v>30</v>
      </c>
      <c r="Q2470" s="10" t="s">
        <v>54</v>
      </c>
      <c r="R2470" s="10" t="s">
        <v>28</v>
      </c>
      <c r="S2470" s="10"/>
      <c r="T2470" s="10"/>
      <c r="U2470" s="10" t="s">
        <v>3289</v>
      </c>
      <c r="V2470" s="10" t="s">
        <v>3289</v>
      </c>
      <c r="W2470" s="50">
        <f>+J2470/$W$2</f>
        <v>5.9004355098236507E-5</v>
      </c>
    </row>
    <row r="2471" spans="1:23">
      <c r="A2471" s="10" t="s">
        <v>2993</v>
      </c>
      <c r="B2471" s="10" t="s">
        <v>381</v>
      </c>
      <c r="C2471" s="124">
        <v>46448</v>
      </c>
      <c r="D2471" s="124" t="s">
        <v>492</v>
      </c>
      <c r="E2471" s="21">
        <v>0.88104674000000005</v>
      </c>
      <c r="F2471" s="10"/>
      <c r="G2471" s="14">
        <v>75000000</v>
      </c>
      <c r="H2471" s="14">
        <v>66078505.490000002</v>
      </c>
      <c r="I2471" s="14">
        <v>75000000</v>
      </c>
      <c r="J2471" s="14">
        <v>66078505.490000002</v>
      </c>
      <c r="K2471" s="12">
        <v>51414</v>
      </c>
      <c r="L2471" s="10" t="s">
        <v>101</v>
      </c>
      <c r="M2471" s="10" t="s">
        <v>102</v>
      </c>
      <c r="N2471" s="124" t="s">
        <v>677</v>
      </c>
      <c r="O2471" s="124" t="s">
        <v>677</v>
      </c>
      <c r="P2471" s="21">
        <v>32</v>
      </c>
      <c r="Q2471" s="10" t="s">
        <v>54</v>
      </c>
      <c r="R2471" s="10" t="s">
        <v>28</v>
      </c>
      <c r="S2471" s="10"/>
      <c r="T2471" s="10"/>
      <c r="U2471" s="10" t="s">
        <v>3341</v>
      </c>
      <c r="V2471" s="10" t="s">
        <v>3341</v>
      </c>
      <c r="W2471" s="50">
        <f>+J2471/$W$2</f>
        <v>8.7848523866468472E-4</v>
      </c>
    </row>
    <row r="2472" spans="1:23">
      <c r="A2472" s="10" t="s">
        <v>3348</v>
      </c>
      <c r="B2472" s="10" t="s">
        <v>381</v>
      </c>
      <c r="C2472" s="124">
        <v>46448</v>
      </c>
      <c r="D2472" s="124" t="s">
        <v>492</v>
      </c>
      <c r="E2472" s="21">
        <v>0.87778376000000002</v>
      </c>
      <c r="F2472" s="10"/>
      <c r="G2472" s="14">
        <v>26750000</v>
      </c>
      <c r="H2472" s="14">
        <v>23480715.68</v>
      </c>
      <c r="I2472" s="14">
        <v>26750000</v>
      </c>
      <c r="J2472" s="14">
        <v>23480715.68</v>
      </c>
      <c r="K2472" s="12">
        <v>17</v>
      </c>
      <c r="L2472" s="10" t="s">
        <v>101</v>
      </c>
      <c r="M2472" s="10" t="s">
        <v>102</v>
      </c>
      <c r="N2472" s="124" t="s">
        <v>677</v>
      </c>
      <c r="O2472" s="124" t="s">
        <v>677</v>
      </c>
      <c r="P2472" s="21">
        <v>33</v>
      </c>
      <c r="Q2472" s="10" t="s">
        <v>54</v>
      </c>
      <c r="R2472" s="10" t="s">
        <v>28</v>
      </c>
      <c r="S2472" s="10"/>
      <c r="T2472" s="10"/>
      <c r="U2472" s="10" t="s">
        <v>3315</v>
      </c>
      <c r="V2472" s="10" t="s">
        <v>3315</v>
      </c>
      <c r="W2472" s="50">
        <f>+J2472/$W$2</f>
        <v>3.1216599051690211E-4</v>
      </c>
    </row>
    <row r="2473" spans="1:23">
      <c r="A2473" s="10" t="s">
        <v>2771</v>
      </c>
      <c r="B2473" s="10" t="s">
        <v>381</v>
      </c>
      <c r="C2473" s="124">
        <v>46448</v>
      </c>
      <c r="D2473" s="124" t="s">
        <v>492</v>
      </c>
      <c r="E2473" s="21">
        <v>0.90114574000000003</v>
      </c>
      <c r="F2473" s="10"/>
      <c r="G2473" s="14">
        <v>25000000</v>
      </c>
      <c r="H2473" s="14">
        <v>22528643.600000001</v>
      </c>
      <c r="I2473" s="14">
        <v>25000000</v>
      </c>
      <c r="J2473" s="14">
        <v>22528643.600000001</v>
      </c>
      <c r="K2473" s="12">
        <v>1163</v>
      </c>
      <c r="L2473" s="10" t="s">
        <v>101</v>
      </c>
      <c r="M2473" s="10" t="s">
        <v>102</v>
      </c>
      <c r="N2473" s="124" t="s">
        <v>532</v>
      </c>
      <c r="O2473" s="124" t="s">
        <v>532</v>
      </c>
      <c r="P2473" s="21">
        <v>26</v>
      </c>
      <c r="Q2473" s="10" t="s">
        <v>54</v>
      </c>
      <c r="R2473" s="10" t="s">
        <v>28</v>
      </c>
      <c r="S2473" s="10"/>
      <c r="T2473" s="10"/>
      <c r="U2473" s="10" t="s">
        <v>3074</v>
      </c>
      <c r="V2473" s="10" t="s">
        <v>3074</v>
      </c>
      <c r="W2473" s="50">
        <f>+J2473/$W$2</f>
        <v>2.9950860272910846E-4</v>
      </c>
    </row>
    <row r="2474" spans="1:23">
      <c r="A2474" s="10" t="s">
        <v>477</v>
      </c>
      <c r="B2474" s="10" t="s">
        <v>381</v>
      </c>
      <c r="C2474" s="124">
        <v>46449</v>
      </c>
      <c r="D2474" s="124" t="s">
        <v>492</v>
      </c>
      <c r="E2474" s="21">
        <v>0.87708770000000003</v>
      </c>
      <c r="F2474" s="10"/>
      <c r="G2474" s="14">
        <v>10000000</v>
      </c>
      <c r="H2474" s="14">
        <v>8770877.0299999993</v>
      </c>
      <c r="I2474" s="14">
        <v>10000000</v>
      </c>
      <c r="J2474" s="14">
        <v>8770877.0299999993</v>
      </c>
      <c r="K2474" s="12">
        <v>69401460</v>
      </c>
      <c r="L2474" s="10" t="s">
        <v>101</v>
      </c>
      <c r="M2474" s="10" t="s">
        <v>102</v>
      </c>
      <c r="N2474" s="124" t="s">
        <v>551</v>
      </c>
      <c r="O2474" s="124" t="s">
        <v>551</v>
      </c>
      <c r="P2474" s="21">
        <v>33</v>
      </c>
      <c r="Q2474" s="10" t="s">
        <v>54</v>
      </c>
      <c r="R2474" s="10" t="s">
        <v>28</v>
      </c>
      <c r="S2474" s="10"/>
      <c r="T2474" s="10"/>
      <c r="U2474" s="10" t="s">
        <v>2184</v>
      </c>
      <c r="V2474" s="10" t="s">
        <v>2184</v>
      </c>
      <c r="W2474" s="50">
        <f>+J2474/$W$2</f>
        <v>1.1660502827449996E-4</v>
      </c>
    </row>
    <row r="2475" spans="1:23">
      <c r="A2475" s="10" t="s">
        <v>477</v>
      </c>
      <c r="B2475" s="10" t="s">
        <v>381</v>
      </c>
      <c r="C2475" s="124">
        <v>46449</v>
      </c>
      <c r="D2475" s="124" t="s">
        <v>492</v>
      </c>
      <c r="E2475" s="21">
        <v>0.88367030000000002</v>
      </c>
      <c r="F2475" s="10"/>
      <c r="G2475" s="14">
        <v>1667000</v>
      </c>
      <c r="H2475" s="14">
        <v>1473078.39</v>
      </c>
      <c r="I2475" s="14">
        <v>1667000</v>
      </c>
      <c r="J2475" s="14">
        <v>1473078.39</v>
      </c>
      <c r="K2475" s="12">
        <v>752</v>
      </c>
      <c r="L2475" s="10" t="s">
        <v>101</v>
      </c>
      <c r="M2475" s="10" t="s">
        <v>102</v>
      </c>
      <c r="N2475" s="124" t="s">
        <v>677</v>
      </c>
      <c r="O2475" s="124" t="s">
        <v>677</v>
      </c>
      <c r="P2475" s="21">
        <v>31</v>
      </c>
      <c r="Q2475" s="10" t="s">
        <v>54</v>
      </c>
      <c r="R2475" s="10" t="s">
        <v>28</v>
      </c>
      <c r="S2475" s="10"/>
      <c r="T2475" s="10"/>
      <c r="U2475" s="10" t="s">
        <v>3272</v>
      </c>
      <c r="V2475" s="10" t="s">
        <v>3272</v>
      </c>
      <c r="W2475" s="50">
        <f>+J2475/$W$2</f>
        <v>1.9583942030994916E-5</v>
      </c>
    </row>
    <row r="2476" spans="1:23">
      <c r="A2476" s="10" t="s">
        <v>477</v>
      </c>
      <c r="B2476" s="10" t="s">
        <v>381</v>
      </c>
      <c r="C2476" s="124">
        <v>46449</v>
      </c>
      <c r="D2476" s="124" t="s">
        <v>492</v>
      </c>
      <c r="E2476" s="21">
        <v>0.89035259</v>
      </c>
      <c r="F2476" s="10"/>
      <c r="G2476" s="14">
        <v>4715388</v>
      </c>
      <c r="H2476" s="14">
        <v>4198357.93</v>
      </c>
      <c r="I2476" s="14">
        <v>4715388</v>
      </c>
      <c r="J2476" s="14">
        <v>4198357.93</v>
      </c>
      <c r="K2476" s="12">
        <v>4614</v>
      </c>
      <c r="L2476" s="10" t="s">
        <v>101</v>
      </c>
      <c r="M2476" s="10" t="s">
        <v>102</v>
      </c>
      <c r="N2476" s="124" t="s">
        <v>486</v>
      </c>
      <c r="O2476" s="124" t="s">
        <v>486</v>
      </c>
      <c r="P2476" s="21">
        <v>29</v>
      </c>
      <c r="Q2476" s="10" t="s">
        <v>54</v>
      </c>
      <c r="R2476" s="10" t="s">
        <v>28</v>
      </c>
      <c r="S2476" s="10"/>
      <c r="T2476" s="10"/>
      <c r="U2476" s="10" t="s">
        <v>2815</v>
      </c>
      <c r="V2476" s="10" t="s">
        <v>2815</v>
      </c>
      <c r="W2476" s="50">
        <f>+J2476/$W$2</f>
        <v>5.5815358425350204E-5</v>
      </c>
    </row>
    <row r="2477" spans="1:23">
      <c r="A2477" s="10" t="s">
        <v>3261</v>
      </c>
      <c r="B2477" s="10" t="s">
        <v>381</v>
      </c>
      <c r="C2477" s="124">
        <v>46449</v>
      </c>
      <c r="D2477" s="124" t="s">
        <v>492</v>
      </c>
      <c r="E2477" s="21">
        <v>0.87708779999999997</v>
      </c>
      <c r="F2477" s="10"/>
      <c r="G2477" s="14">
        <v>6006148</v>
      </c>
      <c r="H2477" s="14">
        <v>5267919.16</v>
      </c>
      <c r="I2477" s="14">
        <v>6006148</v>
      </c>
      <c r="J2477" s="14">
        <v>5267919.16</v>
      </c>
      <c r="K2477" s="12">
        <v>1370664</v>
      </c>
      <c r="L2477" s="10" t="s">
        <v>101</v>
      </c>
      <c r="M2477" s="10" t="s">
        <v>102</v>
      </c>
      <c r="N2477" s="124" t="s">
        <v>472</v>
      </c>
      <c r="O2477" s="124" t="s">
        <v>472</v>
      </c>
      <c r="P2477" s="21">
        <v>33</v>
      </c>
      <c r="Q2477" s="10" t="s">
        <v>54</v>
      </c>
      <c r="R2477" s="10" t="s">
        <v>28</v>
      </c>
      <c r="S2477" s="10"/>
      <c r="T2477" s="10"/>
      <c r="U2477" s="10" t="s">
        <v>3251</v>
      </c>
      <c r="V2477" s="10" t="s">
        <v>3251</v>
      </c>
      <c r="W2477" s="50">
        <f>+J2477/$W$2</f>
        <v>7.0034713803253498E-5</v>
      </c>
    </row>
    <row r="2478" spans="1:23">
      <c r="A2478" s="10" t="s">
        <v>2125</v>
      </c>
      <c r="B2478" s="10" t="s">
        <v>381</v>
      </c>
      <c r="C2478" s="124">
        <v>46449</v>
      </c>
      <c r="D2478" s="124" t="s">
        <v>492</v>
      </c>
      <c r="E2478" s="21">
        <v>0.88367034</v>
      </c>
      <c r="F2478" s="10"/>
      <c r="G2478" s="14">
        <v>65000000</v>
      </c>
      <c r="H2478" s="14">
        <v>57438572.369999997</v>
      </c>
      <c r="I2478" s="14">
        <v>65000000</v>
      </c>
      <c r="J2478" s="14">
        <v>57438572.369999997</v>
      </c>
      <c r="K2478" s="12">
        <v>3042</v>
      </c>
      <c r="L2478" s="10" t="s">
        <v>101</v>
      </c>
      <c r="M2478" s="10" t="s">
        <v>102</v>
      </c>
      <c r="N2478" s="124" t="s">
        <v>421</v>
      </c>
      <c r="O2478" s="124" t="s">
        <v>421</v>
      </c>
      <c r="P2478" s="21">
        <v>31</v>
      </c>
      <c r="Q2478" s="10" t="s">
        <v>54</v>
      </c>
      <c r="R2478" s="10" t="s">
        <v>28</v>
      </c>
      <c r="S2478" s="10"/>
      <c r="T2478" s="10"/>
      <c r="U2478" s="10" t="s">
        <v>2088</v>
      </c>
      <c r="V2478" s="10" t="s">
        <v>2088</v>
      </c>
      <c r="W2478" s="50">
        <f>+J2478/$W$2</f>
        <v>7.6362105321305161E-4</v>
      </c>
    </row>
    <row r="2479" spans="1:23">
      <c r="A2479" s="10" t="s">
        <v>404</v>
      </c>
      <c r="B2479" s="10" t="s">
        <v>381</v>
      </c>
      <c r="C2479" s="124">
        <v>46449</v>
      </c>
      <c r="D2479" s="124" t="s">
        <v>492</v>
      </c>
      <c r="E2479" s="21">
        <v>0.8803668</v>
      </c>
      <c r="F2479" s="10"/>
      <c r="G2479" s="14">
        <v>25000000</v>
      </c>
      <c r="H2479" s="14">
        <v>22009169.91</v>
      </c>
      <c r="I2479" s="14">
        <v>25000000</v>
      </c>
      <c r="J2479" s="14">
        <v>22009169.91</v>
      </c>
      <c r="K2479" s="12">
        <v>2703</v>
      </c>
      <c r="L2479" s="10" t="s">
        <v>101</v>
      </c>
      <c r="M2479" s="10" t="s">
        <v>102</v>
      </c>
      <c r="N2479" s="124" t="s">
        <v>322</v>
      </c>
      <c r="O2479" s="124" t="s">
        <v>322</v>
      </c>
      <c r="P2479" s="21">
        <v>32</v>
      </c>
      <c r="Q2479" s="10" t="s">
        <v>54</v>
      </c>
      <c r="R2479" s="10" t="s">
        <v>28</v>
      </c>
      <c r="S2479" s="10"/>
      <c r="T2479" s="10"/>
      <c r="U2479" s="10" t="s">
        <v>1551</v>
      </c>
      <c r="V2479" s="10" t="s">
        <v>1551</v>
      </c>
      <c r="W2479" s="50">
        <f>+J2479/$W$2</f>
        <v>2.9260242400796989E-4</v>
      </c>
    </row>
    <row r="2480" spans="1:23">
      <c r="A2480" s="10" t="s">
        <v>426</v>
      </c>
      <c r="B2480" s="10" t="s">
        <v>381</v>
      </c>
      <c r="C2480" s="124">
        <v>46449</v>
      </c>
      <c r="D2480" s="124" t="s">
        <v>492</v>
      </c>
      <c r="E2480" s="21">
        <v>0.88699890000000003</v>
      </c>
      <c r="F2480" s="10"/>
      <c r="G2480" s="14">
        <v>5580000</v>
      </c>
      <c r="H2480" s="14">
        <v>4949453.8499999996</v>
      </c>
      <c r="I2480" s="14">
        <v>5580000</v>
      </c>
      <c r="J2480" s="14">
        <v>4949453.8499999996</v>
      </c>
      <c r="K2480" s="12">
        <v>11415143</v>
      </c>
      <c r="L2480" s="10" t="s">
        <v>101</v>
      </c>
      <c r="M2480" s="10" t="s">
        <v>102</v>
      </c>
      <c r="N2480" s="124" t="s">
        <v>486</v>
      </c>
      <c r="O2480" s="124" t="s">
        <v>486</v>
      </c>
      <c r="P2480" s="21">
        <v>30</v>
      </c>
      <c r="Q2480" s="10" t="s">
        <v>54</v>
      </c>
      <c r="R2480" s="10" t="s">
        <v>28</v>
      </c>
      <c r="S2480" s="10"/>
      <c r="T2480" s="10"/>
      <c r="U2480" s="10" t="s">
        <v>2809</v>
      </c>
      <c r="V2480" s="10" t="s">
        <v>2809</v>
      </c>
      <c r="W2480" s="50">
        <f>+J2480/$W$2</f>
        <v>6.5800854823133082E-5</v>
      </c>
    </row>
    <row r="2481" spans="1:23">
      <c r="A2481" s="10" t="s">
        <v>427</v>
      </c>
      <c r="B2481" s="10" t="s">
        <v>381</v>
      </c>
      <c r="C2481" s="124">
        <v>46449</v>
      </c>
      <c r="D2481" s="124" t="s">
        <v>492</v>
      </c>
      <c r="E2481" s="21">
        <v>0.88699890000000003</v>
      </c>
      <c r="F2481" s="10"/>
      <c r="G2481" s="14">
        <v>6441003</v>
      </c>
      <c r="H2481" s="14">
        <v>5713162.5700000003</v>
      </c>
      <c r="I2481" s="14">
        <v>6441003</v>
      </c>
      <c r="J2481" s="14">
        <v>5713162.5700000003</v>
      </c>
      <c r="K2481" s="12">
        <v>14097861</v>
      </c>
      <c r="L2481" s="10" t="s">
        <v>101</v>
      </c>
      <c r="M2481" s="10" t="s">
        <v>102</v>
      </c>
      <c r="N2481" s="124" t="s">
        <v>486</v>
      </c>
      <c r="O2481" s="124" t="s">
        <v>486</v>
      </c>
      <c r="P2481" s="21">
        <v>30</v>
      </c>
      <c r="Q2481" s="10" t="s">
        <v>54</v>
      </c>
      <c r="R2481" s="10" t="s">
        <v>28</v>
      </c>
      <c r="S2481" s="10"/>
      <c r="T2481" s="10"/>
      <c r="U2481" s="10" t="s">
        <v>2792</v>
      </c>
      <c r="V2481" s="10" t="s">
        <v>2792</v>
      </c>
      <c r="W2481" s="50">
        <f>+J2481/$W$2</f>
        <v>7.5954032958510756E-5</v>
      </c>
    </row>
    <row r="2482" spans="1:23">
      <c r="A2482" s="10" t="s">
        <v>427</v>
      </c>
      <c r="B2482" s="10" t="s">
        <v>381</v>
      </c>
      <c r="C2482" s="124">
        <v>46449</v>
      </c>
      <c r="D2482" s="124" t="s">
        <v>492</v>
      </c>
      <c r="E2482" s="21">
        <v>0.88699890000000003</v>
      </c>
      <c r="F2482" s="10"/>
      <c r="G2482" s="14">
        <v>2122114</v>
      </c>
      <c r="H2482" s="14">
        <v>1882312.78</v>
      </c>
      <c r="I2482" s="14">
        <v>2122114</v>
      </c>
      <c r="J2482" s="14">
        <v>1882312.78</v>
      </c>
      <c r="K2482" s="12">
        <v>10558308</v>
      </c>
      <c r="L2482" s="10" t="s">
        <v>101</v>
      </c>
      <c r="M2482" s="10" t="s">
        <v>102</v>
      </c>
      <c r="N2482" s="124" t="s">
        <v>486</v>
      </c>
      <c r="O2482" s="124" t="s">
        <v>486</v>
      </c>
      <c r="P2482" s="21">
        <v>30</v>
      </c>
      <c r="Q2482" s="10" t="s">
        <v>54</v>
      </c>
      <c r="R2482" s="10" t="s">
        <v>28</v>
      </c>
      <c r="S2482" s="10"/>
      <c r="T2482" s="10"/>
      <c r="U2482" s="10" t="s">
        <v>2795</v>
      </c>
      <c r="V2482" s="10" t="s">
        <v>2795</v>
      </c>
      <c r="W2482" s="50">
        <f>+J2482/$W$2</f>
        <v>2.5024536791773106E-5</v>
      </c>
    </row>
    <row r="2483" spans="1:23">
      <c r="A2483" s="10" t="s">
        <v>2915</v>
      </c>
      <c r="B2483" s="10" t="s">
        <v>381</v>
      </c>
      <c r="C2483" s="124">
        <v>46450</v>
      </c>
      <c r="D2483" s="124" t="s">
        <v>492</v>
      </c>
      <c r="E2483" s="21">
        <v>0.88635268</v>
      </c>
      <c r="F2483" s="10"/>
      <c r="G2483" s="14">
        <v>6000000</v>
      </c>
      <c r="H2483" s="14">
        <v>5318116.05</v>
      </c>
      <c r="I2483" s="14">
        <v>6000000</v>
      </c>
      <c r="J2483" s="14">
        <v>5318116.05</v>
      </c>
      <c r="K2483" s="12">
        <v>3897150</v>
      </c>
      <c r="L2483" s="10" t="s">
        <v>101</v>
      </c>
      <c r="M2483" s="10" t="s">
        <v>102</v>
      </c>
      <c r="N2483" s="124" t="s">
        <v>532</v>
      </c>
      <c r="O2483" s="124" t="s">
        <v>532</v>
      </c>
      <c r="P2483" s="21">
        <v>30</v>
      </c>
      <c r="Q2483" s="10" t="s">
        <v>54</v>
      </c>
      <c r="R2483" s="10" t="s">
        <v>28</v>
      </c>
      <c r="S2483" s="10"/>
      <c r="T2483" s="10"/>
      <c r="U2483" s="10" t="s">
        <v>3017</v>
      </c>
      <c r="V2483" s="10" t="s">
        <v>3017</v>
      </c>
      <c r="W2483" s="50">
        <f>+J2483/$W$2</f>
        <v>7.0702059811836407E-5</v>
      </c>
    </row>
    <row r="2484" spans="1:23">
      <c r="A2484" s="10" t="s">
        <v>477</v>
      </c>
      <c r="B2484" s="10" t="s">
        <v>381</v>
      </c>
      <c r="C2484" s="124">
        <v>46451</v>
      </c>
      <c r="D2484" s="124" t="s">
        <v>492</v>
      </c>
      <c r="E2484" s="21">
        <v>0.88234597999999997</v>
      </c>
      <c r="F2484" s="10"/>
      <c r="G2484" s="14">
        <v>9000000</v>
      </c>
      <c r="H2484" s="14">
        <v>7941113.7800000003</v>
      </c>
      <c r="I2484" s="14">
        <v>9000000</v>
      </c>
      <c r="J2484" s="14">
        <v>7941113.7800000003</v>
      </c>
      <c r="K2484" s="12">
        <v>4970</v>
      </c>
      <c r="L2484" s="10" t="s">
        <v>101</v>
      </c>
      <c r="M2484" s="10" t="s">
        <v>102</v>
      </c>
      <c r="N2484" s="124" t="s">
        <v>677</v>
      </c>
      <c r="O2484" s="124" t="s">
        <v>677</v>
      </c>
      <c r="P2484" s="21">
        <v>31</v>
      </c>
      <c r="Q2484" s="10" t="s">
        <v>54</v>
      </c>
      <c r="R2484" s="10" t="s">
        <v>28</v>
      </c>
      <c r="S2484" s="10"/>
      <c r="T2484" s="10"/>
      <c r="U2484" s="10" t="s">
        <v>3293</v>
      </c>
      <c r="V2484" s="10" t="s">
        <v>3293</v>
      </c>
      <c r="W2484" s="50">
        <f>+J2484/$W$2</f>
        <v>1.0557368364425938E-4</v>
      </c>
    </row>
    <row r="2485" spans="1:23">
      <c r="A2485" s="10" t="s">
        <v>477</v>
      </c>
      <c r="B2485" s="10" t="s">
        <v>381</v>
      </c>
      <c r="C2485" s="124">
        <v>46451</v>
      </c>
      <c r="D2485" s="124" t="s">
        <v>492</v>
      </c>
      <c r="E2485" s="21">
        <v>0.88234597999999997</v>
      </c>
      <c r="F2485" s="10"/>
      <c r="G2485" s="14">
        <v>9000000</v>
      </c>
      <c r="H2485" s="14">
        <v>7941113.7800000003</v>
      </c>
      <c r="I2485" s="14">
        <v>9000000</v>
      </c>
      <c r="J2485" s="14">
        <v>7941113.7800000003</v>
      </c>
      <c r="K2485" s="12">
        <v>4969</v>
      </c>
      <c r="L2485" s="10" t="s">
        <v>101</v>
      </c>
      <c r="M2485" s="10" t="s">
        <v>102</v>
      </c>
      <c r="N2485" s="124" t="s">
        <v>677</v>
      </c>
      <c r="O2485" s="124" t="s">
        <v>677</v>
      </c>
      <c r="P2485" s="21">
        <v>31</v>
      </c>
      <c r="Q2485" s="10" t="s">
        <v>54</v>
      </c>
      <c r="R2485" s="10" t="s">
        <v>28</v>
      </c>
      <c r="S2485" s="10"/>
      <c r="T2485" s="10"/>
      <c r="U2485" s="10" t="s">
        <v>3294</v>
      </c>
      <c r="V2485" s="10" t="s">
        <v>3294</v>
      </c>
      <c r="W2485" s="50">
        <f>+J2485/$W$2</f>
        <v>1.0557368364425938E-4</v>
      </c>
    </row>
    <row r="2486" spans="1:23">
      <c r="A2486" s="10" t="s">
        <v>2319</v>
      </c>
      <c r="B2486" s="10" t="s">
        <v>381</v>
      </c>
      <c r="C2486" s="124">
        <v>46451</v>
      </c>
      <c r="D2486" s="124" t="s">
        <v>492</v>
      </c>
      <c r="E2486" s="21">
        <v>0.87900975999999997</v>
      </c>
      <c r="F2486" s="10"/>
      <c r="G2486" s="14">
        <v>11820000</v>
      </c>
      <c r="H2486" s="14">
        <v>10389895.390000001</v>
      </c>
      <c r="I2486" s="14">
        <v>11820000</v>
      </c>
      <c r="J2486" s="14">
        <v>10389895.390000001</v>
      </c>
      <c r="K2486" s="12">
        <v>14310298</v>
      </c>
      <c r="L2486" s="10" t="s">
        <v>101</v>
      </c>
      <c r="M2486" s="10" t="s">
        <v>102</v>
      </c>
      <c r="N2486" s="124" t="s">
        <v>423</v>
      </c>
      <c r="O2486" s="124" t="s">
        <v>423</v>
      </c>
      <c r="P2486" s="21">
        <v>32</v>
      </c>
      <c r="Q2486" s="10" t="s">
        <v>54</v>
      </c>
      <c r="R2486" s="10" t="s">
        <v>28</v>
      </c>
      <c r="S2486" s="10"/>
      <c r="T2486" s="10"/>
      <c r="U2486" s="10" t="s">
        <v>2566</v>
      </c>
      <c r="V2486" s="10" t="s">
        <v>2566</v>
      </c>
      <c r="W2486" s="50">
        <f>+J2486/$W$2</f>
        <v>1.381291792800391E-4</v>
      </c>
    </row>
    <row r="2487" spans="1:23">
      <c r="A2487" s="10" t="s">
        <v>3261</v>
      </c>
      <c r="B2487" s="10" t="s">
        <v>381</v>
      </c>
      <c r="C2487" s="124">
        <v>46454</v>
      </c>
      <c r="D2487" s="124" t="s">
        <v>492</v>
      </c>
      <c r="E2487" s="21">
        <v>0.87362386999999997</v>
      </c>
      <c r="F2487" s="10"/>
      <c r="G2487" s="14">
        <v>6006148</v>
      </c>
      <c r="H2487" s="14">
        <v>5247114.26</v>
      </c>
      <c r="I2487" s="14">
        <v>6006148</v>
      </c>
      <c r="J2487" s="14">
        <v>5247114.26</v>
      </c>
      <c r="K2487" s="12">
        <v>1370673</v>
      </c>
      <c r="L2487" s="10" t="s">
        <v>101</v>
      </c>
      <c r="M2487" s="10" t="s">
        <v>102</v>
      </c>
      <c r="N2487" s="124" t="s">
        <v>472</v>
      </c>
      <c r="O2487" s="124" t="s">
        <v>472</v>
      </c>
      <c r="P2487" s="21">
        <v>33</v>
      </c>
      <c r="Q2487" s="10" t="s">
        <v>54</v>
      </c>
      <c r="R2487" s="10" t="s">
        <v>28</v>
      </c>
      <c r="S2487" s="10"/>
      <c r="T2487" s="10"/>
      <c r="U2487" s="10" t="s">
        <v>3243</v>
      </c>
      <c r="V2487" s="10" t="s">
        <v>3243</v>
      </c>
      <c r="W2487" s="50">
        <f>+J2487/$W$2</f>
        <v>6.9758121628440154E-5</v>
      </c>
    </row>
    <row r="2488" spans="1:23">
      <c r="A2488" s="10" t="s">
        <v>477</v>
      </c>
      <c r="B2488" s="10" t="s">
        <v>381</v>
      </c>
      <c r="C2488" s="124">
        <v>46455</v>
      </c>
      <c r="D2488" s="124" t="s">
        <v>492</v>
      </c>
      <c r="E2488" s="21">
        <v>0.88313584999999994</v>
      </c>
      <c r="F2488" s="10"/>
      <c r="G2488" s="14">
        <v>5000000</v>
      </c>
      <c r="H2488" s="14">
        <v>4415679.2699999996</v>
      </c>
      <c r="I2488" s="14">
        <v>5000000</v>
      </c>
      <c r="J2488" s="14">
        <v>4415679.2699999996</v>
      </c>
      <c r="K2488" s="12">
        <v>40810973</v>
      </c>
      <c r="L2488" s="10" t="s">
        <v>101</v>
      </c>
      <c r="M2488" s="10" t="s">
        <v>102</v>
      </c>
      <c r="N2488" s="124" t="s">
        <v>677</v>
      </c>
      <c r="O2488" s="124" t="s">
        <v>677</v>
      </c>
      <c r="P2488" s="21">
        <v>30</v>
      </c>
      <c r="Q2488" s="10" t="s">
        <v>54</v>
      </c>
      <c r="R2488" s="10" t="s">
        <v>28</v>
      </c>
      <c r="S2488" s="10"/>
      <c r="T2488" s="10"/>
      <c r="U2488" s="10" t="s">
        <v>3290</v>
      </c>
      <c r="V2488" s="10" t="s">
        <v>3290</v>
      </c>
      <c r="W2488" s="50">
        <f>+J2488/$W$2</f>
        <v>5.8704551935722819E-5</v>
      </c>
    </row>
    <row r="2489" spans="1:23">
      <c r="A2489" s="10" t="s">
        <v>2611</v>
      </c>
      <c r="B2489" s="10" t="s">
        <v>381</v>
      </c>
      <c r="C2489" s="124">
        <v>46456</v>
      </c>
      <c r="D2489" s="124" t="s">
        <v>492</v>
      </c>
      <c r="E2489" s="21">
        <v>0.87563594</v>
      </c>
      <c r="F2489" s="10"/>
      <c r="G2489" s="14">
        <v>353613.17</v>
      </c>
      <c r="H2489" s="14">
        <v>309636.40000000002</v>
      </c>
      <c r="I2489" s="14">
        <v>353613.17</v>
      </c>
      <c r="J2489" s="14">
        <v>309636.40000000002</v>
      </c>
      <c r="K2489" s="12">
        <v>2863</v>
      </c>
      <c r="L2489" s="10" t="s">
        <v>101</v>
      </c>
      <c r="M2489" s="10" t="s">
        <v>102</v>
      </c>
      <c r="N2489" s="124" t="s">
        <v>423</v>
      </c>
      <c r="O2489" s="124" t="s">
        <v>423</v>
      </c>
      <c r="P2489" s="21">
        <v>32</v>
      </c>
      <c r="Q2489" s="10" t="s">
        <v>54</v>
      </c>
      <c r="R2489" s="10" t="s">
        <v>28</v>
      </c>
      <c r="S2489" s="10"/>
      <c r="T2489" s="10"/>
      <c r="U2489" s="10" t="s">
        <v>2540</v>
      </c>
      <c r="V2489" s="10" t="s">
        <v>2540</v>
      </c>
      <c r="W2489" s="50">
        <f>+J2489/$W$2</f>
        <v>4.1164824285325073E-6</v>
      </c>
    </row>
    <row r="2490" spans="1:23">
      <c r="A2490" s="10" t="s">
        <v>2614</v>
      </c>
      <c r="B2490" s="10" t="s">
        <v>381</v>
      </c>
      <c r="C2490" s="124">
        <v>46458</v>
      </c>
      <c r="D2490" s="124" t="s">
        <v>492</v>
      </c>
      <c r="E2490" s="21">
        <v>0.87429343000000004</v>
      </c>
      <c r="F2490" s="10"/>
      <c r="G2490" s="14">
        <v>8123170.7400000002</v>
      </c>
      <c r="H2490" s="14">
        <v>7102034.8200000003</v>
      </c>
      <c r="I2490" s="14">
        <v>8123170.7400000002</v>
      </c>
      <c r="J2490" s="14">
        <v>7102034.8200000003</v>
      </c>
      <c r="K2490" s="12">
        <v>11248</v>
      </c>
      <c r="L2490" s="10" t="s">
        <v>101</v>
      </c>
      <c r="M2490" s="10" t="s">
        <v>102</v>
      </c>
      <c r="N2490" s="124" t="s">
        <v>423</v>
      </c>
      <c r="O2490" s="124" t="s">
        <v>423</v>
      </c>
      <c r="P2490" s="21">
        <v>32</v>
      </c>
      <c r="Q2490" s="10" t="s">
        <v>54</v>
      </c>
      <c r="R2490" s="10" t="s">
        <v>28</v>
      </c>
      <c r="S2490" s="10"/>
      <c r="T2490" s="10"/>
      <c r="U2490" s="10" t="s">
        <v>2551</v>
      </c>
      <c r="V2490" s="10" t="s">
        <v>2551</v>
      </c>
      <c r="W2490" s="50">
        <f>+J2490/$W$2</f>
        <v>9.4418490666330011E-5</v>
      </c>
    </row>
    <row r="2491" spans="1:23">
      <c r="A2491" s="10" t="s">
        <v>2915</v>
      </c>
      <c r="B2491" s="10" t="s">
        <v>381</v>
      </c>
      <c r="C2491" s="124">
        <v>46458</v>
      </c>
      <c r="D2491" s="124" t="s">
        <v>492</v>
      </c>
      <c r="E2491" s="21">
        <v>0.88121684</v>
      </c>
      <c r="F2491" s="10"/>
      <c r="G2491" s="14">
        <v>5000000</v>
      </c>
      <c r="H2491" s="14">
        <v>4406084.1900000004</v>
      </c>
      <c r="I2491" s="14">
        <v>5000000</v>
      </c>
      <c r="J2491" s="14">
        <v>4406084.1900000004</v>
      </c>
      <c r="K2491" s="12">
        <v>3927501</v>
      </c>
      <c r="L2491" s="10" t="s">
        <v>101</v>
      </c>
      <c r="M2491" s="10" t="s">
        <v>102</v>
      </c>
      <c r="N2491" s="124" t="s">
        <v>532</v>
      </c>
      <c r="O2491" s="124" t="s">
        <v>532</v>
      </c>
      <c r="P2491" s="21">
        <v>30</v>
      </c>
      <c r="Q2491" s="10" t="s">
        <v>54</v>
      </c>
      <c r="R2491" s="10" t="s">
        <v>28</v>
      </c>
      <c r="S2491" s="10"/>
      <c r="T2491" s="10"/>
      <c r="U2491" s="10" t="s">
        <v>3020</v>
      </c>
      <c r="V2491" s="10" t="s">
        <v>3020</v>
      </c>
      <c r="W2491" s="50">
        <f>+J2491/$W$2</f>
        <v>5.8576989484343199E-5</v>
      </c>
    </row>
    <row r="2492" spans="1:23">
      <c r="A2492" s="10" t="s">
        <v>3261</v>
      </c>
      <c r="B2492" s="10" t="s">
        <v>381</v>
      </c>
      <c r="C2492" s="124">
        <v>46461</v>
      </c>
      <c r="D2492" s="124" t="s">
        <v>492</v>
      </c>
      <c r="E2492" s="21">
        <v>0.86882022000000003</v>
      </c>
      <c r="F2492" s="10"/>
      <c r="G2492" s="14">
        <v>6006148</v>
      </c>
      <c r="H2492" s="14">
        <v>5218262.8</v>
      </c>
      <c r="I2492" s="14">
        <v>6006148</v>
      </c>
      <c r="J2492" s="14">
        <v>5218262.8</v>
      </c>
      <c r="K2492" s="12">
        <v>1370676</v>
      </c>
      <c r="L2492" s="10" t="s">
        <v>101</v>
      </c>
      <c r="M2492" s="10" t="s">
        <v>102</v>
      </c>
      <c r="N2492" s="124" t="s">
        <v>472</v>
      </c>
      <c r="O2492" s="124" t="s">
        <v>472</v>
      </c>
      <c r="P2492" s="21">
        <v>33</v>
      </c>
      <c r="Q2492" s="10" t="s">
        <v>54</v>
      </c>
      <c r="R2492" s="10" t="s">
        <v>28</v>
      </c>
      <c r="S2492" s="10"/>
      <c r="T2492" s="10"/>
      <c r="U2492" s="10" t="s">
        <v>3237</v>
      </c>
      <c r="V2492" s="10" t="s">
        <v>3237</v>
      </c>
      <c r="W2492" s="50">
        <f>+J2492/$W$2</f>
        <v>6.9374553907954094E-5</v>
      </c>
    </row>
    <row r="2493" spans="1:23">
      <c r="A2493" s="10" t="s">
        <v>2615</v>
      </c>
      <c r="B2493" s="10" t="s">
        <v>381</v>
      </c>
      <c r="C2493" s="124">
        <v>46461</v>
      </c>
      <c r="D2493" s="124" t="s">
        <v>492</v>
      </c>
      <c r="E2493" s="21">
        <v>0.87228764000000003</v>
      </c>
      <c r="F2493" s="10"/>
      <c r="G2493" s="14">
        <v>1129854.56</v>
      </c>
      <c r="H2493" s="14">
        <v>985558.17</v>
      </c>
      <c r="I2493" s="14">
        <v>1129854.56</v>
      </c>
      <c r="J2493" s="14">
        <v>985558.17</v>
      </c>
      <c r="K2493" s="12">
        <v>1028</v>
      </c>
      <c r="L2493" s="10" t="s">
        <v>101</v>
      </c>
      <c r="M2493" s="10" t="s">
        <v>102</v>
      </c>
      <c r="N2493" s="124" t="s">
        <v>423</v>
      </c>
      <c r="O2493" s="124" t="s">
        <v>423</v>
      </c>
      <c r="P2493" s="21">
        <v>32</v>
      </c>
      <c r="Q2493" s="10" t="s">
        <v>54</v>
      </c>
      <c r="R2493" s="10" t="s">
        <v>28</v>
      </c>
      <c r="S2493" s="10"/>
      <c r="T2493" s="10"/>
      <c r="U2493" s="10" t="s">
        <v>2560</v>
      </c>
      <c r="V2493" s="10" t="s">
        <v>2560</v>
      </c>
      <c r="W2493" s="50">
        <f>+J2493/$W$2</f>
        <v>1.3102570915763305E-5</v>
      </c>
    </row>
    <row r="2494" spans="1:23">
      <c r="A2494" s="10" t="s">
        <v>477</v>
      </c>
      <c r="B2494" s="10" t="s">
        <v>381</v>
      </c>
      <c r="C2494" s="124">
        <v>46462</v>
      </c>
      <c r="D2494" s="124" t="s">
        <v>492</v>
      </c>
      <c r="E2494" s="21">
        <v>0.87513207999999998</v>
      </c>
      <c r="F2494" s="10"/>
      <c r="G2494" s="14">
        <v>3700000</v>
      </c>
      <c r="H2494" s="14">
        <v>3237988.7</v>
      </c>
      <c r="I2494" s="14">
        <v>3700000</v>
      </c>
      <c r="J2494" s="14">
        <v>3237988.7</v>
      </c>
      <c r="K2494" s="12">
        <v>164546</v>
      </c>
      <c r="L2494" s="10" t="s">
        <v>101</v>
      </c>
      <c r="M2494" s="10" t="s">
        <v>102</v>
      </c>
      <c r="N2494" s="124" t="s">
        <v>486</v>
      </c>
      <c r="O2494" s="124" t="s">
        <v>486</v>
      </c>
      <c r="P2494" s="21">
        <v>31</v>
      </c>
      <c r="Q2494" s="10" t="s">
        <v>54</v>
      </c>
      <c r="R2494" s="10" t="s">
        <v>28</v>
      </c>
      <c r="S2494" s="10"/>
      <c r="T2494" s="10"/>
      <c r="U2494" s="10" t="s">
        <v>2781</v>
      </c>
      <c r="V2494" s="10" t="s">
        <v>2781</v>
      </c>
      <c r="W2494" s="50">
        <f>+J2494/$W$2</f>
        <v>4.3047663605883592E-5</v>
      </c>
    </row>
    <row r="2495" spans="1:23">
      <c r="A2495" s="10" t="s">
        <v>180</v>
      </c>
      <c r="B2495" s="10" t="s">
        <v>381</v>
      </c>
      <c r="C2495" s="124">
        <v>46463</v>
      </c>
      <c r="D2495" s="124" t="s">
        <v>492</v>
      </c>
      <c r="E2495" s="21">
        <v>0.88887806999999996</v>
      </c>
      <c r="F2495" s="10"/>
      <c r="G2495" s="14">
        <v>13688973.9</v>
      </c>
      <c r="H2495" s="14">
        <v>12167828.689999999</v>
      </c>
      <c r="I2495" s="14">
        <v>13688973.9</v>
      </c>
      <c r="J2495" s="14">
        <v>12167828.689999999</v>
      </c>
      <c r="K2495" s="12">
        <v>606303</v>
      </c>
      <c r="L2495" s="10" t="s">
        <v>101</v>
      </c>
      <c r="M2495" s="10" t="s">
        <v>102</v>
      </c>
      <c r="N2495" s="124" t="s">
        <v>164</v>
      </c>
      <c r="O2495" s="124" t="s">
        <v>164</v>
      </c>
      <c r="P2495" s="21">
        <v>27</v>
      </c>
      <c r="Q2495" s="10" t="s">
        <v>54</v>
      </c>
      <c r="R2495" s="10" t="s">
        <v>28</v>
      </c>
      <c r="S2495" s="10"/>
      <c r="T2495" s="10"/>
      <c r="U2495" s="10" t="s">
        <v>1999</v>
      </c>
      <c r="V2495" s="10" t="s">
        <v>1999</v>
      </c>
      <c r="W2495" s="50">
        <f>+J2495/$W$2</f>
        <v>1.6176603589170623E-4</v>
      </c>
    </row>
    <row r="2496" spans="1:23">
      <c r="A2496" s="10" t="s">
        <v>2245</v>
      </c>
      <c r="B2496" s="10" t="s">
        <v>381</v>
      </c>
      <c r="C2496" s="124">
        <v>46463</v>
      </c>
      <c r="D2496" s="124" t="s">
        <v>492</v>
      </c>
      <c r="E2496" s="21">
        <v>0.86745742999999997</v>
      </c>
      <c r="F2496" s="10"/>
      <c r="G2496" s="14">
        <v>19588994.07</v>
      </c>
      <c r="H2496" s="14">
        <v>16992618.390000001</v>
      </c>
      <c r="I2496" s="14">
        <v>19588994.07</v>
      </c>
      <c r="J2496" s="14">
        <v>16992618.390000001</v>
      </c>
      <c r="K2496" s="12">
        <v>69546964</v>
      </c>
      <c r="L2496" s="10" t="s">
        <v>101</v>
      </c>
      <c r="M2496" s="10" t="s">
        <v>102</v>
      </c>
      <c r="N2496" s="124" t="s">
        <v>551</v>
      </c>
      <c r="O2496" s="124" t="s">
        <v>551</v>
      </c>
      <c r="P2496" s="21">
        <v>33</v>
      </c>
      <c r="Q2496" s="10" t="s">
        <v>54</v>
      </c>
      <c r="R2496" s="10" t="s">
        <v>28</v>
      </c>
      <c r="S2496" s="10"/>
      <c r="T2496" s="10"/>
      <c r="U2496" s="10" t="s">
        <v>2202</v>
      </c>
      <c r="V2496" s="10" t="s">
        <v>2202</v>
      </c>
      <c r="W2496" s="50">
        <f>+J2496/$W$2</f>
        <v>2.2590953459345649E-4</v>
      </c>
    </row>
    <row r="2497" spans="1:23">
      <c r="A2497" s="10" t="s">
        <v>392</v>
      </c>
      <c r="B2497" s="10" t="s">
        <v>381</v>
      </c>
      <c r="C2497" s="124">
        <v>46463</v>
      </c>
      <c r="D2497" s="124" t="s">
        <v>492</v>
      </c>
      <c r="E2497" s="21">
        <v>0.87095557000000001</v>
      </c>
      <c r="F2497" s="10"/>
      <c r="G2497" s="14">
        <v>2833000</v>
      </c>
      <c r="H2497" s="14">
        <v>2467417.13</v>
      </c>
      <c r="I2497" s="14">
        <v>2833000</v>
      </c>
      <c r="J2497" s="14">
        <v>2467417.13</v>
      </c>
      <c r="K2497" s="12">
        <v>90000059</v>
      </c>
      <c r="L2497" s="10" t="s">
        <v>101</v>
      </c>
      <c r="M2497" s="10" t="s">
        <v>102</v>
      </c>
      <c r="N2497" s="124" t="s">
        <v>531</v>
      </c>
      <c r="O2497" s="124" t="s">
        <v>531</v>
      </c>
      <c r="P2497" s="21">
        <v>32</v>
      </c>
      <c r="Q2497" s="10" t="s">
        <v>54</v>
      </c>
      <c r="R2497" s="10" t="s">
        <v>28</v>
      </c>
      <c r="S2497" s="10"/>
      <c r="T2497" s="10"/>
      <c r="U2497" s="10" t="s">
        <v>3397</v>
      </c>
      <c r="V2497" s="10" t="s">
        <v>3397</v>
      </c>
      <c r="W2497" s="50">
        <f>+J2497/$W$2</f>
        <v>3.2803246838889441E-5</v>
      </c>
    </row>
    <row r="2498" spans="1:23">
      <c r="A2498" s="10" t="s">
        <v>464</v>
      </c>
      <c r="B2498" s="10" t="s">
        <v>125</v>
      </c>
      <c r="C2498" s="124">
        <v>46463</v>
      </c>
      <c r="D2498" s="124" t="s">
        <v>492</v>
      </c>
      <c r="E2498" s="21">
        <v>0.96428305000000003</v>
      </c>
      <c r="F2498" s="10" t="s">
        <v>3573</v>
      </c>
      <c r="G2498" s="14">
        <v>18230</v>
      </c>
      <c r="H2498" s="14">
        <v>17578.88</v>
      </c>
      <c r="I2498" s="14">
        <v>27781968.690000001</v>
      </c>
      <c r="J2498" s="14">
        <v>26789681.510000002</v>
      </c>
      <c r="K2498" s="12">
        <v>146451</v>
      </c>
      <c r="L2498" s="10" t="s">
        <v>101</v>
      </c>
      <c r="M2498" s="10" t="s">
        <v>102</v>
      </c>
      <c r="N2498" s="124" t="s">
        <v>301</v>
      </c>
      <c r="O2498" s="124" t="s">
        <v>301</v>
      </c>
      <c r="P2498" s="21">
        <v>8</v>
      </c>
      <c r="Q2498" s="10" t="s">
        <v>54</v>
      </c>
      <c r="R2498" s="10" t="s">
        <v>28</v>
      </c>
      <c r="S2498" s="10"/>
      <c r="T2498" s="10"/>
      <c r="U2498" s="10" t="s">
        <v>453</v>
      </c>
      <c r="V2498" s="10" t="s">
        <v>453</v>
      </c>
      <c r="W2498" s="50">
        <f>+J2498/$W$2</f>
        <v>3.5615726446211493E-4</v>
      </c>
    </row>
    <row r="2499" spans="1:23">
      <c r="A2499" s="10" t="s">
        <v>2915</v>
      </c>
      <c r="B2499" s="10" t="s">
        <v>381</v>
      </c>
      <c r="C2499" s="124">
        <v>46463</v>
      </c>
      <c r="D2499" s="124" t="s">
        <v>492</v>
      </c>
      <c r="E2499" s="21">
        <v>0.87803715999999998</v>
      </c>
      <c r="F2499" s="10"/>
      <c r="G2499" s="14">
        <v>20000000</v>
      </c>
      <c r="H2499" s="14">
        <v>17560743.129999999</v>
      </c>
      <c r="I2499" s="14">
        <v>20000000</v>
      </c>
      <c r="J2499" s="14">
        <v>17560743.129999999</v>
      </c>
      <c r="K2499" s="12">
        <v>68586590</v>
      </c>
      <c r="L2499" s="10" t="s">
        <v>101</v>
      </c>
      <c r="M2499" s="10" t="s">
        <v>102</v>
      </c>
      <c r="N2499" s="124" t="s">
        <v>434</v>
      </c>
      <c r="O2499" s="124" t="s">
        <v>434</v>
      </c>
      <c r="P2499" s="21">
        <v>30</v>
      </c>
      <c r="Q2499" s="10" t="s">
        <v>54</v>
      </c>
      <c r="R2499" s="10" t="s">
        <v>28</v>
      </c>
      <c r="S2499" s="10"/>
      <c r="T2499" s="10"/>
      <c r="U2499" s="10" t="s">
        <v>2980</v>
      </c>
      <c r="V2499" s="10" t="s">
        <v>2980</v>
      </c>
      <c r="W2499" s="50">
        <f>+J2499/$W$2</f>
        <v>2.3346250804691545E-4</v>
      </c>
    </row>
    <row r="2500" spans="1:23">
      <c r="A2500" s="10" t="s">
        <v>2700</v>
      </c>
      <c r="B2500" s="10" t="s">
        <v>381</v>
      </c>
      <c r="C2500" s="124">
        <v>46464</v>
      </c>
      <c r="D2500" s="124" t="s">
        <v>492</v>
      </c>
      <c r="E2500" s="21">
        <v>0.87029109000000004</v>
      </c>
      <c r="F2500" s="10"/>
      <c r="G2500" s="14">
        <v>21145734.48</v>
      </c>
      <c r="H2500" s="14">
        <v>18402944.219999999</v>
      </c>
      <c r="I2500" s="14">
        <v>21145734.48</v>
      </c>
      <c r="J2500" s="14">
        <v>18402944.219999999</v>
      </c>
      <c r="K2500" s="12">
        <v>1985965</v>
      </c>
      <c r="L2500" s="10" t="s">
        <v>101</v>
      </c>
      <c r="M2500" s="10" t="s">
        <v>102</v>
      </c>
      <c r="N2500" s="124" t="s">
        <v>420</v>
      </c>
      <c r="O2500" s="124" t="s">
        <v>420</v>
      </c>
      <c r="P2500" s="21">
        <v>32</v>
      </c>
      <c r="Q2500" s="10" t="s">
        <v>54</v>
      </c>
      <c r="R2500" s="10" t="s">
        <v>28</v>
      </c>
      <c r="S2500" s="10"/>
      <c r="T2500" s="10"/>
      <c r="U2500" s="10" t="s">
        <v>2664</v>
      </c>
      <c r="V2500" s="10" t="s">
        <v>2664</v>
      </c>
      <c r="W2500" s="50">
        <f>+J2500/$W$2</f>
        <v>2.446592083969903E-4</v>
      </c>
    </row>
    <row r="2501" spans="1:23">
      <c r="A2501" s="10" t="s">
        <v>1188</v>
      </c>
      <c r="B2501" s="10" t="s">
        <v>381</v>
      </c>
      <c r="C2501" s="124">
        <v>46464</v>
      </c>
      <c r="D2501" s="124" t="s">
        <v>492</v>
      </c>
      <c r="E2501" s="21">
        <v>0.89198443000000005</v>
      </c>
      <c r="F2501" s="10"/>
      <c r="G2501" s="14">
        <v>3948801</v>
      </c>
      <c r="H2501" s="14">
        <v>3522268.99</v>
      </c>
      <c r="I2501" s="14">
        <v>3948801</v>
      </c>
      <c r="J2501" s="14">
        <v>3522268.99</v>
      </c>
      <c r="K2501" s="12">
        <v>1018</v>
      </c>
      <c r="L2501" s="10" t="s">
        <v>101</v>
      </c>
      <c r="M2501" s="10" t="s">
        <v>102</v>
      </c>
      <c r="N2501" s="124" t="s">
        <v>363</v>
      </c>
      <c r="O2501" s="124" t="s">
        <v>363</v>
      </c>
      <c r="P2501" s="21">
        <v>26</v>
      </c>
      <c r="Q2501" s="10" t="s">
        <v>54</v>
      </c>
      <c r="R2501" s="10" t="s">
        <v>28</v>
      </c>
      <c r="S2501" s="10"/>
      <c r="T2501" s="10"/>
      <c r="U2501" s="10" t="s">
        <v>1179</v>
      </c>
      <c r="V2501" s="10" t="s">
        <v>1179</v>
      </c>
      <c r="W2501" s="50">
        <f>+J2501/$W$2</f>
        <v>4.6827047485050015E-5</v>
      </c>
    </row>
    <row r="2502" spans="1:23">
      <c r="A2502" s="10" t="s">
        <v>426</v>
      </c>
      <c r="B2502" s="10" t="s">
        <v>381</v>
      </c>
      <c r="C2502" s="124">
        <v>46464</v>
      </c>
      <c r="D2502" s="124" t="s">
        <v>492</v>
      </c>
      <c r="E2502" s="21">
        <v>0.87740393999999999</v>
      </c>
      <c r="F2502" s="10"/>
      <c r="G2502" s="14">
        <v>5580000</v>
      </c>
      <c r="H2502" s="14">
        <v>4895913.96</v>
      </c>
      <c r="I2502" s="14">
        <v>5580000</v>
      </c>
      <c r="J2502" s="14">
        <v>4895913.96</v>
      </c>
      <c r="K2502" s="12">
        <v>11415142</v>
      </c>
      <c r="L2502" s="10" t="s">
        <v>101</v>
      </c>
      <c r="M2502" s="10" t="s">
        <v>102</v>
      </c>
      <c r="N2502" s="124" t="s">
        <v>486</v>
      </c>
      <c r="O2502" s="124" t="s">
        <v>486</v>
      </c>
      <c r="P2502" s="21">
        <v>30</v>
      </c>
      <c r="Q2502" s="10" t="s">
        <v>54</v>
      </c>
      <c r="R2502" s="10" t="s">
        <v>28</v>
      </c>
      <c r="S2502" s="10"/>
      <c r="T2502" s="10"/>
      <c r="U2502" s="10" t="s">
        <v>2799</v>
      </c>
      <c r="V2502" s="10" t="s">
        <v>2799</v>
      </c>
      <c r="W2502" s="50">
        <f>+J2502/$W$2</f>
        <v>6.508906507098972E-5</v>
      </c>
    </row>
    <row r="2503" spans="1:23">
      <c r="A2503" s="10" t="s">
        <v>477</v>
      </c>
      <c r="B2503" s="10" t="s">
        <v>381</v>
      </c>
      <c r="C2503" s="124">
        <v>46465</v>
      </c>
      <c r="D2503" s="124" t="s">
        <v>492</v>
      </c>
      <c r="E2503" s="21">
        <v>0.87318503000000003</v>
      </c>
      <c r="F2503" s="10"/>
      <c r="G2503" s="14">
        <v>20000000</v>
      </c>
      <c r="H2503" s="14">
        <v>17463700.609999999</v>
      </c>
      <c r="I2503" s="14">
        <v>20000000</v>
      </c>
      <c r="J2503" s="14">
        <v>17463700.609999999</v>
      </c>
      <c r="K2503" s="12">
        <v>69904903</v>
      </c>
      <c r="L2503" s="10" t="s">
        <v>101</v>
      </c>
      <c r="M2503" s="10" t="s">
        <v>102</v>
      </c>
      <c r="N2503" s="124" t="s">
        <v>677</v>
      </c>
      <c r="O2503" s="124" t="s">
        <v>677</v>
      </c>
      <c r="P2503" s="21">
        <v>31</v>
      </c>
      <c r="Q2503" s="10" t="s">
        <v>54</v>
      </c>
      <c r="R2503" s="10" t="s">
        <v>28</v>
      </c>
      <c r="S2503" s="10"/>
      <c r="T2503" s="10"/>
      <c r="U2503" s="10" t="s">
        <v>3277</v>
      </c>
      <c r="V2503" s="10" t="s">
        <v>3277</v>
      </c>
      <c r="W2503" s="50">
        <f>+J2503/$W$2</f>
        <v>2.3217236958644855E-4</v>
      </c>
    </row>
    <row r="2504" spans="1:23">
      <c r="A2504" s="10" t="s">
        <v>2771</v>
      </c>
      <c r="B2504" s="10" t="s">
        <v>381</v>
      </c>
      <c r="C2504" s="124">
        <v>46465</v>
      </c>
      <c r="D2504" s="124" t="s">
        <v>492</v>
      </c>
      <c r="E2504" s="21">
        <v>0.88403427999999995</v>
      </c>
      <c r="F2504" s="10"/>
      <c r="G2504" s="14">
        <v>19000000</v>
      </c>
      <c r="H2504" s="14">
        <v>16796651.280000001</v>
      </c>
      <c r="I2504" s="14">
        <v>19000000</v>
      </c>
      <c r="J2504" s="14">
        <v>16796651.280000001</v>
      </c>
      <c r="K2504" s="12">
        <v>1558096</v>
      </c>
      <c r="L2504" s="10" t="s">
        <v>101</v>
      </c>
      <c r="M2504" s="10" t="s">
        <v>102</v>
      </c>
      <c r="N2504" s="124" t="s">
        <v>422</v>
      </c>
      <c r="O2504" s="124" t="s">
        <v>422</v>
      </c>
      <c r="P2504" s="21">
        <v>28</v>
      </c>
      <c r="Q2504" s="10" t="s">
        <v>54</v>
      </c>
      <c r="R2504" s="10" t="s">
        <v>28</v>
      </c>
      <c r="S2504" s="10"/>
      <c r="T2504" s="10"/>
      <c r="U2504" s="10" t="s">
        <v>2761</v>
      </c>
      <c r="V2504" s="10" t="s">
        <v>2761</v>
      </c>
      <c r="W2504" s="50">
        <f>+J2504/$W$2</f>
        <v>2.2330423636338634E-4</v>
      </c>
    </row>
    <row r="2505" spans="1:23">
      <c r="A2505" s="10" t="s">
        <v>2915</v>
      </c>
      <c r="B2505" s="10" t="s">
        <v>381</v>
      </c>
      <c r="C2505" s="124">
        <v>46465</v>
      </c>
      <c r="D2505" s="124" t="s">
        <v>492</v>
      </c>
      <c r="E2505" s="21">
        <v>0.87677161000000003</v>
      </c>
      <c r="F2505" s="10"/>
      <c r="G2505" s="14">
        <v>5000000</v>
      </c>
      <c r="H2505" s="14">
        <v>4383858.05</v>
      </c>
      <c r="I2505" s="14">
        <v>5000000</v>
      </c>
      <c r="J2505" s="14">
        <v>4383858.05</v>
      </c>
      <c r="K2505" s="12">
        <v>3927502</v>
      </c>
      <c r="L2505" s="10" t="s">
        <v>101</v>
      </c>
      <c r="M2505" s="10" t="s">
        <v>102</v>
      </c>
      <c r="N2505" s="124" t="s">
        <v>532</v>
      </c>
      <c r="O2505" s="124" t="s">
        <v>532</v>
      </c>
      <c r="P2505" s="21">
        <v>30</v>
      </c>
      <c r="Q2505" s="10" t="s">
        <v>54</v>
      </c>
      <c r="R2505" s="10" t="s">
        <v>28</v>
      </c>
      <c r="S2505" s="10"/>
      <c r="T2505" s="10"/>
      <c r="U2505" s="10" t="s">
        <v>3012</v>
      </c>
      <c r="V2505" s="10" t="s">
        <v>3012</v>
      </c>
      <c r="W2505" s="50">
        <f>+J2505/$W$2</f>
        <v>5.8281502536542144E-5</v>
      </c>
    </row>
    <row r="2506" spans="1:23">
      <c r="A2506" s="10" t="s">
        <v>3261</v>
      </c>
      <c r="B2506" s="10" t="s">
        <v>381</v>
      </c>
      <c r="C2506" s="124">
        <v>46468</v>
      </c>
      <c r="D2506" s="124" t="s">
        <v>492</v>
      </c>
      <c r="E2506" s="21">
        <v>0.86406910000000003</v>
      </c>
      <c r="F2506" s="10"/>
      <c r="G2506" s="14">
        <v>6006148</v>
      </c>
      <c r="H2506" s="14">
        <v>5189726.9000000004</v>
      </c>
      <c r="I2506" s="14">
        <v>6006148</v>
      </c>
      <c r="J2506" s="14">
        <v>5189726.9000000004</v>
      </c>
      <c r="K2506" s="12">
        <v>1370682</v>
      </c>
      <c r="L2506" s="10" t="s">
        <v>101</v>
      </c>
      <c r="M2506" s="10" t="s">
        <v>102</v>
      </c>
      <c r="N2506" s="124" t="s">
        <v>472</v>
      </c>
      <c r="O2506" s="124" t="s">
        <v>472</v>
      </c>
      <c r="P2506" s="21">
        <v>33</v>
      </c>
      <c r="Q2506" s="10" t="s">
        <v>54</v>
      </c>
      <c r="R2506" s="10" t="s">
        <v>28</v>
      </c>
      <c r="S2506" s="10"/>
      <c r="T2506" s="10"/>
      <c r="U2506" s="10" t="s">
        <v>3238</v>
      </c>
      <c r="V2506" s="10" t="s">
        <v>3238</v>
      </c>
      <c r="W2506" s="50">
        <f>+J2506/$W$2</f>
        <v>6.8995181421604437E-5</v>
      </c>
    </row>
    <row r="2507" spans="1:23">
      <c r="A2507" s="10" t="s">
        <v>2993</v>
      </c>
      <c r="B2507" s="10" t="s">
        <v>381</v>
      </c>
      <c r="C2507" s="124">
        <v>46469</v>
      </c>
      <c r="D2507" s="124" t="s">
        <v>492</v>
      </c>
      <c r="E2507" s="21">
        <v>0.86698355999999999</v>
      </c>
      <c r="F2507" s="10"/>
      <c r="G2507" s="14">
        <v>45000000</v>
      </c>
      <c r="H2507" s="14">
        <v>39014260.210000001</v>
      </c>
      <c r="I2507" s="14">
        <v>45000000</v>
      </c>
      <c r="J2507" s="14">
        <v>39014260.210000001</v>
      </c>
      <c r="K2507" s="12">
        <v>51559</v>
      </c>
      <c r="L2507" s="10" t="s">
        <v>101</v>
      </c>
      <c r="M2507" s="10" t="s">
        <v>102</v>
      </c>
      <c r="N2507" s="124" t="s">
        <v>678</v>
      </c>
      <c r="O2507" s="124" t="s">
        <v>678</v>
      </c>
      <c r="P2507" s="21">
        <v>32</v>
      </c>
      <c r="Q2507" s="10" t="s">
        <v>54</v>
      </c>
      <c r="R2507" s="10" t="s">
        <v>28</v>
      </c>
      <c r="S2507" s="10"/>
      <c r="T2507" s="10"/>
      <c r="U2507" s="10" t="s">
        <v>3504</v>
      </c>
      <c r="V2507" s="10" t="s">
        <v>3504</v>
      </c>
      <c r="W2507" s="50">
        <f>+J2507/$W$2</f>
        <v>5.1867776726722029E-4</v>
      </c>
    </row>
    <row r="2508" spans="1:23">
      <c r="A2508" s="10" t="s">
        <v>2771</v>
      </c>
      <c r="B2508" s="10" t="s">
        <v>381</v>
      </c>
      <c r="C2508" s="124">
        <v>46469</v>
      </c>
      <c r="D2508" s="124" t="s">
        <v>492</v>
      </c>
      <c r="E2508" s="21">
        <v>0.88164266999999996</v>
      </c>
      <c r="F2508" s="10"/>
      <c r="G2508" s="14">
        <v>19000000</v>
      </c>
      <c r="H2508" s="14">
        <v>16751210.699999999</v>
      </c>
      <c r="I2508" s="14">
        <v>19000000</v>
      </c>
      <c r="J2508" s="14">
        <v>16751210.699999999</v>
      </c>
      <c r="K2508" s="12">
        <v>1558097</v>
      </c>
      <c r="L2508" s="10" t="s">
        <v>101</v>
      </c>
      <c r="M2508" s="10" t="s">
        <v>102</v>
      </c>
      <c r="N2508" s="124" t="s">
        <v>422</v>
      </c>
      <c r="O2508" s="124" t="s">
        <v>422</v>
      </c>
      <c r="P2508" s="21">
        <v>28</v>
      </c>
      <c r="Q2508" s="10" t="s">
        <v>54</v>
      </c>
      <c r="R2508" s="10" t="s">
        <v>28</v>
      </c>
      <c r="S2508" s="10"/>
      <c r="T2508" s="10"/>
      <c r="U2508" s="10" t="s">
        <v>2763</v>
      </c>
      <c r="V2508" s="10" t="s">
        <v>2763</v>
      </c>
      <c r="W2508" s="50">
        <f>+J2508/$W$2</f>
        <v>2.2270012344542084E-4</v>
      </c>
    </row>
    <row r="2509" spans="1:23">
      <c r="A2509" s="10" t="s">
        <v>3152</v>
      </c>
      <c r="B2509" s="10" t="s">
        <v>381</v>
      </c>
      <c r="C2509" s="124">
        <v>46475</v>
      </c>
      <c r="D2509" s="124" t="s">
        <v>492</v>
      </c>
      <c r="E2509" s="21">
        <v>0.85936961000000001</v>
      </c>
      <c r="F2509" s="10"/>
      <c r="G2509" s="14">
        <v>182156</v>
      </c>
      <c r="H2509" s="14">
        <v>156539.32999999999</v>
      </c>
      <c r="I2509" s="14">
        <v>182156</v>
      </c>
      <c r="J2509" s="14">
        <v>156539.32999999999</v>
      </c>
      <c r="K2509" s="12">
        <v>2232886</v>
      </c>
      <c r="L2509" s="10" t="s">
        <v>101</v>
      </c>
      <c r="M2509" s="10" t="s">
        <v>102</v>
      </c>
      <c r="N2509" s="124" t="s">
        <v>532</v>
      </c>
      <c r="O2509" s="124" t="s">
        <v>532</v>
      </c>
      <c r="P2509" s="21">
        <v>33</v>
      </c>
      <c r="Q2509" s="10" t="s">
        <v>54</v>
      </c>
      <c r="R2509" s="10" t="s">
        <v>28</v>
      </c>
      <c r="S2509" s="10"/>
      <c r="T2509" s="10"/>
      <c r="U2509" s="10" t="s">
        <v>3127</v>
      </c>
      <c r="V2509" s="10" t="s">
        <v>3127</v>
      </c>
      <c r="W2509" s="50">
        <f>+J2509/$W$2</f>
        <v>2.0811228954969487E-6</v>
      </c>
    </row>
    <row r="2510" spans="1:23">
      <c r="A2510" s="10" t="s">
        <v>3348</v>
      </c>
      <c r="B2510" s="10" t="s">
        <v>381</v>
      </c>
      <c r="C2510" s="124">
        <v>46475</v>
      </c>
      <c r="D2510" s="124" t="s">
        <v>492</v>
      </c>
      <c r="E2510" s="21">
        <v>0.85936948999999996</v>
      </c>
      <c r="F2510" s="10"/>
      <c r="G2510" s="14">
        <v>25000000</v>
      </c>
      <c r="H2510" s="14">
        <v>21484237.32</v>
      </c>
      <c r="I2510" s="14">
        <v>25000000</v>
      </c>
      <c r="J2510" s="14">
        <v>21484237.32</v>
      </c>
      <c r="K2510" s="12">
        <v>20</v>
      </c>
      <c r="L2510" s="10" t="s">
        <v>101</v>
      </c>
      <c r="M2510" s="10" t="s">
        <v>102</v>
      </c>
      <c r="N2510" s="124" t="s">
        <v>677</v>
      </c>
      <c r="O2510" s="124" t="s">
        <v>677</v>
      </c>
      <c r="P2510" s="21">
        <v>33</v>
      </c>
      <c r="Q2510" s="10" t="s">
        <v>54</v>
      </c>
      <c r="R2510" s="10" t="s">
        <v>28</v>
      </c>
      <c r="S2510" s="10"/>
      <c r="T2510" s="10"/>
      <c r="U2510" s="10" t="s">
        <v>3316</v>
      </c>
      <c r="V2510" s="10" t="s">
        <v>3316</v>
      </c>
      <c r="W2510" s="50">
        <f>+J2510/$W$2</f>
        <v>2.8562367156510771E-4</v>
      </c>
    </row>
    <row r="2511" spans="1:23">
      <c r="A2511" s="10" t="s">
        <v>3270</v>
      </c>
      <c r="B2511" s="10" t="s">
        <v>381</v>
      </c>
      <c r="C2511" s="124">
        <v>46475</v>
      </c>
      <c r="D2511" s="124" t="s">
        <v>492</v>
      </c>
      <c r="E2511" s="21">
        <v>0.85936966000000004</v>
      </c>
      <c r="F2511" s="10"/>
      <c r="G2511" s="14">
        <v>22918216.550000001</v>
      </c>
      <c r="H2511" s="14">
        <v>19695219.989999998</v>
      </c>
      <c r="I2511" s="14">
        <v>22918216.550000001</v>
      </c>
      <c r="J2511" s="14">
        <v>19695219.989999998</v>
      </c>
      <c r="K2511" s="12">
        <v>1368028</v>
      </c>
      <c r="L2511" s="10" t="s">
        <v>101</v>
      </c>
      <c r="M2511" s="10" t="s">
        <v>102</v>
      </c>
      <c r="N2511" s="124" t="s">
        <v>472</v>
      </c>
      <c r="O2511" s="124" t="s">
        <v>472</v>
      </c>
      <c r="P2511" s="21">
        <v>33</v>
      </c>
      <c r="Q2511" s="10" t="s">
        <v>54</v>
      </c>
      <c r="R2511" s="10" t="s">
        <v>28</v>
      </c>
      <c r="S2511" s="10"/>
      <c r="T2511" s="10"/>
      <c r="U2511" s="10" t="s">
        <v>3234</v>
      </c>
      <c r="V2511" s="10" t="s">
        <v>3234</v>
      </c>
      <c r="W2511" s="50">
        <f>+J2511/$W$2</f>
        <v>2.6183945755381849E-4</v>
      </c>
    </row>
    <row r="2512" spans="1:23">
      <c r="A2512" s="10" t="s">
        <v>3270</v>
      </c>
      <c r="B2512" s="10" t="s">
        <v>381</v>
      </c>
      <c r="C2512" s="124">
        <v>46475</v>
      </c>
      <c r="D2512" s="124" t="s">
        <v>492</v>
      </c>
      <c r="E2512" s="21">
        <v>0.85936966000000004</v>
      </c>
      <c r="F2512" s="10"/>
      <c r="G2512" s="14">
        <v>24000000</v>
      </c>
      <c r="H2512" s="14">
        <v>20624871.870000001</v>
      </c>
      <c r="I2512" s="14">
        <v>24000000</v>
      </c>
      <c r="J2512" s="14">
        <v>20624871.870000001</v>
      </c>
      <c r="K2512" s="12">
        <v>40811462</v>
      </c>
      <c r="L2512" s="10" t="s">
        <v>101</v>
      </c>
      <c r="M2512" s="10" t="s">
        <v>102</v>
      </c>
      <c r="N2512" s="124" t="s">
        <v>472</v>
      </c>
      <c r="O2512" s="124" t="s">
        <v>472</v>
      </c>
      <c r="P2512" s="21">
        <v>33</v>
      </c>
      <c r="Q2512" s="10" t="s">
        <v>54</v>
      </c>
      <c r="R2512" s="10" t="s">
        <v>28</v>
      </c>
      <c r="S2512" s="10"/>
      <c r="T2512" s="10"/>
      <c r="U2512" s="10" t="s">
        <v>3235</v>
      </c>
      <c r="V2512" s="10" t="s">
        <v>3235</v>
      </c>
      <c r="W2512" s="50">
        <f>+J2512/$W$2</f>
        <v>2.7419877844978621E-4</v>
      </c>
    </row>
    <row r="2513" spans="1:29">
      <c r="A2513" s="10" t="s">
        <v>3270</v>
      </c>
      <c r="B2513" s="10" t="s">
        <v>381</v>
      </c>
      <c r="C2513" s="124">
        <v>46475</v>
      </c>
      <c r="D2513" s="124" t="s">
        <v>492</v>
      </c>
      <c r="E2513" s="21">
        <v>0.85936966000000004</v>
      </c>
      <c r="F2513" s="10"/>
      <c r="G2513" s="14">
        <v>24000000</v>
      </c>
      <c r="H2513" s="14">
        <v>20624871.870000001</v>
      </c>
      <c r="I2513" s="14">
        <v>24000000</v>
      </c>
      <c r="J2513" s="14">
        <v>20624871.870000001</v>
      </c>
      <c r="K2513" s="12">
        <v>10718061</v>
      </c>
      <c r="L2513" s="10" t="s">
        <v>101</v>
      </c>
      <c r="M2513" s="10" t="s">
        <v>102</v>
      </c>
      <c r="N2513" s="124" t="s">
        <v>472</v>
      </c>
      <c r="O2513" s="124" t="s">
        <v>472</v>
      </c>
      <c r="P2513" s="21">
        <v>33</v>
      </c>
      <c r="Q2513" s="10" t="s">
        <v>54</v>
      </c>
      <c r="R2513" s="10" t="s">
        <v>28</v>
      </c>
      <c r="S2513" s="10"/>
      <c r="T2513" s="10"/>
      <c r="U2513" s="10" t="s">
        <v>3236</v>
      </c>
      <c r="V2513" s="10" t="s">
        <v>3236</v>
      </c>
      <c r="W2513" s="50">
        <f>+J2513/$W$2</f>
        <v>2.7419877844978621E-4</v>
      </c>
    </row>
    <row r="2514" spans="1:29">
      <c r="A2514" s="10" t="s">
        <v>426</v>
      </c>
      <c r="B2514" s="10" t="s">
        <v>381</v>
      </c>
      <c r="C2514" s="124">
        <v>46475</v>
      </c>
      <c r="D2514" s="124" t="s">
        <v>492</v>
      </c>
      <c r="E2514" s="21">
        <v>0.87238152999999996</v>
      </c>
      <c r="F2514" s="10"/>
      <c r="G2514" s="14">
        <v>5633315</v>
      </c>
      <c r="H2514" s="14">
        <v>4914399.95</v>
      </c>
      <c r="I2514" s="14">
        <v>5633315</v>
      </c>
      <c r="J2514" s="14">
        <v>4914399.95</v>
      </c>
      <c r="K2514" s="12">
        <v>69874720</v>
      </c>
      <c r="L2514" s="10" t="s">
        <v>101</v>
      </c>
      <c r="M2514" s="10" t="s">
        <v>102</v>
      </c>
      <c r="N2514" s="124" t="s">
        <v>472</v>
      </c>
      <c r="O2514" s="124" t="s">
        <v>472</v>
      </c>
      <c r="P2514" s="21">
        <v>29.5</v>
      </c>
      <c r="Q2514" s="10" t="s">
        <v>54</v>
      </c>
      <c r="R2514" s="10" t="s">
        <v>28</v>
      </c>
      <c r="S2514" s="10"/>
      <c r="T2514" s="10"/>
      <c r="U2514" s="10" t="s">
        <v>3161</v>
      </c>
      <c r="V2514" s="10" t="s">
        <v>3161</v>
      </c>
      <c r="W2514" s="50">
        <f>+J2514/$W$2</f>
        <v>6.5334828337224016E-5</v>
      </c>
      <c r="AC2514" s="47"/>
    </row>
    <row r="2515" spans="1:29">
      <c r="A2515" s="10" t="s">
        <v>2993</v>
      </c>
      <c r="B2515" s="10" t="s">
        <v>381</v>
      </c>
      <c r="C2515" s="124">
        <v>46477</v>
      </c>
      <c r="D2515" s="124" t="s">
        <v>492</v>
      </c>
      <c r="E2515" s="21">
        <v>0.86174346000000002</v>
      </c>
      <c r="F2515" s="10"/>
      <c r="G2515" s="14">
        <v>45000000</v>
      </c>
      <c r="H2515" s="14">
        <v>38778455.530000001</v>
      </c>
      <c r="I2515" s="14">
        <v>45000000</v>
      </c>
      <c r="J2515" s="14">
        <v>38778455.530000001</v>
      </c>
      <c r="K2515" s="12">
        <v>51560</v>
      </c>
      <c r="L2515" s="10" t="s">
        <v>101</v>
      </c>
      <c r="M2515" s="10" t="s">
        <v>102</v>
      </c>
      <c r="N2515" s="124" t="s">
        <v>678</v>
      </c>
      <c r="O2515" s="124" t="s">
        <v>678</v>
      </c>
      <c r="P2515" s="21">
        <v>32</v>
      </c>
      <c r="Q2515" s="10" t="s">
        <v>54</v>
      </c>
      <c r="R2515" s="10" t="s">
        <v>28</v>
      </c>
      <c r="S2515" s="10"/>
      <c r="T2515" s="10"/>
      <c r="U2515" s="10" t="s">
        <v>3506</v>
      </c>
      <c r="V2515" s="10" t="s">
        <v>3506</v>
      </c>
      <c r="W2515" s="50">
        <f>+J2515/$W$2</f>
        <v>5.1554284572122083E-4</v>
      </c>
    </row>
    <row r="2516" spans="1:29">
      <c r="A2516" s="10" t="s">
        <v>3261</v>
      </c>
      <c r="B2516" s="10" t="s">
        <v>381</v>
      </c>
      <c r="C2516" s="124">
        <v>46477</v>
      </c>
      <c r="D2516" s="124" t="s">
        <v>492</v>
      </c>
      <c r="E2516" s="21">
        <v>0.85803620999999997</v>
      </c>
      <c r="F2516" s="10"/>
      <c r="G2516" s="14">
        <v>6006148</v>
      </c>
      <c r="H2516" s="14">
        <v>5153492.45</v>
      </c>
      <c r="I2516" s="14">
        <v>6006148</v>
      </c>
      <c r="J2516" s="14">
        <v>5153492.45</v>
      </c>
      <c r="K2516" s="12">
        <v>1370685</v>
      </c>
      <c r="L2516" s="10" t="s">
        <v>101</v>
      </c>
      <c r="M2516" s="10" t="s">
        <v>102</v>
      </c>
      <c r="N2516" s="124" t="s">
        <v>472</v>
      </c>
      <c r="O2516" s="124" t="s">
        <v>472</v>
      </c>
      <c r="P2516" s="21">
        <v>33</v>
      </c>
      <c r="Q2516" s="10" t="s">
        <v>54</v>
      </c>
      <c r="R2516" s="10" t="s">
        <v>28</v>
      </c>
      <c r="S2516" s="10"/>
      <c r="T2516" s="10"/>
      <c r="U2516" s="10" t="s">
        <v>3240</v>
      </c>
      <c r="V2516" s="10" t="s">
        <v>3240</v>
      </c>
      <c r="W2516" s="50">
        <f>+J2516/$W$2</f>
        <v>6.8513460032476603E-5</v>
      </c>
    </row>
    <row r="2517" spans="1:29">
      <c r="A2517" s="10" t="s">
        <v>2419</v>
      </c>
      <c r="B2517" s="10" t="s">
        <v>381</v>
      </c>
      <c r="C2517" s="124">
        <v>46477</v>
      </c>
      <c r="D2517" s="124" t="s">
        <v>492</v>
      </c>
      <c r="E2517" s="21">
        <v>0.90886467999999998</v>
      </c>
      <c r="F2517" s="10"/>
      <c r="G2517" s="14">
        <v>5000000</v>
      </c>
      <c r="H2517" s="14">
        <v>4544323.41</v>
      </c>
      <c r="I2517" s="14">
        <v>5000000</v>
      </c>
      <c r="J2517" s="14">
        <v>4544323.41</v>
      </c>
      <c r="K2517" s="12">
        <v>100</v>
      </c>
      <c r="L2517" s="10" t="s">
        <v>101</v>
      </c>
      <c r="M2517" s="10" t="s">
        <v>102</v>
      </c>
      <c r="N2517" s="124" t="s">
        <v>552</v>
      </c>
      <c r="O2517" s="124" t="s">
        <v>552</v>
      </c>
      <c r="P2517" s="21">
        <v>20</v>
      </c>
      <c r="Q2517" s="10" t="s">
        <v>54</v>
      </c>
      <c r="R2517" s="10" t="s">
        <v>28</v>
      </c>
      <c r="S2517" s="10"/>
      <c r="T2517" s="10"/>
      <c r="U2517" s="10" t="s">
        <v>2342</v>
      </c>
      <c r="V2517" s="10" t="s">
        <v>2342</v>
      </c>
      <c r="W2517" s="50">
        <f>+J2517/$W$2</f>
        <v>6.0414820308057844E-5</v>
      </c>
    </row>
    <row r="2518" spans="1:29">
      <c r="A2518" s="10" t="s">
        <v>2771</v>
      </c>
      <c r="B2518" s="10" t="s">
        <v>381</v>
      </c>
      <c r="C2518" s="124">
        <v>46477</v>
      </c>
      <c r="D2518" s="124" t="s">
        <v>492</v>
      </c>
      <c r="E2518" s="21">
        <v>0.87689806000000003</v>
      </c>
      <c r="F2518" s="10"/>
      <c r="G2518" s="14">
        <v>19000000</v>
      </c>
      <c r="H2518" s="14">
        <v>16661063.119999999</v>
      </c>
      <c r="I2518" s="14">
        <v>19000000</v>
      </c>
      <c r="J2518" s="14">
        <v>16661063.119999999</v>
      </c>
      <c r="K2518" s="12">
        <v>1558098</v>
      </c>
      <c r="L2518" s="10" t="s">
        <v>101</v>
      </c>
      <c r="M2518" s="10" t="s">
        <v>102</v>
      </c>
      <c r="N2518" s="124" t="s">
        <v>422</v>
      </c>
      <c r="O2518" s="124" t="s">
        <v>422</v>
      </c>
      <c r="P2518" s="21">
        <v>28</v>
      </c>
      <c r="Q2518" s="10" t="s">
        <v>54</v>
      </c>
      <c r="R2518" s="10" t="s">
        <v>28</v>
      </c>
      <c r="S2518" s="10"/>
      <c r="T2518" s="10"/>
      <c r="U2518" s="10" t="s">
        <v>2765</v>
      </c>
      <c r="V2518" s="10" t="s">
        <v>2765</v>
      </c>
      <c r="W2518" s="50">
        <f>+J2518/$W$2</f>
        <v>2.2150165023928381E-4</v>
      </c>
    </row>
    <row r="2519" spans="1:29">
      <c r="A2519" s="10" t="s">
        <v>2915</v>
      </c>
      <c r="B2519" s="10" t="s">
        <v>381</v>
      </c>
      <c r="C2519" s="124">
        <v>46477</v>
      </c>
      <c r="D2519" s="124" t="s">
        <v>492</v>
      </c>
      <c r="E2519" s="21">
        <v>0.86925479000000005</v>
      </c>
      <c r="F2519" s="10"/>
      <c r="G2519" s="14">
        <v>6000000</v>
      </c>
      <c r="H2519" s="14">
        <v>5215528.7300000004</v>
      </c>
      <c r="I2519" s="14">
        <v>6000000</v>
      </c>
      <c r="J2519" s="14">
        <v>5215528.7300000004</v>
      </c>
      <c r="K2519" s="12">
        <v>3927503</v>
      </c>
      <c r="L2519" s="10" t="s">
        <v>101</v>
      </c>
      <c r="M2519" s="10" t="s">
        <v>102</v>
      </c>
      <c r="N2519" s="124" t="s">
        <v>532</v>
      </c>
      <c r="O2519" s="124" t="s">
        <v>532</v>
      </c>
      <c r="P2519" s="21">
        <v>30</v>
      </c>
      <c r="Q2519" s="10" t="s">
        <v>54</v>
      </c>
      <c r="R2519" s="10" t="s">
        <v>28</v>
      </c>
      <c r="S2519" s="10"/>
      <c r="T2519" s="10"/>
      <c r="U2519" s="10" t="s">
        <v>3010</v>
      </c>
      <c r="V2519" s="10" t="s">
        <v>3010</v>
      </c>
      <c r="W2519" s="50">
        <f>+J2519/$W$2</f>
        <v>6.9338205626184326E-5</v>
      </c>
    </row>
    <row r="2520" spans="1:29">
      <c r="A2520" s="10" t="s">
        <v>2993</v>
      </c>
      <c r="B2520" s="10" t="s">
        <v>381</v>
      </c>
      <c r="C2520" s="124">
        <v>46478</v>
      </c>
      <c r="D2520" s="124" t="s">
        <v>492</v>
      </c>
      <c r="E2520" s="21">
        <v>0.86109283999999997</v>
      </c>
      <c r="F2520" s="10"/>
      <c r="G2520" s="14">
        <v>45000000</v>
      </c>
      <c r="H2520" s="14">
        <v>38749177.659999996</v>
      </c>
      <c r="I2520" s="14">
        <v>45000000</v>
      </c>
      <c r="J2520" s="14">
        <v>38749177.659999996</v>
      </c>
      <c r="K2520" s="12">
        <v>51561</v>
      </c>
      <c r="L2520" s="10" t="s">
        <v>101</v>
      </c>
      <c r="M2520" s="10" t="s">
        <v>102</v>
      </c>
      <c r="N2520" s="124" t="s">
        <v>678</v>
      </c>
      <c r="O2520" s="124" t="s">
        <v>678</v>
      </c>
      <c r="P2520" s="21">
        <v>32</v>
      </c>
      <c r="Q2520" s="10" t="s">
        <v>54</v>
      </c>
      <c r="R2520" s="10" t="s">
        <v>28</v>
      </c>
      <c r="S2520" s="10"/>
      <c r="T2520" s="10"/>
      <c r="U2520" s="10" t="s">
        <v>3507</v>
      </c>
      <c r="V2520" s="10" t="s">
        <v>3507</v>
      </c>
      <c r="W2520" s="50">
        <f>+J2520/$W$2</f>
        <v>5.1515360906364475E-4</v>
      </c>
    </row>
    <row r="2521" spans="1:29">
      <c r="A2521" s="10" t="s">
        <v>3261</v>
      </c>
      <c r="B2521" s="10" t="s">
        <v>381</v>
      </c>
      <c r="C2521" s="124">
        <v>46482</v>
      </c>
      <c r="D2521" s="124" t="s">
        <v>492</v>
      </c>
      <c r="E2521" s="21">
        <v>0.85472106999999997</v>
      </c>
      <c r="F2521" s="10"/>
      <c r="G2521" s="14">
        <v>6006148</v>
      </c>
      <c r="H2521" s="14">
        <v>5133581.24</v>
      </c>
      <c r="I2521" s="14">
        <v>6006148</v>
      </c>
      <c r="J2521" s="14">
        <v>5133581.24</v>
      </c>
      <c r="K2521" s="12">
        <v>1370687</v>
      </c>
      <c r="L2521" s="10" t="s">
        <v>101</v>
      </c>
      <c r="M2521" s="10" t="s">
        <v>102</v>
      </c>
      <c r="N2521" s="124" t="s">
        <v>472</v>
      </c>
      <c r="O2521" s="124" t="s">
        <v>472</v>
      </c>
      <c r="P2521" s="21">
        <v>33</v>
      </c>
      <c r="Q2521" s="10" t="s">
        <v>54</v>
      </c>
      <c r="R2521" s="10" t="s">
        <v>28</v>
      </c>
      <c r="S2521" s="10"/>
      <c r="T2521" s="10"/>
      <c r="U2521" s="10" t="s">
        <v>3241</v>
      </c>
      <c r="V2521" s="10" t="s">
        <v>3241</v>
      </c>
      <c r="W2521" s="50">
        <f>+J2521/$W$2</f>
        <v>6.8248749080870711E-5</v>
      </c>
    </row>
    <row r="2522" spans="1:29">
      <c r="A2522" s="10" t="s">
        <v>3348</v>
      </c>
      <c r="B2522" s="10" t="s">
        <v>381</v>
      </c>
      <c r="C2522" s="124">
        <v>46482</v>
      </c>
      <c r="D2522" s="124" t="s">
        <v>492</v>
      </c>
      <c r="E2522" s="21">
        <v>0.85472090000000001</v>
      </c>
      <c r="F2522" s="10"/>
      <c r="G2522" s="14">
        <v>25000000</v>
      </c>
      <c r="H2522" s="14">
        <v>21368022.48</v>
      </c>
      <c r="I2522" s="14">
        <v>25000000</v>
      </c>
      <c r="J2522" s="14">
        <v>21368022.48</v>
      </c>
      <c r="K2522" s="12">
        <v>69974642</v>
      </c>
      <c r="L2522" s="10" t="s">
        <v>101</v>
      </c>
      <c r="M2522" s="10" t="s">
        <v>102</v>
      </c>
      <c r="N2522" s="124" t="s">
        <v>677</v>
      </c>
      <c r="O2522" s="124" t="s">
        <v>677</v>
      </c>
      <c r="P2522" s="21">
        <v>33</v>
      </c>
      <c r="Q2522" s="10" t="s">
        <v>54</v>
      </c>
      <c r="R2522" s="10" t="s">
        <v>28</v>
      </c>
      <c r="S2522" s="10"/>
      <c r="T2522" s="10"/>
      <c r="U2522" s="10" t="s">
        <v>3314</v>
      </c>
      <c r="V2522" s="10" t="s">
        <v>3314</v>
      </c>
      <c r="W2522" s="50">
        <f>+J2522/$W$2</f>
        <v>2.8407864537698926E-4</v>
      </c>
    </row>
    <row r="2523" spans="1:29">
      <c r="A2523" s="10" t="s">
        <v>2915</v>
      </c>
      <c r="B2523" s="10" t="s">
        <v>381</v>
      </c>
      <c r="C2523" s="124">
        <v>46482</v>
      </c>
      <c r="D2523" s="124" t="s">
        <v>492</v>
      </c>
      <c r="E2523" s="21">
        <v>0.86616053999999998</v>
      </c>
      <c r="F2523" s="10"/>
      <c r="G2523" s="14">
        <v>4000000</v>
      </c>
      <c r="H2523" s="14">
        <v>3464642.17</v>
      </c>
      <c r="I2523" s="14">
        <v>4000000</v>
      </c>
      <c r="J2523" s="14">
        <v>3464642.17</v>
      </c>
      <c r="K2523" s="12">
        <v>3927504</v>
      </c>
      <c r="L2523" s="10" t="s">
        <v>101</v>
      </c>
      <c r="M2523" s="10" t="s">
        <v>102</v>
      </c>
      <c r="N2523" s="124" t="s">
        <v>532</v>
      </c>
      <c r="O2523" s="124" t="s">
        <v>532</v>
      </c>
      <c r="P2523" s="21">
        <v>30</v>
      </c>
      <c r="Q2523" s="10" t="s">
        <v>54</v>
      </c>
      <c r="R2523" s="10" t="s">
        <v>28</v>
      </c>
      <c r="S2523" s="10"/>
      <c r="T2523" s="10"/>
      <c r="U2523" s="10" t="s">
        <v>3019</v>
      </c>
      <c r="V2523" s="10" t="s">
        <v>3019</v>
      </c>
      <c r="W2523" s="50">
        <f>+J2523/$W$2</f>
        <v>4.6060923760764994E-5</v>
      </c>
    </row>
    <row r="2524" spans="1:29">
      <c r="A2524" s="10" t="s">
        <v>426</v>
      </c>
      <c r="B2524" s="10" t="s">
        <v>381</v>
      </c>
      <c r="C2524" s="124">
        <v>46482</v>
      </c>
      <c r="D2524" s="124" t="s">
        <v>492</v>
      </c>
      <c r="E2524" s="21">
        <v>0.86616051999999999</v>
      </c>
      <c r="F2524" s="10"/>
      <c r="G2524" s="14">
        <v>5580000</v>
      </c>
      <c r="H2524" s="14">
        <v>4833175.6900000004</v>
      </c>
      <c r="I2524" s="14">
        <v>5580000</v>
      </c>
      <c r="J2524" s="14">
        <v>4833175.6900000004</v>
      </c>
      <c r="K2524" s="12">
        <v>11415141</v>
      </c>
      <c r="L2524" s="10" t="s">
        <v>101</v>
      </c>
      <c r="M2524" s="10" t="s">
        <v>102</v>
      </c>
      <c r="N2524" s="124" t="s">
        <v>486</v>
      </c>
      <c r="O2524" s="124" t="s">
        <v>486</v>
      </c>
      <c r="P2524" s="21">
        <v>30</v>
      </c>
      <c r="Q2524" s="10" t="s">
        <v>54</v>
      </c>
      <c r="R2524" s="10" t="s">
        <v>28</v>
      </c>
      <c r="S2524" s="10"/>
      <c r="T2524" s="10"/>
      <c r="U2524" s="10" t="s">
        <v>2804</v>
      </c>
      <c r="V2524" s="10" t="s">
        <v>2804</v>
      </c>
      <c r="W2524" s="50">
        <f>+J2524/$W$2</f>
        <v>6.4254986822917054E-5</v>
      </c>
    </row>
    <row r="2525" spans="1:29">
      <c r="A2525" s="10" t="s">
        <v>3149</v>
      </c>
      <c r="B2525" s="10" t="s">
        <v>381</v>
      </c>
      <c r="C2525" s="124">
        <v>46484</v>
      </c>
      <c r="D2525" s="124" t="s">
        <v>492</v>
      </c>
      <c r="E2525" s="21">
        <v>0.85340192000000004</v>
      </c>
      <c r="F2525" s="10"/>
      <c r="G2525" s="14">
        <v>27362969</v>
      </c>
      <c r="H2525" s="14">
        <v>23351610.41</v>
      </c>
      <c r="I2525" s="14">
        <v>27362969</v>
      </c>
      <c r="J2525" s="14">
        <v>23351610.41</v>
      </c>
      <c r="K2525" s="12">
        <v>90004141</v>
      </c>
      <c r="L2525" s="10" t="s">
        <v>101</v>
      </c>
      <c r="M2525" s="10" t="s">
        <v>102</v>
      </c>
      <c r="N2525" s="124" t="s">
        <v>532</v>
      </c>
      <c r="O2525" s="124" t="s">
        <v>532</v>
      </c>
      <c r="P2525" s="21">
        <v>33</v>
      </c>
      <c r="Q2525" s="10" t="s">
        <v>54</v>
      </c>
      <c r="R2525" s="10" t="s">
        <v>28</v>
      </c>
      <c r="S2525" s="10"/>
      <c r="T2525" s="10"/>
      <c r="U2525" s="10" t="s">
        <v>3122</v>
      </c>
      <c r="V2525" s="10" t="s">
        <v>3122</v>
      </c>
      <c r="W2525" s="50">
        <f>+J2525/$W$2</f>
        <v>3.1044959162004779E-4</v>
      </c>
    </row>
    <row r="2526" spans="1:29">
      <c r="A2526" s="10" t="s">
        <v>464</v>
      </c>
      <c r="B2526" s="10" t="s">
        <v>125</v>
      </c>
      <c r="C2526" s="124">
        <v>46491</v>
      </c>
      <c r="D2526" s="124" t="s">
        <v>492</v>
      </c>
      <c r="E2526" s="21">
        <v>0.95861107999999995</v>
      </c>
      <c r="F2526" s="10" t="s">
        <v>3573</v>
      </c>
      <c r="G2526" s="14">
        <v>18230</v>
      </c>
      <c r="H2526" s="14">
        <v>17475.48</v>
      </c>
      <c r="I2526" s="14">
        <v>27781968.690000001</v>
      </c>
      <c r="J2526" s="14">
        <v>26632103.030000001</v>
      </c>
      <c r="K2526" s="12">
        <v>146452</v>
      </c>
      <c r="L2526" s="10" t="s">
        <v>101</v>
      </c>
      <c r="M2526" s="10" t="s">
        <v>102</v>
      </c>
      <c r="N2526" s="124" t="s">
        <v>301</v>
      </c>
      <c r="O2526" s="124" t="s">
        <v>301</v>
      </c>
      <c r="P2526" s="21">
        <v>8</v>
      </c>
      <c r="Q2526" s="10" t="s">
        <v>54</v>
      </c>
      <c r="R2526" s="10" t="s">
        <v>28</v>
      </c>
      <c r="S2526" s="10"/>
      <c r="T2526" s="10"/>
      <c r="U2526" s="10" t="s">
        <v>457</v>
      </c>
      <c r="V2526" s="10" t="s">
        <v>457</v>
      </c>
      <c r="W2526" s="50">
        <f>+J2526/$W$2</f>
        <v>3.5406232651543013E-4</v>
      </c>
    </row>
    <row r="2527" spans="1:29">
      <c r="A2527" s="10" t="s">
        <v>477</v>
      </c>
      <c r="B2527" s="10" t="s">
        <v>381</v>
      </c>
      <c r="C2527" s="124">
        <v>46492</v>
      </c>
      <c r="D2527" s="124" t="s">
        <v>492</v>
      </c>
      <c r="E2527" s="21">
        <v>0.85604406</v>
      </c>
      <c r="F2527" s="10"/>
      <c r="G2527" s="14">
        <v>3700000</v>
      </c>
      <c r="H2527" s="14">
        <v>3167363.03</v>
      </c>
      <c r="I2527" s="14">
        <v>3700000</v>
      </c>
      <c r="J2527" s="14">
        <v>3167363.03</v>
      </c>
      <c r="K2527" s="12">
        <v>164548</v>
      </c>
      <c r="L2527" s="10" t="s">
        <v>101</v>
      </c>
      <c r="M2527" s="10" t="s">
        <v>102</v>
      </c>
      <c r="N2527" s="124" t="s">
        <v>486</v>
      </c>
      <c r="O2527" s="124" t="s">
        <v>486</v>
      </c>
      <c r="P2527" s="21">
        <v>31</v>
      </c>
      <c r="Q2527" s="10" t="s">
        <v>54</v>
      </c>
      <c r="R2527" s="10" t="s">
        <v>28</v>
      </c>
      <c r="S2527" s="10"/>
      <c r="T2527" s="10"/>
      <c r="U2527" s="10" t="s">
        <v>2785</v>
      </c>
      <c r="V2527" s="10" t="s">
        <v>2785</v>
      </c>
      <c r="W2527" s="50">
        <f>+J2527/$W$2</f>
        <v>4.2108725775711378E-5</v>
      </c>
      <c r="AC2527" s="47"/>
    </row>
    <row r="2528" spans="1:29">
      <c r="A2528" s="10" t="s">
        <v>1188</v>
      </c>
      <c r="B2528" s="10" t="s">
        <v>381</v>
      </c>
      <c r="C2528" s="124">
        <v>46496</v>
      </c>
      <c r="D2528" s="124" t="s">
        <v>492</v>
      </c>
      <c r="E2528" s="21">
        <v>0.87420971999999997</v>
      </c>
      <c r="F2528" s="10"/>
      <c r="G2528" s="14">
        <v>3948801</v>
      </c>
      <c r="H2528" s="14">
        <v>3452080.22</v>
      </c>
      <c r="I2528" s="14">
        <v>3948801</v>
      </c>
      <c r="J2528" s="14">
        <v>3452080.22</v>
      </c>
      <c r="K2528" s="12">
        <v>1019</v>
      </c>
      <c r="L2528" s="10" t="s">
        <v>101</v>
      </c>
      <c r="M2528" s="10" t="s">
        <v>102</v>
      </c>
      <c r="N2528" s="124" t="s">
        <v>363</v>
      </c>
      <c r="O2528" s="124" t="s">
        <v>363</v>
      </c>
      <c r="P2528" s="21">
        <v>26</v>
      </c>
      <c r="Q2528" s="10" t="s">
        <v>54</v>
      </c>
      <c r="R2528" s="10" t="s">
        <v>28</v>
      </c>
      <c r="S2528" s="10"/>
      <c r="T2528" s="10"/>
      <c r="U2528" s="10" t="s">
        <v>1181</v>
      </c>
      <c r="V2528" s="10" t="s">
        <v>1181</v>
      </c>
      <c r="W2528" s="50">
        <f>+J2528/$W$2</f>
        <v>4.589391805199463E-5</v>
      </c>
    </row>
    <row r="2529" spans="1:23">
      <c r="A2529" s="10" t="s">
        <v>392</v>
      </c>
      <c r="B2529" s="10" t="s">
        <v>381</v>
      </c>
      <c r="C2529" s="124">
        <v>46496</v>
      </c>
      <c r="D2529" s="124" t="s">
        <v>492</v>
      </c>
      <c r="E2529" s="21">
        <v>0.84954858</v>
      </c>
      <c r="F2529" s="10"/>
      <c r="G2529" s="14">
        <v>2833000</v>
      </c>
      <c r="H2529" s="14">
        <v>2406771.14</v>
      </c>
      <c r="I2529" s="14">
        <v>2833000</v>
      </c>
      <c r="J2529" s="14">
        <v>2406771.14</v>
      </c>
      <c r="K2529" s="12">
        <v>90000060</v>
      </c>
      <c r="L2529" s="10" t="s">
        <v>101</v>
      </c>
      <c r="M2529" s="10" t="s">
        <v>102</v>
      </c>
      <c r="N2529" s="124" t="s">
        <v>531</v>
      </c>
      <c r="O2529" s="124" t="s">
        <v>531</v>
      </c>
      <c r="P2529" s="21">
        <v>32</v>
      </c>
      <c r="Q2529" s="10" t="s">
        <v>54</v>
      </c>
      <c r="R2529" s="10" t="s">
        <v>28</v>
      </c>
      <c r="S2529" s="10"/>
      <c r="T2529" s="10"/>
      <c r="U2529" s="10" t="s">
        <v>3398</v>
      </c>
      <c r="V2529" s="10" t="s">
        <v>3398</v>
      </c>
      <c r="W2529" s="50">
        <f>+J2529/$W$2</f>
        <v>3.199698455126448E-5</v>
      </c>
    </row>
    <row r="2530" spans="1:23">
      <c r="A2530" s="10" t="s">
        <v>464</v>
      </c>
      <c r="B2530" s="10" t="s">
        <v>125</v>
      </c>
      <c r="C2530" s="124">
        <v>46521</v>
      </c>
      <c r="D2530" s="124" t="s">
        <v>492</v>
      </c>
      <c r="E2530" s="21">
        <v>0.95260449999999997</v>
      </c>
      <c r="F2530" s="10" t="s">
        <v>3573</v>
      </c>
      <c r="G2530" s="14">
        <v>18230</v>
      </c>
      <c r="H2530" s="14">
        <v>17365.98</v>
      </c>
      <c r="I2530" s="14">
        <v>27781968.690000001</v>
      </c>
      <c r="J2530" s="14">
        <v>26465228.34</v>
      </c>
      <c r="K2530" s="12">
        <v>146453</v>
      </c>
      <c r="L2530" s="10" t="s">
        <v>101</v>
      </c>
      <c r="M2530" s="10" t="s">
        <v>102</v>
      </c>
      <c r="N2530" s="124" t="s">
        <v>301</v>
      </c>
      <c r="O2530" s="124" t="s">
        <v>301</v>
      </c>
      <c r="P2530" s="21">
        <v>8</v>
      </c>
      <c r="Q2530" s="10" t="s">
        <v>54</v>
      </c>
      <c r="R2530" s="10" t="s">
        <v>28</v>
      </c>
      <c r="S2530" s="10"/>
      <c r="T2530" s="10"/>
      <c r="U2530" s="10" t="s">
        <v>455</v>
      </c>
      <c r="V2530" s="10" t="s">
        <v>455</v>
      </c>
      <c r="W2530" s="50">
        <f>+J2530/$W$2</f>
        <v>3.5184379946514855E-4</v>
      </c>
    </row>
    <row r="2531" spans="1:23">
      <c r="A2531" s="10" t="s">
        <v>477</v>
      </c>
      <c r="B2531" s="10" t="s">
        <v>381</v>
      </c>
      <c r="C2531" s="124">
        <v>46524</v>
      </c>
      <c r="D2531" s="124" t="s">
        <v>492</v>
      </c>
      <c r="E2531" s="21">
        <v>0.83658052999999999</v>
      </c>
      <c r="F2531" s="10"/>
      <c r="G2531" s="14">
        <v>3700000</v>
      </c>
      <c r="H2531" s="14">
        <v>3095347.97</v>
      </c>
      <c r="I2531" s="14">
        <v>3700000</v>
      </c>
      <c r="J2531" s="14">
        <v>3095347.97</v>
      </c>
      <c r="K2531" s="12">
        <v>164551</v>
      </c>
      <c r="L2531" s="10" t="s">
        <v>101</v>
      </c>
      <c r="M2531" s="10" t="s">
        <v>102</v>
      </c>
      <c r="N2531" s="124" t="s">
        <v>486</v>
      </c>
      <c r="O2531" s="124" t="s">
        <v>486</v>
      </c>
      <c r="P2531" s="21">
        <v>31</v>
      </c>
      <c r="Q2531" s="10" t="s">
        <v>54</v>
      </c>
      <c r="R2531" s="10" t="s">
        <v>28</v>
      </c>
      <c r="S2531" s="10"/>
      <c r="T2531" s="10"/>
      <c r="U2531" s="10" t="s">
        <v>2783</v>
      </c>
      <c r="V2531" s="10" t="s">
        <v>2783</v>
      </c>
      <c r="W2531" s="50">
        <f>+J2531/$W$2</f>
        <v>4.115131660456834E-5</v>
      </c>
    </row>
    <row r="2532" spans="1:23">
      <c r="A2532" s="10" t="s">
        <v>392</v>
      </c>
      <c r="B2532" s="10" t="s">
        <v>381</v>
      </c>
      <c r="C2532" s="124">
        <v>46526</v>
      </c>
      <c r="D2532" s="124" t="s">
        <v>492</v>
      </c>
      <c r="E2532" s="21">
        <v>0.83098086000000004</v>
      </c>
      <c r="F2532" s="10"/>
      <c r="G2532" s="14">
        <v>2833000</v>
      </c>
      <c r="H2532" s="14">
        <v>2354168.7799999998</v>
      </c>
      <c r="I2532" s="14">
        <v>2833000</v>
      </c>
      <c r="J2532" s="14">
        <v>2354168.7799999998</v>
      </c>
      <c r="K2532" s="12">
        <v>90000061</v>
      </c>
      <c r="L2532" s="10" t="s">
        <v>101</v>
      </c>
      <c r="M2532" s="10" t="s">
        <v>102</v>
      </c>
      <c r="N2532" s="124" t="s">
        <v>531</v>
      </c>
      <c r="O2532" s="124" t="s">
        <v>531</v>
      </c>
      <c r="P2532" s="21">
        <v>32</v>
      </c>
      <c r="Q2532" s="10" t="s">
        <v>54</v>
      </c>
      <c r="R2532" s="10" t="s">
        <v>28</v>
      </c>
      <c r="S2532" s="10"/>
      <c r="T2532" s="10"/>
      <c r="U2532" s="10" t="s">
        <v>3399</v>
      </c>
      <c r="V2532" s="10" t="s">
        <v>3399</v>
      </c>
      <c r="W2532" s="50">
        <f>+J2532/$W$2</f>
        <v>3.1297658856225581E-5</v>
      </c>
    </row>
    <row r="2533" spans="1:23">
      <c r="A2533" s="10" t="s">
        <v>2429</v>
      </c>
      <c r="B2533" s="10" t="s">
        <v>381</v>
      </c>
      <c r="C2533" s="124">
        <v>46534</v>
      </c>
      <c r="D2533" s="124" t="s">
        <v>492</v>
      </c>
      <c r="E2533" s="21">
        <v>0.82170200000000004</v>
      </c>
      <c r="F2533" s="10"/>
      <c r="G2533" s="14">
        <v>31000000</v>
      </c>
      <c r="H2533" s="14">
        <v>25472762.079999998</v>
      </c>
      <c r="I2533" s="14">
        <v>31000000</v>
      </c>
      <c r="J2533" s="14">
        <v>25472762.079999998</v>
      </c>
      <c r="K2533" s="12">
        <v>4482</v>
      </c>
      <c r="L2533" s="10" t="s">
        <v>101</v>
      </c>
      <c r="M2533" s="10" t="s">
        <v>102</v>
      </c>
      <c r="N2533" s="124" t="s">
        <v>552</v>
      </c>
      <c r="O2533" s="124" t="s">
        <v>552</v>
      </c>
      <c r="P2533" s="21">
        <v>33</v>
      </c>
      <c r="Q2533" s="10" t="s">
        <v>54</v>
      </c>
      <c r="R2533" s="10" t="s">
        <v>28</v>
      </c>
      <c r="S2533" s="10"/>
      <c r="T2533" s="10"/>
      <c r="U2533" s="10" t="s">
        <v>2370</v>
      </c>
      <c r="V2533" s="10" t="s">
        <v>2370</v>
      </c>
      <c r="W2533" s="50">
        <f>+J2533/$W$2</f>
        <v>3.3864938847147537E-4</v>
      </c>
    </row>
    <row r="2534" spans="1:23">
      <c r="A2534" s="10" t="s">
        <v>464</v>
      </c>
      <c r="B2534" s="10" t="s">
        <v>125</v>
      </c>
      <c r="C2534" s="124">
        <v>46553</v>
      </c>
      <c r="D2534" s="124" t="s">
        <v>492</v>
      </c>
      <c r="E2534" s="21">
        <v>0.94628853999999996</v>
      </c>
      <c r="F2534" s="10" t="s">
        <v>3573</v>
      </c>
      <c r="G2534" s="14">
        <v>18230</v>
      </c>
      <c r="H2534" s="14">
        <v>17250.84</v>
      </c>
      <c r="I2534" s="14">
        <v>27781968.690000001</v>
      </c>
      <c r="J2534" s="14">
        <v>26289758.469999999</v>
      </c>
      <c r="K2534" s="12">
        <v>146455</v>
      </c>
      <c r="L2534" s="10" t="s">
        <v>101</v>
      </c>
      <c r="M2534" s="10" t="s">
        <v>102</v>
      </c>
      <c r="N2534" s="124" t="s">
        <v>301</v>
      </c>
      <c r="O2534" s="124" t="s">
        <v>301</v>
      </c>
      <c r="P2534" s="21">
        <v>8</v>
      </c>
      <c r="Q2534" s="10" t="s">
        <v>54</v>
      </c>
      <c r="R2534" s="10" t="s">
        <v>28</v>
      </c>
      <c r="S2534" s="10"/>
      <c r="T2534" s="10"/>
      <c r="U2534" s="10" t="s">
        <v>451</v>
      </c>
      <c r="V2534" s="10" t="s">
        <v>451</v>
      </c>
      <c r="W2534" s="50">
        <f>+J2534/$W$2</f>
        <v>3.4951100320284901E-4</v>
      </c>
    </row>
    <row r="2535" spans="1:23">
      <c r="A2535" s="10" t="s">
        <v>392</v>
      </c>
      <c r="B2535" s="10" t="s">
        <v>381</v>
      </c>
      <c r="C2535" s="124">
        <v>46554</v>
      </c>
      <c r="D2535" s="124" t="s">
        <v>492</v>
      </c>
      <c r="E2535" s="21">
        <v>0.81436872999999999</v>
      </c>
      <c r="F2535" s="10"/>
      <c r="G2535" s="14">
        <v>2833000</v>
      </c>
      <c r="H2535" s="14">
        <v>2307106.6</v>
      </c>
      <c r="I2535" s="14">
        <v>2833000</v>
      </c>
      <c r="J2535" s="14">
        <v>2307106.6</v>
      </c>
      <c r="K2535" s="12">
        <v>90000062</v>
      </c>
      <c r="L2535" s="10" t="s">
        <v>101</v>
      </c>
      <c r="M2535" s="10" t="s">
        <v>102</v>
      </c>
      <c r="N2535" s="124" t="s">
        <v>531</v>
      </c>
      <c r="O2535" s="124" t="s">
        <v>531</v>
      </c>
      <c r="P2535" s="21">
        <v>32</v>
      </c>
      <c r="Q2535" s="10" t="s">
        <v>54</v>
      </c>
      <c r="R2535" s="10" t="s">
        <v>28</v>
      </c>
      <c r="S2535" s="10"/>
      <c r="T2535" s="10"/>
      <c r="U2535" s="10" t="s">
        <v>3394</v>
      </c>
      <c r="V2535" s="10" t="s">
        <v>3394</v>
      </c>
      <c r="W2535" s="50">
        <f>+J2535/$W$2</f>
        <v>3.0671987465463929E-5</v>
      </c>
    </row>
    <row r="2536" spans="1:23">
      <c r="A2536" s="10" t="s">
        <v>3268</v>
      </c>
      <c r="B2536" s="10" t="s">
        <v>381</v>
      </c>
      <c r="C2536" s="124">
        <v>46575</v>
      </c>
      <c r="D2536" s="124" t="s">
        <v>492</v>
      </c>
      <c r="E2536" s="21">
        <v>0.79741340000000005</v>
      </c>
      <c r="F2536" s="10"/>
      <c r="G2536" s="14">
        <v>5504622.8200000003</v>
      </c>
      <c r="H2536" s="14">
        <v>4389459.97</v>
      </c>
      <c r="I2536" s="14">
        <v>5504622.8200000003</v>
      </c>
      <c r="J2536" s="14">
        <v>4389459.97</v>
      </c>
      <c r="K2536" s="12">
        <v>11121186</v>
      </c>
      <c r="L2536" s="10" t="s">
        <v>101</v>
      </c>
      <c r="M2536" s="10" t="s">
        <v>102</v>
      </c>
      <c r="N2536" s="124" t="s">
        <v>472</v>
      </c>
      <c r="O2536" s="124" t="s">
        <v>472</v>
      </c>
      <c r="P2536" s="21">
        <v>33</v>
      </c>
      <c r="Q2536" s="10" t="s">
        <v>54</v>
      </c>
      <c r="R2536" s="10" t="s">
        <v>28</v>
      </c>
      <c r="S2536" s="10"/>
      <c r="T2536" s="10"/>
      <c r="U2536" s="10" t="s">
        <v>3206</v>
      </c>
      <c r="V2536" s="10" t="s">
        <v>3206</v>
      </c>
      <c r="W2536" s="50">
        <f>+J2536/$W$2</f>
        <v>5.8355977647498235E-5</v>
      </c>
    </row>
    <row r="2537" spans="1:23">
      <c r="A2537" s="10" t="s">
        <v>464</v>
      </c>
      <c r="B2537" s="10" t="s">
        <v>125</v>
      </c>
      <c r="C2537" s="124">
        <v>46582</v>
      </c>
      <c r="D2537" s="124" t="s">
        <v>492</v>
      </c>
      <c r="E2537" s="21">
        <v>0.94062438000000004</v>
      </c>
      <c r="F2537" s="10" t="s">
        <v>3573</v>
      </c>
      <c r="G2537" s="14">
        <v>20100</v>
      </c>
      <c r="H2537" s="14">
        <v>18906.55</v>
      </c>
      <c r="I2537" s="14">
        <v>30631792.140000001</v>
      </c>
      <c r="J2537" s="14">
        <v>28813010.43</v>
      </c>
      <c r="K2537" s="12">
        <v>160644</v>
      </c>
      <c r="L2537" s="10" t="s">
        <v>101</v>
      </c>
      <c r="M2537" s="10" t="s">
        <v>102</v>
      </c>
      <c r="N2537" s="124" t="s">
        <v>397</v>
      </c>
      <c r="O2537" s="124" t="s">
        <v>397</v>
      </c>
      <c r="P2537" s="21">
        <v>8</v>
      </c>
      <c r="Q2537" s="10" t="s">
        <v>54</v>
      </c>
      <c r="R2537" s="10" t="s">
        <v>28</v>
      </c>
      <c r="S2537" s="10"/>
      <c r="T2537" s="10"/>
      <c r="U2537" s="10" t="s">
        <v>1462</v>
      </c>
      <c r="V2537" s="10" t="s">
        <v>1462</v>
      </c>
      <c r="W2537" s="50">
        <f>+J2537/$W$2</f>
        <v>3.8305655003164626E-4</v>
      </c>
    </row>
    <row r="2538" spans="1:23">
      <c r="A2538" s="10" t="s">
        <v>3268</v>
      </c>
      <c r="B2538" s="10" t="s">
        <v>381</v>
      </c>
      <c r="C2538" s="124">
        <v>46587</v>
      </c>
      <c r="D2538" s="124" t="s">
        <v>492</v>
      </c>
      <c r="E2538" s="21">
        <v>0.79057378</v>
      </c>
      <c r="F2538" s="10"/>
      <c r="G2538" s="14">
        <v>15885271.07</v>
      </c>
      <c r="H2538" s="14">
        <v>12558478.74</v>
      </c>
      <c r="I2538" s="14">
        <v>15885271.07</v>
      </c>
      <c r="J2538" s="14">
        <v>12558478.74</v>
      </c>
      <c r="K2538" s="12">
        <v>11121183</v>
      </c>
      <c r="L2538" s="10" t="s">
        <v>101</v>
      </c>
      <c r="M2538" s="10" t="s">
        <v>102</v>
      </c>
      <c r="N2538" s="124" t="s">
        <v>472</v>
      </c>
      <c r="O2538" s="124" t="s">
        <v>472</v>
      </c>
      <c r="P2538" s="21">
        <v>33</v>
      </c>
      <c r="Q2538" s="10" t="s">
        <v>54</v>
      </c>
      <c r="R2538" s="10" t="s">
        <v>28</v>
      </c>
      <c r="S2538" s="10"/>
      <c r="T2538" s="10"/>
      <c r="U2538" s="10" t="s">
        <v>3209</v>
      </c>
      <c r="V2538" s="10" t="s">
        <v>3209</v>
      </c>
      <c r="W2538" s="50">
        <f>+J2538/$W$2</f>
        <v>1.6695955986540683E-4</v>
      </c>
    </row>
    <row r="2539" spans="1:23">
      <c r="A2539" s="10" t="s">
        <v>3268</v>
      </c>
      <c r="B2539" s="10" t="s">
        <v>381</v>
      </c>
      <c r="C2539" s="124">
        <v>46589</v>
      </c>
      <c r="D2539" s="124" t="s">
        <v>492</v>
      </c>
      <c r="E2539" s="21">
        <v>0.78944532999999995</v>
      </c>
      <c r="F2539" s="10"/>
      <c r="G2539" s="14">
        <v>13120819.52</v>
      </c>
      <c r="H2539" s="14">
        <v>10358169.710000001</v>
      </c>
      <c r="I2539" s="14">
        <v>13120819.52</v>
      </c>
      <c r="J2539" s="14">
        <v>10358169.710000001</v>
      </c>
      <c r="K2539" s="12">
        <v>11121180</v>
      </c>
      <c r="L2539" s="10" t="s">
        <v>101</v>
      </c>
      <c r="M2539" s="10" t="s">
        <v>102</v>
      </c>
      <c r="N2539" s="124" t="s">
        <v>472</v>
      </c>
      <c r="O2539" s="124" t="s">
        <v>472</v>
      </c>
      <c r="P2539" s="21">
        <v>33</v>
      </c>
      <c r="Q2539" s="10" t="s">
        <v>54</v>
      </c>
      <c r="R2539" s="10" t="s">
        <v>28</v>
      </c>
      <c r="S2539" s="10"/>
      <c r="T2539" s="10"/>
      <c r="U2539" s="10" t="s">
        <v>3215</v>
      </c>
      <c r="V2539" s="10" t="s">
        <v>3215</v>
      </c>
      <c r="W2539" s="50">
        <f>+J2539/$W$2</f>
        <v>1.3770740004396336E-4</v>
      </c>
    </row>
    <row r="2540" spans="1:23">
      <c r="A2540" s="10" t="s">
        <v>288</v>
      </c>
      <c r="B2540" s="10" t="s">
        <v>125</v>
      </c>
      <c r="C2540" s="124">
        <v>46596</v>
      </c>
      <c r="D2540" s="124" t="s">
        <v>492</v>
      </c>
      <c r="E2540" s="21">
        <v>0.92358169999999995</v>
      </c>
      <c r="F2540" s="10" t="s">
        <v>3573</v>
      </c>
      <c r="G2540" s="14">
        <v>20856</v>
      </c>
      <c r="H2540" s="14">
        <v>19262.22</v>
      </c>
      <c r="I2540" s="14">
        <v>31783913.280000001</v>
      </c>
      <c r="J2540" s="14">
        <v>29355040.760000002</v>
      </c>
      <c r="K2540" s="12">
        <v>134917</v>
      </c>
      <c r="L2540" s="10" t="s">
        <v>101</v>
      </c>
      <c r="M2540" s="10" t="s">
        <v>102</v>
      </c>
      <c r="N2540" s="124" t="s">
        <v>139</v>
      </c>
      <c r="O2540" s="124" t="s">
        <v>139</v>
      </c>
      <c r="P2540" s="21">
        <v>10</v>
      </c>
      <c r="Q2540" s="10" t="s">
        <v>54</v>
      </c>
      <c r="R2540" s="10" t="s">
        <v>28</v>
      </c>
      <c r="S2540" s="10"/>
      <c r="T2540" s="10"/>
      <c r="U2540" s="10" t="s">
        <v>282</v>
      </c>
      <c r="V2540" s="10" t="s">
        <v>282</v>
      </c>
      <c r="W2540" s="50">
        <f>+J2540/$W$2</f>
        <v>3.9026260955558043E-4</v>
      </c>
    </row>
    <row r="2541" spans="1:23">
      <c r="A2541" s="10" t="s">
        <v>3268</v>
      </c>
      <c r="B2541" s="10" t="s">
        <v>381</v>
      </c>
      <c r="C2541" s="124">
        <v>46604</v>
      </c>
      <c r="D2541" s="124" t="s">
        <v>492</v>
      </c>
      <c r="E2541" s="21">
        <v>0.78108290000000002</v>
      </c>
      <c r="F2541" s="10"/>
      <c r="G2541" s="14">
        <v>5504622.8200000003</v>
      </c>
      <c r="H2541" s="14">
        <v>4299566.75</v>
      </c>
      <c r="I2541" s="14">
        <v>5504622.8200000003</v>
      </c>
      <c r="J2541" s="14">
        <v>4299566.75</v>
      </c>
      <c r="K2541" s="12">
        <v>11121185</v>
      </c>
      <c r="L2541" s="10" t="s">
        <v>101</v>
      </c>
      <c r="M2541" s="10" t="s">
        <v>102</v>
      </c>
      <c r="N2541" s="124" t="s">
        <v>472</v>
      </c>
      <c r="O2541" s="124" t="s">
        <v>472</v>
      </c>
      <c r="P2541" s="21">
        <v>33</v>
      </c>
      <c r="Q2541" s="10" t="s">
        <v>54</v>
      </c>
      <c r="R2541" s="10" t="s">
        <v>28</v>
      </c>
      <c r="S2541" s="10"/>
      <c r="T2541" s="10"/>
      <c r="U2541" s="10" t="s">
        <v>3213</v>
      </c>
      <c r="V2541" s="10" t="s">
        <v>3213</v>
      </c>
      <c r="W2541" s="50">
        <f>+J2541/$W$2</f>
        <v>5.7160886047885895E-5</v>
      </c>
    </row>
    <row r="2542" spans="1:23">
      <c r="A2542" s="10" t="s">
        <v>3268</v>
      </c>
      <c r="B2542" s="10" t="s">
        <v>381</v>
      </c>
      <c r="C2542" s="124">
        <v>46618</v>
      </c>
      <c r="D2542" s="124" t="s">
        <v>492</v>
      </c>
      <c r="E2542" s="21">
        <v>0.77343629000000003</v>
      </c>
      <c r="F2542" s="10"/>
      <c r="G2542" s="14">
        <v>16097126.970000001</v>
      </c>
      <c r="H2542" s="14">
        <v>12450102.199999999</v>
      </c>
      <c r="I2542" s="14">
        <v>16097126.970000001</v>
      </c>
      <c r="J2542" s="14">
        <v>12450102.199999999</v>
      </c>
      <c r="K2542" s="12">
        <v>11121182</v>
      </c>
      <c r="L2542" s="10" t="s">
        <v>101</v>
      </c>
      <c r="M2542" s="10" t="s">
        <v>102</v>
      </c>
      <c r="N2542" s="124" t="s">
        <v>472</v>
      </c>
      <c r="O2542" s="124" t="s">
        <v>472</v>
      </c>
      <c r="P2542" s="21">
        <v>33</v>
      </c>
      <c r="Q2542" s="10" t="s">
        <v>54</v>
      </c>
      <c r="R2542" s="10" t="s">
        <v>28</v>
      </c>
      <c r="S2542" s="10"/>
      <c r="T2542" s="10"/>
      <c r="U2542" s="10" t="s">
        <v>3208</v>
      </c>
      <c r="V2542" s="10" t="s">
        <v>3208</v>
      </c>
      <c r="W2542" s="50">
        <f>+J2542/$W$2</f>
        <v>1.6551874049605892E-4</v>
      </c>
    </row>
    <row r="2543" spans="1:23">
      <c r="A2543" s="10" t="s">
        <v>3268</v>
      </c>
      <c r="B2543" s="10" t="s">
        <v>381</v>
      </c>
      <c r="C2543" s="124">
        <v>46618</v>
      </c>
      <c r="D2543" s="124" t="s">
        <v>492</v>
      </c>
      <c r="E2543" s="21">
        <v>0.77343629000000003</v>
      </c>
      <c r="F2543" s="10"/>
      <c r="G2543" s="14">
        <v>13593316.07</v>
      </c>
      <c r="H2543" s="14">
        <v>10513563.91</v>
      </c>
      <c r="I2543" s="14">
        <v>13593316.07</v>
      </c>
      <c r="J2543" s="14">
        <v>10513563.91</v>
      </c>
      <c r="K2543" s="12">
        <v>11121188</v>
      </c>
      <c r="L2543" s="10" t="s">
        <v>101</v>
      </c>
      <c r="M2543" s="10" t="s">
        <v>102</v>
      </c>
      <c r="N2543" s="124" t="s">
        <v>472</v>
      </c>
      <c r="O2543" s="124" t="s">
        <v>472</v>
      </c>
      <c r="P2543" s="21">
        <v>33</v>
      </c>
      <c r="Q2543" s="10" t="s">
        <v>54</v>
      </c>
      <c r="R2543" s="10" t="s">
        <v>28</v>
      </c>
      <c r="S2543" s="10"/>
      <c r="T2543" s="10"/>
      <c r="U2543" s="10" t="s">
        <v>3211</v>
      </c>
      <c r="V2543" s="10" t="s">
        <v>3211</v>
      </c>
      <c r="W2543" s="50">
        <f>+J2543/$W$2</f>
        <v>1.3977329892986908E-4</v>
      </c>
    </row>
    <row r="2544" spans="1:23">
      <c r="A2544" s="10" t="s">
        <v>3268</v>
      </c>
      <c r="B2544" s="10" t="s">
        <v>381</v>
      </c>
      <c r="C2544" s="124">
        <v>46618</v>
      </c>
      <c r="D2544" s="124" t="s">
        <v>492</v>
      </c>
      <c r="E2544" s="21">
        <v>0.77343629000000003</v>
      </c>
      <c r="F2544" s="10"/>
      <c r="G2544" s="14">
        <v>13295806.970000001</v>
      </c>
      <c r="H2544" s="14">
        <v>10283459.65</v>
      </c>
      <c r="I2544" s="14">
        <v>13295806.970000001</v>
      </c>
      <c r="J2544" s="14">
        <v>10283459.65</v>
      </c>
      <c r="K2544" s="12">
        <v>11121179</v>
      </c>
      <c r="L2544" s="10" t="s">
        <v>101</v>
      </c>
      <c r="M2544" s="10" t="s">
        <v>102</v>
      </c>
      <c r="N2544" s="124" t="s">
        <v>472</v>
      </c>
      <c r="O2544" s="124" t="s">
        <v>472</v>
      </c>
      <c r="P2544" s="21">
        <v>33</v>
      </c>
      <c r="Q2544" s="10" t="s">
        <v>54</v>
      </c>
      <c r="R2544" s="10" t="s">
        <v>28</v>
      </c>
      <c r="S2544" s="10"/>
      <c r="T2544" s="10"/>
      <c r="U2544" s="10" t="s">
        <v>3212</v>
      </c>
      <c r="V2544" s="10" t="s">
        <v>3212</v>
      </c>
      <c r="W2544" s="50">
        <f>+J2544/$W$2</f>
        <v>1.3671416200985428E-4</v>
      </c>
    </row>
    <row r="2545" spans="1:29">
      <c r="A2545" s="10" t="s">
        <v>464</v>
      </c>
      <c r="B2545" s="10" t="s">
        <v>125</v>
      </c>
      <c r="C2545" s="124">
        <v>46618</v>
      </c>
      <c r="D2545" s="124" t="s">
        <v>492</v>
      </c>
      <c r="E2545" s="21">
        <v>0.93369650999999998</v>
      </c>
      <c r="F2545" s="10" t="s">
        <v>3573</v>
      </c>
      <c r="G2545" s="14">
        <v>20100</v>
      </c>
      <c r="H2545" s="14">
        <v>18767.3</v>
      </c>
      <c r="I2545" s="14">
        <v>30631792.140000001</v>
      </c>
      <c r="J2545" s="14">
        <v>28600797.649999999</v>
      </c>
      <c r="K2545" s="12">
        <v>160645</v>
      </c>
      <c r="L2545" s="10" t="s">
        <v>101</v>
      </c>
      <c r="M2545" s="10" t="s">
        <v>102</v>
      </c>
      <c r="N2545" s="124" t="s">
        <v>397</v>
      </c>
      <c r="O2545" s="124" t="s">
        <v>397</v>
      </c>
      <c r="P2545" s="21">
        <v>8</v>
      </c>
      <c r="Q2545" s="10" t="s">
        <v>54</v>
      </c>
      <c r="R2545" s="10" t="s">
        <v>28</v>
      </c>
      <c r="S2545" s="10"/>
      <c r="T2545" s="10"/>
      <c r="U2545" s="10" t="s">
        <v>1466</v>
      </c>
      <c r="V2545" s="10" t="s">
        <v>1466</v>
      </c>
      <c r="W2545" s="50">
        <f>+J2545/$W$2</f>
        <v>3.8023527262375743E-4</v>
      </c>
    </row>
    <row r="2546" spans="1:29">
      <c r="A2546" s="10" t="s">
        <v>3268</v>
      </c>
      <c r="B2546" s="10" t="s">
        <v>381</v>
      </c>
      <c r="C2546" s="124">
        <v>46619</v>
      </c>
      <c r="D2546" s="124" t="s">
        <v>492</v>
      </c>
      <c r="E2546" s="21">
        <v>0.77289576999999998</v>
      </c>
      <c r="F2546" s="10"/>
      <c r="G2546" s="14">
        <v>1954301.77</v>
      </c>
      <c r="H2546" s="14">
        <v>1510471.57</v>
      </c>
      <c r="I2546" s="14">
        <v>1954301.77</v>
      </c>
      <c r="J2546" s="14">
        <v>1510471.57</v>
      </c>
      <c r="K2546" s="12">
        <v>11121177</v>
      </c>
      <c r="L2546" s="10" t="s">
        <v>101</v>
      </c>
      <c r="M2546" s="10" t="s">
        <v>102</v>
      </c>
      <c r="N2546" s="124" t="s">
        <v>472</v>
      </c>
      <c r="O2546" s="124" t="s">
        <v>472</v>
      </c>
      <c r="P2546" s="21">
        <v>33</v>
      </c>
      <c r="Q2546" s="10" t="s">
        <v>54</v>
      </c>
      <c r="R2546" s="10" t="s">
        <v>28</v>
      </c>
      <c r="S2546" s="10"/>
      <c r="T2546" s="10"/>
      <c r="U2546" s="10" t="s">
        <v>3202</v>
      </c>
      <c r="V2546" s="10" t="s">
        <v>3202</v>
      </c>
      <c r="W2546" s="50">
        <f>+J2546/$W$2</f>
        <v>2.0081068235849882E-5</v>
      </c>
    </row>
    <row r="2547" spans="1:29">
      <c r="A2547" s="10" t="s">
        <v>3268</v>
      </c>
      <c r="B2547" s="10" t="s">
        <v>381</v>
      </c>
      <c r="C2547" s="124">
        <v>46632</v>
      </c>
      <c r="D2547" s="124" t="s">
        <v>492</v>
      </c>
      <c r="E2547" s="21">
        <v>0.76593794000000004</v>
      </c>
      <c r="F2547" s="10"/>
      <c r="G2547" s="14">
        <v>5017285.6500000004</v>
      </c>
      <c r="H2547" s="14">
        <v>3842929.45</v>
      </c>
      <c r="I2547" s="14">
        <v>5017285.6500000004</v>
      </c>
      <c r="J2547" s="14">
        <v>3842929.45</v>
      </c>
      <c r="K2547" s="12">
        <v>11121164</v>
      </c>
      <c r="L2547" s="10" t="s">
        <v>101</v>
      </c>
      <c r="M2547" s="10" t="s">
        <v>102</v>
      </c>
      <c r="N2547" s="124" t="s">
        <v>472</v>
      </c>
      <c r="O2547" s="124" t="s">
        <v>472</v>
      </c>
      <c r="P2547" s="21">
        <v>33</v>
      </c>
      <c r="Q2547" s="10" t="s">
        <v>54</v>
      </c>
      <c r="R2547" s="10" t="s">
        <v>28</v>
      </c>
      <c r="S2547" s="10"/>
      <c r="T2547" s="10"/>
      <c r="U2547" s="10" t="s">
        <v>3204</v>
      </c>
      <c r="V2547" s="10" t="s">
        <v>3204</v>
      </c>
      <c r="W2547" s="50">
        <f>+J2547/$W$2</f>
        <v>5.1090090037912503E-5</v>
      </c>
    </row>
    <row r="2548" spans="1:29">
      <c r="A2548" s="10" t="s">
        <v>464</v>
      </c>
      <c r="B2548" s="10" t="s">
        <v>125</v>
      </c>
      <c r="C2548" s="124">
        <v>46646</v>
      </c>
      <c r="D2548" s="124" t="s">
        <v>492</v>
      </c>
      <c r="E2548" s="21">
        <v>0.92837612000000003</v>
      </c>
      <c r="F2548" s="10" t="s">
        <v>3573</v>
      </c>
      <c r="G2548" s="14">
        <v>20100</v>
      </c>
      <c r="H2548" s="14">
        <v>18660.36</v>
      </c>
      <c r="I2548" s="14">
        <v>30631792.140000001</v>
      </c>
      <c r="J2548" s="14">
        <v>28437824.32</v>
      </c>
      <c r="K2548" s="12">
        <v>160646</v>
      </c>
      <c r="L2548" s="10" t="s">
        <v>101</v>
      </c>
      <c r="M2548" s="10" t="s">
        <v>102</v>
      </c>
      <c r="N2548" s="124" t="s">
        <v>397</v>
      </c>
      <c r="O2548" s="124" t="s">
        <v>397</v>
      </c>
      <c r="P2548" s="21">
        <v>8</v>
      </c>
      <c r="Q2548" s="10" t="s">
        <v>54</v>
      </c>
      <c r="R2548" s="10" t="s">
        <v>28</v>
      </c>
      <c r="S2548" s="10"/>
      <c r="T2548" s="10"/>
      <c r="U2548" s="10" t="s">
        <v>1464</v>
      </c>
      <c r="V2548" s="10" t="s">
        <v>1464</v>
      </c>
      <c r="W2548" s="50">
        <f>+J2548/$W$2</f>
        <v>3.7806861247248187E-4</v>
      </c>
      <c r="AC2548" s="47"/>
    </row>
    <row r="2549" spans="1:29">
      <c r="A2549" s="10" t="s">
        <v>288</v>
      </c>
      <c r="B2549" s="10" t="s">
        <v>125</v>
      </c>
      <c r="C2549" s="124">
        <v>46779</v>
      </c>
      <c r="D2549" s="124" t="s">
        <v>492</v>
      </c>
      <c r="E2549" s="21">
        <v>0.88270905</v>
      </c>
      <c r="F2549" s="10" t="s">
        <v>3573</v>
      </c>
      <c r="G2549" s="14">
        <v>20856</v>
      </c>
      <c r="H2549" s="14">
        <v>18409.78</v>
      </c>
      <c r="I2549" s="14">
        <v>31783913.280000001</v>
      </c>
      <c r="J2549" s="14">
        <v>28055947.98</v>
      </c>
      <c r="K2549" s="12">
        <v>134918</v>
      </c>
      <c r="L2549" s="10" t="s">
        <v>101</v>
      </c>
      <c r="M2549" s="10" t="s">
        <v>102</v>
      </c>
      <c r="N2549" s="124" t="s">
        <v>139</v>
      </c>
      <c r="O2549" s="124" t="s">
        <v>139</v>
      </c>
      <c r="P2549" s="21">
        <v>10</v>
      </c>
      <c r="Q2549" s="10" t="s">
        <v>54</v>
      </c>
      <c r="R2549" s="10" t="s">
        <v>28</v>
      </c>
      <c r="S2549" s="10"/>
      <c r="T2549" s="10"/>
      <c r="U2549" s="10" t="s">
        <v>280</v>
      </c>
      <c r="V2549" s="10" t="s">
        <v>280</v>
      </c>
      <c r="W2549" s="50">
        <f>+J2549/$W$2</f>
        <v>3.729917311901704E-4</v>
      </c>
    </row>
    <row r="2550" spans="1:29">
      <c r="A2550" s="10" t="s">
        <v>288</v>
      </c>
      <c r="B2550" s="10" t="s">
        <v>125</v>
      </c>
      <c r="C2550" s="124">
        <v>46961</v>
      </c>
      <c r="D2550" s="124" t="s">
        <v>492</v>
      </c>
      <c r="E2550" s="21">
        <v>0.84549578000000003</v>
      </c>
      <c r="F2550" s="10" t="s">
        <v>3573</v>
      </c>
      <c r="G2550" s="14">
        <v>20856</v>
      </c>
      <c r="H2550" s="14">
        <v>17633.66</v>
      </c>
      <c r="I2550" s="14">
        <v>31783913.280000001</v>
      </c>
      <c r="J2550" s="14">
        <v>26873164.57</v>
      </c>
      <c r="K2550" s="12">
        <v>134919</v>
      </c>
      <c r="L2550" s="10" t="s">
        <v>101</v>
      </c>
      <c r="M2550" s="10" t="s">
        <v>102</v>
      </c>
      <c r="N2550" s="124" t="s">
        <v>139</v>
      </c>
      <c r="O2550" s="124" t="s">
        <v>139</v>
      </c>
      <c r="P2550" s="21">
        <v>10</v>
      </c>
      <c r="Q2550" s="10" t="s">
        <v>54</v>
      </c>
      <c r="R2550" s="10" t="s">
        <v>28</v>
      </c>
      <c r="S2550" s="10"/>
      <c r="T2550" s="10"/>
      <c r="U2550" s="10" t="s">
        <v>284</v>
      </c>
      <c r="V2550" s="10" t="s">
        <v>284</v>
      </c>
      <c r="W2550" s="50">
        <f>+J2550/$W$2</f>
        <v>3.5726713574846919E-4</v>
      </c>
    </row>
  </sheetData>
  <autoFilter ref="A3:AI2436" xr:uid="{A4EE9D7C-6CE1-4D24-BFA5-FB4DE12DAF08}">
    <sortState xmlns:xlrd2="http://schemas.microsoft.com/office/spreadsheetml/2017/richdata2" ref="A4:AI2550">
      <sortCondition ref="C3:C2436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G15" sqref="G15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328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228</v>
      </c>
      <c r="C2" s="11" t="s">
        <v>229</v>
      </c>
      <c r="D2" s="11" t="s">
        <v>230</v>
      </c>
      <c r="E2" s="11" t="s">
        <v>231</v>
      </c>
      <c r="F2" s="11" t="s">
        <v>73</v>
      </c>
      <c r="G2" s="11" t="s">
        <v>69</v>
      </c>
      <c r="H2" s="11" t="s">
        <v>232</v>
      </c>
      <c r="I2" s="11" t="s">
        <v>69</v>
      </c>
      <c r="J2" s="11" t="s">
        <v>233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234</v>
      </c>
      <c r="G3" s="11" t="s">
        <v>235</v>
      </c>
      <c r="H3" s="11"/>
      <c r="I3" s="11" t="s">
        <v>236</v>
      </c>
      <c r="J3" s="11"/>
    </row>
    <row r="4" spans="1:10">
      <c r="A4" s="10" t="s">
        <v>101</v>
      </c>
      <c r="B4" s="10" t="s">
        <v>289</v>
      </c>
      <c r="C4" s="10" t="s">
        <v>241</v>
      </c>
      <c r="D4" s="21">
        <v>1430323485.3064511</v>
      </c>
      <c r="E4" s="14">
        <v>2619279882.4699998</v>
      </c>
      <c r="F4" s="10" t="s">
        <v>118</v>
      </c>
      <c r="G4" s="124" t="s">
        <v>492</v>
      </c>
      <c r="H4" s="10" t="s">
        <v>239</v>
      </c>
      <c r="I4" s="82">
        <v>1.83125</v>
      </c>
      <c r="J4" s="21">
        <v>4.56586085</v>
      </c>
    </row>
    <row r="5" spans="1:10">
      <c r="A5" s="10" t="s">
        <v>101</v>
      </c>
      <c r="B5" s="10" t="s">
        <v>254</v>
      </c>
      <c r="C5" s="10" t="s">
        <v>241</v>
      </c>
      <c r="D5" s="21">
        <v>1807834101.9913139</v>
      </c>
      <c r="E5" s="14">
        <v>3310596199.27</v>
      </c>
      <c r="F5" s="10" t="s">
        <v>118</v>
      </c>
      <c r="G5" s="124" t="s">
        <v>492</v>
      </c>
      <c r="H5" s="10" t="s">
        <v>239</v>
      </c>
      <c r="I5" s="82">
        <v>1.83125</v>
      </c>
      <c r="J5" s="21">
        <v>5.7709455500000004</v>
      </c>
    </row>
    <row r="6" spans="1:10">
      <c r="A6" s="10" t="s">
        <v>101</v>
      </c>
      <c r="B6" s="10" t="s">
        <v>237</v>
      </c>
      <c r="C6" s="10" t="s">
        <v>241</v>
      </c>
      <c r="D6" s="21">
        <v>25797362517.0672</v>
      </c>
      <c r="E6" s="14">
        <v>47241420109.379997</v>
      </c>
      <c r="F6" s="10" t="s">
        <v>118</v>
      </c>
      <c r="G6" s="124" t="s">
        <v>492</v>
      </c>
      <c r="H6" s="10" t="s">
        <v>239</v>
      </c>
      <c r="I6" s="82">
        <v>1.83125</v>
      </c>
      <c r="J6" s="21">
        <v>82.350019970000005</v>
      </c>
    </row>
    <row r="7" spans="1:10">
      <c r="A7" s="10" t="s">
        <v>101</v>
      </c>
      <c r="B7" s="10" t="s">
        <v>242</v>
      </c>
      <c r="C7" s="10" t="s">
        <v>241</v>
      </c>
      <c r="D7" s="21">
        <v>316292106.61225098</v>
      </c>
      <c r="E7" s="14">
        <v>579209920.23000002</v>
      </c>
      <c r="F7" s="10" t="s">
        <v>118</v>
      </c>
      <c r="G7" s="124" t="s">
        <v>492</v>
      </c>
      <c r="H7" s="10" t="s">
        <v>239</v>
      </c>
      <c r="I7" s="82">
        <v>1.83125</v>
      </c>
      <c r="J7" s="21">
        <v>1.00966373</v>
      </c>
    </row>
    <row r="8" spans="1:10">
      <c r="A8" s="10" t="s">
        <v>101</v>
      </c>
      <c r="B8" s="10" t="s">
        <v>2169</v>
      </c>
      <c r="C8" s="10" t="s">
        <v>241</v>
      </c>
      <c r="D8" s="21">
        <v>1683915999.856019</v>
      </c>
      <c r="E8" s="14">
        <v>3083671174.7399998</v>
      </c>
      <c r="F8" s="10" t="s">
        <v>118</v>
      </c>
      <c r="G8" s="124" t="s">
        <v>492</v>
      </c>
      <c r="H8" s="10" t="s">
        <v>239</v>
      </c>
      <c r="I8" s="82">
        <v>1.83125</v>
      </c>
      <c r="J8" s="21">
        <v>5.3753757200000001</v>
      </c>
    </row>
    <row r="9" spans="1:10">
      <c r="A9" s="10" t="s">
        <v>101</v>
      </c>
      <c r="B9" s="10" t="s">
        <v>2170</v>
      </c>
      <c r="C9" s="10" t="s">
        <v>241</v>
      </c>
      <c r="D9" s="21">
        <v>290751767.77264798</v>
      </c>
      <c r="E9" s="14">
        <v>532439174.73000002</v>
      </c>
      <c r="F9" s="10" t="s">
        <v>118</v>
      </c>
      <c r="G9" s="124" t="s">
        <v>492</v>
      </c>
      <c r="H9" s="10" t="s">
        <v>239</v>
      </c>
      <c r="I9" s="82">
        <v>1.83125</v>
      </c>
      <c r="J9" s="21">
        <v>0.92813418000000003</v>
      </c>
    </row>
    <row r="10" spans="1:10">
      <c r="A10" s="10" t="s">
        <v>101</v>
      </c>
      <c r="B10" s="10" t="s">
        <v>237</v>
      </c>
      <c r="C10" s="10" t="s">
        <v>238</v>
      </c>
      <c r="D10" s="21">
        <v>4263653617.204895</v>
      </c>
      <c r="E10" s="14">
        <v>6467873000.5699997</v>
      </c>
      <c r="F10" s="10" t="s">
        <v>118</v>
      </c>
      <c r="G10" s="124" t="s">
        <v>492</v>
      </c>
      <c r="H10" s="10" t="s">
        <v>239</v>
      </c>
      <c r="I10" s="82">
        <v>1.5169790000000001</v>
      </c>
      <c r="J10" s="21">
        <v>93.939654630000007</v>
      </c>
    </row>
    <row r="11" spans="1:10">
      <c r="A11" s="10" t="s">
        <v>101</v>
      </c>
      <c r="B11" s="10" t="s">
        <v>242</v>
      </c>
      <c r="C11" s="10" t="s">
        <v>238</v>
      </c>
      <c r="D11" s="21">
        <v>275061831.676063</v>
      </c>
      <c r="E11" s="14">
        <v>417263022.35000002</v>
      </c>
      <c r="F11" s="10" t="s">
        <v>118</v>
      </c>
      <c r="G11" s="124" t="s">
        <v>492</v>
      </c>
      <c r="H11" s="10" t="s">
        <v>239</v>
      </c>
      <c r="I11" s="82">
        <v>1.5169790000000001</v>
      </c>
      <c r="J11" s="21">
        <v>6.0603453700000003</v>
      </c>
    </row>
    <row r="12" spans="1:10">
      <c r="A12" s="10" t="s">
        <v>101</v>
      </c>
      <c r="B12" s="10" t="s">
        <v>237</v>
      </c>
      <c r="C12" s="10" t="s">
        <v>240</v>
      </c>
      <c r="D12" s="21">
        <v>5864112797.4334421</v>
      </c>
      <c r="E12" s="14">
        <v>10659479309.309999</v>
      </c>
      <c r="F12" s="10" t="s">
        <v>118</v>
      </c>
      <c r="G12" s="124" t="s">
        <v>492</v>
      </c>
      <c r="H12" s="10" t="s">
        <v>239</v>
      </c>
      <c r="I12" s="82">
        <v>1.8177479999999999</v>
      </c>
      <c r="J12" s="21">
        <v>97.196524710000006</v>
      </c>
    </row>
    <row r="13" spans="1:10">
      <c r="A13" s="10" t="s">
        <v>101</v>
      </c>
      <c r="B13" s="10" t="s">
        <v>242</v>
      </c>
      <c r="C13" s="10" t="s">
        <v>240</v>
      </c>
      <c r="D13" s="21">
        <v>169140773.328529</v>
      </c>
      <c r="E13" s="14">
        <v>307455302.44</v>
      </c>
      <c r="F13" s="10" t="s">
        <v>118</v>
      </c>
      <c r="G13" s="124" t="s">
        <v>492</v>
      </c>
      <c r="H13" s="10" t="s">
        <v>239</v>
      </c>
      <c r="I13" s="82">
        <v>1.8177479999999999</v>
      </c>
      <c r="J13" s="21">
        <v>2.8034752900000002</v>
      </c>
    </row>
    <row r="14" spans="1:10">
      <c r="A14" s="130"/>
      <c r="B14" s="130"/>
      <c r="C14" s="130"/>
      <c r="D14" s="131">
        <v>41898448998.24881</v>
      </c>
      <c r="E14" s="129">
        <v>75218687095.490005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5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Concentración</vt:lpstr>
      <vt:lpstr>Cheques pendientes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2026-09-30T13:23:35Z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